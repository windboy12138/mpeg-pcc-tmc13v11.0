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231" codeName="{4470D2CD-2249-CD33-4A35-6F278624656F}"/>
  <workbookPr codeName="ThisWorkbook1"/>
  <mc:AlternateContent xmlns:mc="http://schemas.openxmlformats.org/markup-compatibility/2006">
    <mc:Choice Requires="x15">
      <x15ac:absPath xmlns:x15ac="http://schemas.microsoft.com/office/spreadsheetml/2010/11/ac" url="C:\Users\Administrator\Downloads\RDO SW\"/>
    </mc:Choice>
  </mc:AlternateContent>
  <xr:revisionPtr revIDLastSave="0" documentId="13_ncr:1_{CB6F24F4-744B-4DEF-986C-C1F5127A5F7C}" xr6:coauthVersionLast="45" xr6:coauthVersionMax="45" xr10:uidLastSave="{00000000-0000-0000-0000-000000000000}"/>
  <bookViews>
    <workbookView xWindow="-120" yWindow="-120" windowWidth="29040" windowHeight="15840" firstSheet="5" activeTab="6" xr2:uid="{00000000-000D-0000-FFFF-FFFF00000000}"/>
  </bookViews>
  <sheets>
    <sheet name="Summary" sheetId="1" r:id="rId1"/>
    <sheet name="Graphs" sheetId="2" r:id="rId2"/>
    <sheet name="C1 losslG,lossyA,intra" sheetId="3" r:id="rId3"/>
    <sheet name="names" sheetId="4" state="hidden" r:id="rId4"/>
    <sheet name="C2 lossyG,lossyA,intra" sheetId="5" r:id="rId5"/>
    <sheet name="CW losslG,losslA,intra" sheetId="6" r:id="rId6"/>
    <sheet name="CY losslG,nearllA,intra" sheetId="7" r:id="rId7"/>
  </sheets>
  <functionGroups builtInGroupCount="19">
    <functionGroup name="Commands"/>
  </functionGroups>
  <definedNames>
    <definedName name="all_cols" localSheetId="1">Graphs!$I$2:$I$39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(Graph a)")</definedName>
    <definedName name="graph_a_x_range_A" localSheetId="1">IF(ISREF(Graphs!graph_a_x_range_A_),Graphs!graph_a_x_range_A_,{0})</definedName>
    <definedName name="graph_a_x_range_A_" localSheetId="1">INDEX(INDIRECT(VLOOKUP("range."&amp;Graphs!$B$1&amp;"."&amp;Graphs!$B$2,names!$A:$B,2,0)),0,VLOOKUP("col."&amp;Graphs!$B$1&amp;".A."&amp;Graphs!$B$4,names!$A:$B,2,0))</definedName>
    <definedName name="graph_a_x_range_B" localSheetId="1">IF(ISREF(Graphs!graph_a_x_range_B_),Graphs!graph_a_x_range_B_,{0})</definedName>
    <definedName name="graph_a_x_range_B_" localSheetId="1">INDEX(INDIRECT(VLOOKUP("range."&amp;Graphs!$B$1&amp;"."&amp;Graphs!$B$2,names!$A:$B,2,0)),0,VLOOKUP("col."&amp;Graphs!$B$1&amp;".B."&amp;Graphs!$B$4,names!$A:$B,2,0))</definedName>
    <definedName name="graph_a_x_title" localSheetId="1">OFFSET(Graphs!all_cols,MATCH(Graphs!$B$4,Graphs!all_cols,0)-1,1,1,1)</definedName>
    <definedName name="graph_a_y_range_A" localSheetId="1">IF(ISREF(Graphs!graph_a_y_range_A_),Graphs!graph_a_y_range_A_,{0})</definedName>
    <definedName name="graph_a_y_range_A_" localSheetId="1">INDEX(INDIRECT(VLOOKUP("range."&amp;Graphs!$B$1&amp;"."&amp;Graphs!$B$2,names!$A:$B,2,0)),0,VLOOKUP("col."&amp;Graphs!$B$1&amp;".A."&amp;Graphs!$D$4,names!$A:$B,2,0))</definedName>
    <definedName name="graph_a_y_range_B" localSheetId="1">IF(ISREF(Graphs!graph_a_y_range_B_),Graphs!graph_a_y_range_B_,{0})</definedName>
    <definedName name="graph_a_y_range_B_" localSheetId="1">INDEX(INDIRECT(VLOOKUP("range."&amp;Graphs!$B$1&amp;"."&amp;Graphs!$B$2,names!$A:$B,2,0)),0,VLOOKUP("col."&amp;Graphs!$B$1&amp;".B."&amp;Graphs!$D$4,names!$A:$B,2,0))</definedName>
    <definedName name="graph_a_y_title" localSheetId="1">OFFSET(Graphs!all_cols,MATCH(Graphs!$D$4,Graphs!all_cols,0)-1,1,1,1)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(Graph b)")</definedName>
    <definedName name="graph_b_x_range_A" localSheetId="1">IF(ISREF(Graphs!graph_b_x_range_A_),Graphs!graph_b_x_range_A_,{0})</definedName>
    <definedName name="graph_b_x_range_A_" localSheetId="1">INDEX(INDIRECT(VLOOKUP("range."&amp;Graphs!$B$1&amp;"."&amp;Graphs!$B$2,names!$A:$B,2,0)),0,VLOOKUP("col."&amp;Graphs!$B$1&amp;".A."&amp;Graphs!$B$5,names!$A:$B,2,0))</definedName>
    <definedName name="graph_b_x_range_B" localSheetId="1">IF(ISREF(Graphs!graph_b_x_range_B_),Graphs!graph_b_x_range_B_,{0})</definedName>
    <definedName name="graph_b_x_range_B_" localSheetId="1">INDEX(INDIRECT(VLOOKUP("range."&amp;Graphs!$B$1&amp;"."&amp;Graphs!$B$2,names!$A:$B,2,0)),0,VLOOKUP("col."&amp;Graphs!$B$1&amp;".B."&amp;Graphs!$B$5,names!$A:$B,2,0))</definedName>
    <definedName name="graph_b_x_title" localSheetId="1">OFFSET(Graphs!all_cols,MATCH(Graphs!$B$5,Graphs!all_cols,0)-1,1,1,1)</definedName>
    <definedName name="graph_b_y_range_A" localSheetId="1">IF(ISREF(Graphs!graph_b_y_range_A_),Graphs!graph_b_y_range_A_,{0})</definedName>
    <definedName name="graph_b_y_range_A_" localSheetId="1">INDEX(INDIRECT(VLOOKUP("range."&amp;Graphs!$B$1&amp;"."&amp;Graphs!$B$2,names!$A:$B,2,0)),0,VLOOKUP("col."&amp;Graphs!$B$1&amp;".A."&amp;Graphs!$D$5,names!$A:$B,2,0))</definedName>
    <definedName name="graph_b_y_range_B" localSheetId="1">IF(ISREF(Graphs!graph_b_y_range_B_),Graphs!graph_b_y_range_B_,{0})</definedName>
    <definedName name="graph_b_y_range_B_" localSheetId="1">INDEX(INDIRECT(VLOOKUP("range."&amp;Graphs!$B$1&amp;"."&amp;Graphs!$B$2,names!$A:$B,2,0)),0,VLOOKUP("col."&amp;Graphs!$B$1&amp;".B."&amp;Graphs!$D$5,names!$A:$B,2,0))</definedName>
    <definedName name="graph_b_y_title" localSheetId="1">OFFSET(Graphs!all_cols,MATCH(Graphs!$D$5,Graphs!all_cols,0)-1,1,1,1)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(Graph c)")</definedName>
    <definedName name="graph_c_x_range_A" localSheetId="1">IF(ISREF(Graphs!graph_c_x_range_A_),Graphs!graph_c_x_range_A_,{0})</definedName>
    <definedName name="graph_c_x_range_A_" localSheetId="1">INDEX(INDIRECT(VLOOKUP("range."&amp;Graphs!$B$1&amp;"."&amp;Graphs!$B$2,names!$A:$B,2,0)),0,VLOOKUP("col."&amp;Graphs!$B$1&amp;".A."&amp;Graphs!$B$6,names!$A:$B,2,0))</definedName>
    <definedName name="graph_c_x_range_B" localSheetId="1">IF(ISREF(Graphs!graph_c_x_range_B_),Graphs!graph_c_x_range_B_,{0})</definedName>
    <definedName name="graph_c_x_range_B_" localSheetId="1">INDEX(INDIRECT(VLOOKUP("range."&amp;Graphs!$B$1&amp;"."&amp;Graphs!$B$2,names!$A:$B,2,0)),0,VLOOKUP("col."&amp;Graphs!$B$1&amp;".B."&amp;Graphs!$B$6,names!$A:$B,2,0))</definedName>
    <definedName name="graph_c_x_title" localSheetId="1">OFFSET(Graphs!all_cols,MATCH(Graphs!$B$6,Graphs!all_cols,0)-1,1,1,1)</definedName>
    <definedName name="graph_c_y_range_A" localSheetId="1">IF(ISREF(Graphs!graph_c_y_range_A_),Graphs!graph_c_y_range_A_,{0})</definedName>
    <definedName name="graph_c_y_range_A_" localSheetId="1">INDEX(INDIRECT(VLOOKUP("range."&amp;Graphs!$B$1&amp;"."&amp;Graphs!$B$2,names!$A:$B,2,0)),0,VLOOKUP("col."&amp;Graphs!$B$1&amp;".A."&amp;Graphs!$D$6,names!$A:$B,2,0))</definedName>
    <definedName name="graph_c_y_range_B" localSheetId="1">IF(ISREF(Graphs!graph_c_y_range_B_),Graphs!graph_c_y_range_B_,{0})</definedName>
    <definedName name="graph_c_y_range_B_" localSheetId="1">INDEX(INDIRECT(VLOOKUP("range."&amp;Graphs!$B$1&amp;"."&amp;Graphs!$B$2,names!$A:$B,2,0)),0,VLOOKUP("col."&amp;Graphs!$B$1&amp;".B."&amp;Graphs!$D$6,names!$A:$B,2,0))</definedName>
    <definedName name="graph_c_y_title" localSheetId="1">OFFSET(Graphs!all_cols,MATCH(Graphs!$D$6,Graphs!all_cols,0)-1,1,1,1)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(Graph d)")</definedName>
    <definedName name="graph_d_x_range_A" localSheetId="1">IF(ISREF(Graphs!graph_d_x_range_A_),Graphs!graph_d_x_range_A_,{0})</definedName>
    <definedName name="graph_d_x_range_A_" localSheetId="1">INDEX(INDIRECT(VLOOKUP("range."&amp;Graphs!$B$1&amp;"."&amp;Graphs!$B$2,names!$A:$B,2,0)),0,VLOOKUP("col."&amp;Graphs!$B$1&amp;".A."&amp;Graphs!$B$7,names!$A:$B,2,0))</definedName>
    <definedName name="graph_d_x_range_B" localSheetId="1">IF(ISREF(Graphs!graph_d_x_range_B_),Graphs!graph_d_x_range_B_,{0})</definedName>
    <definedName name="graph_d_x_range_B_" localSheetId="1">INDEX(INDIRECT(VLOOKUP("range."&amp;Graphs!$B$1&amp;"."&amp;Graphs!$B$2,names!$A:$B,2,0)),0,VLOOKUP("col."&amp;Graphs!$B$1&amp;".B."&amp;Graphs!$B$7,names!$A:$B,2,0))</definedName>
    <definedName name="graph_d_x_title" localSheetId="1">OFFSET(Graphs!all_cols,MATCH(Graphs!$B$7,Graphs!all_cols,0)-1,1,1,1)</definedName>
    <definedName name="graph_d_y_range_A" localSheetId="1">IF(ISREF(Graphs!graph_d_y_range_A_),Graphs!graph_d_y_range_A_,{0})</definedName>
    <definedName name="graph_d_y_range_A_" localSheetId="1">INDEX(INDIRECT(VLOOKUP("range."&amp;Graphs!$B$1&amp;"."&amp;Graphs!$B$2,names!$A:$B,2,0)),0,VLOOKUP("col."&amp;Graphs!$B$1&amp;".A."&amp;Graphs!$D$7,names!$A:$B,2,0))</definedName>
    <definedName name="graph_d_y_range_B" localSheetId="1">IF(ISREF(Graphs!graph_d_y_range_B_),Graphs!graph_d_y_range_B_,{0})</definedName>
    <definedName name="graph_d_y_range_B_" localSheetId="1">INDEX(INDIRECT(VLOOKUP("range."&amp;Graphs!$B$1&amp;"."&amp;Graphs!$B$2,names!$A:$B,2,0)),0,VLOOKUP("col."&amp;Graphs!$B$1&amp;".B."&amp;Graphs!$D$7,names!$A:$B,2,0))</definedName>
    <definedName name="graph_d_y_title" localSheetId="1">OFFSET(Graphs!all_cols,MATCH(Graphs!$D$7,Graphs!all_cols,0)-1,1,1,1)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(Graph e)")</definedName>
    <definedName name="graph_e_x_range_A" localSheetId="1">IF(ISREF(Graphs!graph_e_x_range_A_),Graphs!graph_e_x_range_A_,{0})</definedName>
    <definedName name="graph_e_x_range_A_" localSheetId="1">INDEX(INDIRECT(VLOOKUP("range."&amp;Graphs!$B$1&amp;"."&amp;Graphs!$B$2,names!$A:$B,2,0)),0,VLOOKUP("col."&amp;Graphs!$B$1&amp;".A."&amp;Graphs!$B$8,names!$A:$B,2,0))</definedName>
    <definedName name="graph_e_x_range_B" localSheetId="1">IF(ISREF(Graphs!graph_e_x_range_B_),Graphs!graph_e_x_range_B_,{0})</definedName>
    <definedName name="graph_e_x_range_B_" localSheetId="1">INDEX(INDIRECT(VLOOKUP("range."&amp;Graphs!$B$1&amp;"."&amp;Graphs!$B$2,names!$A:$B,2,0)),0,VLOOKUP("col."&amp;Graphs!$B$1&amp;".B."&amp;Graphs!$B$8,names!$A:$B,2,0))</definedName>
    <definedName name="graph_e_x_title" localSheetId="1">OFFSET(Graphs!all_cols,MATCH(Graphs!$B$8,Graphs!all_cols,0)-1,1,1,1)</definedName>
    <definedName name="graph_e_y_range_A" localSheetId="1">IF(ISREF(Graphs!graph_e_y_range_A_),Graphs!graph_e_y_range_A_,{0})</definedName>
    <definedName name="graph_e_y_range_A_" localSheetId="1">INDEX(INDIRECT(VLOOKUP("range."&amp;Graphs!$B$1&amp;"."&amp;Graphs!$B$2,names!$A:$B,2,0)),0,VLOOKUP("col."&amp;Graphs!$B$1&amp;".A."&amp;Graphs!$D$8,names!$A:$B,2,0))</definedName>
    <definedName name="graph_e_y_range_B" localSheetId="1">IF(ISREF(Graphs!graph_e_y_range_B_),Graphs!graph_e_y_range_B_,{0})</definedName>
    <definedName name="graph_e_y_range_B_" localSheetId="1">INDEX(INDIRECT(VLOOKUP("range."&amp;Graphs!$B$1&amp;"."&amp;Graphs!$B$2,names!$A:$B,2,0)),0,VLOOKUP("col."&amp;Graphs!$B$1&amp;".B."&amp;Graphs!$D$8,names!$A:$B,2,0))</definedName>
    <definedName name="graph_e_y_title" localSheetId="1">OFFSET(Graphs!all_cols,MATCH(Graphs!$D$8,Graphs!all_cols,0)-1,1,1,1)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(Graph f)")</definedName>
    <definedName name="graph_f_x_range_A" localSheetId="1">IF(ISREF(Graphs!graph_f_x_range_A_),Graphs!graph_f_x_range_A_,{0})</definedName>
    <definedName name="graph_f_x_range_A_" localSheetId="1">INDEX(INDIRECT(VLOOKUP("range."&amp;Graphs!$B$1&amp;"."&amp;Graphs!$B$2,names!$A:$B,2,0)),0,VLOOKUP("col."&amp;Graphs!$B$1&amp;".A."&amp;Graphs!$B$9,names!$A:$B,2,0))</definedName>
    <definedName name="graph_f_x_range_B" localSheetId="1">IF(ISREF(Graphs!graph_f_x_range_B_),Graphs!graph_f_x_range_B_,{0})</definedName>
    <definedName name="graph_f_x_range_B_" localSheetId="1">INDEX(INDIRECT(VLOOKUP("range."&amp;Graphs!$B$1&amp;"."&amp;Graphs!$B$2,names!$A:$B,2,0)),0,VLOOKUP("col."&amp;Graphs!$B$1&amp;".B."&amp;Graphs!$B$9,names!$A:$B,2,0))</definedName>
    <definedName name="graph_f_x_title" localSheetId="1">OFFSET(Graphs!all_cols,MATCH(Graphs!$B$9,Graphs!all_cols,0)-1,1,1,1)</definedName>
    <definedName name="graph_f_y_range_A" localSheetId="1">IF(ISREF(Graphs!graph_f_y_range_A_),Graphs!graph_f_y_range_A_,{0})</definedName>
    <definedName name="graph_f_y_range_A_" localSheetId="1">INDEX(INDIRECT(VLOOKUP("range."&amp;Graphs!$B$1&amp;"."&amp;Graphs!$B$2,names!$A:$B,2,0)),0,VLOOKUP("col."&amp;Graphs!$B$1&amp;".A."&amp;Graphs!$D$9,names!$A:$B,2,0))</definedName>
    <definedName name="graph_f_y_range_B" localSheetId="1">IF(ISREF(Graphs!graph_f_y_range_B_),Graphs!graph_f_y_range_B_,{0})</definedName>
    <definedName name="graph_f_y_range_B_" localSheetId="1">INDEX(INDIRECT(VLOOKUP("range."&amp;Graphs!$B$1&amp;"."&amp;Graphs!$B$2,names!$A:$B,2,0)),0,VLOOKUP("col."&amp;Graphs!$B$1&amp;".B."&amp;Graphs!$D$9,names!$A:$B,2,0))</definedName>
    <definedName name="graph_f_y_title" localSheetId="1">OFFSET(Graphs!all_cols,MATCH(Graphs!$D$9,Graphs!all_cols,0)-1,1,1,1)</definedName>
  </definedNames>
  <calcPr calcId="181029"/>
</workbook>
</file>

<file path=xl/calcChain.xml><?xml version="1.0" encoding="utf-8"?>
<calcChain xmlns="http://schemas.openxmlformats.org/spreadsheetml/2006/main">
  <c r="H1" i="6" l="1"/>
  <c r="W1" i="6"/>
  <c r="AE1" i="7" l="1"/>
  <c r="I1" i="7"/>
  <c r="AS71" i="3" l="1"/>
  <c r="AT71" i="3" a="1"/>
  <c r="AT71" i="3" s="1"/>
  <c r="AS72" i="3"/>
  <c r="AS73" i="3"/>
  <c r="AS74" i="3"/>
  <c r="AS75" i="3"/>
  <c r="AS76" i="3"/>
  <c r="AS77" i="3"/>
  <c r="AT77" i="3" a="1"/>
  <c r="AT77" i="3" s="1"/>
  <c r="AV77" i="3"/>
  <c r="AS78" i="3"/>
  <c r="AS79" i="3"/>
  <c r="AS80" i="3"/>
  <c r="AS81" i="3"/>
  <c r="AS82" i="3"/>
  <c r="AV71" i="3"/>
  <c r="W16" i="6" l="1"/>
  <c r="X16" i="6"/>
  <c r="AC83" i="5"/>
  <c r="AD83" i="5"/>
  <c r="AC84" i="5"/>
  <c r="AD84" i="5"/>
  <c r="AC85" i="5"/>
  <c r="AD85" i="5"/>
  <c r="AC86" i="5"/>
  <c r="AD86" i="5"/>
  <c r="AC87" i="5"/>
  <c r="AD87" i="5"/>
  <c r="AC88" i="5"/>
  <c r="AD88" i="5"/>
  <c r="BX6" i="7" l="1"/>
  <c r="BY6" i="7"/>
  <c r="BZ6" i="7"/>
  <c r="CA6" i="7"/>
  <c r="CB6" i="7"/>
  <c r="CC6" i="7"/>
  <c r="CD6" i="7"/>
  <c r="CE6" i="7"/>
  <c r="CF6" i="7"/>
  <c r="CG6" i="7"/>
  <c r="CH6" i="7"/>
  <c r="CI6" i="7"/>
  <c r="CJ6" i="7"/>
  <c r="BX7" i="7"/>
  <c r="BY7" i="7"/>
  <c r="BZ7" i="7"/>
  <c r="CA7" i="7"/>
  <c r="CB7" i="7"/>
  <c r="CC7" i="7"/>
  <c r="CD7" i="7"/>
  <c r="CE7" i="7"/>
  <c r="CF7" i="7"/>
  <c r="CG7" i="7"/>
  <c r="CH7" i="7"/>
  <c r="CI7" i="7"/>
  <c r="CJ7" i="7"/>
  <c r="BX8" i="7"/>
  <c r="BY8" i="7"/>
  <c r="BZ8" i="7"/>
  <c r="CA8" i="7"/>
  <c r="CB8" i="7"/>
  <c r="CC8" i="7"/>
  <c r="CD8" i="7"/>
  <c r="CE8" i="7"/>
  <c r="CF8" i="7"/>
  <c r="CG8" i="7"/>
  <c r="CH8" i="7"/>
  <c r="CI8" i="7"/>
  <c r="CJ8" i="7"/>
  <c r="BX9" i="7"/>
  <c r="BY9" i="7"/>
  <c r="BZ9" i="7"/>
  <c r="CA9" i="7"/>
  <c r="CB9" i="7"/>
  <c r="CC9" i="7"/>
  <c r="CD9" i="7"/>
  <c r="CE9" i="7"/>
  <c r="CF9" i="7"/>
  <c r="CG9" i="7"/>
  <c r="CH9" i="7"/>
  <c r="CI9" i="7"/>
  <c r="CJ9" i="7"/>
  <c r="BX10" i="7"/>
  <c r="BY10" i="7"/>
  <c r="BZ10" i="7"/>
  <c r="CA10" i="7"/>
  <c r="CB10" i="7"/>
  <c r="CC10" i="7"/>
  <c r="CD10" i="7"/>
  <c r="CE10" i="7"/>
  <c r="CF10" i="7"/>
  <c r="CG10" i="7"/>
  <c r="CH10" i="7"/>
  <c r="CI10" i="7"/>
  <c r="CJ10" i="7"/>
  <c r="BX11" i="7"/>
  <c r="BY11" i="7"/>
  <c r="BZ11" i="7"/>
  <c r="CA11" i="7"/>
  <c r="CB11" i="7"/>
  <c r="CC11" i="7"/>
  <c r="CD11" i="7"/>
  <c r="CE11" i="7"/>
  <c r="CF11" i="7"/>
  <c r="CG11" i="7"/>
  <c r="CH11" i="7"/>
  <c r="CI11" i="7"/>
  <c r="CJ11" i="7"/>
  <c r="BX12" i="7"/>
  <c r="BY12" i="7"/>
  <c r="BZ12" i="7"/>
  <c r="CA12" i="7"/>
  <c r="CB12" i="7"/>
  <c r="CC12" i="7"/>
  <c r="CD12" i="7"/>
  <c r="CE12" i="7"/>
  <c r="CF12" i="7"/>
  <c r="CG12" i="7"/>
  <c r="CH12" i="7"/>
  <c r="CI12" i="7"/>
  <c r="CJ12" i="7"/>
  <c r="BX13" i="7"/>
  <c r="BY13" i="7"/>
  <c r="BZ13" i="7"/>
  <c r="CA13" i="7"/>
  <c r="CB13" i="7"/>
  <c r="CC13" i="7"/>
  <c r="CD13" i="7"/>
  <c r="CE13" i="7"/>
  <c r="CF13" i="7"/>
  <c r="CG13" i="7"/>
  <c r="CH13" i="7"/>
  <c r="CI13" i="7"/>
  <c r="CJ13" i="7"/>
  <c r="BX14" i="7"/>
  <c r="BY14" i="7"/>
  <c r="BZ14" i="7"/>
  <c r="CA14" i="7"/>
  <c r="CB14" i="7"/>
  <c r="CC14" i="7"/>
  <c r="CD14" i="7"/>
  <c r="CE14" i="7"/>
  <c r="CF14" i="7"/>
  <c r="CG14" i="7"/>
  <c r="CH14" i="7"/>
  <c r="CI14" i="7"/>
  <c r="CJ14" i="7"/>
  <c r="BX15" i="7"/>
  <c r="BY15" i="7"/>
  <c r="BZ15" i="7"/>
  <c r="CA15" i="7"/>
  <c r="CB15" i="7"/>
  <c r="CC15" i="7"/>
  <c r="CD15" i="7"/>
  <c r="CE15" i="7"/>
  <c r="CF15" i="7"/>
  <c r="CG15" i="7"/>
  <c r="CH15" i="7"/>
  <c r="CI15" i="7"/>
  <c r="CJ15" i="7"/>
  <c r="BX16" i="7"/>
  <c r="BY16" i="7"/>
  <c r="BZ16" i="7"/>
  <c r="CA16" i="7"/>
  <c r="CB16" i="7"/>
  <c r="CC16" i="7"/>
  <c r="CD16" i="7"/>
  <c r="CE16" i="7"/>
  <c r="CF16" i="7"/>
  <c r="CG16" i="7"/>
  <c r="CH16" i="7"/>
  <c r="CI16" i="7"/>
  <c r="CJ16" i="7"/>
  <c r="BX17" i="7"/>
  <c r="BY17" i="7"/>
  <c r="BZ17" i="7"/>
  <c r="CA17" i="7"/>
  <c r="CB17" i="7"/>
  <c r="CC17" i="7"/>
  <c r="CD17" i="7"/>
  <c r="CE17" i="7"/>
  <c r="CF17" i="7"/>
  <c r="CG17" i="7"/>
  <c r="CH17" i="7"/>
  <c r="CI17" i="7"/>
  <c r="CJ17" i="7"/>
  <c r="BX18" i="7"/>
  <c r="BY18" i="7"/>
  <c r="BZ18" i="7"/>
  <c r="CA18" i="7"/>
  <c r="CB18" i="7"/>
  <c r="CC18" i="7"/>
  <c r="CD18" i="7"/>
  <c r="CE18" i="7"/>
  <c r="CF18" i="7"/>
  <c r="CG18" i="7"/>
  <c r="CH18" i="7"/>
  <c r="CI18" i="7"/>
  <c r="CJ18" i="7"/>
  <c r="BX19" i="7"/>
  <c r="BY19" i="7"/>
  <c r="BZ19" i="7"/>
  <c r="CA19" i="7"/>
  <c r="CB19" i="7"/>
  <c r="CC19" i="7"/>
  <c r="CD19" i="7"/>
  <c r="CE19" i="7"/>
  <c r="CF19" i="7"/>
  <c r="CG19" i="7"/>
  <c r="CH19" i="7"/>
  <c r="CI19" i="7"/>
  <c r="CJ19" i="7"/>
  <c r="BX20" i="7"/>
  <c r="BY20" i="7"/>
  <c r="BZ20" i="7"/>
  <c r="CA20" i="7"/>
  <c r="CB20" i="7"/>
  <c r="CC20" i="7"/>
  <c r="CD20" i="7"/>
  <c r="CE20" i="7"/>
  <c r="CF20" i="7"/>
  <c r="CG20" i="7"/>
  <c r="CH20" i="7"/>
  <c r="CI20" i="7"/>
  <c r="CJ20" i="7"/>
  <c r="BX21" i="7"/>
  <c r="BY21" i="7"/>
  <c r="BZ21" i="7"/>
  <c r="CA21" i="7"/>
  <c r="CB21" i="7"/>
  <c r="CC21" i="7"/>
  <c r="CD21" i="7"/>
  <c r="CE21" i="7"/>
  <c r="CF21" i="7"/>
  <c r="CG21" i="7"/>
  <c r="CH21" i="7"/>
  <c r="CI21" i="7"/>
  <c r="CJ21" i="7"/>
  <c r="BX22" i="7"/>
  <c r="BY22" i="7"/>
  <c r="BZ22" i="7"/>
  <c r="CA22" i="7"/>
  <c r="CB22" i="7"/>
  <c r="CC22" i="7"/>
  <c r="CD22" i="7"/>
  <c r="CE22" i="7"/>
  <c r="CF22" i="7"/>
  <c r="CG22" i="7"/>
  <c r="CH22" i="7"/>
  <c r="CI22" i="7"/>
  <c r="CJ22" i="7"/>
  <c r="BX23" i="7"/>
  <c r="BY23" i="7"/>
  <c r="BZ23" i="7"/>
  <c r="CA23" i="7"/>
  <c r="CB23" i="7"/>
  <c r="CC23" i="7"/>
  <c r="CD23" i="7"/>
  <c r="CE23" i="7"/>
  <c r="CF23" i="7"/>
  <c r="CG23" i="7"/>
  <c r="CH23" i="7"/>
  <c r="CI23" i="7"/>
  <c r="CJ23" i="7"/>
  <c r="BX24" i="7"/>
  <c r="BY24" i="7"/>
  <c r="BZ24" i="7"/>
  <c r="CA24" i="7"/>
  <c r="CB24" i="7"/>
  <c r="CC24" i="7"/>
  <c r="CD24" i="7"/>
  <c r="CE24" i="7"/>
  <c r="CF24" i="7"/>
  <c r="CG24" i="7"/>
  <c r="CH24" i="7"/>
  <c r="CI24" i="7"/>
  <c r="CJ24" i="7"/>
  <c r="BX25" i="7"/>
  <c r="BY25" i="7"/>
  <c r="BZ25" i="7"/>
  <c r="CA25" i="7"/>
  <c r="CB25" i="7"/>
  <c r="CC25" i="7"/>
  <c r="CD25" i="7"/>
  <c r="CE25" i="7"/>
  <c r="CF25" i="7"/>
  <c r="CG25" i="7"/>
  <c r="CH25" i="7"/>
  <c r="CI25" i="7"/>
  <c r="CJ25" i="7"/>
  <c r="BX26" i="7"/>
  <c r="BY26" i="7"/>
  <c r="BZ26" i="7"/>
  <c r="CA26" i="7"/>
  <c r="CB26" i="7"/>
  <c r="CC26" i="7"/>
  <c r="CD26" i="7"/>
  <c r="CE26" i="7"/>
  <c r="CF26" i="7"/>
  <c r="CG26" i="7"/>
  <c r="CH26" i="7"/>
  <c r="CI26" i="7"/>
  <c r="CJ26" i="7"/>
  <c r="BX27" i="7"/>
  <c r="BY27" i="7"/>
  <c r="BZ27" i="7"/>
  <c r="CA27" i="7"/>
  <c r="CB27" i="7"/>
  <c r="CC27" i="7"/>
  <c r="CD27" i="7"/>
  <c r="CE27" i="7"/>
  <c r="CF27" i="7"/>
  <c r="CG27" i="7"/>
  <c r="CH27" i="7"/>
  <c r="CI27" i="7"/>
  <c r="CJ27" i="7"/>
  <c r="BX28" i="7"/>
  <c r="BY28" i="7"/>
  <c r="BZ28" i="7"/>
  <c r="CA28" i="7"/>
  <c r="CB28" i="7"/>
  <c r="CC28" i="7"/>
  <c r="CD28" i="7"/>
  <c r="CE28" i="7"/>
  <c r="CF28" i="7"/>
  <c r="CG28" i="7"/>
  <c r="CH28" i="7"/>
  <c r="CI28" i="7"/>
  <c r="CJ28" i="7"/>
  <c r="BX29" i="7"/>
  <c r="BY29" i="7"/>
  <c r="BZ29" i="7"/>
  <c r="CA29" i="7"/>
  <c r="CB29" i="7"/>
  <c r="CC29" i="7"/>
  <c r="CD29" i="7"/>
  <c r="CE29" i="7"/>
  <c r="CF29" i="7"/>
  <c r="CG29" i="7"/>
  <c r="CH29" i="7"/>
  <c r="CI29" i="7"/>
  <c r="CJ29" i="7"/>
  <c r="BX30" i="7"/>
  <c r="BY30" i="7"/>
  <c r="BZ30" i="7"/>
  <c r="CA30" i="7"/>
  <c r="CB30" i="7"/>
  <c r="CC30" i="7"/>
  <c r="CD30" i="7"/>
  <c r="CE30" i="7"/>
  <c r="CF30" i="7"/>
  <c r="CG30" i="7"/>
  <c r="CH30" i="7"/>
  <c r="CI30" i="7"/>
  <c r="CJ30" i="7"/>
  <c r="BX31" i="7"/>
  <c r="BY31" i="7"/>
  <c r="BZ31" i="7"/>
  <c r="CA31" i="7"/>
  <c r="CB31" i="7"/>
  <c r="CC31" i="7"/>
  <c r="CD31" i="7"/>
  <c r="CE31" i="7"/>
  <c r="CF31" i="7"/>
  <c r="CG31" i="7"/>
  <c r="CH31" i="7"/>
  <c r="CI31" i="7"/>
  <c r="CJ31" i="7"/>
  <c r="BX32" i="7"/>
  <c r="BY32" i="7"/>
  <c r="BZ32" i="7"/>
  <c r="CA32" i="7"/>
  <c r="CB32" i="7"/>
  <c r="CC32" i="7"/>
  <c r="CD32" i="7"/>
  <c r="CE32" i="7"/>
  <c r="CF32" i="7"/>
  <c r="CG32" i="7"/>
  <c r="CH32" i="7"/>
  <c r="CI32" i="7"/>
  <c r="CJ32" i="7"/>
  <c r="BX33" i="7"/>
  <c r="BY33" i="7"/>
  <c r="BZ33" i="7"/>
  <c r="CA33" i="7"/>
  <c r="CB33" i="7"/>
  <c r="CC33" i="7"/>
  <c r="CD33" i="7"/>
  <c r="CE33" i="7"/>
  <c r="CF33" i="7"/>
  <c r="CG33" i="7"/>
  <c r="CH33" i="7"/>
  <c r="CI33" i="7"/>
  <c r="CJ33" i="7"/>
  <c r="BX34" i="7"/>
  <c r="BY34" i="7"/>
  <c r="BZ34" i="7"/>
  <c r="CA34" i="7"/>
  <c r="CB34" i="7"/>
  <c r="CC34" i="7"/>
  <c r="CD34" i="7"/>
  <c r="CE34" i="7"/>
  <c r="CF34" i="7"/>
  <c r="CG34" i="7"/>
  <c r="CH34" i="7"/>
  <c r="CI34" i="7"/>
  <c r="CJ34" i="7"/>
  <c r="BX35" i="7"/>
  <c r="BY35" i="7"/>
  <c r="BZ35" i="7"/>
  <c r="CA35" i="7"/>
  <c r="CB35" i="7"/>
  <c r="CC35" i="7"/>
  <c r="CD35" i="7"/>
  <c r="CE35" i="7"/>
  <c r="CF35" i="7"/>
  <c r="CG35" i="7"/>
  <c r="CH35" i="7"/>
  <c r="CI35" i="7"/>
  <c r="CJ35" i="7"/>
  <c r="BX36" i="7"/>
  <c r="BY36" i="7"/>
  <c r="BZ36" i="7"/>
  <c r="CA36" i="7"/>
  <c r="CB36" i="7"/>
  <c r="CC36" i="7"/>
  <c r="CD36" i="7"/>
  <c r="CE36" i="7"/>
  <c r="CF36" i="7"/>
  <c r="CG36" i="7"/>
  <c r="CH36" i="7"/>
  <c r="CI36" i="7"/>
  <c r="CJ36" i="7"/>
  <c r="BX37" i="7"/>
  <c r="BY37" i="7"/>
  <c r="BZ37" i="7"/>
  <c r="CA37" i="7"/>
  <c r="CB37" i="7"/>
  <c r="CC37" i="7"/>
  <c r="CD37" i="7"/>
  <c r="CE37" i="7"/>
  <c r="CF37" i="7"/>
  <c r="CG37" i="7"/>
  <c r="CH37" i="7"/>
  <c r="CI37" i="7"/>
  <c r="CJ37" i="7"/>
  <c r="BX38" i="7"/>
  <c r="BY38" i="7"/>
  <c r="BZ38" i="7"/>
  <c r="CA38" i="7"/>
  <c r="CB38" i="7"/>
  <c r="CC38" i="7"/>
  <c r="CD38" i="7"/>
  <c r="CE38" i="7"/>
  <c r="CF38" i="7"/>
  <c r="CG38" i="7"/>
  <c r="CH38" i="7"/>
  <c r="CI38" i="7"/>
  <c r="CJ38" i="7"/>
  <c r="BX39" i="7"/>
  <c r="BY39" i="7"/>
  <c r="BZ39" i="7"/>
  <c r="CA39" i="7"/>
  <c r="CB39" i="7"/>
  <c r="CC39" i="7"/>
  <c r="CD39" i="7"/>
  <c r="CE39" i="7"/>
  <c r="CF39" i="7"/>
  <c r="CG39" i="7"/>
  <c r="CH39" i="7"/>
  <c r="CI39" i="7"/>
  <c r="CJ39" i="7"/>
  <c r="BX40" i="7"/>
  <c r="BY40" i="7"/>
  <c r="BZ40" i="7"/>
  <c r="CA40" i="7"/>
  <c r="CB40" i="7"/>
  <c r="CC40" i="7"/>
  <c r="CD40" i="7"/>
  <c r="CE40" i="7"/>
  <c r="CF40" i="7"/>
  <c r="CG40" i="7"/>
  <c r="CH40" i="7"/>
  <c r="CI40" i="7"/>
  <c r="CJ40" i="7"/>
  <c r="BX41" i="7"/>
  <c r="BY41" i="7"/>
  <c r="BZ41" i="7"/>
  <c r="CA41" i="7"/>
  <c r="CB41" i="7"/>
  <c r="CC41" i="7"/>
  <c r="CD41" i="7"/>
  <c r="CE41" i="7"/>
  <c r="CF41" i="7"/>
  <c r="CG41" i="7"/>
  <c r="CH41" i="7"/>
  <c r="CI41" i="7"/>
  <c r="CJ41" i="7"/>
  <c r="BX42" i="7"/>
  <c r="BY42" i="7"/>
  <c r="BZ42" i="7"/>
  <c r="CA42" i="7"/>
  <c r="CB42" i="7"/>
  <c r="CC42" i="7"/>
  <c r="CD42" i="7"/>
  <c r="CE42" i="7"/>
  <c r="CF42" i="7"/>
  <c r="CG42" i="7"/>
  <c r="CH42" i="7"/>
  <c r="CI42" i="7"/>
  <c r="CJ42" i="7"/>
  <c r="BX43" i="7"/>
  <c r="BY43" i="7"/>
  <c r="BZ43" i="7"/>
  <c r="CA43" i="7"/>
  <c r="CB43" i="7"/>
  <c r="CC43" i="7"/>
  <c r="CD43" i="7"/>
  <c r="CE43" i="7"/>
  <c r="CF43" i="7"/>
  <c r="CG43" i="7"/>
  <c r="CH43" i="7"/>
  <c r="CI43" i="7"/>
  <c r="CJ43" i="7"/>
  <c r="BX44" i="7"/>
  <c r="BY44" i="7"/>
  <c r="BZ44" i="7"/>
  <c r="CA44" i="7"/>
  <c r="CB44" i="7"/>
  <c r="CC44" i="7"/>
  <c r="CD44" i="7"/>
  <c r="CE44" i="7"/>
  <c r="CF44" i="7"/>
  <c r="CG44" i="7"/>
  <c r="CH44" i="7"/>
  <c r="CI44" i="7"/>
  <c r="CJ44" i="7"/>
  <c r="BX45" i="7"/>
  <c r="BY45" i="7"/>
  <c r="BZ45" i="7"/>
  <c r="CA45" i="7"/>
  <c r="CB45" i="7"/>
  <c r="CC45" i="7"/>
  <c r="CD45" i="7"/>
  <c r="CE45" i="7"/>
  <c r="CF45" i="7"/>
  <c r="CG45" i="7"/>
  <c r="CH45" i="7"/>
  <c r="CI45" i="7"/>
  <c r="CJ45" i="7"/>
  <c r="BX46" i="7"/>
  <c r="BY46" i="7"/>
  <c r="BZ46" i="7"/>
  <c r="CA46" i="7"/>
  <c r="CB46" i="7"/>
  <c r="CC46" i="7"/>
  <c r="CD46" i="7"/>
  <c r="CE46" i="7"/>
  <c r="CF46" i="7"/>
  <c r="CG46" i="7"/>
  <c r="CH46" i="7"/>
  <c r="CI46" i="7"/>
  <c r="CJ46" i="7"/>
  <c r="BX47" i="7"/>
  <c r="BY47" i="7"/>
  <c r="BZ47" i="7"/>
  <c r="CA47" i="7"/>
  <c r="CB47" i="7"/>
  <c r="CC47" i="7"/>
  <c r="CD47" i="7"/>
  <c r="CE47" i="7"/>
  <c r="CF47" i="7"/>
  <c r="CG47" i="7"/>
  <c r="CH47" i="7"/>
  <c r="CI47" i="7"/>
  <c r="CJ47" i="7"/>
  <c r="BX48" i="7"/>
  <c r="BY48" i="7"/>
  <c r="BZ48" i="7"/>
  <c r="CA48" i="7"/>
  <c r="CB48" i="7"/>
  <c r="CC48" i="7"/>
  <c r="CD48" i="7"/>
  <c r="CE48" i="7"/>
  <c r="CF48" i="7"/>
  <c r="CG48" i="7"/>
  <c r="CH48" i="7"/>
  <c r="CI48" i="7"/>
  <c r="CJ48" i="7"/>
  <c r="BX49" i="7"/>
  <c r="BY49" i="7"/>
  <c r="BZ49" i="7"/>
  <c r="CA49" i="7"/>
  <c r="CB49" i="7"/>
  <c r="CC49" i="7"/>
  <c r="CD49" i="7"/>
  <c r="CE49" i="7"/>
  <c r="CF49" i="7"/>
  <c r="CG49" i="7"/>
  <c r="CH49" i="7"/>
  <c r="CI49" i="7"/>
  <c r="CJ49" i="7"/>
  <c r="BX50" i="7"/>
  <c r="BY50" i="7"/>
  <c r="BZ50" i="7"/>
  <c r="CA50" i="7"/>
  <c r="CB50" i="7"/>
  <c r="CC50" i="7"/>
  <c r="CD50" i="7"/>
  <c r="CE50" i="7"/>
  <c r="CF50" i="7"/>
  <c r="CG50" i="7"/>
  <c r="CH50" i="7"/>
  <c r="CI50" i="7"/>
  <c r="CJ50" i="7"/>
  <c r="BX51" i="7"/>
  <c r="BY51" i="7"/>
  <c r="BZ51" i="7"/>
  <c r="CA51" i="7"/>
  <c r="CB51" i="7"/>
  <c r="CC51" i="7"/>
  <c r="CD51" i="7"/>
  <c r="CE51" i="7"/>
  <c r="CF51" i="7"/>
  <c r="CG51" i="7"/>
  <c r="CH51" i="7"/>
  <c r="CI51" i="7"/>
  <c r="CJ51" i="7"/>
  <c r="BX52" i="7"/>
  <c r="BY52" i="7"/>
  <c r="BZ52" i="7"/>
  <c r="CA52" i="7"/>
  <c r="CB52" i="7"/>
  <c r="CC52" i="7"/>
  <c r="CD52" i="7"/>
  <c r="CE52" i="7"/>
  <c r="CF52" i="7"/>
  <c r="CG52" i="7"/>
  <c r="CH52" i="7"/>
  <c r="CI52" i="7"/>
  <c r="CJ52" i="7"/>
  <c r="BX53" i="7"/>
  <c r="BY53" i="7"/>
  <c r="BZ53" i="7"/>
  <c r="CA53" i="7"/>
  <c r="CB53" i="7"/>
  <c r="CC53" i="7"/>
  <c r="CD53" i="7"/>
  <c r="CE53" i="7"/>
  <c r="CF53" i="7"/>
  <c r="CG53" i="7"/>
  <c r="CH53" i="7"/>
  <c r="CI53" i="7"/>
  <c r="CJ53" i="7"/>
  <c r="BX54" i="7"/>
  <c r="BY54" i="7"/>
  <c r="BZ54" i="7"/>
  <c r="CA54" i="7"/>
  <c r="CB54" i="7"/>
  <c r="CC54" i="7"/>
  <c r="CD54" i="7"/>
  <c r="CE54" i="7"/>
  <c r="CF54" i="7"/>
  <c r="CG54" i="7"/>
  <c r="CH54" i="7"/>
  <c r="CI54" i="7"/>
  <c r="CJ54" i="7"/>
  <c r="BX55" i="7"/>
  <c r="BY55" i="7"/>
  <c r="BZ55" i="7"/>
  <c r="CA55" i="7"/>
  <c r="CB55" i="7"/>
  <c r="CC55" i="7"/>
  <c r="CD55" i="7"/>
  <c r="CE55" i="7"/>
  <c r="CF55" i="7"/>
  <c r="CG55" i="7"/>
  <c r="CH55" i="7"/>
  <c r="CI55" i="7"/>
  <c r="CJ55" i="7"/>
  <c r="BX56" i="7"/>
  <c r="BY56" i="7"/>
  <c r="BZ56" i="7"/>
  <c r="CA56" i="7"/>
  <c r="CB56" i="7"/>
  <c r="CC56" i="7"/>
  <c r="CD56" i="7"/>
  <c r="CE56" i="7"/>
  <c r="CF56" i="7"/>
  <c r="CG56" i="7"/>
  <c r="CH56" i="7"/>
  <c r="CI56" i="7"/>
  <c r="CJ56" i="7"/>
  <c r="BX57" i="7"/>
  <c r="BY57" i="7"/>
  <c r="BZ57" i="7"/>
  <c r="CA57" i="7"/>
  <c r="CB57" i="7"/>
  <c r="CC57" i="7"/>
  <c r="CD57" i="7"/>
  <c r="CE57" i="7"/>
  <c r="CF57" i="7"/>
  <c r="CG57" i="7"/>
  <c r="CH57" i="7"/>
  <c r="CI57" i="7"/>
  <c r="CJ57" i="7"/>
  <c r="BX58" i="7"/>
  <c r="BY58" i="7"/>
  <c r="BZ58" i="7"/>
  <c r="CA58" i="7"/>
  <c r="CB58" i="7"/>
  <c r="CC58" i="7"/>
  <c r="CD58" i="7"/>
  <c r="CE58" i="7"/>
  <c r="CF58" i="7"/>
  <c r="CG58" i="7"/>
  <c r="CH58" i="7"/>
  <c r="CI58" i="7"/>
  <c r="CJ58" i="7"/>
  <c r="BX59" i="7"/>
  <c r="BY59" i="7"/>
  <c r="BZ59" i="7"/>
  <c r="CA59" i="7"/>
  <c r="CB59" i="7"/>
  <c r="CC59" i="7"/>
  <c r="CD59" i="7"/>
  <c r="CE59" i="7"/>
  <c r="CF59" i="7"/>
  <c r="CG59" i="7"/>
  <c r="CH59" i="7"/>
  <c r="CI59" i="7"/>
  <c r="CJ59" i="7"/>
  <c r="BX60" i="7"/>
  <c r="BY60" i="7"/>
  <c r="BZ60" i="7"/>
  <c r="CA60" i="7"/>
  <c r="CB60" i="7"/>
  <c r="CC60" i="7"/>
  <c r="CD60" i="7"/>
  <c r="CE60" i="7"/>
  <c r="CF60" i="7"/>
  <c r="CG60" i="7"/>
  <c r="CH60" i="7"/>
  <c r="CI60" i="7"/>
  <c r="CJ60" i="7"/>
  <c r="BX61" i="7"/>
  <c r="BY61" i="7"/>
  <c r="BZ61" i="7"/>
  <c r="CA61" i="7"/>
  <c r="CB61" i="7"/>
  <c r="CC61" i="7"/>
  <c r="CD61" i="7"/>
  <c r="CE61" i="7"/>
  <c r="CF61" i="7"/>
  <c r="CG61" i="7"/>
  <c r="CH61" i="7"/>
  <c r="CI61" i="7"/>
  <c r="CJ61" i="7"/>
  <c r="BX62" i="7"/>
  <c r="BY62" i="7"/>
  <c r="BZ62" i="7"/>
  <c r="CA62" i="7"/>
  <c r="CB62" i="7"/>
  <c r="CC62" i="7"/>
  <c r="CD62" i="7"/>
  <c r="CE62" i="7"/>
  <c r="CF62" i="7"/>
  <c r="CG62" i="7"/>
  <c r="CH62" i="7"/>
  <c r="CI62" i="7"/>
  <c r="CJ62" i="7"/>
  <c r="BX63" i="7"/>
  <c r="BY63" i="7"/>
  <c r="BZ63" i="7"/>
  <c r="CA63" i="7"/>
  <c r="CB63" i="7"/>
  <c r="CC63" i="7"/>
  <c r="CD63" i="7"/>
  <c r="CE63" i="7"/>
  <c r="CF63" i="7"/>
  <c r="CG63" i="7"/>
  <c r="CH63" i="7"/>
  <c r="CI63" i="7"/>
  <c r="CJ63" i="7"/>
  <c r="BX64" i="7"/>
  <c r="BY64" i="7"/>
  <c r="BZ64" i="7"/>
  <c r="CA64" i="7"/>
  <c r="CB64" i="7"/>
  <c r="CC64" i="7"/>
  <c r="CD64" i="7"/>
  <c r="CE64" i="7"/>
  <c r="CF64" i="7"/>
  <c r="CG64" i="7"/>
  <c r="CH64" i="7"/>
  <c r="CI64" i="7"/>
  <c r="CJ64" i="7"/>
  <c r="BX65" i="7"/>
  <c r="BY65" i="7"/>
  <c r="BZ65" i="7"/>
  <c r="CA65" i="7"/>
  <c r="CB65" i="7"/>
  <c r="CC65" i="7"/>
  <c r="CD65" i="7"/>
  <c r="CE65" i="7"/>
  <c r="CF65" i="7"/>
  <c r="CG65" i="7"/>
  <c r="CH65" i="7"/>
  <c r="CI65" i="7"/>
  <c r="CJ65" i="7"/>
  <c r="BX66" i="7"/>
  <c r="BY66" i="7"/>
  <c r="BZ66" i="7"/>
  <c r="CA66" i="7"/>
  <c r="CB66" i="7"/>
  <c r="CC66" i="7"/>
  <c r="CD66" i="7"/>
  <c r="CE66" i="7"/>
  <c r="CF66" i="7"/>
  <c r="CG66" i="7"/>
  <c r="CH66" i="7"/>
  <c r="CI66" i="7"/>
  <c r="CJ66" i="7"/>
  <c r="BX67" i="7"/>
  <c r="BY67" i="7"/>
  <c r="BZ67" i="7"/>
  <c r="CA67" i="7"/>
  <c r="CB67" i="7"/>
  <c r="CC67" i="7"/>
  <c r="CD67" i="7"/>
  <c r="CE67" i="7"/>
  <c r="CF67" i="7"/>
  <c r="CG67" i="7"/>
  <c r="CH67" i="7"/>
  <c r="CI67" i="7"/>
  <c r="CJ67" i="7"/>
  <c r="BX68" i="7"/>
  <c r="BY68" i="7"/>
  <c r="BZ68" i="7"/>
  <c r="CA68" i="7"/>
  <c r="CB68" i="7"/>
  <c r="CC68" i="7"/>
  <c r="CD68" i="7"/>
  <c r="CE68" i="7"/>
  <c r="CF68" i="7"/>
  <c r="CG68" i="7"/>
  <c r="CH68" i="7"/>
  <c r="CI68" i="7"/>
  <c r="CJ68" i="7"/>
  <c r="BX69" i="7"/>
  <c r="BY69" i="7"/>
  <c r="BZ69" i="7"/>
  <c r="CA69" i="7"/>
  <c r="CB69" i="7"/>
  <c r="CC69" i="7"/>
  <c r="CD69" i="7"/>
  <c r="CE69" i="7"/>
  <c r="CF69" i="7"/>
  <c r="CG69" i="7"/>
  <c r="CH69" i="7"/>
  <c r="CI69" i="7"/>
  <c r="CJ69" i="7"/>
  <c r="BX70" i="7"/>
  <c r="BY70" i="7"/>
  <c r="BZ70" i="7"/>
  <c r="CA70" i="7"/>
  <c r="CB70" i="7"/>
  <c r="CC70" i="7"/>
  <c r="CD70" i="7"/>
  <c r="CE70" i="7"/>
  <c r="CF70" i="7"/>
  <c r="CG70" i="7"/>
  <c r="CH70" i="7"/>
  <c r="CI70" i="7"/>
  <c r="CJ70" i="7"/>
  <c r="BX71" i="7"/>
  <c r="BY71" i="7"/>
  <c r="BZ71" i="7"/>
  <c r="CA71" i="7"/>
  <c r="CB71" i="7"/>
  <c r="CC71" i="7"/>
  <c r="CD71" i="7"/>
  <c r="CE71" i="7"/>
  <c r="CF71" i="7"/>
  <c r="CG71" i="7"/>
  <c r="CH71" i="7"/>
  <c r="CI71" i="7"/>
  <c r="CJ71" i="7"/>
  <c r="BX72" i="7"/>
  <c r="BY72" i="7"/>
  <c r="BZ72" i="7"/>
  <c r="CA72" i="7"/>
  <c r="CB72" i="7"/>
  <c r="CC72" i="7"/>
  <c r="CD72" i="7"/>
  <c r="CE72" i="7"/>
  <c r="CF72" i="7"/>
  <c r="CG72" i="7"/>
  <c r="CH72" i="7"/>
  <c r="CI72" i="7"/>
  <c r="CJ72" i="7"/>
  <c r="BX73" i="7"/>
  <c r="BY73" i="7"/>
  <c r="BZ73" i="7"/>
  <c r="CA73" i="7"/>
  <c r="CB73" i="7"/>
  <c r="CC73" i="7"/>
  <c r="CD73" i="7"/>
  <c r="CE73" i="7"/>
  <c r="CF73" i="7"/>
  <c r="CG73" i="7"/>
  <c r="CH73" i="7"/>
  <c r="CI73" i="7"/>
  <c r="CJ73" i="7"/>
  <c r="BX74" i="7"/>
  <c r="BY74" i="7"/>
  <c r="BZ74" i="7"/>
  <c r="CA74" i="7"/>
  <c r="CB74" i="7"/>
  <c r="CC74" i="7"/>
  <c r="CD74" i="7"/>
  <c r="CE74" i="7"/>
  <c r="CF74" i="7"/>
  <c r="CG74" i="7"/>
  <c r="CH74" i="7"/>
  <c r="CI74" i="7"/>
  <c r="CJ74" i="7"/>
  <c r="BX75" i="7"/>
  <c r="BY75" i="7"/>
  <c r="BZ75" i="7"/>
  <c r="CA75" i="7"/>
  <c r="CB75" i="7"/>
  <c r="CC75" i="7"/>
  <c r="CD75" i="7"/>
  <c r="CE75" i="7"/>
  <c r="CF75" i="7"/>
  <c r="CG75" i="7"/>
  <c r="CH75" i="7"/>
  <c r="CI75" i="7"/>
  <c r="CJ75" i="7"/>
  <c r="BX76" i="7"/>
  <c r="BY76" i="7"/>
  <c r="BZ76" i="7"/>
  <c r="CA76" i="7"/>
  <c r="CB76" i="7"/>
  <c r="CC76" i="7"/>
  <c r="CD76" i="7"/>
  <c r="CE76" i="7"/>
  <c r="CF76" i="7"/>
  <c r="CG76" i="7"/>
  <c r="CH76" i="7"/>
  <c r="CI76" i="7"/>
  <c r="CJ76" i="7"/>
  <c r="BX77" i="7"/>
  <c r="BY77" i="7"/>
  <c r="BZ77" i="7"/>
  <c r="CA77" i="7"/>
  <c r="CB77" i="7"/>
  <c r="CC77" i="7"/>
  <c r="CD77" i="7"/>
  <c r="CE77" i="7"/>
  <c r="CF77" i="7"/>
  <c r="CG77" i="7"/>
  <c r="CH77" i="7"/>
  <c r="CI77" i="7"/>
  <c r="CJ77" i="7"/>
  <c r="BX78" i="7"/>
  <c r="BY78" i="7"/>
  <c r="BZ78" i="7"/>
  <c r="CA78" i="7"/>
  <c r="CB78" i="7"/>
  <c r="CC78" i="7"/>
  <c r="CD78" i="7"/>
  <c r="CE78" i="7"/>
  <c r="CF78" i="7"/>
  <c r="CG78" i="7"/>
  <c r="CH78" i="7"/>
  <c r="CI78" i="7"/>
  <c r="CJ78" i="7"/>
  <c r="BX79" i="7"/>
  <c r="BY79" i="7"/>
  <c r="BZ79" i="7"/>
  <c r="CA79" i="7"/>
  <c r="CB79" i="7"/>
  <c r="CC79" i="7"/>
  <c r="CD79" i="7"/>
  <c r="CE79" i="7"/>
  <c r="CF79" i="7"/>
  <c r="CG79" i="7"/>
  <c r="CH79" i="7"/>
  <c r="CI79" i="7"/>
  <c r="CJ79" i="7"/>
  <c r="BX80" i="7"/>
  <c r="BY80" i="7"/>
  <c r="BZ80" i="7"/>
  <c r="CA80" i="7"/>
  <c r="CB80" i="7"/>
  <c r="CC80" i="7"/>
  <c r="CD80" i="7"/>
  <c r="CE80" i="7"/>
  <c r="CF80" i="7"/>
  <c r="CG80" i="7"/>
  <c r="CH80" i="7"/>
  <c r="CI80" i="7"/>
  <c r="CJ80" i="7"/>
  <c r="BX81" i="7"/>
  <c r="BY81" i="7"/>
  <c r="BZ81" i="7"/>
  <c r="CA81" i="7"/>
  <c r="CB81" i="7"/>
  <c r="CC81" i="7"/>
  <c r="CD81" i="7"/>
  <c r="CE81" i="7"/>
  <c r="CF81" i="7"/>
  <c r="CG81" i="7"/>
  <c r="CH81" i="7"/>
  <c r="CI81" i="7"/>
  <c r="CJ81" i="7"/>
  <c r="BX82" i="7"/>
  <c r="BY82" i="7"/>
  <c r="BZ82" i="7"/>
  <c r="CA82" i="7"/>
  <c r="CB82" i="7"/>
  <c r="CC82" i="7"/>
  <c r="CD82" i="7"/>
  <c r="CE82" i="7"/>
  <c r="CF82" i="7"/>
  <c r="CG82" i="7"/>
  <c r="CH82" i="7"/>
  <c r="CI82" i="7"/>
  <c r="CJ82" i="7"/>
  <c r="BX83" i="7"/>
  <c r="BY83" i="7"/>
  <c r="BZ83" i="7"/>
  <c r="CA83" i="7"/>
  <c r="CB83" i="7"/>
  <c r="CC83" i="7"/>
  <c r="CD83" i="7"/>
  <c r="CE83" i="7"/>
  <c r="CF83" i="7"/>
  <c r="CG83" i="7"/>
  <c r="CH83" i="7"/>
  <c r="CI83" i="7"/>
  <c r="CJ83" i="7"/>
  <c r="BX84" i="7"/>
  <c r="BY84" i="7"/>
  <c r="BZ84" i="7"/>
  <c r="CA84" i="7"/>
  <c r="CB84" i="7"/>
  <c r="CC84" i="7"/>
  <c r="CD84" i="7"/>
  <c r="CE84" i="7"/>
  <c r="CF84" i="7"/>
  <c r="CG84" i="7"/>
  <c r="CH84" i="7"/>
  <c r="CI84" i="7"/>
  <c r="CJ84" i="7"/>
  <c r="BX85" i="7"/>
  <c r="BY85" i="7"/>
  <c r="BZ85" i="7"/>
  <c r="CA85" i="7"/>
  <c r="CB85" i="7"/>
  <c r="CC85" i="7"/>
  <c r="CD85" i="7"/>
  <c r="CE85" i="7"/>
  <c r="CF85" i="7"/>
  <c r="CG85" i="7"/>
  <c r="CH85" i="7"/>
  <c r="CI85" i="7"/>
  <c r="CJ85" i="7"/>
  <c r="BX86" i="7"/>
  <c r="BY86" i="7"/>
  <c r="BZ86" i="7"/>
  <c r="CA86" i="7"/>
  <c r="CB86" i="7"/>
  <c r="CC86" i="7"/>
  <c r="CD86" i="7"/>
  <c r="CE86" i="7"/>
  <c r="CF86" i="7"/>
  <c r="CG86" i="7"/>
  <c r="CH86" i="7"/>
  <c r="CI86" i="7"/>
  <c r="CJ86" i="7"/>
  <c r="BX87" i="7"/>
  <c r="BY87" i="7"/>
  <c r="BZ87" i="7"/>
  <c r="CA87" i="7"/>
  <c r="CB87" i="7"/>
  <c r="CC87" i="7"/>
  <c r="CD87" i="7"/>
  <c r="CE87" i="7"/>
  <c r="CF87" i="7"/>
  <c r="CG87" i="7"/>
  <c r="CH87" i="7"/>
  <c r="CI87" i="7"/>
  <c r="CJ87" i="7"/>
  <c r="BX88" i="7"/>
  <c r="BY88" i="7"/>
  <c r="BZ88" i="7"/>
  <c r="CA88" i="7"/>
  <c r="CB88" i="7"/>
  <c r="CC88" i="7"/>
  <c r="CD88" i="7"/>
  <c r="CE88" i="7"/>
  <c r="CF88" i="7"/>
  <c r="CG88" i="7"/>
  <c r="CH88" i="7"/>
  <c r="CI88" i="7"/>
  <c r="CJ88" i="7"/>
  <c r="BX89" i="7"/>
  <c r="BY89" i="7"/>
  <c r="BZ89" i="7"/>
  <c r="CA89" i="7"/>
  <c r="CB89" i="7"/>
  <c r="CC89" i="7"/>
  <c r="CD89" i="7"/>
  <c r="CE89" i="7"/>
  <c r="CF89" i="7"/>
  <c r="CG89" i="7"/>
  <c r="CH89" i="7"/>
  <c r="CI89" i="7"/>
  <c r="CJ89" i="7"/>
  <c r="BX90" i="7"/>
  <c r="BY90" i="7"/>
  <c r="BZ90" i="7"/>
  <c r="CA90" i="7"/>
  <c r="CB90" i="7"/>
  <c r="CC90" i="7"/>
  <c r="CD90" i="7"/>
  <c r="CE90" i="7"/>
  <c r="CF90" i="7"/>
  <c r="CG90" i="7"/>
  <c r="CH90" i="7"/>
  <c r="CI90" i="7"/>
  <c r="CJ90" i="7"/>
  <c r="BX91" i="7"/>
  <c r="BY91" i="7"/>
  <c r="BZ91" i="7"/>
  <c r="CA91" i="7"/>
  <c r="CB91" i="7"/>
  <c r="CC91" i="7"/>
  <c r="CD91" i="7"/>
  <c r="CE91" i="7"/>
  <c r="CF91" i="7"/>
  <c r="CG91" i="7"/>
  <c r="CH91" i="7"/>
  <c r="CI91" i="7"/>
  <c r="CJ91" i="7"/>
  <c r="BX92" i="7"/>
  <c r="BY92" i="7"/>
  <c r="BZ92" i="7"/>
  <c r="CA92" i="7"/>
  <c r="CB92" i="7"/>
  <c r="CC92" i="7"/>
  <c r="CD92" i="7"/>
  <c r="CE92" i="7"/>
  <c r="CF92" i="7"/>
  <c r="CG92" i="7"/>
  <c r="CH92" i="7"/>
  <c r="CI92" i="7"/>
  <c r="CJ92" i="7"/>
  <c r="BX93" i="7"/>
  <c r="BY93" i="7"/>
  <c r="BZ93" i="7"/>
  <c r="CA93" i="7"/>
  <c r="CB93" i="7"/>
  <c r="CC93" i="7"/>
  <c r="CD93" i="7"/>
  <c r="CE93" i="7"/>
  <c r="CF93" i="7"/>
  <c r="CG93" i="7"/>
  <c r="CH93" i="7"/>
  <c r="CI93" i="7"/>
  <c r="CJ93" i="7"/>
  <c r="BX94" i="7"/>
  <c r="BY94" i="7"/>
  <c r="BZ94" i="7"/>
  <c r="CA94" i="7"/>
  <c r="CB94" i="7"/>
  <c r="CC94" i="7"/>
  <c r="CD94" i="7"/>
  <c r="CE94" i="7"/>
  <c r="CF94" i="7"/>
  <c r="CG94" i="7"/>
  <c r="CH94" i="7"/>
  <c r="CI94" i="7"/>
  <c r="CJ94" i="7"/>
  <c r="BX95" i="7"/>
  <c r="BY95" i="7"/>
  <c r="BZ95" i="7"/>
  <c r="CA95" i="7"/>
  <c r="CB95" i="7"/>
  <c r="CC95" i="7"/>
  <c r="CD95" i="7"/>
  <c r="CE95" i="7"/>
  <c r="CF95" i="7"/>
  <c r="CG95" i="7"/>
  <c r="CH95" i="7"/>
  <c r="CI95" i="7"/>
  <c r="CJ95" i="7"/>
  <c r="BX96" i="7"/>
  <c r="BY96" i="7"/>
  <c r="BZ96" i="7"/>
  <c r="CA96" i="7"/>
  <c r="CB96" i="7"/>
  <c r="CC96" i="7"/>
  <c r="CD96" i="7"/>
  <c r="CE96" i="7"/>
  <c r="CF96" i="7"/>
  <c r="CG96" i="7"/>
  <c r="CH96" i="7"/>
  <c r="CI96" i="7"/>
  <c r="CJ96" i="7"/>
  <c r="BX97" i="7"/>
  <c r="BY97" i="7"/>
  <c r="BZ97" i="7"/>
  <c r="CA97" i="7"/>
  <c r="CB97" i="7"/>
  <c r="CC97" i="7"/>
  <c r="CD97" i="7"/>
  <c r="CE97" i="7"/>
  <c r="CF97" i="7"/>
  <c r="CG97" i="7"/>
  <c r="CH97" i="7"/>
  <c r="CI97" i="7"/>
  <c r="CJ97" i="7"/>
  <c r="BX98" i="7"/>
  <c r="BY98" i="7"/>
  <c r="BZ98" i="7"/>
  <c r="CA98" i="7"/>
  <c r="CB98" i="7"/>
  <c r="CC98" i="7"/>
  <c r="CD98" i="7"/>
  <c r="CE98" i="7"/>
  <c r="CF98" i="7"/>
  <c r="CG98" i="7"/>
  <c r="CH98" i="7"/>
  <c r="CI98" i="7"/>
  <c r="CJ98" i="7"/>
  <c r="BX99" i="7"/>
  <c r="BY99" i="7"/>
  <c r="BZ99" i="7"/>
  <c r="CA99" i="7"/>
  <c r="CB99" i="7"/>
  <c r="CC99" i="7"/>
  <c r="CD99" i="7"/>
  <c r="CE99" i="7"/>
  <c r="CF99" i="7"/>
  <c r="CG99" i="7"/>
  <c r="CH99" i="7"/>
  <c r="CI99" i="7"/>
  <c r="CJ99" i="7"/>
  <c r="BX100" i="7"/>
  <c r="BY100" i="7"/>
  <c r="BZ100" i="7"/>
  <c r="CA100" i="7"/>
  <c r="CB100" i="7"/>
  <c r="CC100" i="7"/>
  <c r="CD100" i="7"/>
  <c r="CE100" i="7"/>
  <c r="CF100" i="7"/>
  <c r="CG100" i="7"/>
  <c r="CH100" i="7"/>
  <c r="CI100" i="7"/>
  <c r="CJ100" i="7"/>
  <c r="BX101" i="7"/>
  <c r="BY101" i="7"/>
  <c r="BZ101" i="7"/>
  <c r="CA101" i="7"/>
  <c r="CB101" i="7"/>
  <c r="CC101" i="7"/>
  <c r="CD101" i="7"/>
  <c r="CE101" i="7"/>
  <c r="CF101" i="7"/>
  <c r="CG101" i="7"/>
  <c r="CH101" i="7"/>
  <c r="CI101" i="7"/>
  <c r="CJ101" i="7"/>
  <c r="BX102" i="7"/>
  <c r="BY102" i="7"/>
  <c r="BZ102" i="7"/>
  <c r="CA102" i="7"/>
  <c r="CB102" i="7"/>
  <c r="CC102" i="7"/>
  <c r="CD102" i="7"/>
  <c r="CE102" i="7"/>
  <c r="CF102" i="7"/>
  <c r="CG102" i="7"/>
  <c r="CH102" i="7"/>
  <c r="CI102" i="7"/>
  <c r="CJ102" i="7"/>
  <c r="BX103" i="7"/>
  <c r="BY103" i="7"/>
  <c r="BZ103" i="7"/>
  <c r="CA103" i="7"/>
  <c r="CB103" i="7"/>
  <c r="CC103" i="7"/>
  <c r="CD103" i="7"/>
  <c r="CE103" i="7"/>
  <c r="CF103" i="7"/>
  <c r="CG103" i="7"/>
  <c r="CH103" i="7"/>
  <c r="CI103" i="7"/>
  <c r="CJ103" i="7"/>
  <c r="BX104" i="7"/>
  <c r="BY104" i="7"/>
  <c r="BZ104" i="7"/>
  <c r="CA104" i="7"/>
  <c r="CB104" i="7"/>
  <c r="CC104" i="7"/>
  <c r="CD104" i="7"/>
  <c r="CE104" i="7"/>
  <c r="CF104" i="7"/>
  <c r="CG104" i="7"/>
  <c r="CH104" i="7"/>
  <c r="CI104" i="7"/>
  <c r="CJ104" i="7"/>
  <c r="BX105" i="7"/>
  <c r="BY105" i="7"/>
  <c r="BZ105" i="7"/>
  <c r="CA105" i="7"/>
  <c r="CB105" i="7"/>
  <c r="CC105" i="7"/>
  <c r="CD105" i="7"/>
  <c r="CE105" i="7"/>
  <c r="CF105" i="7"/>
  <c r="CG105" i="7"/>
  <c r="CH105" i="7"/>
  <c r="CI105" i="7"/>
  <c r="CJ105" i="7"/>
  <c r="BX106" i="7"/>
  <c r="BY106" i="7"/>
  <c r="BZ106" i="7"/>
  <c r="CA106" i="7"/>
  <c r="CB106" i="7"/>
  <c r="CC106" i="7"/>
  <c r="CD106" i="7"/>
  <c r="CE106" i="7"/>
  <c r="CF106" i="7"/>
  <c r="CG106" i="7"/>
  <c r="CH106" i="7"/>
  <c r="CI106" i="7"/>
  <c r="CJ106" i="7"/>
  <c r="BX107" i="7"/>
  <c r="BY107" i="7"/>
  <c r="BZ107" i="7"/>
  <c r="CA107" i="7"/>
  <c r="CB107" i="7"/>
  <c r="CC107" i="7"/>
  <c r="CD107" i="7"/>
  <c r="CE107" i="7"/>
  <c r="CF107" i="7"/>
  <c r="CG107" i="7"/>
  <c r="CH107" i="7"/>
  <c r="CI107" i="7"/>
  <c r="CJ107" i="7"/>
  <c r="BX108" i="7"/>
  <c r="BY108" i="7"/>
  <c r="BZ108" i="7"/>
  <c r="CA108" i="7"/>
  <c r="CB108" i="7"/>
  <c r="CC108" i="7"/>
  <c r="CD108" i="7"/>
  <c r="CE108" i="7"/>
  <c r="CF108" i="7"/>
  <c r="CG108" i="7"/>
  <c r="CH108" i="7"/>
  <c r="CI108" i="7"/>
  <c r="CJ108" i="7"/>
  <c r="BX109" i="7"/>
  <c r="BY109" i="7"/>
  <c r="BZ109" i="7"/>
  <c r="CA109" i="7"/>
  <c r="CB109" i="7"/>
  <c r="CC109" i="7"/>
  <c r="CD109" i="7"/>
  <c r="CE109" i="7"/>
  <c r="CF109" i="7"/>
  <c r="CG109" i="7"/>
  <c r="CH109" i="7"/>
  <c r="CI109" i="7"/>
  <c r="CJ109" i="7"/>
  <c r="BX110" i="7"/>
  <c r="BY110" i="7"/>
  <c r="BZ110" i="7"/>
  <c r="CA110" i="7"/>
  <c r="CB110" i="7"/>
  <c r="CC110" i="7"/>
  <c r="CD110" i="7"/>
  <c r="CE110" i="7"/>
  <c r="CF110" i="7"/>
  <c r="CG110" i="7"/>
  <c r="CH110" i="7"/>
  <c r="CI110" i="7"/>
  <c r="CJ110" i="7"/>
  <c r="BX111" i="7"/>
  <c r="BY111" i="7"/>
  <c r="BZ111" i="7"/>
  <c r="CA111" i="7"/>
  <c r="CB111" i="7"/>
  <c r="CC111" i="7"/>
  <c r="CD111" i="7"/>
  <c r="CE111" i="7"/>
  <c r="CF111" i="7"/>
  <c r="CG111" i="7"/>
  <c r="CH111" i="7"/>
  <c r="CI111" i="7"/>
  <c r="CJ111" i="7"/>
  <c r="BX112" i="7"/>
  <c r="BY112" i="7"/>
  <c r="BZ112" i="7"/>
  <c r="CA112" i="7"/>
  <c r="CB112" i="7"/>
  <c r="CC112" i="7"/>
  <c r="CD112" i="7"/>
  <c r="CE112" i="7"/>
  <c r="CF112" i="7"/>
  <c r="CG112" i="7"/>
  <c r="CH112" i="7"/>
  <c r="CI112" i="7"/>
  <c r="CJ112" i="7"/>
  <c r="BX113" i="7"/>
  <c r="BY113" i="7"/>
  <c r="BZ113" i="7"/>
  <c r="CA113" i="7"/>
  <c r="CB113" i="7"/>
  <c r="CC113" i="7"/>
  <c r="CD113" i="7"/>
  <c r="CE113" i="7"/>
  <c r="CF113" i="7"/>
  <c r="CG113" i="7"/>
  <c r="CH113" i="7"/>
  <c r="CI113" i="7"/>
  <c r="CJ113" i="7"/>
  <c r="BX114" i="7"/>
  <c r="BY114" i="7"/>
  <c r="BZ114" i="7"/>
  <c r="CA114" i="7"/>
  <c r="CB114" i="7"/>
  <c r="CC114" i="7"/>
  <c r="CD114" i="7"/>
  <c r="CE114" i="7"/>
  <c r="CF114" i="7"/>
  <c r="CG114" i="7"/>
  <c r="CH114" i="7"/>
  <c r="CI114" i="7"/>
  <c r="CJ114" i="7"/>
  <c r="BX115" i="7"/>
  <c r="BY115" i="7"/>
  <c r="BZ115" i="7"/>
  <c r="CA115" i="7"/>
  <c r="CB115" i="7"/>
  <c r="CC115" i="7"/>
  <c r="CD115" i="7"/>
  <c r="CE115" i="7"/>
  <c r="CF115" i="7"/>
  <c r="CG115" i="7"/>
  <c r="CH115" i="7"/>
  <c r="CI115" i="7"/>
  <c r="CJ115" i="7"/>
  <c r="BX116" i="7"/>
  <c r="BY116" i="7"/>
  <c r="BZ116" i="7"/>
  <c r="CA116" i="7"/>
  <c r="CB116" i="7"/>
  <c r="CC116" i="7"/>
  <c r="CD116" i="7"/>
  <c r="CE116" i="7"/>
  <c r="CF116" i="7"/>
  <c r="CG116" i="7"/>
  <c r="CH116" i="7"/>
  <c r="CI116" i="7"/>
  <c r="CJ116" i="7"/>
  <c r="BX117" i="7"/>
  <c r="BY117" i="7"/>
  <c r="BZ117" i="7"/>
  <c r="CA117" i="7"/>
  <c r="CB117" i="7"/>
  <c r="CC117" i="7"/>
  <c r="CD117" i="7"/>
  <c r="CE117" i="7"/>
  <c r="CF117" i="7"/>
  <c r="CG117" i="7"/>
  <c r="CH117" i="7"/>
  <c r="CI117" i="7"/>
  <c r="CJ117" i="7"/>
  <c r="BX118" i="7"/>
  <c r="BY118" i="7"/>
  <c r="BZ118" i="7"/>
  <c r="CA118" i="7"/>
  <c r="CB118" i="7"/>
  <c r="CC118" i="7"/>
  <c r="CD118" i="7"/>
  <c r="CE118" i="7"/>
  <c r="CF118" i="7"/>
  <c r="CG118" i="7"/>
  <c r="CH118" i="7"/>
  <c r="CI118" i="7"/>
  <c r="CJ118" i="7"/>
  <c r="BX119" i="7"/>
  <c r="BY119" i="7"/>
  <c r="BZ119" i="7"/>
  <c r="CA119" i="7"/>
  <c r="CB119" i="7"/>
  <c r="CC119" i="7"/>
  <c r="CD119" i="7"/>
  <c r="CE119" i="7"/>
  <c r="CF119" i="7"/>
  <c r="CG119" i="7"/>
  <c r="CH119" i="7"/>
  <c r="CI119" i="7"/>
  <c r="CJ119" i="7"/>
  <c r="BX120" i="7"/>
  <c r="BY120" i="7"/>
  <c r="BZ120" i="7"/>
  <c r="CA120" i="7"/>
  <c r="CB120" i="7"/>
  <c r="CC120" i="7"/>
  <c r="CD120" i="7"/>
  <c r="CE120" i="7"/>
  <c r="CF120" i="7"/>
  <c r="CG120" i="7"/>
  <c r="CH120" i="7"/>
  <c r="CI120" i="7"/>
  <c r="CJ120" i="7"/>
  <c r="BX121" i="7"/>
  <c r="BY121" i="7"/>
  <c r="BZ121" i="7"/>
  <c r="CA121" i="7"/>
  <c r="CB121" i="7"/>
  <c r="CC121" i="7"/>
  <c r="CD121" i="7"/>
  <c r="CE121" i="7"/>
  <c r="CF121" i="7"/>
  <c r="CG121" i="7"/>
  <c r="CH121" i="7"/>
  <c r="CI121" i="7"/>
  <c r="CJ121" i="7"/>
  <c r="BX122" i="7"/>
  <c r="BY122" i="7"/>
  <c r="BZ122" i="7"/>
  <c r="CA122" i="7"/>
  <c r="CB122" i="7"/>
  <c r="CC122" i="7"/>
  <c r="CD122" i="7"/>
  <c r="CE122" i="7"/>
  <c r="CF122" i="7"/>
  <c r="CG122" i="7"/>
  <c r="CH122" i="7"/>
  <c r="CI122" i="7"/>
  <c r="CJ122" i="7"/>
  <c r="BX123" i="7"/>
  <c r="BY123" i="7"/>
  <c r="BZ123" i="7"/>
  <c r="CA123" i="7"/>
  <c r="CB123" i="7"/>
  <c r="CC123" i="7"/>
  <c r="CD123" i="7"/>
  <c r="CE123" i="7"/>
  <c r="CF123" i="7"/>
  <c r="CG123" i="7"/>
  <c r="CH123" i="7"/>
  <c r="CI123" i="7"/>
  <c r="CJ123" i="7"/>
  <c r="BX124" i="7"/>
  <c r="BY124" i="7"/>
  <c r="BZ124" i="7"/>
  <c r="CA124" i="7"/>
  <c r="CB124" i="7"/>
  <c r="CC124" i="7"/>
  <c r="CD124" i="7"/>
  <c r="CE124" i="7"/>
  <c r="CF124" i="7"/>
  <c r="CG124" i="7"/>
  <c r="CH124" i="7"/>
  <c r="CI124" i="7"/>
  <c r="CJ124" i="7"/>
  <c r="BX125" i="7"/>
  <c r="BY125" i="7"/>
  <c r="BZ125" i="7"/>
  <c r="CA125" i="7"/>
  <c r="CB125" i="7"/>
  <c r="CC125" i="7"/>
  <c r="CD125" i="7"/>
  <c r="CE125" i="7"/>
  <c r="CF125" i="7"/>
  <c r="CG125" i="7"/>
  <c r="CH125" i="7"/>
  <c r="CI125" i="7"/>
  <c r="CJ125" i="7"/>
  <c r="BX126" i="7"/>
  <c r="BY126" i="7"/>
  <c r="BZ126" i="7"/>
  <c r="CA126" i="7"/>
  <c r="CB126" i="7"/>
  <c r="CC126" i="7"/>
  <c r="CD126" i="7"/>
  <c r="CE126" i="7"/>
  <c r="CF126" i="7"/>
  <c r="CG126" i="7"/>
  <c r="CH126" i="7"/>
  <c r="CI126" i="7"/>
  <c r="CJ126" i="7"/>
  <c r="BX127" i="7"/>
  <c r="BY127" i="7"/>
  <c r="BZ127" i="7"/>
  <c r="CA127" i="7"/>
  <c r="CB127" i="7"/>
  <c r="CC127" i="7"/>
  <c r="CD127" i="7"/>
  <c r="CE127" i="7"/>
  <c r="CF127" i="7"/>
  <c r="CG127" i="7"/>
  <c r="CH127" i="7"/>
  <c r="CI127" i="7"/>
  <c r="CJ127" i="7"/>
  <c r="BX128" i="7"/>
  <c r="BY128" i="7"/>
  <c r="BZ128" i="7"/>
  <c r="CA128" i="7"/>
  <c r="CB128" i="7"/>
  <c r="CC128" i="7"/>
  <c r="CD128" i="7"/>
  <c r="CE128" i="7"/>
  <c r="CF128" i="7"/>
  <c r="CG128" i="7"/>
  <c r="CH128" i="7"/>
  <c r="CI128" i="7"/>
  <c r="CJ128" i="7"/>
  <c r="BX129" i="7"/>
  <c r="BY129" i="7"/>
  <c r="BZ129" i="7"/>
  <c r="CA129" i="7"/>
  <c r="CB129" i="7"/>
  <c r="CC129" i="7"/>
  <c r="CD129" i="7"/>
  <c r="CE129" i="7"/>
  <c r="CF129" i="7"/>
  <c r="CG129" i="7"/>
  <c r="CH129" i="7"/>
  <c r="CI129" i="7"/>
  <c r="CJ129" i="7"/>
  <c r="BX130" i="7"/>
  <c r="BY130" i="7"/>
  <c r="BZ130" i="7"/>
  <c r="CA130" i="7"/>
  <c r="CB130" i="7"/>
  <c r="CC130" i="7"/>
  <c r="CD130" i="7"/>
  <c r="CE130" i="7"/>
  <c r="CF130" i="7"/>
  <c r="CG130" i="7"/>
  <c r="CH130" i="7"/>
  <c r="CI130" i="7"/>
  <c r="CJ130" i="7"/>
  <c r="BX131" i="7"/>
  <c r="BY131" i="7"/>
  <c r="BZ131" i="7"/>
  <c r="CA131" i="7"/>
  <c r="CB131" i="7"/>
  <c r="CC131" i="7"/>
  <c r="CD131" i="7"/>
  <c r="CE131" i="7"/>
  <c r="CF131" i="7"/>
  <c r="CG131" i="7"/>
  <c r="CH131" i="7"/>
  <c r="CI131" i="7"/>
  <c r="CJ131" i="7"/>
  <c r="BX132" i="7"/>
  <c r="BY132" i="7"/>
  <c r="BZ132" i="7"/>
  <c r="CA132" i="7"/>
  <c r="CB132" i="7"/>
  <c r="CC132" i="7"/>
  <c r="CD132" i="7"/>
  <c r="CE132" i="7"/>
  <c r="CF132" i="7"/>
  <c r="CG132" i="7"/>
  <c r="CH132" i="7"/>
  <c r="CI132" i="7"/>
  <c r="CJ132" i="7"/>
  <c r="BX133" i="7"/>
  <c r="BY133" i="7"/>
  <c r="BZ133" i="7"/>
  <c r="CA133" i="7"/>
  <c r="CB133" i="7"/>
  <c r="CC133" i="7"/>
  <c r="CD133" i="7"/>
  <c r="CE133" i="7"/>
  <c r="CF133" i="7"/>
  <c r="CG133" i="7"/>
  <c r="CH133" i="7"/>
  <c r="CI133" i="7"/>
  <c r="CJ133" i="7"/>
  <c r="BX134" i="7"/>
  <c r="BY134" i="7"/>
  <c r="BZ134" i="7"/>
  <c r="CA134" i="7"/>
  <c r="CB134" i="7"/>
  <c r="CC134" i="7"/>
  <c r="CD134" i="7"/>
  <c r="CE134" i="7"/>
  <c r="CF134" i="7"/>
  <c r="CG134" i="7"/>
  <c r="CH134" i="7"/>
  <c r="CI134" i="7"/>
  <c r="CJ134" i="7"/>
  <c r="BX135" i="7"/>
  <c r="BY135" i="7"/>
  <c r="BZ135" i="7"/>
  <c r="CA135" i="7"/>
  <c r="CB135" i="7"/>
  <c r="CC135" i="7"/>
  <c r="CD135" i="7"/>
  <c r="CE135" i="7"/>
  <c r="CF135" i="7"/>
  <c r="CG135" i="7"/>
  <c r="CH135" i="7"/>
  <c r="CI135" i="7"/>
  <c r="CJ135" i="7"/>
  <c r="BX136" i="7"/>
  <c r="BY136" i="7"/>
  <c r="BZ136" i="7"/>
  <c r="CA136" i="7"/>
  <c r="CB136" i="7"/>
  <c r="CC136" i="7"/>
  <c r="CD136" i="7"/>
  <c r="CE136" i="7"/>
  <c r="CF136" i="7"/>
  <c r="CG136" i="7"/>
  <c r="CH136" i="7"/>
  <c r="CI136" i="7"/>
  <c r="CJ136" i="7"/>
  <c r="BX137" i="7"/>
  <c r="BY137" i="7"/>
  <c r="BZ137" i="7"/>
  <c r="CA137" i="7"/>
  <c r="CB137" i="7"/>
  <c r="CC137" i="7"/>
  <c r="CD137" i="7"/>
  <c r="CE137" i="7"/>
  <c r="CF137" i="7"/>
  <c r="CG137" i="7"/>
  <c r="CH137" i="7"/>
  <c r="CI137" i="7"/>
  <c r="CJ137" i="7"/>
  <c r="BX138" i="7"/>
  <c r="BY138" i="7"/>
  <c r="BZ138" i="7"/>
  <c r="CA138" i="7"/>
  <c r="CB138" i="7"/>
  <c r="CC138" i="7"/>
  <c r="CD138" i="7"/>
  <c r="CE138" i="7"/>
  <c r="CF138" i="7"/>
  <c r="CG138" i="7"/>
  <c r="CH138" i="7"/>
  <c r="CI138" i="7"/>
  <c r="CJ138" i="7"/>
  <c r="BX139" i="7"/>
  <c r="BY139" i="7"/>
  <c r="BZ139" i="7"/>
  <c r="CA139" i="7"/>
  <c r="CB139" i="7"/>
  <c r="CC139" i="7"/>
  <c r="CD139" i="7"/>
  <c r="CE139" i="7"/>
  <c r="CF139" i="7"/>
  <c r="CG139" i="7"/>
  <c r="CH139" i="7"/>
  <c r="CI139" i="7"/>
  <c r="CJ139" i="7"/>
  <c r="BX140" i="7"/>
  <c r="BY140" i="7"/>
  <c r="BZ140" i="7"/>
  <c r="CA140" i="7"/>
  <c r="CB140" i="7"/>
  <c r="CC140" i="7"/>
  <c r="CD140" i="7"/>
  <c r="CE140" i="7"/>
  <c r="CF140" i="7"/>
  <c r="CG140" i="7"/>
  <c r="CH140" i="7"/>
  <c r="CI140" i="7"/>
  <c r="CJ140" i="7"/>
  <c r="BX141" i="7"/>
  <c r="BY141" i="7"/>
  <c r="BZ141" i="7"/>
  <c r="CA141" i="7"/>
  <c r="CB141" i="7"/>
  <c r="CC141" i="7"/>
  <c r="CD141" i="7"/>
  <c r="CE141" i="7"/>
  <c r="CF141" i="7"/>
  <c r="CG141" i="7"/>
  <c r="CH141" i="7"/>
  <c r="CI141" i="7"/>
  <c r="CJ141" i="7"/>
  <c r="BX142" i="7"/>
  <c r="BY142" i="7"/>
  <c r="BZ142" i="7"/>
  <c r="CA142" i="7"/>
  <c r="CB142" i="7"/>
  <c r="CC142" i="7"/>
  <c r="CD142" i="7"/>
  <c r="CE142" i="7"/>
  <c r="CF142" i="7"/>
  <c r="CG142" i="7"/>
  <c r="CH142" i="7"/>
  <c r="CI142" i="7"/>
  <c r="CJ142" i="7"/>
  <c r="BX143" i="7"/>
  <c r="BY143" i="7"/>
  <c r="BZ143" i="7"/>
  <c r="CA143" i="7"/>
  <c r="CB143" i="7"/>
  <c r="CC143" i="7"/>
  <c r="CD143" i="7"/>
  <c r="CE143" i="7"/>
  <c r="CF143" i="7"/>
  <c r="CG143" i="7"/>
  <c r="CH143" i="7"/>
  <c r="CI143" i="7"/>
  <c r="CJ143" i="7"/>
  <c r="BX144" i="7"/>
  <c r="BY144" i="7"/>
  <c r="BZ144" i="7"/>
  <c r="CA144" i="7"/>
  <c r="CB144" i="7"/>
  <c r="CC144" i="7"/>
  <c r="CD144" i="7"/>
  <c r="CE144" i="7"/>
  <c r="CF144" i="7"/>
  <c r="CG144" i="7"/>
  <c r="CH144" i="7"/>
  <c r="CI144" i="7"/>
  <c r="CJ144" i="7"/>
  <c r="BX145" i="7"/>
  <c r="BY145" i="7"/>
  <c r="BZ145" i="7"/>
  <c r="CA145" i="7"/>
  <c r="CB145" i="7"/>
  <c r="CC145" i="7"/>
  <c r="CD145" i="7"/>
  <c r="CE145" i="7"/>
  <c r="CF145" i="7"/>
  <c r="CG145" i="7"/>
  <c r="CH145" i="7"/>
  <c r="CI145" i="7"/>
  <c r="CJ145" i="7"/>
  <c r="BX146" i="7"/>
  <c r="BY146" i="7"/>
  <c r="BZ146" i="7"/>
  <c r="CA146" i="7"/>
  <c r="CB146" i="7"/>
  <c r="CC146" i="7"/>
  <c r="CD146" i="7"/>
  <c r="CE146" i="7"/>
  <c r="CF146" i="7"/>
  <c r="CG146" i="7"/>
  <c r="CH146" i="7"/>
  <c r="CI146" i="7"/>
  <c r="CJ146" i="7"/>
  <c r="BX147" i="7"/>
  <c r="BY147" i="7"/>
  <c r="BZ147" i="7"/>
  <c r="CA147" i="7"/>
  <c r="CB147" i="7"/>
  <c r="CC147" i="7"/>
  <c r="CD147" i="7"/>
  <c r="CE147" i="7"/>
  <c r="CF147" i="7"/>
  <c r="CG147" i="7"/>
  <c r="CH147" i="7"/>
  <c r="CI147" i="7"/>
  <c r="CJ147" i="7"/>
  <c r="BX148" i="7"/>
  <c r="BY148" i="7"/>
  <c r="BZ148" i="7"/>
  <c r="CA148" i="7"/>
  <c r="CB148" i="7"/>
  <c r="CC148" i="7"/>
  <c r="CD148" i="7"/>
  <c r="CE148" i="7"/>
  <c r="CF148" i="7"/>
  <c r="CG148" i="7"/>
  <c r="CH148" i="7"/>
  <c r="CI148" i="7"/>
  <c r="CJ148" i="7"/>
  <c r="BX149" i="7"/>
  <c r="BY149" i="7"/>
  <c r="BZ149" i="7"/>
  <c r="CA149" i="7"/>
  <c r="CB149" i="7"/>
  <c r="CC149" i="7"/>
  <c r="CD149" i="7"/>
  <c r="CE149" i="7"/>
  <c r="CF149" i="7"/>
  <c r="CG149" i="7"/>
  <c r="CH149" i="7"/>
  <c r="CI149" i="7"/>
  <c r="CJ149" i="7"/>
  <c r="BX150" i="7"/>
  <c r="BY150" i="7"/>
  <c r="BZ150" i="7"/>
  <c r="CA150" i="7"/>
  <c r="CB150" i="7"/>
  <c r="CC150" i="7"/>
  <c r="CD150" i="7"/>
  <c r="CE150" i="7"/>
  <c r="CF150" i="7"/>
  <c r="CG150" i="7"/>
  <c r="CH150" i="7"/>
  <c r="CI150" i="7"/>
  <c r="CJ150" i="7"/>
  <c r="BX151" i="7"/>
  <c r="BY151" i="7"/>
  <c r="BZ151" i="7"/>
  <c r="CA151" i="7"/>
  <c r="CB151" i="7"/>
  <c r="CC151" i="7"/>
  <c r="CD151" i="7"/>
  <c r="CE151" i="7"/>
  <c r="CF151" i="7"/>
  <c r="CG151" i="7"/>
  <c r="CH151" i="7"/>
  <c r="CI151" i="7"/>
  <c r="CJ151" i="7"/>
  <c r="BX152" i="7"/>
  <c r="BY152" i="7"/>
  <c r="BZ152" i="7"/>
  <c r="CA152" i="7"/>
  <c r="CB152" i="7"/>
  <c r="CC152" i="7"/>
  <c r="CD152" i="7"/>
  <c r="CE152" i="7"/>
  <c r="CF152" i="7"/>
  <c r="CG152" i="7"/>
  <c r="CH152" i="7"/>
  <c r="CI152" i="7"/>
  <c r="CJ152" i="7"/>
  <c r="BX153" i="7"/>
  <c r="BY153" i="7"/>
  <c r="BZ153" i="7"/>
  <c r="CA153" i="7"/>
  <c r="CB153" i="7"/>
  <c r="CC153" i="7"/>
  <c r="CD153" i="7"/>
  <c r="CE153" i="7"/>
  <c r="CF153" i="7"/>
  <c r="CG153" i="7"/>
  <c r="CH153" i="7"/>
  <c r="CI153" i="7"/>
  <c r="CJ153" i="7"/>
  <c r="BX154" i="7"/>
  <c r="BY154" i="7"/>
  <c r="BZ154" i="7"/>
  <c r="CA154" i="7"/>
  <c r="CB154" i="7"/>
  <c r="CC154" i="7"/>
  <c r="CD154" i="7"/>
  <c r="CE154" i="7"/>
  <c r="CF154" i="7"/>
  <c r="CG154" i="7"/>
  <c r="CH154" i="7"/>
  <c r="CI154" i="7"/>
  <c r="CJ154" i="7"/>
  <c r="BX155" i="7"/>
  <c r="BY155" i="7"/>
  <c r="BZ155" i="7"/>
  <c r="CA155" i="7"/>
  <c r="CB155" i="7"/>
  <c r="CC155" i="7"/>
  <c r="CD155" i="7"/>
  <c r="CE155" i="7"/>
  <c r="CF155" i="7"/>
  <c r="CG155" i="7"/>
  <c r="CH155" i="7"/>
  <c r="CI155" i="7"/>
  <c r="CJ155" i="7"/>
  <c r="BX156" i="7"/>
  <c r="BY156" i="7"/>
  <c r="BZ156" i="7"/>
  <c r="CA156" i="7"/>
  <c r="CB156" i="7"/>
  <c r="CC156" i="7"/>
  <c r="CD156" i="7"/>
  <c r="CE156" i="7"/>
  <c r="CF156" i="7"/>
  <c r="CG156" i="7"/>
  <c r="CH156" i="7"/>
  <c r="CI156" i="7"/>
  <c r="CJ156" i="7"/>
  <c r="BX157" i="7"/>
  <c r="BY157" i="7"/>
  <c r="BZ157" i="7"/>
  <c r="CA157" i="7"/>
  <c r="CB157" i="7"/>
  <c r="CC157" i="7"/>
  <c r="CD157" i="7"/>
  <c r="CE157" i="7"/>
  <c r="CF157" i="7"/>
  <c r="CG157" i="7"/>
  <c r="CH157" i="7"/>
  <c r="CI157" i="7"/>
  <c r="CJ157" i="7"/>
  <c r="BX158" i="7"/>
  <c r="BY158" i="7"/>
  <c r="BZ158" i="7"/>
  <c r="CA158" i="7"/>
  <c r="CB158" i="7"/>
  <c r="CC158" i="7"/>
  <c r="CD158" i="7"/>
  <c r="CE158" i="7"/>
  <c r="CF158" i="7"/>
  <c r="CG158" i="7"/>
  <c r="CH158" i="7"/>
  <c r="CI158" i="7"/>
  <c r="CJ158" i="7"/>
  <c r="BX159" i="7"/>
  <c r="BY159" i="7"/>
  <c r="BZ159" i="7"/>
  <c r="CA159" i="7"/>
  <c r="CB159" i="7"/>
  <c r="CC159" i="7"/>
  <c r="CD159" i="7"/>
  <c r="CE159" i="7"/>
  <c r="CF159" i="7"/>
  <c r="CG159" i="7"/>
  <c r="CH159" i="7"/>
  <c r="CI159" i="7"/>
  <c r="CJ159" i="7"/>
  <c r="BX160" i="7"/>
  <c r="BY160" i="7"/>
  <c r="BZ160" i="7"/>
  <c r="CA160" i="7"/>
  <c r="CB160" i="7"/>
  <c r="CC160" i="7"/>
  <c r="CD160" i="7"/>
  <c r="CE160" i="7"/>
  <c r="CF160" i="7"/>
  <c r="CG160" i="7"/>
  <c r="CH160" i="7"/>
  <c r="CI160" i="7"/>
  <c r="CJ160" i="7"/>
  <c r="BX161" i="7"/>
  <c r="BY161" i="7"/>
  <c r="BZ161" i="7"/>
  <c r="CA161" i="7"/>
  <c r="CB161" i="7"/>
  <c r="CC161" i="7"/>
  <c r="CD161" i="7"/>
  <c r="CE161" i="7"/>
  <c r="CF161" i="7"/>
  <c r="CG161" i="7"/>
  <c r="CH161" i="7"/>
  <c r="CI161" i="7"/>
  <c r="CJ161" i="7"/>
  <c r="BX162" i="7"/>
  <c r="BY162" i="7"/>
  <c r="BZ162" i="7"/>
  <c r="CA162" i="7"/>
  <c r="CB162" i="7"/>
  <c r="CC162" i="7"/>
  <c r="CD162" i="7"/>
  <c r="CE162" i="7"/>
  <c r="CF162" i="7"/>
  <c r="CG162" i="7"/>
  <c r="CH162" i="7"/>
  <c r="CI162" i="7"/>
  <c r="CJ162" i="7"/>
  <c r="BX163" i="7"/>
  <c r="BY163" i="7"/>
  <c r="BZ163" i="7"/>
  <c r="CA163" i="7"/>
  <c r="CB163" i="7"/>
  <c r="CC163" i="7"/>
  <c r="CD163" i="7"/>
  <c r="CE163" i="7"/>
  <c r="CF163" i="7"/>
  <c r="CG163" i="7"/>
  <c r="CH163" i="7"/>
  <c r="CI163" i="7"/>
  <c r="CJ163" i="7"/>
  <c r="BX164" i="7"/>
  <c r="BY164" i="7"/>
  <c r="BZ164" i="7"/>
  <c r="CA164" i="7"/>
  <c r="CB164" i="7"/>
  <c r="CC164" i="7"/>
  <c r="CD164" i="7"/>
  <c r="CE164" i="7"/>
  <c r="CF164" i="7"/>
  <c r="CG164" i="7"/>
  <c r="CH164" i="7"/>
  <c r="CI164" i="7"/>
  <c r="CJ164" i="7"/>
  <c r="BX165" i="7"/>
  <c r="BY165" i="7"/>
  <c r="BZ165" i="7"/>
  <c r="CA165" i="7"/>
  <c r="CB165" i="7"/>
  <c r="CC165" i="7"/>
  <c r="CD165" i="7"/>
  <c r="CE165" i="7"/>
  <c r="CF165" i="7"/>
  <c r="CG165" i="7"/>
  <c r="CH165" i="7"/>
  <c r="CI165" i="7"/>
  <c r="CJ165" i="7"/>
  <c r="BX166" i="7"/>
  <c r="BY166" i="7"/>
  <c r="BZ166" i="7"/>
  <c r="CA166" i="7"/>
  <c r="CB166" i="7"/>
  <c r="CC166" i="7"/>
  <c r="CD166" i="7"/>
  <c r="CE166" i="7"/>
  <c r="CF166" i="7"/>
  <c r="CG166" i="7"/>
  <c r="CH166" i="7"/>
  <c r="CI166" i="7"/>
  <c r="CJ166" i="7"/>
  <c r="BX167" i="7"/>
  <c r="BY167" i="7"/>
  <c r="BZ167" i="7"/>
  <c r="CA167" i="7"/>
  <c r="CB167" i="7"/>
  <c r="CC167" i="7"/>
  <c r="CD167" i="7"/>
  <c r="CE167" i="7"/>
  <c r="CF167" i="7"/>
  <c r="CG167" i="7"/>
  <c r="CH167" i="7"/>
  <c r="CI167" i="7"/>
  <c r="CJ167" i="7"/>
  <c r="BX168" i="7"/>
  <c r="BY168" i="7"/>
  <c r="BZ168" i="7"/>
  <c r="CA168" i="7"/>
  <c r="CB168" i="7"/>
  <c r="CC168" i="7"/>
  <c r="CD168" i="7"/>
  <c r="CE168" i="7"/>
  <c r="CF168" i="7"/>
  <c r="CG168" i="7"/>
  <c r="CH168" i="7"/>
  <c r="CI168" i="7"/>
  <c r="CJ168" i="7"/>
  <c r="BX169" i="7"/>
  <c r="BY169" i="7"/>
  <c r="BZ169" i="7"/>
  <c r="CA169" i="7"/>
  <c r="CB169" i="7"/>
  <c r="CC169" i="7"/>
  <c r="CD169" i="7"/>
  <c r="CE169" i="7"/>
  <c r="CF169" i="7"/>
  <c r="CG169" i="7"/>
  <c r="CH169" i="7"/>
  <c r="CI169" i="7"/>
  <c r="CJ169" i="7"/>
  <c r="BX170" i="7"/>
  <c r="BY170" i="7"/>
  <c r="BZ170" i="7"/>
  <c r="CA170" i="7"/>
  <c r="CB170" i="7"/>
  <c r="CC170" i="7"/>
  <c r="CD170" i="7"/>
  <c r="CE170" i="7"/>
  <c r="CF170" i="7"/>
  <c r="CG170" i="7"/>
  <c r="CH170" i="7"/>
  <c r="CI170" i="7"/>
  <c r="CJ170" i="7"/>
  <c r="BX171" i="7"/>
  <c r="BY171" i="7"/>
  <c r="BZ171" i="7"/>
  <c r="CA171" i="7"/>
  <c r="CB171" i="7"/>
  <c r="CC171" i="7"/>
  <c r="CD171" i="7"/>
  <c r="CE171" i="7"/>
  <c r="CF171" i="7"/>
  <c r="CG171" i="7"/>
  <c r="CH171" i="7"/>
  <c r="CI171" i="7"/>
  <c r="CJ171" i="7"/>
  <c r="BX172" i="7"/>
  <c r="BY172" i="7"/>
  <c r="BZ172" i="7"/>
  <c r="CA172" i="7"/>
  <c r="CB172" i="7"/>
  <c r="CC172" i="7"/>
  <c r="CD172" i="7"/>
  <c r="CE172" i="7"/>
  <c r="CF172" i="7"/>
  <c r="CG172" i="7"/>
  <c r="CH172" i="7"/>
  <c r="CI172" i="7"/>
  <c r="CJ172" i="7"/>
  <c r="BX173" i="7"/>
  <c r="BY173" i="7"/>
  <c r="BZ173" i="7"/>
  <c r="CA173" i="7"/>
  <c r="CB173" i="7"/>
  <c r="CC173" i="7"/>
  <c r="CD173" i="7"/>
  <c r="CE173" i="7"/>
  <c r="CF173" i="7"/>
  <c r="CG173" i="7"/>
  <c r="CH173" i="7"/>
  <c r="CI173" i="7"/>
  <c r="CJ173" i="7"/>
  <c r="BX174" i="7"/>
  <c r="BY174" i="7"/>
  <c r="BZ174" i="7"/>
  <c r="CA174" i="7"/>
  <c r="CB174" i="7"/>
  <c r="CC174" i="7"/>
  <c r="CD174" i="7"/>
  <c r="CE174" i="7"/>
  <c r="CF174" i="7"/>
  <c r="CG174" i="7"/>
  <c r="CH174" i="7"/>
  <c r="CI174" i="7"/>
  <c r="CJ174" i="7"/>
  <c r="BX175" i="7"/>
  <c r="BY175" i="7"/>
  <c r="BZ175" i="7"/>
  <c r="CA175" i="7"/>
  <c r="CB175" i="7"/>
  <c r="CC175" i="7"/>
  <c r="CD175" i="7"/>
  <c r="CE175" i="7"/>
  <c r="CF175" i="7"/>
  <c r="CG175" i="7"/>
  <c r="CH175" i="7"/>
  <c r="CI175" i="7"/>
  <c r="CJ175" i="7"/>
  <c r="BX176" i="7"/>
  <c r="BY176" i="7"/>
  <c r="BZ176" i="7"/>
  <c r="CA176" i="7"/>
  <c r="CB176" i="7"/>
  <c r="CC176" i="7"/>
  <c r="CD176" i="7"/>
  <c r="CE176" i="7"/>
  <c r="CF176" i="7"/>
  <c r="CG176" i="7"/>
  <c r="CH176" i="7"/>
  <c r="CI176" i="7"/>
  <c r="CJ176" i="7"/>
  <c r="BX177" i="7"/>
  <c r="BY177" i="7"/>
  <c r="BZ177" i="7"/>
  <c r="CA177" i="7"/>
  <c r="CB177" i="7"/>
  <c r="CC177" i="7"/>
  <c r="CD177" i="7"/>
  <c r="CE177" i="7"/>
  <c r="CF177" i="7"/>
  <c r="CG177" i="7"/>
  <c r="CH177" i="7"/>
  <c r="CI177" i="7"/>
  <c r="CJ177" i="7"/>
  <c r="BX178" i="7"/>
  <c r="BY178" i="7"/>
  <c r="BZ178" i="7"/>
  <c r="CA178" i="7"/>
  <c r="CB178" i="7"/>
  <c r="CC178" i="7"/>
  <c r="CD178" i="7"/>
  <c r="CE178" i="7"/>
  <c r="CF178" i="7"/>
  <c r="CG178" i="7"/>
  <c r="CH178" i="7"/>
  <c r="CI178" i="7"/>
  <c r="CJ178" i="7"/>
  <c r="BX179" i="7"/>
  <c r="BY179" i="7"/>
  <c r="BZ179" i="7"/>
  <c r="CA179" i="7"/>
  <c r="CB179" i="7"/>
  <c r="CC179" i="7"/>
  <c r="CD179" i="7"/>
  <c r="CE179" i="7"/>
  <c r="CF179" i="7"/>
  <c r="CG179" i="7"/>
  <c r="CH179" i="7"/>
  <c r="CI179" i="7"/>
  <c r="CJ179" i="7"/>
  <c r="BX180" i="7"/>
  <c r="BY180" i="7"/>
  <c r="BZ180" i="7"/>
  <c r="CA180" i="7"/>
  <c r="CB180" i="7"/>
  <c r="CC180" i="7"/>
  <c r="CD180" i="7"/>
  <c r="CE180" i="7"/>
  <c r="CF180" i="7"/>
  <c r="CG180" i="7"/>
  <c r="CH180" i="7"/>
  <c r="CI180" i="7"/>
  <c r="CJ180" i="7"/>
  <c r="BX181" i="7"/>
  <c r="BY181" i="7"/>
  <c r="BZ181" i="7"/>
  <c r="CA181" i="7"/>
  <c r="CB181" i="7"/>
  <c r="CC181" i="7"/>
  <c r="CD181" i="7"/>
  <c r="CE181" i="7"/>
  <c r="CF181" i="7"/>
  <c r="CG181" i="7"/>
  <c r="CH181" i="7"/>
  <c r="CI181" i="7"/>
  <c r="CJ181" i="7"/>
  <c r="BX182" i="7"/>
  <c r="BY182" i="7"/>
  <c r="BZ182" i="7"/>
  <c r="CA182" i="7"/>
  <c r="CB182" i="7"/>
  <c r="CC182" i="7"/>
  <c r="CD182" i="7"/>
  <c r="CE182" i="7"/>
  <c r="CF182" i="7"/>
  <c r="CG182" i="7"/>
  <c r="CH182" i="7"/>
  <c r="CI182" i="7"/>
  <c r="CJ182" i="7"/>
  <c r="BX183" i="7"/>
  <c r="BY183" i="7"/>
  <c r="BZ183" i="7"/>
  <c r="CA183" i="7"/>
  <c r="CB183" i="7"/>
  <c r="CC183" i="7"/>
  <c r="CD183" i="7"/>
  <c r="CE183" i="7"/>
  <c r="CF183" i="7"/>
  <c r="CG183" i="7"/>
  <c r="CH183" i="7"/>
  <c r="CI183" i="7"/>
  <c r="CJ183" i="7"/>
  <c r="BX184" i="7"/>
  <c r="BY184" i="7"/>
  <c r="BZ184" i="7"/>
  <c r="CA184" i="7"/>
  <c r="CB184" i="7"/>
  <c r="CC184" i="7"/>
  <c r="CD184" i="7"/>
  <c r="CE184" i="7"/>
  <c r="CF184" i="7"/>
  <c r="CG184" i="7"/>
  <c r="CH184" i="7"/>
  <c r="CI184" i="7"/>
  <c r="CJ184" i="7"/>
  <c r="BX185" i="7"/>
  <c r="BY185" i="7"/>
  <c r="BZ185" i="7"/>
  <c r="CA185" i="7"/>
  <c r="CB185" i="7"/>
  <c r="CC185" i="7"/>
  <c r="CD185" i="7"/>
  <c r="CE185" i="7"/>
  <c r="CF185" i="7"/>
  <c r="CG185" i="7"/>
  <c r="CH185" i="7"/>
  <c r="CI185" i="7"/>
  <c r="CJ185" i="7"/>
  <c r="BX186" i="7"/>
  <c r="BY186" i="7"/>
  <c r="BZ186" i="7"/>
  <c r="CA186" i="7"/>
  <c r="CB186" i="7"/>
  <c r="CC186" i="7"/>
  <c r="CD186" i="7"/>
  <c r="CE186" i="7"/>
  <c r="CF186" i="7"/>
  <c r="CG186" i="7"/>
  <c r="CH186" i="7"/>
  <c r="CI186" i="7"/>
  <c r="CJ186" i="7"/>
  <c r="BX187" i="7"/>
  <c r="BY187" i="7"/>
  <c r="BZ187" i="7"/>
  <c r="CA187" i="7"/>
  <c r="CB187" i="7"/>
  <c r="CC187" i="7"/>
  <c r="CD187" i="7"/>
  <c r="CE187" i="7"/>
  <c r="CF187" i="7"/>
  <c r="CG187" i="7"/>
  <c r="CH187" i="7"/>
  <c r="CI187" i="7"/>
  <c r="CJ187" i="7"/>
  <c r="BX188" i="7"/>
  <c r="BY188" i="7"/>
  <c r="BZ188" i="7"/>
  <c r="CA188" i="7"/>
  <c r="CB188" i="7"/>
  <c r="CC188" i="7"/>
  <c r="CD188" i="7"/>
  <c r="CE188" i="7"/>
  <c r="CF188" i="7"/>
  <c r="CG188" i="7"/>
  <c r="CH188" i="7"/>
  <c r="CI188" i="7"/>
  <c r="CJ188" i="7"/>
  <c r="BX189" i="7"/>
  <c r="BY189" i="7"/>
  <c r="BZ189" i="7"/>
  <c r="CA189" i="7"/>
  <c r="CB189" i="7"/>
  <c r="CC189" i="7"/>
  <c r="CD189" i="7"/>
  <c r="CE189" i="7"/>
  <c r="CF189" i="7"/>
  <c r="CG189" i="7"/>
  <c r="CH189" i="7"/>
  <c r="CI189" i="7"/>
  <c r="CJ189" i="7"/>
  <c r="BX190" i="7"/>
  <c r="BY190" i="7"/>
  <c r="BZ190" i="7"/>
  <c r="CA190" i="7"/>
  <c r="CB190" i="7"/>
  <c r="CC190" i="7"/>
  <c r="CD190" i="7"/>
  <c r="CE190" i="7"/>
  <c r="CF190" i="7"/>
  <c r="CG190" i="7"/>
  <c r="CH190" i="7"/>
  <c r="CI190" i="7"/>
  <c r="CJ190" i="7"/>
  <c r="BX191" i="7"/>
  <c r="BY191" i="7"/>
  <c r="BZ191" i="7"/>
  <c r="CA191" i="7"/>
  <c r="CB191" i="7"/>
  <c r="CC191" i="7"/>
  <c r="CD191" i="7"/>
  <c r="CE191" i="7"/>
  <c r="CF191" i="7"/>
  <c r="CG191" i="7"/>
  <c r="CH191" i="7"/>
  <c r="CI191" i="7"/>
  <c r="CJ191" i="7"/>
  <c r="BX192" i="7"/>
  <c r="BY192" i="7"/>
  <c r="BZ192" i="7"/>
  <c r="CA192" i="7"/>
  <c r="CB192" i="7"/>
  <c r="CC192" i="7"/>
  <c r="CD192" i="7"/>
  <c r="CE192" i="7"/>
  <c r="CF192" i="7"/>
  <c r="CG192" i="7"/>
  <c r="CH192" i="7"/>
  <c r="CI192" i="7"/>
  <c r="CJ192" i="7"/>
  <c r="BX193" i="7"/>
  <c r="BY193" i="7"/>
  <c r="BZ193" i="7"/>
  <c r="CA193" i="7"/>
  <c r="CB193" i="7"/>
  <c r="CC193" i="7"/>
  <c r="CD193" i="7"/>
  <c r="CE193" i="7"/>
  <c r="CF193" i="7"/>
  <c r="CG193" i="7"/>
  <c r="CH193" i="7"/>
  <c r="CI193" i="7"/>
  <c r="CJ193" i="7"/>
  <c r="BX194" i="7"/>
  <c r="BY194" i="7"/>
  <c r="BZ194" i="7"/>
  <c r="CA194" i="7"/>
  <c r="CB194" i="7"/>
  <c r="CC194" i="7"/>
  <c r="CD194" i="7"/>
  <c r="CE194" i="7"/>
  <c r="CF194" i="7"/>
  <c r="CG194" i="7"/>
  <c r="CH194" i="7"/>
  <c r="CI194" i="7"/>
  <c r="CJ194" i="7"/>
  <c r="BX195" i="7"/>
  <c r="BY195" i="7"/>
  <c r="BZ195" i="7"/>
  <c r="CA195" i="7"/>
  <c r="CB195" i="7"/>
  <c r="CC195" i="7"/>
  <c r="CD195" i="7"/>
  <c r="CE195" i="7"/>
  <c r="CF195" i="7"/>
  <c r="CG195" i="7"/>
  <c r="CH195" i="7"/>
  <c r="CI195" i="7"/>
  <c r="CJ195" i="7"/>
  <c r="BX196" i="7"/>
  <c r="BY196" i="7"/>
  <c r="BZ196" i="7"/>
  <c r="CA196" i="7"/>
  <c r="CB196" i="7"/>
  <c r="CC196" i="7"/>
  <c r="CD196" i="7"/>
  <c r="CE196" i="7"/>
  <c r="CF196" i="7"/>
  <c r="CG196" i="7"/>
  <c r="CH196" i="7"/>
  <c r="CI196" i="7"/>
  <c r="CJ196" i="7"/>
  <c r="BX197" i="7"/>
  <c r="BY197" i="7"/>
  <c r="BZ197" i="7"/>
  <c r="CA197" i="7"/>
  <c r="CB197" i="7"/>
  <c r="CC197" i="7"/>
  <c r="CD197" i="7"/>
  <c r="CE197" i="7"/>
  <c r="CF197" i="7"/>
  <c r="CG197" i="7"/>
  <c r="CH197" i="7"/>
  <c r="CI197" i="7"/>
  <c r="CJ197" i="7"/>
  <c r="BX198" i="7"/>
  <c r="BY198" i="7"/>
  <c r="BZ198" i="7"/>
  <c r="CA198" i="7"/>
  <c r="CB198" i="7"/>
  <c r="CC198" i="7"/>
  <c r="CD198" i="7"/>
  <c r="CE198" i="7"/>
  <c r="CF198" i="7"/>
  <c r="CG198" i="7"/>
  <c r="CH198" i="7"/>
  <c r="CI198" i="7"/>
  <c r="CJ198" i="7"/>
  <c r="BX199" i="7"/>
  <c r="BY199" i="7"/>
  <c r="BZ199" i="7"/>
  <c r="CA199" i="7"/>
  <c r="CB199" i="7"/>
  <c r="CC199" i="7"/>
  <c r="CD199" i="7"/>
  <c r="CE199" i="7"/>
  <c r="CF199" i="7"/>
  <c r="CG199" i="7"/>
  <c r="CH199" i="7"/>
  <c r="CI199" i="7"/>
  <c r="CJ199" i="7"/>
  <c r="BX200" i="7"/>
  <c r="BY200" i="7"/>
  <c r="BZ200" i="7"/>
  <c r="CA200" i="7"/>
  <c r="CB200" i="7"/>
  <c r="CC200" i="7"/>
  <c r="CD200" i="7"/>
  <c r="CE200" i="7"/>
  <c r="CF200" i="7"/>
  <c r="CG200" i="7"/>
  <c r="CH200" i="7"/>
  <c r="CI200" i="7"/>
  <c r="CJ200" i="7"/>
  <c r="BX201" i="7"/>
  <c r="BY201" i="7"/>
  <c r="BZ201" i="7"/>
  <c r="CA201" i="7"/>
  <c r="CB201" i="7"/>
  <c r="CC201" i="7"/>
  <c r="CD201" i="7"/>
  <c r="CE201" i="7"/>
  <c r="CF201" i="7"/>
  <c r="CG201" i="7"/>
  <c r="CH201" i="7"/>
  <c r="CI201" i="7"/>
  <c r="CJ201" i="7"/>
  <c r="BX202" i="7"/>
  <c r="BY202" i="7"/>
  <c r="BZ202" i="7"/>
  <c r="CA202" i="7"/>
  <c r="CB202" i="7"/>
  <c r="CC202" i="7"/>
  <c r="CD202" i="7"/>
  <c r="CE202" i="7"/>
  <c r="CF202" i="7"/>
  <c r="CG202" i="7"/>
  <c r="CH202" i="7"/>
  <c r="CI202" i="7"/>
  <c r="CJ202" i="7"/>
  <c r="BX203" i="7"/>
  <c r="BY203" i="7"/>
  <c r="BZ203" i="7"/>
  <c r="CA203" i="7"/>
  <c r="CB203" i="7"/>
  <c r="CC203" i="7"/>
  <c r="CD203" i="7"/>
  <c r="CE203" i="7"/>
  <c r="CF203" i="7"/>
  <c r="CG203" i="7"/>
  <c r="CH203" i="7"/>
  <c r="CI203" i="7"/>
  <c r="CJ203" i="7"/>
  <c r="BX204" i="7"/>
  <c r="BY204" i="7"/>
  <c r="BZ204" i="7"/>
  <c r="CA204" i="7"/>
  <c r="CB204" i="7"/>
  <c r="CC204" i="7"/>
  <c r="CD204" i="7"/>
  <c r="CE204" i="7"/>
  <c r="CF204" i="7"/>
  <c r="CG204" i="7"/>
  <c r="CH204" i="7"/>
  <c r="CI204" i="7"/>
  <c r="CJ204" i="7"/>
  <c r="BX205" i="7"/>
  <c r="BY205" i="7"/>
  <c r="BZ205" i="7"/>
  <c r="CA205" i="7"/>
  <c r="CB205" i="7"/>
  <c r="CC205" i="7"/>
  <c r="CD205" i="7"/>
  <c r="CE205" i="7"/>
  <c r="CF205" i="7"/>
  <c r="CG205" i="7"/>
  <c r="CH205" i="7"/>
  <c r="CI205" i="7"/>
  <c r="CJ205" i="7"/>
  <c r="BX206" i="7"/>
  <c r="BY206" i="7"/>
  <c r="BZ206" i="7"/>
  <c r="CA206" i="7"/>
  <c r="CB206" i="7"/>
  <c r="CC206" i="7"/>
  <c r="CD206" i="7"/>
  <c r="CE206" i="7"/>
  <c r="CF206" i="7"/>
  <c r="CG206" i="7"/>
  <c r="CH206" i="7"/>
  <c r="CI206" i="7"/>
  <c r="CJ206" i="7"/>
  <c r="BX207" i="7"/>
  <c r="BY207" i="7"/>
  <c r="BZ207" i="7"/>
  <c r="CA207" i="7"/>
  <c r="CB207" i="7"/>
  <c r="CC207" i="7"/>
  <c r="CD207" i="7"/>
  <c r="CE207" i="7"/>
  <c r="CF207" i="7"/>
  <c r="CG207" i="7"/>
  <c r="CH207" i="7"/>
  <c r="CI207" i="7"/>
  <c r="CJ207" i="7"/>
  <c r="BX208" i="7"/>
  <c r="BY208" i="7"/>
  <c r="BZ208" i="7"/>
  <c r="CA208" i="7"/>
  <c r="CB208" i="7"/>
  <c r="CC208" i="7"/>
  <c r="CD208" i="7"/>
  <c r="CE208" i="7"/>
  <c r="CF208" i="7"/>
  <c r="CG208" i="7"/>
  <c r="CH208" i="7"/>
  <c r="CI208" i="7"/>
  <c r="CJ208" i="7"/>
  <c r="BX209" i="7"/>
  <c r="BY209" i="7"/>
  <c r="BZ209" i="7"/>
  <c r="CA209" i="7"/>
  <c r="CB209" i="7"/>
  <c r="CC209" i="7"/>
  <c r="CD209" i="7"/>
  <c r="CE209" i="7"/>
  <c r="CF209" i="7"/>
  <c r="CG209" i="7"/>
  <c r="CH209" i="7"/>
  <c r="CI209" i="7"/>
  <c r="CJ209" i="7"/>
  <c r="BX210" i="7"/>
  <c r="BY210" i="7"/>
  <c r="BZ210" i="7"/>
  <c r="CA210" i="7"/>
  <c r="CB210" i="7"/>
  <c r="CC210" i="7"/>
  <c r="CD210" i="7"/>
  <c r="CE210" i="7"/>
  <c r="CF210" i="7"/>
  <c r="CG210" i="7"/>
  <c r="CH210" i="7"/>
  <c r="CI210" i="7"/>
  <c r="CJ210" i="7"/>
  <c r="BX211" i="7"/>
  <c r="BY211" i="7"/>
  <c r="BZ211" i="7"/>
  <c r="CA211" i="7"/>
  <c r="CB211" i="7"/>
  <c r="CC211" i="7"/>
  <c r="CD211" i="7"/>
  <c r="CE211" i="7"/>
  <c r="CF211" i="7"/>
  <c r="CG211" i="7"/>
  <c r="CH211" i="7"/>
  <c r="CI211" i="7"/>
  <c r="CJ211" i="7"/>
  <c r="BX212" i="7"/>
  <c r="BY212" i="7"/>
  <c r="BZ212" i="7"/>
  <c r="CA212" i="7"/>
  <c r="CB212" i="7"/>
  <c r="CC212" i="7"/>
  <c r="CD212" i="7"/>
  <c r="CE212" i="7"/>
  <c r="CF212" i="7"/>
  <c r="CG212" i="7"/>
  <c r="CH212" i="7"/>
  <c r="CI212" i="7"/>
  <c r="CJ212" i="7"/>
  <c r="BX213" i="7"/>
  <c r="BY213" i="7"/>
  <c r="BZ213" i="7"/>
  <c r="CA213" i="7"/>
  <c r="CB213" i="7"/>
  <c r="CC213" i="7"/>
  <c r="CD213" i="7"/>
  <c r="CE213" i="7"/>
  <c r="CF213" i="7"/>
  <c r="CG213" i="7"/>
  <c r="CH213" i="7"/>
  <c r="CI213" i="7"/>
  <c r="CJ213" i="7"/>
  <c r="BX214" i="7"/>
  <c r="BY214" i="7"/>
  <c r="BZ214" i="7"/>
  <c r="CA214" i="7"/>
  <c r="CB214" i="7"/>
  <c r="CC214" i="7"/>
  <c r="CD214" i="7"/>
  <c r="CE214" i="7"/>
  <c r="CF214" i="7"/>
  <c r="CG214" i="7"/>
  <c r="CH214" i="7"/>
  <c r="CI214" i="7"/>
  <c r="CJ214" i="7"/>
  <c r="BX215" i="7"/>
  <c r="BY215" i="7"/>
  <c r="BZ215" i="7"/>
  <c r="CA215" i="7"/>
  <c r="CB215" i="7"/>
  <c r="CC215" i="7"/>
  <c r="CD215" i="7"/>
  <c r="CE215" i="7"/>
  <c r="CF215" i="7"/>
  <c r="CG215" i="7"/>
  <c r="CH215" i="7"/>
  <c r="CI215" i="7"/>
  <c r="CJ215" i="7"/>
  <c r="BX216" i="7"/>
  <c r="BY216" i="7"/>
  <c r="BZ216" i="7"/>
  <c r="CA216" i="7"/>
  <c r="CB216" i="7"/>
  <c r="CC216" i="7"/>
  <c r="CD216" i="7"/>
  <c r="CE216" i="7"/>
  <c r="CF216" i="7"/>
  <c r="CG216" i="7"/>
  <c r="CH216" i="7"/>
  <c r="CI216" i="7"/>
  <c r="CJ216" i="7"/>
  <c r="BX217" i="7"/>
  <c r="BY217" i="7"/>
  <c r="BZ217" i="7"/>
  <c r="CA217" i="7"/>
  <c r="CB217" i="7"/>
  <c r="CC217" i="7"/>
  <c r="CD217" i="7"/>
  <c r="CE217" i="7"/>
  <c r="CF217" i="7"/>
  <c r="CG217" i="7"/>
  <c r="CH217" i="7"/>
  <c r="CI217" i="7"/>
  <c r="CJ217" i="7"/>
  <c r="BX218" i="7"/>
  <c r="BY218" i="7"/>
  <c r="BZ218" i="7"/>
  <c r="CA218" i="7"/>
  <c r="CB218" i="7"/>
  <c r="CC218" i="7"/>
  <c r="CD218" i="7"/>
  <c r="CE218" i="7"/>
  <c r="CF218" i="7"/>
  <c r="CG218" i="7"/>
  <c r="CH218" i="7"/>
  <c r="CI218" i="7"/>
  <c r="CJ218" i="7"/>
  <c r="BX219" i="7"/>
  <c r="BY219" i="7"/>
  <c r="BZ219" i="7"/>
  <c r="CA219" i="7"/>
  <c r="CB219" i="7"/>
  <c r="CC219" i="7"/>
  <c r="CD219" i="7"/>
  <c r="CE219" i="7"/>
  <c r="CF219" i="7"/>
  <c r="CG219" i="7"/>
  <c r="CH219" i="7"/>
  <c r="CI219" i="7"/>
  <c r="CJ219" i="7"/>
  <c r="BX220" i="7"/>
  <c r="BY220" i="7"/>
  <c r="BZ220" i="7"/>
  <c r="CA220" i="7"/>
  <c r="CB220" i="7"/>
  <c r="CC220" i="7"/>
  <c r="CD220" i="7"/>
  <c r="CE220" i="7"/>
  <c r="CF220" i="7"/>
  <c r="CG220" i="7"/>
  <c r="CH220" i="7"/>
  <c r="CI220" i="7"/>
  <c r="CJ220" i="7"/>
  <c r="BX221" i="7"/>
  <c r="BY221" i="7"/>
  <c r="BZ221" i="7"/>
  <c r="CA221" i="7"/>
  <c r="CB221" i="7"/>
  <c r="CC221" i="7"/>
  <c r="CD221" i="7"/>
  <c r="CE221" i="7"/>
  <c r="CF221" i="7"/>
  <c r="CG221" i="7"/>
  <c r="CH221" i="7"/>
  <c r="CI221" i="7"/>
  <c r="CJ221" i="7"/>
  <c r="BX222" i="7"/>
  <c r="BY222" i="7"/>
  <c r="BZ222" i="7"/>
  <c r="CA222" i="7"/>
  <c r="CB222" i="7"/>
  <c r="CC222" i="7"/>
  <c r="CD222" i="7"/>
  <c r="CE222" i="7"/>
  <c r="CF222" i="7"/>
  <c r="CG222" i="7"/>
  <c r="CH222" i="7"/>
  <c r="CI222" i="7"/>
  <c r="CJ222" i="7"/>
  <c r="BX223" i="7"/>
  <c r="BY223" i="7"/>
  <c r="BZ223" i="7"/>
  <c r="CA223" i="7"/>
  <c r="CB223" i="7"/>
  <c r="CC223" i="7"/>
  <c r="CD223" i="7"/>
  <c r="CE223" i="7"/>
  <c r="CF223" i="7"/>
  <c r="CG223" i="7"/>
  <c r="CH223" i="7"/>
  <c r="CI223" i="7"/>
  <c r="CJ223" i="7"/>
  <c r="BX224" i="7"/>
  <c r="BY224" i="7"/>
  <c r="BZ224" i="7"/>
  <c r="CA224" i="7"/>
  <c r="CB224" i="7"/>
  <c r="CC224" i="7"/>
  <c r="CD224" i="7"/>
  <c r="CE224" i="7"/>
  <c r="CF224" i="7"/>
  <c r="CG224" i="7"/>
  <c r="CH224" i="7"/>
  <c r="CI224" i="7"/>
  <c r="CJ224" i="7"/>
  <c r="BX225" i="7"/>
  <c r="BY225" i="7"/>
  <c r="BZ225" i="7"/>
  <c r="CA225" i="7"/>
  <c r="CB225" i="7"/>
  <c r="CC225" i="7"/>
  <c r="CD225" i="7"/>
  <c r="CE225" i="7"/>
  <c r="CF225" i="7"/>
  <c r="CG225" i="7"/>
  <c r="CH225" i="7"/>
  <c r="CI225" i="7"/>
  <c r="CJ225" i="7"/>
  <c r="BX226" i="7"/>
  <c r="BY226" i="7"/>
  <c r="BZ226" i="7"/>
  <c r="CA226" i="7"/>
  <c r="CB226" i="7"/>
  <c r="CC226" i="7"/>
  <c r="CD226" i="7"/>
  <c r="CE226" i="7"/>
  <c r="CF226" i="7"/>
  <c r="CG226" i="7"/>
  <c r="CH226" i="7"/>
  <c r="CI226" i="7"/>
  <c r="CJ226" i="7"/>
  <c r="BX227" i="7"/>
  <c r="BY227" i="7"/>
  <c r="BZ227" i="7"/>
  <c r="CA227" i="7"/>
  <c r="CB227" i="7"/>
  <c r="CC227" i="7"/>
  <c r="CD227" i="7"/>
  <c r="CE227" i="7"/>
  <c r="CF227" i="7"/>
  <c r="CG227" i="7"/>
  <c r="CH227" i="7"/>
  <c r="CI227" i="7"/>
  <c r="CJ227" i="7"/>
  <c r="BX228" i="7"/>
  <c r="BY228" i="7"/>
  <c r="BZ228" i="7"/>
  <c r="CA228" i="7"/>
  <c r="CB228" i="7"/>
  <c r="CC228" i="7"/>
  <c r="CD228" i="7"/>
  <c r="CE228" i="7"/>
  <c r="CF228" i="7"/>
  <c r="CG228" i="7"/>
  <c r="CH228" i="7"/>
  <c r="CI228" i="7"/>
  <c r="CJ228" i="7"/>
  <c r="BX229" i="7"/>
  <c r="BY229" i="7"/>
  <c r="BZ229" i="7"/>
  <c r="CA229" i="7"/>
  <c r="CB229" i="7"/>
  <c r="CC229" i="7"/>
  <c r="CD229" i="7"/>
  <c r="CE229" i="7"/>
  <c r="CF229" i="7"/>
  <c r="CG229" i="7"/>
  <c r="CH229" i="7"/>
  <c r="CI229" i="7"/>
  <c r="CJ229" i="7"/>
  <c r="BX230" i="7"/>
  <c r="BY230" i="7"/>
  <c r="BZ230" i="7"/>
  <c r="CA230" i="7"/>
  <c r="CB230" i="7"/>
  <c r="CC230" i="7"/>
  <c r="CD230" i="7"/>
  <c r="CE230" i="7"/>
  <c r="CF230" i="7"/>
  <c r="CG230" i="7"/>
  <c r="CH230" i="7"/>
  <c r="CI230" i="7"/>
  <c r="CJ230" i="7"/>
  <c r="BX231" i="7"/>
  <c r="BY231" i="7"/>
  <c r="BZ231" i="7"/>
  <c r="CA231" i="7"/>
  <c r="CB231" i="7"/>
  <c r="CC231" i="7"/>
  <c r="CD231" i="7"/>
  <c r="CE231" i="7"/>
  <c r="CF231" i="7"/>
  <c r="CG231" i="7"/>
  <c r="CH231" i="7"/>
  <c r="CI231" i="7"/>
  <c r="CJ231" i="7"/>
  <c r="BX232" i="7"/>
  <c r="BY232" i="7"/>
  <c r="BZ232" i="7"/>
  <c r="CA232" i="7"/>
  <c r="CB232" i="7"/>
  <c r="CC232" i="7"/>
  <c r="CD232" i="7"/>
  <c r="CE232" i="7"/>
  <c r="CF232" i="7"/>
  <c r="CG232" i="7"/>
  <c r="CH232" i="7"/>
  <c r="CI232" i="7"/>
  <c r="CJ232" i="7"/>
  <c r="BX233" i="7"/>
  <c r="BY233" i="7"/>
  <c r="BZ233" i="7"/>
  <c r="CA233" i="7"/>
  <c r="CB233" i="7"/>
  <c r="CC233" i="7"/>
  <c r="CD233" i="7"/>
  <c r="CE233" i="7"/>
  <c r="CF233" i="7"/>
  <c r="CG233" i="7"/>
  <c r="CH233" i="7"/>
  <c r="CI233" i="7"/>
  <c r="CJ233" i="7"/>
  <c r="BX234" i="7"/>
  <c r="BY234" i="7"/>
  <c r="BZ234" i="7"/>
  <c r="CA234" i="7"/>
  <c r="CB234" i="7"/>
  <c r="CC234" i="7"/>
  <c r="CD234" i="7"/>
  <c r="CE234" i="7"/>
  <c r="CF234" i="7"/>
  <c r="CG234" i="7"/>
  <c r="CH234" i="7"/>
  <c r="CI234" i="7"/>
  <c r="CJ234" i="7"/>
  <c r="BX235" i="7"/>
  <c r="BY235" i="7"/>
  <c r="BZ235" i="7"/>
  <c r="CA235" i="7"/>
  <c r="CB235" i="7"/>
  <c r="CC235" i="7"/>
  <c r="CD235" i="7"/>
  <c r="CE235" i="7"/>
  <c r="CF235" i="7"/>
  <c r="CG235" i="7"/>
  <c r="CH235" i="7"/>
  <c r="CI235" i="7"/>
  <c r="CJ235" i="7"/>
  <c r="BX236" i="7"/>
  <c r="BY236" i="7"/>
  <c r="BZ236" i="7"/>
  <c r="CA236" i="7"/>
  <c r="CB236" i="7"/>
  <c r="CC236" i="7"/>
  <c r="CD236" i="7"/>
  <c r="CE236" i="7"/>
  <c r="CF236" i="7"/>
  <c r="CG236" i="7"/>
  <c r="CH236" i="7"/>
  <c r="CI236" i="7"/>
  <c r="CJ236" i="7"/>
  <c r="BX237" i="7"/>
  <c r="BY237" i="7"/>
  <c r="BZ237" i="7"/>
  <c r="CA237" i="7"/>
  <c r="CB237" i="7"/>
  <c r="CC237" i="7"/>
  <c r="CD237" i="7"/>
  <c r="CE237" i="7"/>
  <c r="CF237" i="7"/>
  <c r="CG237" i="7"/>
  <c r="CH237" i="7"/>
  <c r="CI237" i="7"/>
  <c r="CJ237" i="7"/>
  <c r="BX238" i="7"/>
  <c r="BY238" i="7"/>
  <c r="BZ238" i="7"/>
  <c r="CA238" i="7"/>
  <c r="CB238" i="7"/>
  <c r="CC238" i="7"/>
  <c r="CD238" i="7"/>
  <c r="CE238" i="7"/>
  <c r="CF238" i="7"/>
  <c r="CG238" i="7"/>
  <c r="CH238" i="7"/>
  <c r="CI238" i="7"/>
  <c r="CJ238" i="7"/>
  <c r="BX239" i="7"/>
  <c r="BY239" i="7"/>
  <c r="BZ239" i="7"/>
  <c r="CA239" i="7"/>
  <c r="CB239" i="7"/>
  <c r="CC239" i="7"/>
  <c r="CD239" i="7"/>
  <c r="CE239" i="7"/>
  <c r="CF239" i="7"/>
  <c r="CG239" i="7"/>
  <c r="CH239" i="7"/>
  <c r="CI239" i="7"/>
  <c r="CJ239" i="7"/>
  <c r="BX240" i="7"/>
  <c r="BY240" i="7"/>
  <c r="BZ240" i="7"/>
  <c r="CA240" i="7"/>
  <c r="CB240" i="7"/>
  <c r="CC240" i="7"/>
  <c r="CD240" i="7"/>
  <c r="CE240" i="7"/>
  <c r="CF240" i="7"/>
  <c r="CG240" i="7"/>
  <c r="CH240" i="7"/>
  <c r="CI240" i="7"/>
  <c r="CJ240" i="7"/>
  <c r="BX241" i="7"/>
  <c r="BY241" i="7"/>
  <c r="BZ241" i="7"/>
  <c r="CA241" i="7"/>
  <c r="CB241" i="7"/>
  <c r="CC241" i="7"/>
  <c r="CD241" i="7"/>
  <c r="CE241" i="7"/>
  <c r="CF241" i="7"/>
  <c r="CG241" i="7"/>
  <c r="CH241" i="7"/>
  <c r="CI241" i="7"/>
  <c r="CJ241" i="7"/>
  <c r="BX242" i="7"/>
  <c r="BY242" i="7"/>
  <c r="BZ242" i="7"/>
  <c r="CA242" i="7"/>
  <c r="CB242" i="7"/>
  <c r="CC242" i="7"/>
  <c r="CD242" i="7"/>
  <c r="CE242" i="7"/>
  <c r="CF242" i="7"/>
  <c r="CG242" i="7"/>
  <c r="CH242" i="7"/>
  <c r="CI242" i="7"/>
  <c r="CJ242" i="7"/>
  <c r="BX243" i="7"/>
  <c r="BY243" i="7"/>
  <c r="BZ243" i="7"/>
  <c r="CA243" i="7"/>
  <c r="CB243" i="7"/>
  <c r="CC243" i="7"/>
  <c r="CD243" i="7"/>
  <c r="CE243" i="7"/>
  <c r="CF243" i="7"/>
  <c r="CG243" i="7"/>
  <c r="CH243" i="7"/>
  <c r="CI243" i="7"/>
  <c r="CJ243" i="7"/>
  <c r="BX244" i="7"/>
  <c r="BY244" i="7"/>
  <c r="BZ244" i="7"/>
  <c r="CA244" i="7"/>
  <c r="CB244" i="7"/>
  <c r="CC244" i="7"/>
  <c r="CD244" i="7"/>
  <c r="CE244" i="7"/>
  <c r="CF244" i="7"/>
  <c r="CG244" i="7"/>
  <c r="CH244" i="7"/>
  <c r="CI244" i="7"/>
  <c r="CJ244" i="7"/>
  <c r="BX245" i="7"/>
  <c r="BY245" i="7"/>
  <c r="BZ245" i="7"/>
  <c r="CA245" i="7"/>
  <c r="CB245" i="7"/>
  <c r="CC245" i="7"/>
  <c r="CD245" i="7"/>
  <c r="CE245" i="7"/>
  <c r="CF245" i="7"/>
  <c r="CG245" i="7"/>
  <c r="CH245" i="7"/>
  <c r="CI245" i="7"/>
  <c r="CJ245" i="7"/>
  <c r="BX246" i="7"/>
  <c r="BY246" i="7"/>
  <c r="BZ246" i="7"/>
  <c r="CA246" i="7"/>
  <c r="CB246" i="7"/>
  <c r="CC246" i="7"/>
  <c r="CD246" i="7"/>
  <c r="CE246" i="7"/>
  <c r="CF246" i="7"/>
  <c r="CG246" i="7"/>
  <c r="CH246" i="7"/>
  <c r="CI246" i="7"/>
  <c r="CJ246" i="7"/>
  <c r="BX247" i="7"/>
  <c r="BY247" i="7"/>
  <c r="BZ247" i="7"/>
  <c r="CA247" i="7"/>
  <c r="CB247" i="7"/>
  <c r="CC247" i="7"/>
  <c r="CD247" i="7"/>
  <c r="CE247" i="7"/>
  <c r="CF247" i="7"/>
  <c r="CG247" i="7"/>
  <c r="CH247" i="7"/>
  <c r="CI247" i="7"/>
  <c r="CJ247" i="7"/>
  <c r="BX248" i="7"/>
  <c r="BY248" i="7"/>
  <c r="BZ248" i="7"/>
  <c r="CA248" i="7"/>
  <c r="CB248" i="7"/>
  <c r="CC248" i="7"/>
  <c r="CD248" i="7"/>
  <c r="CE248" i="7"/>
  <c r="CF248" i="7"/>
  <c r="CG248" i="7"/>
  <c r="CH248" i="7"/>
  <c r="CI248" i="7"/>
  <c r="CJ248" i="7"/>
  <c r="BX249" i="7"/>
  <c r="BY249" i="7"/>
  <c r="BZ249" i="7"/>
  <c r="CA249" i="7"/>
  <c r="CB249" i="7"/>
  <c r="CC249" i="7"/>
  <c r="CD249" i="7"/>
  <c r="CE249" i="7"/>
  <c r="CF249" i="7"/>
  <c r="CG249" i="7"/>
  <c r="CH249" i="7"/>
  <c r="CI249" i="7"/>
  <c r="CJ249" i="7"/>
  <c r="BX250" i="7"/>
  <c r="BY250" i="7"/>
  <c r="BZ250" i="7"/>
  <c r="CA250" i="7"/>
  <c r="CB250" i="7"/>
  <c r="CC250" i="7"/>
  <c r="CD250" i="7"/>
  <c r="CE250" i="7"/>
  <c r="CF250" i="7"/>
  <c r="CG250" i="7"/>
  <c r="CH250" i="7"/>
  <c r="CI250" i="7"/>
  <c r="CJ250" i="7"/>
  <c r="BX251" i="7"/>
  <c r="BY251" i="7"/>
  <c r="BZ251" i="7"/>
  <c r="CA251" i="7"/>
  <c r="CB251" i="7"/>
  <c r="CC251" i="7"/>
  <c r="CD251" i="7"/>
  <c r="CE251" i="7"/>
  <c r="CF251" i="7"/>
  <c r="CG251" i="7"/>
  <c r="CH251" i="7"/>
  <c r="CI251" i="7"/>
  <c r="CJ251" i="7"/>
  <c r="BX252" i="7"/>
  <c r="BY252" i="7"/>
  <c r="BZ252" i="7"/>
  <c r="CA252" i="7"/>
  <c r="CB252" i="7"/>
  <c r="CC252" i="7"/>
  <c r="CD252" i="7"/>
  <c r="CE252" i="7"/>
  <c r="CF252" i="7"/>
  <c r="CG252" i="7"/>
  <c r="CH252" i="7"/>
  <c r="CI252" i="7"/>
  <c r="CJ252" i="7"/>
  <c r="BX253" i="7"/>
  <c r="BY253" i="7"/>
  <c r="BZ253" i="7"/>
  <c r="CA253" i="7"/>
  <c r="CB253" i="7"/>
  <c r="CC253" i="7"/>
  <c r="CD253" i="7"/>
  <c r="CE253" i="7"/>
  <c r="CF253" i="7"/>
  <c r="CG253" i="7"/>
  <c r="CH253" i="7"/>
  <c r="CI253" i="7"/>
  <c r="CJ253" i="7"/>
  <c r="BX254" i="7"/>
  <c r="BY254" i="7"/>
  <c r="BZ254" i="7"/>
  <c r="CA254" i="7"/>
  <c r="CB254" i="7"/>
  <c r="CC254" i="7"/>
  <c r="CD254" i="7"/>
  <c r="CE254" i="7"/>
  <c r="CF254" i="7"/>
  <c r="CG254" i="7"/>
  <c r="CH254" i="7"/>
  <c r="CI254" i="7"/>
  <c r="CJ254" i="7"/>
  <c r="BX255" i="7"/>
  <c r="BY255" i="7"/>
  <c r="BZ255" i="7"/>
  <c r="CA255" i="7"/>
  <c r="CB255" i="7"/>
  <c r="CC255" i="7"/>
  <c r="CD255" i="7"/>
  <c r="CE255" i="7"/>
  <c r="CF255" i="7"/>
  <c r="CG255" i="7"/>
  <c r="CH255" i="7"/>
  <c r="CI255" i="7"/>
  <c r="CJ255" i="7"/>
  <c r="BX256" i="7"/>
  <c r="BY256" i="7"/>
  <c r="BZ256" i="7"/>
  <c r="CA256" i="7"/>
  <c r="CB256" i="7"/>
  <c r="CC256" i="7"/>
  <c r="CD256" i="7"/>
  <c r="CE256" i="7"/>
  <c r="CF256" i="7"/>
  <c r="CG256" i="7"/>
  <c r="CH256" i="7"/>
  <c r="CI256" i="7"/>
  <c r="CJ256" i="7"/>
  <c r="BX257" i="7"/>
  <c r="BY257" i="7"/>
  <c r="BZ257" i="7"/>
  <c r="CA257" i="7"/>
  <c r="CB257" i="7"/>
  <c r="CC257" i="7"/>
  <c r="CD257" i="7"/>
  <c r="CE257" i="7"/>
  <c r="CF257" i="7"/>
  <c r="CG257" i="7"/>
  <c r="CH257" i="7"/>
  <c r="CI257" i="7"/>
  <c r="CJ257" i="7"/>
  <c r="BX258" i="7"/>
  <c r="BY258" i="7"/>
  <c r="BZ258" i="7"/>
  <c r="CA258" i="7"/>
  <c r="CB258" i="7"/>
  <c r="CC258" i="7"/>
  <c r="CD258" i="7"/>
  <c r="CE258" i="7"/>
  <c r="CF258" i="7"/>
  <c r="CG258" i="7"/>
  <c r="CH258" i="7"/>
  <c r="CI258" i="7"/>
  <c r="CJ258" i="7"/>
  <c r="BX259" i="7"/>
  <c r="BY259" i="7"/>
  <c r="BZ259" i="7"/>
  <c r="CA259" i="7"/>
  <c r="CB259" i="7"/>
  <c r="CC259" i="7"/>
  <c r="CD259" i="7"/>
  <c r="CE259" i="7"/>
  <c r="CF259" i="7"/>
  <c r="CG259" i="7"/>
  <c r="CH259" i="7"/>
  <c r="CI259" i="7"/>
  <c r="CJ259" i="7"/>
  <c r="BX260" i="7"/>
  <c r="BY260" i="7"/>
  <c r="BZ260" i="7"/>
  <c r="CA260" i="7"/>
  <c r="CB260" i="7"/>
  <c r="CC260" i="7"/>
  <c r="CD260" i="7"/>
  <c r="CE260" i="7"/>
  <c r="CF260" i="7"/>
  <c r="CG260" i="7"/>
  <c r="CH260" i="7"/>
  <c r="CI260" i="7"/>
  <c r="CJ260" i="7"/>
  <c r="BX261" i="7"/>
  <c r="BY261" i="7"/>
  <c r="BZ261" i="7"/>
  <c r="CA261" i="7"/>
  <c r="CB261" i="7"/>
  <c r="CC261" i="7"/>
  <c r="CD261" i="7"/>
  <c r="CE261" i="7"/>
  <c r="CF261" i="7"/>
  <c r="CG261" i="7"/>
  <c r="CH261" i="7"/>
  <c r="CI261" i="7"/>
  <c r="CJ261" i="7"/>
  <c r="BX262" i="7"/>
  <c r="BY262" i="7"/>
  <c r="BZ262" i="7"/>
  <c r="CA262" i="7"/>
  <c r="CB262" i="7"/>
  <c r="CC262" i="7"/>
  <c r="CD262" i="7"/>
  <c r="CE262" i="7"/>
  <c r="CF262" i="7"/>
  <c r="CG262" i="7"/>
  <c r="CH262" i="7"/>
  <c r="CI262" i="7"/>
  <c r="CJ262" i="7"/>
  <c r="BX263" i="7"/>
  <c r="BY263" i="7"/>
  <c r="BZ263" i="7"/>
  <c r="CA263" i="7"/>
  <c r="CB263" i="7"/>
  <c r="CC263" i="7"/>
  <c r="CD263" i="7"/>
  <c r="CE263" i="7"/>
  <c r="CF263" i="7"/>
  <c r="CG263" i="7"/>
  <c r="CH263" i="7"/>
  <c r="CI263" i="7"/>
  <c r="CJ263" i="7"/>
  <c r="BX264" i="7"/>
  <c r="BY264" i="7"/>
  <c r="BZ264" i="7"/>
  <c r="CA264" i="7"/>
  <c r="CB264" i="7"/>
  <c r="CC264" i="7"/>
  <c r="CD264" i="7"/>
  <c r="CE264" i="7"/>
  <c r="CF264" i="7"/>
  <c r="CG264" i="7"/>
  <c r="CH264" i="7"/>
  <c r="CI264" i="7"/>
  <c r="CJ264" i="7"/>
  <c r="BX265" i="7"/>
  <c r="BY265" i="7"/>
  <c r="BZ265" i="7"/>
  <c r="CA265" i="7"/>
  <c r="CB265" i="7"/>
  <c r="CC265" i="7"/>
  <c r="CD265" i="7"/>
  <c r="CE265" i="7"/>
  <c r="CF265" i="7"/>
  <c r="CG265" i="7"/>
  <c r="CH265" i="7"/>
  <c r="CI265" i="7"/>
  <c r="CJ265" i="7"/>
  <c r="BX266" i="7"/>
  <c r="BY266" i="7"/>
  <c r="BZ266" i="7"/>
  <c r="CA266" i="7"/>
  <c r="CB266" i="7"/>
  <c r="CC266" i="7"/>
  <c r="CD266" i="7"/>
  <c r="CE266" i="7"/>
  <c r="CF266" i="7"/>
  <c r="CG266" i="7"/>
  <c r="CH266" i="7"/>
  <c r="CI266" i="7"/>
  <c r="CJ266" i="7"/>
  <c r="BX267" i="7"/>
  <c r="BY267" i="7"/>
  <c r="BZ267" i="7"/>
  <c r="CA267" i="7"/>
  <c r="CB267" i="7"/>
  <c r="CC267" i="7"/>
  <c r="CD267" i="7"/>
  <c r="CE267" i="7"/>
  <c r="CF267" i="7"/>
  <c r="CG267" i="7"/>
  <c r="CH267" i="7"/>
  <c r="CI267" i="7"/>
  <c r="CJ267" i="7"/>
  <c r="BX268" i="7"/>
  <c r="BY268" i="7"/>
  <c r="BZ268" i="7"/>
  <c r="CA268" i="7"/>
  <c r="CB268" i="7"/>
  <c r="CC268" i="7"/>
  <c r="CD268" i="7"/>
  <c r="CE268" i="7"/>
  <c r="CF268" i="7"/>
  <c r="CG268" i="7"/>
  <c r="CH268" i="7"/>
  <c r="CI268" i="7"/>
  <c r="CJ268" i="7"/>
  <c r="BX269" i="7"/>
  <c r="BY269" i="7"/>
  <c r="BZ269" i="7"/>
  <c r="CA269" i="7"/>
  <c r="CB269" i="7"/>
  <c r="CC269" i="7"/>
  <c r="CD269" i="7"/>
  <c r="CE269" i="7"/>
  <c r="CF269" i="7"/>
  <c r="CG269" i="7"/>
  <c r="CH269" i="7"/>
  <c r="CI269" i="7"/>
  <c r="CJ269" i="7"/>
  <c r="BX270" i="7"/>
  <c r="BY270" i="7"/>
  <c r="BZ270" i="7"/>
  <c r="CA270" i="7"/>
  <c r="CB270" i="7"/>
  <c r="CC270" i="7"/>
  <c r="CD270" i="7"/>
  <c r="CE270" i="7"/>
  <c r="CF270" i="7"/>
  <c r="CG270" i="7"/>
  <c r="CH270" i="7"/>
  <c r="CI270" i="7"/>
  <c r="CJ270" i="7"/>
  <c r="BX271" i="7"/>
  <c r="BY271" i="7"/>
  <c r="BZ271" i="7"/>
  <c r="CA271" i="7"/>
  <c r="CB271" i="7"/>
  <c r="CC271" i="7"/>
  <c r="CD271" i="7"/>
  <c r="CE271" i="7"/>
  <c r="CF271" i="7"/>
  <c r="CG271" i="7"/>
  <c r="CH271" i="7"/>
  <c r="CI271" i="7"/>
  <c r="CJ271" i="7"/>
  <c r="BX272" i="7"/>
  <c r="BY272" i="7"/>
  <c r="BZ272" i="7"/>
  <c r="CA272" i="7"/>
  <c r="CB272" i="7"/>
  <c r="CC272" i="7"/>
  <c r="CD272" i="7"/>
  <c r="CE272" i="7"/>
  <c r="CF272" i="7"/>
  <c r="CG272" i="7"/>
  <c r="CH272" i="7"/>
  <c r="CI272" i="7"/>
  <c r="CJ272" i="7"/>
  <c r="BX273" i="7"/>
  <c r="BY273" i="7"/>
  <c r="BZ273" i="7"/>
  <c r="CA273" i="7"/>
  <c r="CB273" i="7"/>
  <c r="CC273" i="7"/>
  <c r="CD273" i="7"/>
  <c r="CE273" i="7"/>
  <c r="CF273" i="7"/>
  <c r="CG273" i="7"/>
  <c r="CH273" i="7"/>
  <c r="CI273" i="7"/>
  <c r="CJ273" i="7"/>
  <c r="BX274" i="7"/>
  <c r="BY274" i="7"/>
  <c r="BZ274" i="7"/>
  <c r="CA274" i="7"/>
  <c r="CB274" i="7"/>
  <c r="CC274" i="7"/>
  <c r="CD274" i="7"/>
  <c r="CE274" i="7"/>
  <c r="CF274" i="7"/>
  <c r="CG274" i="7"/>
  <c r="CH274" i="7"/>
  <c r="CI274" i="7"/>
  <c r="CJ274" i="7"/>
  <c r="BX275" i="7"/>
  <c r="BY275" i="7"/>
  <c r="BZ275" i="7"/>
  <c r="CA275" i="7"/>
  <c r="CB275" i="7"/>
  <c r="CC275" i="7"/>
  <c r="CD275" i="7"/>
  <c r="CE275" i="7"/>
  <c r="CF275" i="7"/>
  <c r="CG275" i="7"/>
  <c r="CH275" i="7"/>
  <c r="CI275" i="7"/>
  <c r="CJ275" i="7"/>
  <c r="BX276" i="7"/>
  <c r="BY276" i="7"/>
  <c r="BZ276" i="7"/>
  <c r="CA276" i="7"/>
  <c r="CB276" i="7"/>
  <c r="CC276" i="7"/>
  <c r="CD276" i="7"/>
  <c r="CE276" i="7"/>
  <c r="CF276" i="7"/>
  <c r="CG276" i="7"/>
  <c r="CH276" i="7"/>
  <c r="CI276" i="7"/>
  <c r="CJ276" i="7"/>
  <c r="BX277" i="7"/>
  <c r="BY277" i="7"/>
  <c r="BZ277" i="7"/>
  <c r="CA277" i="7"/>
  <c r="CB277" i="7"/>
  <c r="CC277" i="7"/>
  <c r="CD277" i="7"/>
  <c r="CE277" i="7"/>
  <c r="CF277" i="7"/>
  <c r="CG277" i="7"/>
  <c r="CH277" i="7"/>
  <c r="CI277" i="7"/>
  <c r="CJ277" i="7"/>
  <c r="BX278" i="7"/>
  <c r="BY278" i="7"/>
  <c r="BZ278" i="7"/>
  <c r="CA278" i="7"/>
  <c r="CB278" i="7"/>
  <c r="CC278" i="7"/>
  <c r="CD278" i="7"/>
  <c r="CE278" i="7"/>
  <c r="CF278" i="7"/>
  <c r="CG278" i="7"/>
  <c r="CH278" i="7"/>
  <c r="CI278" i="7"/>
  <c r="CJ278" i="7"/>
  <c r="BX279" i="7"/>
  <c r="BY279" i="7"/>
  <c r="BZ279" i="7"/>
  <c r="CA279" i="7"/>
  <c r="CB279" i="7"/>
  <c r="CC279" i="7"/>
  <c r="CD279" i="7"/>
  <c r="CE279" i="7"/>
  <c r="CF279" i="7"/>
  <c r="CG279" i="7"/>
  <c r="CH279" i="7"/>
  <c r="CI279" i="7"/>
  <c r="CJ279" i="7"/>
  <c r="BX280" i="7"/>
  <c r="BY280" i="7"/>
  <c r="BZ280" i="7"/>
  <c r="CA280" i="7"/>
  <c r="CB280" i="7"/>
  <c r="CC280" i="7"/>
  <c r="CD280" i="7"/>
  <c r="CE280" i="7"/>
  <c r="CF280" i="7"/>
  <c r="CG280" i="7"/>
  <c r="CH280" i="7"/>
  <c r="CI280" i="7"/>
  <c r="CJ280" i="7"/>
  <c r="BX281" i="7"/>
  <c r="BY281" i="7"/>
  <c r="BZ281" i="7"/>
  <c r="CA281" i="7"/>
  <c r="CB281" i="7"/>
  <c r="CC281" i="7"/>
  <c r="CD281" i="7"/>
  <c r="CE281" i="7"/>
  <c r="CF281" i="7"/>
  <c r="CG281" i="7"/>
  <c r="CH281" i="7"/>
  <c r="CI281" i="7"/>
  <c r="CJ281" i="7"/>
  <c r="BX282" i="7"/>
  <c r="BY282" i="7"/>
  <c r="BZ282" i="7"/>
  <c r="CA282" i="7"/>
  <c r="CB282" i="7"/>
  <c r="CC282" i="7"/>
  <c r="CD282" i="7"/>
  <c r="CE282" i="7"/>
  <c r="CF282" i="7"/>
  <c r="CG282" i="7"/>
  <c r="CH282" i="7"/>
  <c r="CI282" i="7"/>
  <c r="CJ282" i="7"/>
  <c r="BX283" i="7"/>
  <c r="BY283" i="7"/>
  <c r="BZ283" i="7"/>
  <c r="CA283" i="7"/>
  <c r="CB283" i="7"/>
  <c r="CC283" i="7"/>
  <c r="CD283" i="7"/>
  <c r="CE283" i="7"/>
  <c r="CF283" i="7"/>
  <c r="CG283" i="7"/>
  <c r="CH283" i="7"/>
  <c r="CI283" i="7"/>
  <c r="CJ283" i="7"/>
  <c r="BX284" i="7"/>
  <c r="BY284" i="7"/>
  <c r="BZ284" i="7"/>
  <c r="CA284" i="7"/>
  <c r="CB284" i="7"/>
  <c r="CC284" i="7"/>
  <c r="CD284" i="7"/>
  <c r="CE284" i="7"/>
  <c r="CF284" i="7"/>
  <c r="CG284" i="7"/>
  <c r="CH284" i="7"/>
  <c r="CI284" i="7"/>
  <c r="CJ284" i="7"/>
  <c r="BY5" i="7"/>
  <c r="BZ5" i="7"/>
  <c r="CA5" i="7"/>
  <c r="CB5" i="7"/>
  <c r="CC5" i="7"/>
  <c r="CD5" i="7"/>
  <c r="CE5" i="7"/>
  <c r="CF5" i="7"/>
  <c r="CG5" i="7"/>
  <c r="CH5" i="7"/>
  <c r="CI5" i="7"/>
  <c r="CJ5" i="7"/>
  <c r="BX5" i="7"/>
  <c r="AS6" i="6"/>
  <c r="AT6" i="6"/>
  <c r="AU6" i="6"/>
  <c r="AV6" i="6"/>
  <c r="AW6" i="6"/>
  <c r="AS7" i="6"/>
  <c r="AT7" i="6"/>
  <c r="AU7" i="6"/>
  <c r="AV7" i="6"/>
  <c r="AW7" i="6"/>
  <c r="AS8" i="6"/>
  <c r="AT8" i="6"/>
  <c r="AU8" i="6"/>
  <c r="AV8" i="6"/>
  <c r="AW8" i="6"/>
  <c r="AS9" i="6"/>
  <c r="AT9" i="6"/>
  <c r="AU9" i="6"/>
  <c r="AV9" i="6"/>
  <c r="AW9" i="6"/>
  <c r="AS10" i="6"/>
  <c r="AT10" i="6"/>
  <c r="AU10" i="6"/>
  <c r="AV10" i="6"/>
  <c r="AW10" i="6"/>
  <c r="AS11" i="6"/>
  <c r="AT11" i="6"/>
  <c r="AU11" i="6"/>
  <c r="AV11" i="6"/>
  <c r="AW11" i="6"/>
  <c r="AS12" i="6"/>
  <c r="AT12" i="6"/>
  <c r="AU12" i="6"/>
  <c r="AV12" i="6"/>
  <c r="AW12" i="6"/>
  <c r="AS13" i="6"/>
  <c r="AT13" i="6"/>
  <c r="AU13" i="6"/>
  <c r="AV13" i="6"/>
  <c r="AW13" i="6"/>
  <c r="AS14" i="6"/>
  <c r="AT14" i="6"/>
  <c r="AU14" i="6"/>
  <c r="AV14" i="6"/>
  <c r="AW14" i="6"/>
  <c r="AS15" i="6"/>
  <c r="AT15" i="6"/>
  <c r="AU15" i="6"/>
  <c r="AV15" i="6"/>
  <c r="AW15" i="6"/>
  <c r="AS16" i="6"/>
  <c r="AT16" i="6"/>
  <c r="AU16" i="6"/>
  <c r="AV16" i="6"/>
  <c r="AW16" i="6"/>
  <c r="AS17" i="6"/>
  <c r="AT17" i="6"/>
  <c r="AU17" i="6"/>
  <c r="AV17" i="6"/>
  <c r="AW17" i="6"/>
  <c r="AS18" i="6"/>
  <c r="AT18" i="6"/>
  <c r="AU18" i="6"/>
  <c r="AV18" i="6"/>
  <c r="AW18" i="6"/>
  <c r="AS19" i="6"/>
  <c r="AT19" i="6"/>
  <c r="AU19" i="6"/>
  <c r="AV19" i="6"/>
  <c r="AW19" i="6"/>
  <c r="AS20" i="6"/>
  <c r="AT20" i="6"/>
  <c r="AU20" i="6"/>
  <c r="AV20" i="6"/>
  <c r="AW20" i="6"/>
  <c r="AS21" i="6"/>
  <c r="AT21" i="6"/>
  <c r="AU21" i="6"/>
  <c r="AV21" i="6"/>
  <c r="AW21" i="6"/>
  <c r="AS22" i="6"/>
  <c r="AT22" i="6"/>
  <c r="AU22" i="6"/>
  <c r="AV22" i="6"/>
  <c r="AW22" i="6"/>
  <c r="AS23" i="6"/>
  <c r="AT23" i="6"/>
  <c r="AU23" i="6"/>
  <c r="AV23" i="6"/>
  <c r="AW23" i="6"/>
  <c r="AS24" i="6"/>
  <c r="AT24" i="6"/>
  <c r="AU24" i="6"/>
  <c r="AV24" i="6"/>
  <c r="AW24" i="6"/>
  <c r="AS25" i="6"/>
  <c r="AT25" i="6"/>
  <c r="AU25" i="6"/>
  <c r="AV25" i="6"/>
  <c r="AW25" i="6"/>
  <c r="AS26" i="6"/>
  <c r="AT26" i="6"/>
  <c r="AU26" i="6"/>
  <c r="AV26" i="6"/>
  <c r="AW26" i="6"/>
  <c r="AS27" i="6"/>
  <c r="AT27" i="6"/>
  <c r="AU27" i="6"/>
  <c r="AV27" i="6"/>
  <c r="AW27" i="6"/>
  <c r="AS28" i="6"/>
  <c r="AT28" i="6"/>
  <c r="AU28" i="6"/>
  <c r="AV28" i="6"/>
  <c r="AW28" i="6"/>
  <c r="AS29" i="6"/>
  <c r="AT29" i="6"/>
  <c r="AU29" i="6"/>
  <c r="AV29" i="6"/>
  <c r="AW29" i="6"/>
  <c r="AS30" i="6"/>
  <c r="AT30" i="6"/>
  <c r="AU30" i="6"/>
  <c r="AV30" i="6"/>
  <c r="AW30" i="6"/>
  <c r="AS31" i="6"/>
  <c r="AT31" i="6"/>
  <c r="AU31" i="6"/>
  <c r="AV31" i="6"/>
  <c r="AW31" i="6"/>
  <c r="AS32" i="6"/>
  <c r="AT32" i="6"/>
  <c r="AU32" i="6"/>
  <c r="AV32" i="6"/>
  <c r="AW32" i="6"/>
  <c r="AS33" i="6"/>
  <c r="AT33" i="6"/>
  <c r="AU33" i="6"/>
  <c r="AV33" i="6"/>
  <c r="AW33" i="6"/>
  <c r="AS34" i="6"/>
  <c r="AT34" i="6"/>
  <c r="AU34" i="6"/>
  <c r="AV34" i="6"/>
  <c r="AW34" i="6"/>
  <c r="AS35" i="6"/>
  <c r="AT35" i="6"/>
  <c r="AU35" i="6"/>
  <c r="AV35" i="6"/>
  <c r="AW35" i="6"/>
  <c r="AS36" i="6"/>
  <c r="AT36" i="6"/>
  <c r="AU36" i="6"/>
  <c r="AV36" i="6"/>
  <c r="AW36" i="6"/>
  <c r="AS37" i="6"/>
  <c r="AT37" i="6"/>
  <c r="AU37" i="6"/>
  <c r="AV37" i="6"/>
  <c r="AW37" i="6"/>
  <c r="AS38" i="6"/>
  <c r="AT38" i="6"/>
  <c r="AU38" i="6"/>
  <c r="AV38" i="6"/>
  <c r="AW38" i="6"/>
  <c r="AS39" i="6"/>
  <c r="AT39" i="6"/>
  <c r="AU39" i="6"/>
  <c r="AV39" i="6"/>
  <c r="AW39" i="6"/>
  <c r="AS40" i="6"/>
  <c r="AT40" i="6"/>
  <c r="AU40" i="6"/>
  <c r="AV40" i="6"/>
  <c r="AW40" i="6"/>
  <c r="AS41" i="6"/>
  <c r="AT41" i="6"/>
  <c r="AU41" i="6"/>
  <c r="AV41" i="6"/>
  <c r="AW41" i="6"/>
  <c r="AS42" i="6"/>
  <c r="AT42" i="6"/>
  <c r="AU42" i="6"/>
  <c r="AV42" i="6"/>
  <c r="AW42" i="6"/>
  <c r="AS43" i="6"/>
  <c r="AT43" i="6"/>
  <c r="AU43" i="6"/>
  <c r="AV43" i="6"/>
  <c r="AW43" i="6"/>
  <c r="AS44" i="6"/>
  <c r="AT44" i="6"/>
  <c r="AU44" i="6"/>
  <c r="AV44" i="6"/>
  <c r="AW44" i="6"/>
  <c r="AS45" i="6"/>
  <c r="AT45" i="6"/>
  <c r="AU45" i="6"/>
  <c r="AV45" i="6"/>
  <c r="AW45" i="6"/>
  <c r="AS46" i="6"/>
  <c r="AT46" i="6"/>
  <c r="AU46" i="6"/>
  <c r="AV46" i="6"/>
  <c r="AW46" i="6"/>
  <c r="AS47" i="6"/>
  <c r="AT47" i="6"/>
  <c r="AU47" i="6"/>
  <c r="AV47" i="6"/>
  <c r="AW47" i="6"/>
  <c r="AS48" i="6"/>
  <c r="AT48" i="6"/>
  <c r="AU48" i="6"/>
  <c r="AV48" i="6"/>
  <c r="AW48" i="6"/>
  <c r="AS49" i="6"/>
  <c r="AT49" i="6"/>
  <c r="AU49" i="6"/>
  <c r="AV49" i="6"/>
  <c r="AW49" i="6"/>
  <c r="AS50" i="6"/>
  <c r="AT50" i="6"/>
  <c r="AU50" i="6"/>
  <c r="AV50" i="6"/>
  <c r="AW50" i="6"/>
  <c r="AS51" i="6"/>
  <c r="AT51" i="6"/>
  <c r="AU51" i="6"/>
  <c r="AV51" i="6"/>
  <c r="AW51" i="6"/>
  <c r="AS52" i="6"/>
  <c r="AT52" i="6"/>
  <c r="AU52" i="6"/>
  <c r="AV52" i="6"/>
  <c r="AW52" i="6"/>
  <c r="AS53" i="6"/>
  <c r="AT53" i="6"/>
  <c r="AU53" i="6"/>
  <c r="AV53" i="6"/>
  <c r="AW53" i="6"/>
  <c r="AS54" i="6"/>
  <c r="AT54" i="6"/>
  <c r="AU54" i="6"/>
  <c r="AV54" i="6"/>
  <c r="AW54" i="6"/>
  <c r="AS55" i="6"/>
  <c r="AT55" i="6"/>
  <c r="AU55" i="6"/>
  <c r="AV55" i="6"/>
  <c r="AW55" i="6"/>
  <c r="AS56" i="6"/>
  <c r="AT56" i="6"/>
  <c r="AU56" i="6"/>
  <c r="AV56" i="6"/>
  <c r="AW56" i="6"/>
  <c r="AS57" i="6"/>
  <c r="AT57" i="6"/>
  <c r="AU57" i="6"/>
  <c r="AV57" i="6"/>
  <c r="AW57" i="6"/>
  <c r="AS58" i="6"/>
  <c r="AT58" i="6"/>
  <c r="AU58" i="6"/>
  <c r="AV58" i="6"/>
  <c r="AW58" i="6"/>
  <c r="AS59" i="6"/>
  <c r="AT59" i="6"/>
  <c r="AU59" i="6"/>
  <c r="AV59" i="6"/>
  <c r="AW59" i="6"/>
  <c r="AS60" i="6"/>
  <c r="AT60" i="6"/>
  <c r="AU60" i="6"/>
  <c r="AV60" i="6"/>
  <c r="AW60" i="6"/>
  <c r="AT5" i="6"/>
  <c r="AU5" i="6"/>
  <c r="AV5" i="6"/>
  <c r="AW5" i="6"/>
  <c r="AS5" i="6"/>
  <c r="BN6" i="5"/>
  <c r="BO6" i="5"/>
  <c r="BP6" i="5"/>
  <c r="BQ6" i="5"/>
  <c r="BR6" i="5"/>
  <c r="BS6" i="5"/>
  <c r="BT6" i="5"/>
  <c r="BU6" i="5"/>
  <c r="BV6" i="5"/>
  <c r="BW6" i="5"/>
  <c r="BX6" i="5"/>
  <c r="BN7" i="5"/>
  <c r="BO7" i="5"/>
  <c r="BP7" i="5"/>
  <c r="BQ7" i="5"/>
  <c r="BR7" i="5"/>
  <c r="BS7" i="5"/>
  <c r="BT7" i="5"/>
  <c r="BU7" i="5"/>
  <c r="BV7" i="5"/>
  <c r="BW7" i="5"/>
  <c r="BX7" i="5"/>
  <c r="BN8" i="5"/>
  <c r="BO8" i="5"/>
  <c r="BP8" i="5"/>
  <c r="BQ8" i="5"/>
  <c r="BR8" i="5"/>
  <c r="BS8" i="5"/>
  <c r="BT8" i="5"/>
  <c r="BU8" i="5"/>
  <c r="BV8" i="5"/>
  <c r="BW8" i="5"/>
  <c r="BX8" i="5"/>
  <c r="BN9" i="5"/>
  <c r="BO9" i="5"/>
  <c r="BP9" i="5"/>
  <c r="BQ9" i="5"/>
  <c r="BR9" i="5"/>
  <c r="BS9" i="5"/>
  <c r="BT9" i="5"/>
  <c r="BU9" i="5"/>
  <c r="BV9" i="5"/>
  <c r="BW9" i="5"/>
  <c r="BX9" i="5"/>
  <c r="BN10" i="5"/>
  <c r="BO10" i="5"/>
  <c r="BP10" i="5"/>
  <c r="BQ10" i="5"/>
  <c r="BR10" i="5"/>
  <c r="BS10" i="5"/>
  <c r="BT10" i="5"/>
  <c r="BU10" i="5"/>
  <c r="BV10" i="5"/>
  <c r="BW10" i="5"/>
  <c r="BX10" i="5"/>
  <c r="BN11" i="5"/>
  <c r="BO11" i="5"/>
  <c r="BP11" i="5"/>
  <c r="BQ11" i="5"/>
  <c r="BR11" i="5"/>
  <c r="BS11" i="5"/>
  <c r="BT11" i="5"/>
  <c r="BU11" i="5"/>
  <c r="BV11" i="5"/>
  <c r="BW11" i="5"/>
  <c r="BX11" i="5"/>
  <c r="BN12" i="5"/>
  <c r="BO12" i="5"/>
  <c r="BP12" i="5"/>
  <c r="BQ12" i="5"/>
  <c r="BR12" i="5"/>
  <c r="BS12" i="5"/>
  <c r="BT12" i="5"/>
  <c r="BU12" i="5"/>
  <c r="BV12" i="5"/>
  <c r="BW12" i="5"/>
  <c r="BX12" i="5"/>
  <c r="BN13" i="5"/>
  <c r="BO13" i="5"/>
  <c r="BP13" i="5"/>
  <c r="BQ13" i="5"/>
  <c r="BR13" i="5"/>
  <c r="BS13" i="5"/>
  <c r="BT13" i="5"/>
  <c r="BU13" i="5"/>
  <c r="BV13" i="5"/>
  <c r="BW13" i="5"/>
  <c r="BX13" i="5"/>
  <c r="BN14" i="5"/>
  <c r="BO14" i="5"/>
  <c r="BP14" i="5"/>
  <c r="BQ14" i="5"/>
  <c r="BR14" i="5"/>
  <c r="BS14" i="5"/>
  <c r="BT14" i="5"/>
  <c r="BU14" i="5"/>
  <c r="BV14" i="5"/>
  <c r="BW14" i="5"/>
  <c r="BX14" i="5"/>
  <c r="BN15" i="5"/>
  <c r="BO15" i="5"/>
  <c r="BP15" i="5"/>
  <c r="BQ15" i="5"/>
  <c r="BR15" i="5"/>
  <c r="BS15" i="5"/>
  <c r="BT15" i="5"/>
  <c r="BU15" i="5"/>
  <c r="BV15" i="5"/>
  <c r="BW15" i="5"/>
  <c r="BX15" i="5"/>
  <c r="BN16" i="5"/>
  <c r="BO16" i="5"/>
  <c r="BP16" i="5"/>
  <c r="BQ16" i="5"/>
  <c r="BR16" i="5"/>
  <c r="BS16" i="5"/>
  <c r="BT16" i="5"/>
  <c r="BU16" i="5"/>
  <c r="BV16" i="5"/>
  <c r="BW16" i="5"/>
  <c r="BX16" i="5"/>
  <c r="BN17" i="5"/>
  <c r="BO17" i="5"/>
  <c r="BP17" i="5"/>
  <c r="BQ17" i="5"/>
  <c r="BR17" i="5"/>
  <c r="BS17" i="5"/>
  <c r="BT17" i="5"/>
  <c r="BU17" i="5"/>
  <c r="BV17" i="5"/>
  <c r="BW17" i="5"/>
  <c r="BX17" i="5"/>
  <c r="BN18" i="5"/>
  <c r="BO18" i="5"/>
  <c r="BP18" i="5"/>
  <c r="BQ18" i="5"/>
  <c r="BR18" i="5"/>
  <c r="BS18" i="5"/>
  <c r="BT18" i="5"/>
  <c r="BU18" i="5"/>
  <c r="BV18" i="5"/>
  <c r="BW18" i="5"/>
  <c r="BX18" i="5"/>
  <c r="BN19" i="5"/>
  <c r="BO19" i="5"/>
  <c r="BP19" i="5"/>
  <c r="BQ19" i="5"/>
  <c r="BR19" i="5"/>
  <c r="BS19" i="5"/>
  <c r="BT19" i="5"/>
  <c r="BU19" i="5"/>
  <c r="BV19" i="5"/>
  <c r="BW19" i="5"/>
  <c r="BX19" i="5"/>
  <c r="BN20" i="5"/>
  <c r="BO20" i="5"/>
  <c r="BP20" i="5"/>
  <c r="BQ20" i="5"/>
  <c r="BR20" i="5"/>
  <c r="BS20" i="5"/>
  <c r="BT20" i="5"/>
  <c r="BU20" i="5"/>
  <c r="BV20" i="5"/>
  <c r="BW20" i="5"/>
  <c r="BX20" i="5"/>
  <c r="BN21" i="5"/>
  <c r="BO21" i="5"/>
  <c r="BP21" i="5"/>
  <c r="BQ21" i="5"/>
  <c r="BR21" i="5"/>
  <c r="BS21" i="5"/>
  <c r="BT21" i="5"/>
  <c r="BU21" i="5"/>
  <c r="BV21" i="5"/>
  <c r="BW21" i="5"/>
  <c r="BX21" i="5"/>
  <c r="BN22" i="5"/>
  <c r="BO22" i="5"/>
  <c r="BP22" i="5"/>
  <c r="BQ22" i="5"/>
  <c r="BR22" i="5"/>
  <c r="BS22" i="5"/>
  <c r="BT22" i="5"/>
  <c r="BU22" i="5"/>
  <c r="BV22" i="5"/>
  <c r="BW22" i="5"/>
  <c r="BX22" i="5"/>
  <c r="BN23" i="5"/>
  <c r="BO23" i="5"/>
  <c r="BP23" i="5"/>
  <c r="BQ23" i="5"/>
  <c r="BR23" i="5"/>
  <c r="BS23" i="5"/>
  <c r="BT23" i="5"/>
  <c r="BU23" i="5"/>
  <c r="BV23" i="5"/>
  <c r="BW23" i="5"/>
  <c r="BX23" i="5"/>
  <c r="BN24" i="5"/>
  <c r="BO24" i="5"/>
  <c r="BP24" i="5"/>
  <c r="BQ24" i="5"/>
  <c r="BR24" i="5"/>
  <c r="BS24" i="5"/>
  <c r="BT24" i="5"/>
  <c r="BU24" i="5"/>
  <c r="BV24" i="5"/>
  <c r="BW24" i="5"/>
  <c r="BX24" i="5"/>
  <c r="BN25" i="5"/>
  <c r="BO25" i="5"/>
  <c r="BP25" i="5"/>
  <c r="BQ25" i="5"/>
  <c r="BR25" i="5"/>
  <c r="BS25" i="5"/>
  <c r="BT25" i="5"/>
  <c r="BU25" i="5"/>
  <c r="BV25" i="5"/>
  <c r="BW25" i="5"/>
  <c r="BX25" i="5"/>
  <c r="BN26" i="5"/>
  <c r="BO26" i="5"/>
  <c r="BP26" i="5"/>
  <c r="BQ26" i="5"/>
  <c r="BR26" i="5"/>
  <c r="BS26" i="5"/>
  <c r="BT26" i="5"/>
  <c r="BU26" i="5"/>
  <c r="BV26" i="5"/>
  <c r="BW26" i="5"/>
  <c r="BX26" i="5"/>
  <c r="BN27" i="5"/>
  <c r="BO27" i="5"/>
  <c r="BP27" i="5"/>
  <c r="BQ27" i="5"/>
  <c r="BR27" i="5"/>
  <c r="BS27" i="5"/>
  <c r="BT27" i="5"/>
  <c r="BU27" i="5"/>
  <c r="BV27" i="5"/>
  <c r="BW27" i="5"/>
  <c r="BX27" i="5"/>
  <c r="BN28" i="5"/>
  <c r="BO28" i="5"/>
  <c r="BP28" i="5"/>
  <c r="BQ28" i="5"/>
  <c r="BR28" i="5"/>
  <c r="BS28" i="5"/>
  <c r="BT28" i="5"/>
  <c r="BU28" i="5"/>
  <c r="BV28" i="5"/>
  <c r="BW28" i="5"/>
  <c r="BX28" i="5"/>
  <c r="BN29" i="5"/>
  <c r="BO29" i="5"/>
  <c r="BP29" i="5"/>
  <c r="BQ29" i="5"/>
  <c r="BR29" i="5"/>
  <c r="BS29" i="5"/>
  <c r="BT29" i="5"/>
  <c r="BU29" i="5"/>
  <c r="BV29" i="5"/>
  <c r="BW29" i="5"/>
  <c r="BX29" i="5"/>
  <c r="BN30" i="5"/>
  <c r="BO30" i="5"/>
  <c r="BP30" i="5"/>
  <c r="BQ30" i="5"/>
  <c r="BR30" i="5"/>
  <c r="BS30" i="5"/>
  <c r="BT30" i="5"/>
  <c r="BU30" i="5"/>
  <c r="BV30" i="5"/>
  <c r="BW30" i="5"/>
  <c r="BX30" i="5"/>
  <c r="BN31" i="5"/>
  <c r="BO31" i="5"/>
  <c r="BP31" i="5"/>
  <c r="BQ31" i="5"/>
  <c r="BR31" i="5"/>
  <c r="BS31" i="5"/>
  <c r="BT31" i="5"/>
  <c r="BU31" i="5"/>
  <c r="BV31" i="5"/>
  <c r="BW31" i="5"/>
  <c r="BX31" i="5"/>
  <c r="BN32" i="5"/>
  <c r="BO32" i="5"/>
  <c r="BP32" i="5"/>
  <c r="BQ32" i="5"/>
  <c r="BR32" i="5"/>
  <c r="BS32" i="5"/>
  <c r="BT32" i="5"/>
  <c r="BU32" i="5"/>
  <c r="BV32" i="5"/>
  <c r="BW32" i="5"/>
  <c r="BX32" i="5"/>
  <c r="BN33" i="5"/>
  <c r="BO33" i="5"/>
  <c r="BP33" i="5"/>
  <c r="BQ33" i="5"/>
  <c r="BR33" i="5"/>
  <c r="BS33" i="5"/>
  <c r="BT33" i="5"/>
  <c r="BU33" i="5"/>
  <c r="BV33" i="5"/>
  <c r="BW33" i="5"/>
  <c r="BX33" i="5"/>
  <c r="BN34" i="5"/>
  <c r="BO34" i="5"/>
  <c r="BP34" i="5"/>
  <c r="BQ34" i="5"/>
  <c r="BR34" i="5"/>
  <c r="BS34" i="5"/>
  <c r="BT34" i="5"/>
  <c r="BU34" i="5"/>
  <c r="BV34" i="5"/>
  <c r="BW34" i="5"/>
  <c r="BX34" i="5"/>
  <c r="BN35" i="5"/>
  <c r="BO35" i="5"/>
  <c r="BP35" i="5"/>
  <c r="BQ35" i="5"/>
  <c r="BR35" i="5"/>
  <c r="BS35" i="5"/>
  <c r="BT35" i="5"/>
  <c r="BU35" i="5"/>
  <c r="BV35" i="5"/>
  <c r="BW35" i="5"/>
  <c r="BX35" i="5"/>
  <c r="BN36" i="5"/>
  <c r="BO36" i="5"/>
  <c r="BP36" i="5"/>
  <c r="BQ36" i="5"/>
  <c r="BR36" i="5"/>
  <c r="BS36" i="5"/>
  <c r="BT36" i="5"/>
  <c r="BU36" i="5"/>
  <c r="BV36" i="5"/>
  <c r="BW36" i="5"/>
  <c r="BX36" i="5"/>
  <c r="BN37" i="5"/>
  <c r="BO37" i="5"/>
  <c r="BP37" i="5"/>
  <c r="BQ37" i="5"/>
  <c r="BR37" i="5"/>
  <c r="BS37" i="5"/>
  <c r="BT37" i="5"/>
  <c r="BU37" i="5"/>
  <c r="BV37" i="5"/>
  <c r="BW37" i="5"/>
  <c r="BX37" i="5"/>
  <c r="BN38" i="5"/>
  <c r="BO38" i="5"/>
  <c r="BP38" i="5"/>
  <c r="BQ38" i="5"/>
  <c r="BR38" i="5"/>
  <c r="BS38" i="5"/>
  <c r="BT38" i="5"/>
  <c r="BU38" i="5"/>
  <c r="BV38" i="5"/>
  <c r="BW38" i="5"/>
  <c r="BX38" i="5"/>
  <c r="BN39" i="5"/>
  <c r="BO39" i="5"/>
  <c r="BP39" i="5"/>
  <c r="BQ39" i="5"/>
  <c r="BR39" i="5"/>
  <c r="BS39" i="5"/>
  <c r="BT39" i="5"/>
  <c r="BU39" i="5"/>
  <c r="BV39" i="5"/>
  <c r="BW39" i="5"/>
  <c r="BX39" i="5"/>
  <c r="BN40" i="5"/>
  <c r="BO40" i="5"/>
  <c r="BP40" i="5"/>
  <c r="BQ40" i="5"/>
  <c r="BR40" i="5"/>
  <c r="BS40" i="5"/>
  <c r="BT40" i="5"/>
  <c r="BU40" i="5"/>
  <c r="BV40" i="5"/>
  <c r="BW40" i="5"/>
  <c r="BX40" i="5"/>
  <c r="BN41" i="5"/>
  <c r="BO41" i="5"/>
  <c r="BP41" i="5"/>
  <c r="BQ41" i="5"/>
  <c r="BR41" i="5"/>
  <c r="BS41" i="5"/>
  <c r="BT41" i="5"/>
  <c r="BU41" i="5"/>
  <c r="BV41" i="5"/>
  <c r="BW41" i="5"/>
  <c r="BX41" i="5"/>
  <c r="BN42" i="5"/>
  <c r="BO42" i="5"/>
  <c r="BP42" i="5"/>
  <c r="BQ42" i="5"/>
  <c r="BR42" i="5"/>
  <c r="BS42" i="5"/>
  <c r="BT42" i="5"/>
  <c r="BU42" i="5"/>
  <c r="BV42" i="5"/>
  <c r="BW42" i="5"/>
  <c r="BX42" i="5"/>
  <c r="BN43" i="5"/>
  <c r="BO43" i="5"/>
  <c r="BP43" i="5"/>
  <c r="BQ43" i="5"/>
  <c r="BR43" i="5"/>
  <c r="BS43" i="5"/>
  <c r="BT43" i="5"/>
  <c r="BU43" i="5"/>
  <c r="BV43" i="5"/>
  <c r="BW43" i="5"/>
  <c r="BX43" i="5"/>
  <c r="BN44" i="5"/>
  <c r="BO44" i="5"/>
  <c r="BP44" i="5"/>
  <c r="BQ44" i="5"/>
  <c r="BR44" i="5"/>
  <c r="BS44" i="5"/>
  <c r="BT44" i="5"/>
  <c r="BU44" i="5"/>
  <c r="BV44" i="5"/>
  <c r="BW44" i="5"/>
  <c r="BX44" i="5"/>
  <c r="BN45" i="5"/>
  <c r="BO45" i="5"/>
  <c r="BP45" i="5"/>
  <c r="BQ45" i="5"/>
  <c r="BR45" i="5"/>
  <c r="BS45" i="5"/>
  <c r="BT45" i="5"/>
  <c r="BU45" i="5"/>
  <c r="BV45" i="5"/>
  <c r="BW45" i="5"/>
  <c r="BX45" i="5"/>
  <c r="BN46" i="5"/>
  <c r="BO46" i="5"/>
  <c r="BP46" i="5"/>
  <c r="BQ46" i="5"/>
  <c r="BR46" i="5"/>
  <c r="BS46" i="5"/>
  <c r="BT46" i="5"/>
  <c r="BU46" i="5"/>
  <c r="BV46" i="5"/>
  <c r="BW46" i="5"/>
  <c r="BX46" i="5"/>
  <c r="BN47" i="5"/>
  <c r="BO47" i="5"/>
  <c r="BP47" i="5"/>
  <c r="BQ47" i="5"/>
  <c r="BR47" i="5"/>
  <c r="BS47" i="5"/>
  <c r="BT47" i="5"/>
  <c r="BU47" i="5"/>
  <c r="BV47" i="5"/>
  <c r="BW47" i="5"/>
  <c r="BX47" i="5"/>
  <c r="BN48" i="5"/>
  <c r="BO48" i="5"/>
  <c r="BP48" i="5"/>
  <c r="BQ48" i="5"/>
  <c r="BR48" i="5"/>
  <c r="BS48" i="5"/>
  <c r="BT48" i="5"/>
  <c r="BU48" i="5"/>
  <c r="BV48" i="5"/>
  <c r="BW48" i="5"/>
  <c r="BX48" i="5"/>
  <c r="BN49" i="5"/>
  <c r="BO49" i="5"/>
  <c r="BP49" i="5"/>
  <c r="BQ49" i="5"/>
  <c r="BR49" i="5"/>
  <c r="BS49" i="5"/>
  <c r="BT49" i="5"/>
  <c r="BU49" i="5"/>
  <c r="BV49" i="5"/>
  <c r="BW49" i="5"/>
  <c r="BX49" i="5"/>
  <c r="BN50" i="5"/>
  <c r="BO50" i="5"/>
  <c r="BP50" i="5"/>
  <c r="BQ50" i="5"/>
  <c r="BR50" i="5"/>
  <c r="BS50" i="5"/>
  <c r="BT50" i="5"/>
  <c r="BU50" i="5"/>
  <c r="BV50" i="5"/>
  <c r="BW50" i="5"/>
  <c r="BX50" i="5"/>
  <c r="BN51" i="5"/>
  <c r="BO51" i="5"/>
  <c r="BP51" i="5"/>
  <c r="BQ51" i="5"/>
  <c r="BR51" i="5"/>
  <c r="BS51" i="5"/>
  <c r="BT51" i="5"/>
  <c r="BU51" i="5"/>
  <c r="BV51" i="5"/>
  <c r="BW51" i="5"/>
  <c r="BX51" i="5"/>
  <c r="BN52" i="5"/>
  <c r="BO52" i="5"/>
  <c r="BP52" i="5"/>
  <c r="BQ52" i="5"/>
  <c r="BR52" i="5"/>
  <c r="BS52" i="5"/>
  <c r="BT52" i="5"/>
  <c r="BU52" i="5"/>
  <c r="BV52" i="5"/>
  <c r="BW52" i="5"/>
  <c r="BX52" i="5"/>
  <c r="BN53" i="5"/>
  <c r="BO53" i="5"/>
  <c r="BP53" i="5"/>
  <c r="BQ53" i="5"/>
  <c r="BR53" i="5"/>
  <c r="BS53" i="5"/>
  <c r="BT53" i="5"/>
  <c r="BU53" i="5"/>
  <c r="BV53" i="5"/>
  <c r="BW53" i="5"/>
  <c r="BX53" i="5"/>
  <c r="BN54" i="5"/>
  <c r="BO54" i="5"/>
  <c r="BP54" i="5"/>
  <c r="BQ54" i="5"/>
  <c r="BR54" i="5"/>
  <c r="BS54" i="5"/>
  <c r="BT54" i="5"/>
  <c r="BU54" i="5"/>
  <c r="BV54" i="5"/>
  <c r="BW54" i="5"/>
  <c r="BX54" i="5"/>
  <c r="BN55" i="5"/>
  <c r="BO55" i="5"/>
  <c r="BP55" i="5"/>
  <c r="BQ55" i="5"/>
  <c r="BR55" i="5"/>
  <c r="BS55" i="5"/>
  <c r="BT55" i="5"/>
  <c r="BU55" i="5"/>
  <c r="BV55" i="5"/>
  <c r="BW55" i="5"/>
  <c r="BX55" i="5"/>
  <c r="BN56" i="5"/>
  <c r="BO56" i="5"/>
  <c r="BP56" i="5"/>
  <c r="BQ56" i="5"/>
  <c r="BR56" i="5"/>
  <c r="BS56" i="5"/>
  <c r="BT56" i="5"/>
  <c r="BU56" i="5"/>
  <c r="BV56" i="5"/>
  <c r="BW56" i="5"/>
  <c r="BX56" i="5"/>
  <c r="BN57" i="5"/>
  <c r="BO57" i="5"/>
  <c r="BP57" i="5"/>
  <c r="BQ57" i="5"/>
  <c r="BR57" i="5"/>
  <c r="BS57" i="5"/>
  <c r="BT57" i="5"/>
  <c r="BU57" i="5"/>
  <c r="BV57" i="5"/>
  <c r="BW57" i="5"/>
  <c r="BX57" i="5"/>
  <c r="BN58" i="5"/>
  <c r="BO58" i="5"/>
  <c r="BP58" i="5"/>
  <c r="BQ58" i="5"/>
  <c r="BR58" i="5"/>
  <c r="BS58" i="5"/>
  <c r="BT58" i="5"/>
  <c r="BU58" i="5"/>
  <c r="BV58" i="5"/>
  <c r="BW58" i="5"/>
  <c r="BX58" i="5"/>
  <c r="BN59" i="5"/>
  <c r="BO59" i="5"/>
  <c r="BP59" i="5"/>
  <c r="BQ59" i="5"/>
  <c r="BR59" i="5"/>
  <c r="BS59" i="5"/>
  <c r="BT59" i="5"/>
  <c r="BU59" i="5"/>
  <c r="BV59" i="5"/>
  <c r="BW59" i="5"/>
  <c r="BX59" i="5"/>
  <c r="BN60" i="5"/>
  <c r="BO60" i="5"/>
  <c r="BP60" i="5"/>
  <c r="BQ60" i="5"/>
  <c r="BR60" i="5"/>
  <c r="BS60" i="5"/>
  <c r="BT60" i="5"/>
  <c r="BU60" i="5"/>
  <c r="BV60" i="5"/>
  <c r="BW60" i="5"/>
  <c r="BX60" i="5"/>
  <c r="BN61" i="5"/>
  <c r="BO61" i="5"/>
  <c r="BP61" i="5"/>
  <c r="BQ61" i="5"/>
  <c r="BR61" i="5"/>
  <c r="BS61" i="5"/>
  <c r="BT61" i="5"/>
  <c r="BU61" i="5"/>
  <c r="BV61" i="5"/>
  <c r="BW61" i="5"/>
  <c r="BX61" i="5"/>
  <c r="BN62" i="5"/>
  <c r="BO62" i="5"/>
  <c r="BP62" i="5"/>
  <c r="BQ62" i="5"/>
  <c r="BR62" i="5"/>
  <c r="BS62" i="5"/>
  <c r="BT62" i="5"/>
  <c r="BU62" i="5"/>
  <c r="BV62" i="5"/>
  <c r="BW62" i="5"/>
  <c r="BX62" i="5"/>
  <c r="BN63" i="5"/>
  <c r="BO63" i="5"/>
  <c r="BP63" i="5"/>
  <c r="BQ63" i="5"/>
  <c r="BR63" i="5"/>
  <c r="BS63" i="5"/>
  <c r="BT63" i="5"/>
  <c r="BU63" i="5"/>
  <c r="BV63" i="5"/>
  <c r="BW63" i="5"/>
  <c r="BX63" i="5"/>
  <c r="BN64" i="5"/>
  <c r="BO64" i="5"/>
  <c r="BP64" i="5"/>
  <c r="BQ64" i="5"/>
  <c r="BR64" i="5"/>
  <c r="BS64" i="5"/>
  <c r="BT64" i="5"/>
  <c r="BU64" i="5"/>
  <c r="BV64" i="5"/>
  <c r="BW64" i="5"/>
  <c r="BX64" i="5"/>
  <c r="BN65" i="5"/>
  <c r="BO65" i="5"/>
  <c r="BP65" i="5"/>
  <c r="BQ65" i="5"/>
  <c r="BR65" i="5"/>
  <c r="BS65" i="5"/>
  <c r="BT65" i="5"/>
  <c r="BU65" i="5"/>
  <c r="BV65" i="5"/>
  <c r="BW65" i="5"/>
  <c r="BX65" i="5"/>
  <c r="BN66" i="5"/>
  <c r="BO66" i="5"/>
  <c r="BP66" i="5"/>
  <c r="BQ66" i="5"/>
  <c r="BR66" i="5"/>
  <c r="BS66" i="5"/>
  <c r="BT66" i="5"/>
  <c r="BU66" i="5"/>
  <c r="BV66" i="5"/>
  <c r="BW66" i="5"/>
  <c r="BX66" i="5"/>
  <c r="BN67" i="5"/>
  <c r="BO67" i="5"/>
  <c r="BP67" i="5"/>
  <c r="BQ67" i="5"/>
  <c r="BR67" i="5"/>
  <c r="BS67" i="5"/>
  <c r="BT67" i="5"/>
  <c r="BU67" i="5"/>
  <c r="BV67" i="5"/>
  <c r="BW67" i="5"/>
  <c r="BX67" i="5"/>
  <c r="BN68" i="5"/>
  <c r="BO68" i="5"/>
  <c r="BP68" i="5"/>
  <c r="BQ68" i="5"/>
  <c r="BR68" i="5"/>
  <c r="BS68" i="5"/>
  <c r="BT68" i="5"/>
  <c r="BU68" i="5"/>
  <c r="BV68" i="5"/>
  <c r="BW68" i="5"/>
  <c r="BX68" i="5"/>
  <c r="BN69" i="5"/>
  <c r="BO69" i="5"/>
  <c r="BP69" i="5"/>
  <c r="BQ69" i="5"/>
  <c r="BR69" i="5"/>
  <c r="BS69" i="5"/>
  <c r="BT69" i="5"/>
  <c r="BU69" i="5"/>
  <c r="BV69" i="5"/>
  <c r="BW69" i="5"/>
  <c r="BX69" i="5"/>
  <c r="BN70" i="5"/>
  <c r="BO70" i="5"/>
  <c r="BP70" i="5"/>
  <c r="BQ70" i="5"/>
  <c r="BR70" i="5"/>
  <c r="BS70" i="5"/>
  <c r="BT70" i="5"/>
  <c r="BU70" i="5"/>
  <c r="BV70" i="5"/>
  <c r="BW70" i="5"/>
  <c r="BX70" i="5"/>
  <c r="BN71" i="5"/>
  <c r="BO71" i="5"/>
  <c r="BP71" i="5"/>
  <c r="BQ71" i="5"/>
  <c r="BR71" i="5"/>
  <c r="BS71" i="5"/>
  <c r="BT71" i="5"/>
  <c r="BU71" i="5"/>
  <c r="BV71" i="5"/>
  <c r="BW71" i="5"/>
  <c r="BX71" i="5"/>
  <c r="BN72" i="5"/>
  <c r="BO72" i="5"/>
  <c r="BP72" i="5"/>
  <c r="BQ72" i="5"/>
  <c r="BR72" i="5"/>
  <c r="BS72" i="5"/>
  <c r="BT72" i="5"/>
  <c r="BU72" i="5"/>
  <c r="BV72" i="5"/>
  <c r="BW72" i="5"/>
  <c r="BX72" i="5"/>
  <c r="BN73" i="5"/>
  <c r="BO73" i="5"/>
  <c r="BP73" i="5"/>
  <c r="BQ73" i="5"/>
  <c r="BR73" i="5"/>
  <c r="BS73" i="5"/>
  <c r="BT73" i="5"/>
  <c r="BU73" i="5"/>
  <c r="BV73" i="5"/>
  <c r="BW73" i="5"/>
  <c r="BX73" i="5"/>
  <c r="BN74" i="5"/>
  <c r="BO74" i="5"/>
  <c r="BP74" i="5"/>
  <c r="BQ74" i="5"/>
  <c r="BR74" i="5"/>
  <c r="BS74" i="5"/>
  <c r="BT74" i="5"/>
  <c r="BU74" i="5"/>
  <c r="BV74" i="5"/>
  <c r="BW74" i="5"/>
  <c r="BX74" i="5"/>
  <c r="BN75" i="5"/>
  <c r="BO75" i="5"/>
  <c r="BP75" i="5"/>
  <c r="BQ75" i="5"/>
  <c r="BR75" i="5"/>
  <c r="BS75" i="5"/>
  <c r="BT75" i="5"/>
  <c r="BU75" i="5"/>
  <c r="BV75" i="5"/>
  <c r="BW75" i="5"/>
  <c r="BX75" i="5"/>
  <c r="BN76" i="5"/>
  <c r="BO76" i="5"/>
  <c r="BP76" i="5"/>
  <c r="BQ76" i="5"/>
  <c r="BR76" i="5"/>
  <c r="BS76" i="5"/>
  <c r="BT76" i="5"/>
  <c r="BU76" i="5"/>
  <c r="BV76" i="5"/>
  <c r="BW76" i="5"/>
  <c r="BX76" i="5"/>
  <c r="BN77" i="5"/>
  <c r="BO77" i="5"/>
  <c r="BP77" i="5"/>
  <c r="BQ77" i="5"/>
  <c r="BR77" i="5"/>
  <c r="BS77" i="5"/>
  <c r="BT77" i="5"/>
  <c r="BU77" i="5"/>
  <c r="BV77" i="5"/>
  <c r="BW77" i="5"/>
  <c r="BX77" i="5"/>
  <c r="BN78" i="5"/>
  <c r="BO78" i="5"/>
  <c r="BP78" i="5"/>
  <c r="BQ78" i="5"/>
  <c r="BR78" i="5"/>
  <c r="BS78" i="5"/>
  <c r="BT78" i="5"/>
  <c r="BU78" i="5"/>
  <c r="BV78" i="5"/>
  <c r="BW78" i="5"/>
  <c r="BX78" i="5"/>
  <c r="BN79" i="5"/>
  <c r="BO79" i="5"/>
  <c r="BP79" i="5"/>
  <c r="BQ79" i="5"/>
  <c r="BR79" i="5"/>
  <c r="BS79" i="5"/>
  <c r="BT79" i="5"/>
  <c r="BU79" i="5"/>
  <c r="BV79" i="5"/>
  <c r="BW79" i="5"/>
  <c r="BX79" i="5"/>
  <c r="BN80" i="5"/>
  <c r="BO80" i="5"/>
  <c r="BP80" i="5"/>
  <c r="BQ80" i="5"/>
  <c r="BR80" i="5"/>
  <c r="BS80" i="5"/>
  <c r="BT80" i="5"/>
  <c r="BU80" i="5"/>
  <c r="BV80" i="5"/>
  <c r="BW80" i="5"/>
  <c r="BX80" i="5"/>
  <c r="BN81" i="5"/>
  <c r="BO81" i="5"/>
  <c r="BP81" i="5"/>
  <c r="BQ81" i="5"/>
  <c r="BR81" i="5"/>
  <c r="BS81" i="5"/>
  <c r="BT81" i="5"/>
  <c r="BU81" i="5"/>
  <c r="BV81" i="5"/>
  <c r="BW81" i="5"/>
  <c r="BX81" i="5"/>
  <c r="BN82" i="5"/>
  <c r="BO82" i="5"/>
  <c r="BP82" i="5"/>
  <c r="BQ82" i="5"/>
  <c r="BR82" i="5"/>
  <c r="BS82" i="5"/>
  <c r="BT82" i="5"/>
  <c r="BU82" i="5"/>
  <c r="BV82" i="5"/>
  <c r="BW82" i="5"/>
  <c r="BX82" i="5"/>
  <c r="BN83" i="5"/>
  <c r="BO83" i="5"/>
  <c r="BP83" i="5"/>
  <c r="BQ83" i="5"/>
  <c r="BR83" i="5"/>
  <c r="BS83" i="5"/>
  <c r="BT83" i="5"/>
  <c r="BU83" i="5"/>
  <c r="BV83" i="5"/>
  <c r="BW83" i="5"/>
  <c r="BX83" i="5"/>
  <c r="BN84" i="5"/>
  <c r="BO84" i="5"/>
  <c r="BP84" i="5"/>
  <c r="BQ84" i="5"/>
  <c r="BR84" i="5"/>
  <c r="BS84" i="5"/>
  <c r="BT84" i="5"/>
  <c r="BU84" i="5"/>
  <c r="BV84" i="5"/>
  <c r="BW84" i="5"/>
  <c r="BX84" i="5"/>
  <c r="BN85" i="5"/>
  <c r="BO85" i="5"/>
  <c r="BP85" i="5"/>
  <c r="BQ85" i="5"/>
  <c r="BR85" i="5"/>
  <c r="BS85" i="5"/>
  <c r="BT85" i="5"/>
  <c r="BU85" i="5"/>
  <c r="BV85" i="5"/>
  <c r="BW85" i="5"/>
  <c r="BX85" i="5"/>
  <c r="BN86" i="5"/>
  <c r="BO86" i="5"/>
  <c r="BP86" i="5"/>
  <c r="BQ86" i="5"/>
  <c r="BR86" i="5"/>
  <c r="BS86" i="5"/>
  <c r="BT86" i="5"/>
  <c r="BU86" i="5"/>
  <c r="BV86" i="5"/>
  <c r="BW86" i="5"/>
  <c r="BX86" i="5"/>
  <c r="BN87" i="5"/>
  <c r="BO87" i="5"/>
  <c r="BP87" i="5"/>
  <c r="BQ87" i="5"/>
  <c r="BR87" i="5"/>
  <c r="BS87" i="5"/>
  <c r="BT87" i="5"/>
  <c r="BU87" i="5"/>
  <c r="BV87" i="5"/>
  <c r="BW87" i="5"/>
  <c r="BX87" i="5"/>
  <c r="BN88" i="5"/>
  <c r="BO88" i="5"/>
  <c r="BP88" i="5"/>
  <c r="BQ88" i="5"/>
  <c r="BR88" i="5"/>
  <c r="BS88" i="5"/>
  <c r="BT88" i="5"/>
  <c r="BU88" i="5"/>
  <c r="BV88" i="5"/>
  <c r="BW88" i="5"/>
  <c r="BX88" i="5"/>
  <c r="BN89" i="5"/>
  <c r="BO89" i="5"/>
  <c r="BP89" i="5"/>
  <c r="BQ89" i="5"/>
  <c r="BR89" i="5"/>
  <c r="BS89" i="5"/>
  <c r="BT89" i="5"/>
  <c r="BU89" i="5"/>
  <c r="BV89" i="5"/>
  <c r="BW89" i="5"/>
  <c r="BX89" i="5"/>
  <c r="BN90" i="5"/>
  <c r="BO90" i="5"/>
  <c r="BP90" i="5"/>
  <c r="BQ90" i="5"/>
  <c r="BR90" i="5"/>
  <c r="BS90" i="5"/>
  <c r="BT90" i="5"/>
  <c r="BU90" i="5"/>
  <c r="BV90" i="5"/>
  <c r="BW90" i="5"/>
  <c r="BX90" i="5"/>
  <c r="BN91" i="5"/>
  <c r="BO91" i="5"/>
  <c r="BP91" i="5"/>
  <c r="BQ91" i="5"/>
  <c r="BR91" i="5"/>
  <c r="BS91" i="5"/>
  <c r="BT91" i="5"/>
  <c r="BU91" i="5"/>
  <c r="BV91" i="5"/>
  <c r="BW91" i="5"/>
  <c r="BX91" i="5"/>
  <c r="BN92" i="5"/>
  <c r="BO92" i="5"/>
  <c r="BP92" i="5"/>
  <c r="BQ92" i="5"/>
  <c r="BR92" i="5"/>
  <c r="BS92" i="5"/>
  <c r="BT92" i="5"/>
  <c r="BU92" i="5"/>
  <c r="BV92" i="5"/>
  <c r="BW92" i="5"/>
  <c r="BX92" i="5"/>
  <c r="BN93" i="5"/>
  <c r="BO93" i="5"/>
  <c r="BP93" i="5"/>
  <c r="BQ93" i="5"/>
  <c r="BR93" i="5"/>
  <c r="BS93" i="5"/>
  <c r="BT93" i="5"/>
  <c r="BU93" i="5"/>
  <c r="BV93" i="5"/>
  <c r="BW93" i="5"/>
  <c r="BX93" i="5"/>
  <c r="BN94" i="5"/>
  <c r="BO94" i="5"/>
  <c r="BP94" i="5"/>
  <c r="BQ94" i="5"/>
  <c r="BR94" i="5"/>
  <c r="BS94" i="5"/>
  <c r="BT94" i="5"/>
  <c r="BU94" i="5"/>
  <c r="BV94" i="5"/>
  <c r="BW94" i="5"/>
  <c r="BX94" i="5"/>
  <c r="BN95" i="5"/>
  <c r="BO95" i="5"/>
  <c r="BP95" i="5"/>
  <c r="BQ95" i="5"/>
  <c r="BR95" i="5"/>
  <c r="BS95" i="5"/>
  <c r="BT95" i="5"/>
  <c r="BU95" i="5"/>
  <c r="BV95" i="5"/>
  <c r="BW95" i="5"/>
  <c r="BX95" i="5"/>
  <c r="BN96" i="5"/>
  <c r="BO96" i="5"/>
  <c r="BP96" i="5"/>
  <c r="BQ96" i="5"/>
  <c r="BR96" i="5"/>
  <c r="BS96" i="5"/>
  <c r="BT96" i="5"/>
  <c r="BU96" i="5"/>
  <c r="BV96" i="5"/>
  <c r="BW96" i="5"/>
  <c r="BX96" i="5"/>
  <c r="BN97" i="5"/>
  <c r="BO97" i="5"/>
  <c r="BP97" i="5"/>
  <c r="BQ97" i="5"/>
  <c r="BR97" i="5"/>
  <c r="BS97" i="5"/>
  <c r="BT97" i="5"/>
  <c r="BU97" i="5"/>
  <c r="BV97" i="5"/>
  <c r="BW97" i="5"/>
  <c r="BX97" i="5"/>
  <c r="BN98" i="5"/>
  <c r="BO98" i="5"/>
  <c r="BP98" i="5"/>
  <c r="BQ98" i="5"/>
  <c r="BR98" i="5"/>
  <c r="BS98" i="5"/>
  <c r="BT98" i="5"/>
  <c r="BU98" i="5"/>
  <c r="BV98" i="5"/>
  <c r="BW98" i="5"/>
  <c r="BX98" i="5"/>
  <c r="BN99" i="5"/>
  <c r="BO99" i="5"/>
  <c r="BP99" i="5"/>
  <c r="BQ99" i="5"/>
  <c r="BR99" i="5"/>
  <c r="BS99" i="5"/>
  <c r="BT99" i="5"/>
  <c r="BU99" i="5"/>
  <c r="BV99" i="5"/>
  <c r="BW99" i="5"/>
  <c r="BX99" i="5"/>
  <c r="BN100" i="5"/>
  <c r="BO100" i="5"/>
  <c r="BP100" i="5"/>
  <c r="BQ100" i="5"/>
  <c r="BR100" i="5"/>
  <c r="BS100" i="5"/>
  <c r="BT100" i="5"/>
  <c r="BU100" i="5"/>
  <c r="BV100" i="5"/>
  <c r="BW100" i="5"/>
  <c r="BX100" i="5"/>
  <c r="BN101" i="5"/>
  <c r="BO101" i="5"/>
  <c r="BP101" i="5"/>
  <c r="BQ101" i="5"/>
  <c r="BR101" i="5"/>
  <c r="BS101" i="5"/>
  <c r="BT101" i="5"/>
  <c r="BU101" i="5"/>
  <c r="BV101" i="5"/>
  <c r="BW101" i="5"/>
  <c r="BX101" i="5"/>
  <c r="BN102" i="5"/>
  <c r="BO102" i="5"/>
  <c r="BP102" i="5"/>
  <c r="BQ102" i="5"/>
  <c r="BR102" i="5"/>
  <c r="BS102" i="5"/>
  <c r="BT102" i="5"/>
  <c r="BU102" i="5"/>
  <c r="BV102" i="5"/>
  <c r="BW102" i="5"/>
  <c r="BX102" i="5"/>
  <c r="BN103" i="5"/>
  <c r="BO103" i="5"/>
  <c r="BP103" i="5"/>
  <c r="BQ103" i="5"/>
  <c r="BR103" i="5"/>
  <c r="BS103" i="5"/>
  <c r="BT103" i="5"/>
  <c r="BU103" i="5"/>
  <c r="BV103" i="5"/>
  <c r="BW103" i="5"/>
  <c r="BX103" i="5"/>
  <c r="BN104" i="5"/>
  <c r="BO104" i="5"/>
  <c r="BP104" i="5"/>
  <c r="BQ104" i="5"/>
  <c r="BR104" i="5"/>
  <c r="BS104" i="5"/>
  <c r="BT104" i="5"/>
  <c r="BU104" i="5"/>
  <c r="BV104" i="5"/>
  <c r="BW104" i="5"/>
  <c r="BX104" i="5"/>
  <c r="BN105" i="5"/>
  <c r="BO105" i="5"/>
  <c r="BP105" i="5"/>
  <c r="BQ105" i="5"/>
  <c r="BR105" i="5"/>
  <c r="BS105" i="5"/>
  <c r="BT105" i="5"/>
  <c r="BU105" i="5"/>
  <c r="BV105" i="5"/>
  <c r="BW105" i="5"/>
  <c r="BX105" i="5"/>
  <c r="BN106" i="5"/>
  <c r="BO106" i="5"/>
  <c r="BP106" i="5"/>
  <c r="BQ106" i="5"/>
  <c r="BR106" i="5"/>
  <c r="BS106" i="5"/>
  <c r="BT106" i="5"/>
  <c r="BU106" i="5"/>
  <c r="BV106" i="5"/>
  <c r="BW106" i="5"/>
  <c r="BX106" i="5"/>
  <c r="BN107" i="5"/>
  <c r="BO107" i="5"/>
  <c r="BP107" i="5"/>
  <c r="BQ107" i="5"/>
  <c r="BR107" i="5"/>
  <c r="BS107" i="5"/>
  <c r="BT107" i="5"/>
  <c r="BU107" i="5"/>
  <c r="BV107" i="5"/>
  <c r="BW107" i="5"/>
  <c r="BX107" i="5"/>
  <c r="BN108" i="5"/>
  <c r="BO108" i="5"/>
  <c r="BP108" i="5"/>
  <c r="BQ108" i="5"/>
  <c r="BR108" i="5"/>
  <c r="BS108" i="5"/>
  <c r="BT108" i="5"/>
  <c r="BU108" i="5"/>
  <c r="BV108" i="5"/>
  <c r="BW108" i="5"/>
  <c r="BX108" i="5"/>
  <c r="BN109" i="5"/>
  <c r="BO109" i="5"/>
  <c r="BP109" i="5"/>
  <c r="BQ109" i="5"/>
  <c r="BR109" i="5"/>
  <c r="BS109" i="5"/>
  <c r="BT109" i="5"/>
  <c r="BU109" i="5"/>
  <c r="BV109" i="5"/>
  <c r="BW109" i="5"/>
  <c r="BX109" i="5"/>
  <c r="BN110" i="5"/>
  <c r="BO110" i="5"/>
  <c r="BP110" i="5"/>
  <c r="BQ110" i="5"/>
  <c r="BR110" i="5"/>
  <c r="BS110" i="5"/>
  <c r="BT110" i="5"/>
  <c r="BU110" i="5"/>
  <c r="BV110" i="5"/>
  <c r="BW110" i="5"/>
  <c r="BX110" i="5"/>
  <c r="BN111" i="5"/>
  <c r="BO111" i="5"/>
  <c r="BP111" i="5"/>
  <c r="BQ111" i="5"/>
  <c r="BR111" i="5"/>
  <c r="BS111" i="5"/>
  <c r="BT111" i="5"/>
  <c r="BU111" i="5"/>
  <c r="BV111" i="5"/>
  <c r="BW111" i="5"/>
  <c r="BX111" i="5"/>
  <c r="BN112" i="5"/>
  <c r="BO112" i="5"/>
  <c r="BP112" i="5"/>
  <c r="BQ112" i="5"/>
  <c r="BR112" i="5"/>
  <c r="BS112" i="5"/>
  <c r="BT112" i="5"/>
  <c r="BU112" i="5"/>
  <c r="BV112" i="5"/>
  <c r="BW112" i="5"/>
  <c r="BX112" i="5"/>
  <c r="BN113" i="5"/>
  <c r="BO113" i="5"/>
  <c r="BP113" i="5"/>
  <c r="BQ113" i="5"/>
  <c r="BR113" i="5"/>
  <c r="BS113" i="5"/>
  <c r="BT113" i="5"/>
  <c r="BU113" i="5"/>
  <c r="BV113" i="5"/>
  <c r="BW113" i="5"/>
  <c r="BX113" i="5"/>
  <c r="BN114" i="5"/>
  <c r="BO114" i="5"/>
  <c r="BP114" i="5"/>
  <c r="BQ114" i="5"/>
  <c r="BR114" i="5"/>
  <c r="BS114" i="5"/>
  <c r="BT114" i="5"/>
  <c r="BU114" i="5"/>
  <c r="BV114" i="5"/>
  <c r="BW114" i="5"/>
  <c r="BX114" i="5"/>
  <c r="BN115" i="5"/>
  <c r="BO115" i="5"/>
  <c r="BP115" i="5"/>
  <c r="BQ115" i="5"/>
  <c r="BR115" i="5"/>
  <c r="BS115" i="5"/>
  <c r="BT115" i="5"/>
  <c r="BU115" i="5"/>
  <c r="BV115" i="5"/>
  <c r="BW115" i="5"/>
  <c r="BX115" i="5"/>
  <c r="BN116" i="5"/>
  <c r="BO116" i="5"/>
  <c r="BP116" i="5"/>
  <c r="BQ116" i="5"/>
  <c r="BR116" i="5"/>
  <c r="BS116" i="5"/>
  <c r="BT116" i="5"/>
  <c r="BU116" i="5"/>
  <c r="BV116" i="5"/>
  <c r="BW116" i="5"/>
  <c r="BX116" i="5"/>
  <c r="BN117" i="5"/>
  <c r="BO117" i="5"/>
  <c r="BP117" i="5"/>
  <c r="BQ117" i="5"/>
  <c r="BR117" i="5"/>
  <c r="BS117" i="5"/>
  <c r="BT117" i="5"/>
  <c r="BU117" i="5"/>
  <c r="BV117" i="5"/>
  <c r="BW117" i="5"/>
  <c r="BX117" i="5"/>
  <c r="BN118" i="5"/>
  <c r="BO118" i="5"/>
  <c r="BP118" i="5"/>
  <c r="BQ118" i="5"/>
  <c r="BR118" i="5"/>
  <c r="BS118" i="5"/>
  <c r="BT118" i="5"/>
  <c r="BU118" i="5"/>
  <c r="BV118" i="5"/>
  <c r="BW118" i="5"/>
  <c r="BX118" i="5"/>
  <c r="BN119" i="5"/>
  <c r="BO119" i="5"/>
  <c r="BP119" i="5"/>
  <c r="BQ119" i="5"/>
  <c r="BR119" i="5"/>
  <c r="BS119" i="5"/>
  <c r="BT119" i="5"/>
  <c r="BU119" i="5"/>
  <c r="BV119" i="5"/>
  <c r="BW119" i="5"/>
  <c r="BX119" i="5"/>
  <c r="BN120" i="5"/>
  <c r="BO120" i="5"/>
  <c r="BP120" i="5"/>
  <c r="BQ120" i="5"/>
  <c r="BR120" i="5"/>
  <c r="BS120" i="5"/>
  <c r="BT120" i="5"/>
  <c r="BU120" i="5"/>
  <c r="BV120" i="5"/>
  <c r="BW120" i="5"/>
  <c r="BX120" i="5"/>
  <c r="BN121" i="5"/>
  <c r="BO121" i="5"/>
  <c r="BP121" i="5"/>
  <c r="BQ121" i="5"/>
  <c r="BR121" i="5"/>
  <c r="BS121" i="5"/>
  <c r="BT121" i="5"/>
  <c r="BU121" i="5"/>
  <c r="BV121" i="5"/>
  <c r="BW121" i="5"/>
  <c r="BX121" i="5"/>
  <c r="BN122" i="5"/>
  <c r="BO122" i="5"/>
  <c r="BP122" i="5"/>
  <c r="BQ122" i="5"/>
  <c r="BR122" i="5"/>
  <c r="BS122" i="5"/>
  <c r="BT122" i="5"/>
  <c r="BU122" i="5"/>
  <c r="BV122" i="5"/>
  <c r="BW122" i="5"/>
  <c r="BX122" i="5"/>
  <c r="BN123" i="5"/>
  <c r="BO123" i="5"/>
  <c r="BP123" i="5"/>
  <c r="BQ123" i="5"/>
  <c r="BR123" i="5"/>
  <c r="BS123" i="5"/>
  <c r="BT123" i="5"/>
  <c r="BU123" i="5"/>
  <c r="BV123" i="5"/>
  <c r="BW123" i="5"/>
  <c r="BX123" i="5"/>
  <c r="BN124" i="5"/>
  <c r="BO124" i="5"/>
  <c r="BP124" i="5"/>
  <c r="BQ124" i="5"/>
  <c r="BR124" i="5"/>
  <c r="BS124" i="5"/>
  <c r="BT124" i="5"/>
  <c r="BU124" i="5"/>
  <c r="BV124" i="5"/>
  <c r="BW124" i="5"/>
  <c r="BX124" i="5"/>
  <c r="BN125" i="5"/>
  <c r="BO125" i="5"/>
  <c r="BP125" i="5"/>
  <c r="BQ125" i="5"/>
  <c r="BR125" i="5"/>
  <c r="BS125" i="5"/>
  <c r="BT125" i="5"/>
  <c r="BU125" i="5"/>
  <c r="BV125" i="5"/>
  <c r="BW125" i="5"/>
  <c r="BX125" i="5"/>
  <c r="BN126" i="5"/>
  <c r="BO126" i="5"/>
  <c r="BP126" i="5"/>
  <c r="BQ126" i="5"/>
  <c r="BR126" i="5"/>
  <c r="BS126" i="5"/>
  <c r="BT126" i="5"/>
  <c r="BU126" i="5"/>
  <c r="BV126" i="5"/>
  <c r="BW126" i="5"/>
  <c r="BX126" i="5"/>
  <c r="BN127" i="5"/>
  <c r="BO127" i="5"/>
  <c r="BP127" i="5"/>
  <c r="BQ127" i="5"/>
  <c r="BR127" i="5"/>
  <c r="BS127" i="5"/>
  <c r="BT127" i="5"/>
  <c r="BU127" i="5"/>
  <c r="BV127" i="5"/>
  <c r="BW127" i="5"/>
  <c r="BX127" i="5"/>
  <c r="BN128" i="5"/>
  <c r="BO128" i="5"/>
  <c r="BP128" i="5"/>
  <c r="BQ128" i="5"/>
  <c r="BR128" i="5"/>
  <c r="BS128" i="5"/>
  <c r="BT128" i="5"/>
  <c r="BU128" i="5"/>
  <c r="BV128" i="5"/>
  <c r="BW128" i="5"/>
  <c r="BX128" i="5"/>
  <c r="BN129" i="5"/>
  <c r="BO129" i="5"/>
  <c r="BP129" i="5"/>
  <c r="BQ129" i="5"/>
  <c r="BR129" i="5"/>
  <c r="BS129" i="5"/>
  <c r="BT129" i="5"/>
  <c r="BU129" i="5"/>
  <c r="BV129" i="5"/>
  <c r="BW129" i="5"/>
  <c r="BX129" i="5"/>
  <c r="BN130" i="5"/>
  <c r="BO130" i="5"/>
  <c r="BP130" i="5"/>
  <c r="BQ130" i="5"/>
  <c r="BR130" i="5"/>
  <c r="BS130" i="5"/>
  <c r="BT130" i="5"/>
  <c r="BU130" i="5"/>
  <c r="BV130" i="5"/>
  <c r="BW130" i="5"/>
  <c r="BX130" i="5"/>
  <c r="BN131" i="5"/>
  <c r="BO131" i="5"/>
  <c r="BP131" i="5"/>
  <c r="BQ131" i="5"/>
  <c r="BR131" i="5"/>
  <c r="BS131" i="5"/>
  <c r="BT131" i="5"/>
  <c r="BU131" i="5"/>
  <c r="BV131" i="5"/>
  <c r="BW131" i="5"/>
  <c r="BX131" i="5"/>
  <c r="BN132" i="5"/>
  <c r="BO132" i="5"/>
  <c r="BP132" i="5"/>
  <c r="BQ132" i="5"/>
  <c r="BR132" i="5"/>
  <c r="BS132" i="5"/>
  <c r="BT132" i="5"/>
  <c r="BU132" i="5"/>
  <c r="BV132" i="5"/>
  <c r="BW132" i="5"/>
  <c r="BX132" i="5"/>
  <c r="BN133" i="5"/>
  <c r="BO133" i="5"/>
  <c r="BP133" i="5"/>
  <c r="BQ133" i="5"/>
  <c r="BR133" i="5"/>
  <c r="BS133" i="5"/>
  <c r="BT133" i="5"/>
  <c r="BU133" i="5"/>
  <c r="BV133" i="5"/>
  <c r="BW133" i="5"/>
  <c r="BX133" i="5"/>
  <c r="BN134" i="5"/>
  <c r="BO134" i="5"/>
  <c r="BP134" i="5"/>
  <c r="BQ134" i="5"/>
  <c r="BR134" i="5"/>
  <c r="BS134" i="5"/>
  <c r="BT134" i="5"/>
  <c r="BU134" i="5"/>
  <c r="BV134" i="5"/>
  <c r="BW134" i="5"/>
  <c r="BX134" i="5"/>
  <c r="BN135" i="5"/>
  <c r="BO135" i="5"/>
  <c r="BP135" i="5"/>
  <c r="BQ135" i="5"/>
  <c r="BR135" i="5"/>
  <c r="BS135" i="5"/>
  <c r="BT135" i="5"/>
  <c r="BU135" i="5"/>
  <c r="BV135" i="5"/>
  <c r="BW135" i="5"/>
  <c r="BX135" i="5"/>
  <c r="BN136" i="5"/>
  <c r="BO136" i="5"/>
  <c r="BP136" i="5"/>
  <c r="BQ136" i="5"/>
  <c r="BR136" i="5"/>
  <c r="BS136" i="5"/>
  <c r="BT136" i="5"/>
  <c r="BU136" i="5"/>
  <c r="BV136" i="5"/>
  <c r="BW136" i="5"/>
  <c r="BX136" i="5"/>
  <c r="BN137" i="5"/>
  <c r="BO137" i="5"/>
  <c r="BP137" i="5"/>
  <c r="BQ137" i="5"/>
  <c r="BR137" i="5"/>
  <c r="BS137" i="5"/>
  <c r="BT137" i="5"/>
  <c r="BU137" i="5"/>
  <c r="BV137" i="5"/>
  <c r="BW137" i="5"/>
  <c r="BX137" i="5"/>
  <c r="BN138" i="5"/>
  <c r="BO138" i="5"/>
  <c r="BP138" i="5"/>
  <c r="BQ138" i="5"/>
  <c r="BR138" i="5"/>
  <c r="BS138" i="5"/>
  <c r="BT138" i="5"/>
  <c r="BU138" i="5"/>
  <c r="BV138" i="5"/>
  <c r="BW138" i="5"/>
  <c r="BX138" i="5"/>
  <c r="BN139" i="5"/>
  <c r="BO139" i="5"/>
  <c r="BP139" i="5"/>
  <c r="BQ139" i="5"/>
  <c r="BR139" i="5"/>
  <c r="BS139" i="5"/>
  <c r="BT139" i="5"/>
  <c r="BU139" i="5"/>
  <c r="BV139" i="5"/>
  <c r="BW139" i="5"/>
  <c r="BX139" i="5"/>
  <c r="BN140" i="5"/>
  <c r="BO140" i="5"/>
  <c r="BP140" i="5"/>
  <c r="BQ140" i="5"/>
  <c r="BR140" i="5"/>
  <c r="BS140" i="5"/>
  <c r="BT140" i="5"/>
  <c r="BU140" i="5"/>
  <c r="BV140" i="5"/>
  <c r="BW140" i="5"/>
  <c r="BX140" i="5"/>
  <c r="BN141" i="5"/>
  <c r="BO141" i="5"/>
  <c r="BP141" i="5"/>
  <c r="BQ141" i="5"/>
  <c r="BR141" i="5"/>
  <c r="BS141" i="5"/>
  <c r="BT141" i="5"/>
  <c r="BU141" i="5"/>
  <c r="BV141" i="5"/>
  <c r="BW141" i="5"/>
  <c r="BX141" i="5"/>
  <c r="BN142" i="5"/>
  <c r="BO142" i="5"/>
  <c r="BP142" i="5"/>
  <c r="BQ142" i="5"/>
  <c r="BR142" i="5"/>
  <c r="BS142" i="5"/>
  <c r="BT142" i="5"/>
  <c r="BU142" i="5"/>
  <c r="BV142" i="5"/>
  <c r="BW142" i="5"/>
  <c r="BX142" i="5"/>
  <c r="BN143" i="5"/>
  <c r="BO143" i="5"/>
  <c r="BP143" i="5"/>
  <c r="BQ143" i="5"/>
  <c r="BR143" i="5"/>
  <c r="BS143" i="5"/>
  <c r="BT143" i="5"/>
  <c r="BU143" i="5"/>
  <c r="BV143" i="5"/>
  <c r="BW143" i="5"/>
  <c r="BX143" i="5"/>
  <c r="BN144" i="5"/>
  <c r="BO144" i="5"/>
  <c r="BP144" i="5"/>
  <c r="BQ144" i="5"/>
  <c r="BR144" i="5"/>
  <c r="BS144" i="5"/>
  <c r="BT144" i="5"/>
  <c r="BU144" i="5"/>
  <c r="BV144" i="5"/>
  <c r="BW144" i="5"/>
  <c r="BX144" i="5"/>
  <c r="BN145" i="5"/>
  <c r="BO145" i="5"/>
  <c r="BP145" i="5"/>
  <c r="BQ145" i="5"/>
  <c r="BR145" i="5"/>
  <c r="BS145" i="5"/>
  <c r="BT145" i="5"/>
  <c r="BU145" i="5"/>
  <c r="BV145" i="5"/>
  <c r="BW145" i="5"/>
  <c r="BX145" i="5"/>
  <c r="BN146" i="5"/>
  <c r="BO146" i="5"/>
  <c r="BP146" i="5"/>
  <c r="BQ146" i="5"/>
  <c r="BR146" i="5"/>
  <c r="BS146" i="5"/>
  <c r="BT146" i="5"/>
  <c r="BU146" i="5"/>
  <c r="BV146" i="5"/>
  <c r="BW146" i="5"/>
  <c r="BX146" i="5"/>
  <c r="BN147" i="5"/>
  <c r="BO147" i="5"/>
  <c r="BP147" i="5"/>
  <c r="BQ147" i="5"/>
  <c r="BR147" i="5"/>
  <c r="BS147" i="5"/>
  <c r="BT147" i="5"/>
  <c r="BU147" i="5"/>
  <c r="BV147" i="5"/>
  <c r="BW147" i="5"/>
  <c r="BX147" i="5"/>
  <c r="BN148" i="5"/>
  <c r="BO148" i="5"/>
  <c r="BP148" i="5"/>
  <c r="BQ148" i="5"/>
  <c r="BR148" i="5"/>
  <c r="BS148" i="5"/>
  <c r="BT148" i="5"/>
  <c r="BU148" i="5"/>
  <c r="BV148" i="5"/>
  <c r="BW148" i="5"/>
  <c r="BX148" i="5"/>
  <c r="BN149" i="5"/>
  <c r="BO149" i="5"/>
  <c r="BP149" i="5"/>
  <c r="BQ149" i="5"/>
  <c r="BR149" i="5"/>
  <c r="BS149" i="5"/>
  <c r="BT149" i="5"/>
  <c r="BU149" i="5"/>
  <c r="BV149" i="5"/>
  <c r="BW149" i="5"/>
  <c r="BX149" i="5"/>
  <c r="BN150" i="5"/>
  <c r="BO150" i="5"/>
  <c r="BP150" i="5"/>
  <c r="BQ150" i="5"/>
  <c r="BR150" i="5"/>
  <c r="BS150" i="5"/>
  <c r="BT150" i="5"/>
  <c r="BU150" i="5"/>
  <c r="BV150" i="5"/>
  <c r="BW150" i="5"/>
  <c r="BX150" i="5"/>
  <c r="BN151" i="5"/>
  <c r="BO151" i="5"/>
  <c r="BP151" i="5"/>
  <c r="BQ151" i="5"/>
  <c r="BR151" i="5"/>
  <c r="BS151" i="5"/>
  <c r="BT151" i="5"/>
  <c r="BU151" i="5"/>
  <c r="BV151" i="5"/>
  <c r="BW151" i="5"/>
  <c r="BX151" i="5"/>
  <c r="BN152" i="5"/>
  <c r="BO152" i="5"/>
  <c r="BP152" i="5"/>
  <c r="BQ152" i="5"/>
  <c r="BR152" i="5"/>
  <c r="BS152" i="5"/>
  <c r="BT152" i="5"/>
  <c r="BU152" i="5"/>
  <c r="BV152" i="5"/>
  <c r="BW152" i="5"/>
  <c r="BX152" i="5"/>
  <c r="BN153" i="5"/>
  <c r="BO153" i="5"/>
  <c r="BP153" i="5"/>
  <c r="BQ153" i="5"/>
  <c r="BR153" i="5"/>
  <c r="BS153" i="5"/>
  <c r="BT153" i="5"/>
  <c r="BU153" i="5"/>
  <c r="BV153" i="5"/>
  <c r="BW153" i="5"/>
  <c r="BX153" i="5"/>
  <c r="BN154" i="5"/>
  <c r="BO154" i="5"/>
  <c r="BP154" i="5"/>
  <c r="BQ154" i="5"/>
  <c r="BR154" i="5"/>
  <c r="BS154" i="5"/>
  <c r="BT154" i="5"/>
  <c r="BU154" i="5"/>
  <c r="BV154" i="5"/>
  <c r="BW154" i="5"/>
  <c r="BX154" i="5"/>
  <c r="BN155" i="5"/>
  <c r="BO155" i="5"/>
  <c r="BP155" i="5"/>
  <c r="BQ155" i="5"/>
  <c r="BR155" i="5"/>
  <c r="BS155" i="5"/>
  <c r="BT155" i="5"/>
  <c r="BU155" i="5"/>
  <c r="BV155" i="5"/>
  <c r="BW155" i="5"/>
  <c r="BX155" i="5"/>
  <c r="BN156" i="5"/>
  <c r="BO156" i="5"/>
  <c r="BP156" i="5"/>
  <c r="BQ156" i="5"/>
  <c r="BR156" i="5"/>
  <c r="BS156" i="5"/>
  <c r="BT156" i="5"/>
  <c r="BU156" i="5"/>
  <c r="BV156" i="5"/>
  <c r="BW156" i="5"/>
  <c r="BX156" i="5"/>
  <c r="BN157" i="5"/>
  <c r="BO157" i="5"/>
  <c r="BP157" i="5"/>
  <c r="BQ157" i="5"/>
  <c r="BR157" i="5"/>
  <c r="BS157" i="5"/>
  <c r="BT157" i="5"/>
  <c r="BU157" i="5"/>
  <c r="BV157" i="5"/>
  <c r="BW157" i="5"/>
  <c r="BX157" i="5"/>
  <c r="BN158" i="5"/>
  <c r="BO158" i="5"/>
  <c r="BP158" i="5"/>
  <c r="BQ158" i="5"/>
  <c r="BR158" i="5"/>
  <c r="BS158" i="5"/>
  <c r="BT158" i="5"/>
  <c r="BU158" i="5"/>
  <c r="BV158" i="5"/>
  <c r="BW158" i="5"/>
  <c r="BX158" i="5"/>
  <c r="BN159" i="5"/>
  <c r="BO159" i="5"/>
  <c r="BP159" i="5"/>
  <c r="BQ159" i="5"/>
  <c r="BR159" i="5"/>
  <c r="BS159" i="5"/>
  <c r="BT159" i="5"/>
  <c r="BU159" i="5"/>
  <c r="BV159" i="5"/>
  <c r="BW159" i="5"/>
  <c r="BX159" i="5"/>
  <c r="BN160" i="5"/>
  <c r="BO160" i="5"/>
  <c r="BP160" i="5"/>
  <c r="BQ160" i="5"/>
  <c r="BR160" i="5"/>
  <c r="BS160" i="5"/>
  <c r="BT160" i="5"/>
  <c r="BU160" i="5"/>
  <c r="BV160" i="5"/>
  <c r="BW160" i="5"/>
  <c r="BX160" i="5"/>
  <c r="BN161" i="5"/>
  <c r="BO161" i="5"/>
  <c r="BP161" i="5"/>
  <c r="BQ161" i="5"/>
  <c r="BR161" i="5"/>
  <c r="BS161" i="5"/>
  <c r="BT161" i="5"/>
  <c r="BU161" i="5"/>
  <c r="BV161" i="5"/>
  <c r="BW161" i="5"/>
  <c r="BX161" i="5"/>
  <c r="BN162" i="5"/>
  <c r="BO162" i="5"/>
  <c r="BP162" i="5"/>
  <c r="BQ162" i="5"/>
  <c r="BR162" i="5"/>
  <c r="BS162" i="5"/>
  <c r="BT162" i="5"/>
  <c r="BU162" i="5"/>
  <c r="BV162" i="5"/>
  <c r="BW162" i="5"/>
  <c r="BX162" i="5"/>
  <c r="BN163" i="5"/>
  <c r="BO163" i="5"/>
  <c r="BP163" i="5"/>
  <c r="BQ163" i="5"/>
  <c r="BR163" i="5"/>
  <c r="BS163" i="5"/>
  <c r="BT163" i="5"/>
  <c r="BU163" i="5"/>
  <c r="BV163" i="5"/>
  <c r="BW163" i="5"/>
  <c r="BX163" i="5"/>
  <c r="BN164" i="5"/>
  <c r="BO164" i="5"/>
  <c r="BP164" i="5"/>
  <c r="BQ164" i="5"/>
  <c r="BR164" i="5"/>
  <c r="BS164" i="5"/>
  <c r="BT164" i="5"/>
  <c r="BU164" i="5"/>
  <c r="BV164" i="5"/>
  <c r="BW164" i="5"/>
  <c r="BX164" i="5"/>
  <c r="BN165" i="5"/>
  <c r="BO165" i="5"/>
  <c r="BP165" i="5"/>
  <c r="BQ165" i="5"/>
  <c r="BR165" i="5"/>
  <c r="BS165" i="5"/>
  <c r="BT165" i="5"/>
  <c r="BU165" i="5"/>
  <c r="BV165" i="5"/>
  <c r="BW165" i="5"/>
  <c r="BX165" i="5"/>
  <c r="BN166" i="5"/>
  <c r="BO166" i="5"/>
  <c r="BP166" i="5"/>
  <c r="BQ166" i="5"/>
  <c r="BR166" i="5"/>
  <c r="BS166" i="5"/>
  <c r="BT166" i="5"/>
  <c r="BU166" i="5"/>
  <c r="BV166" i="5"/>
  <c r="BW166" i="5"/>
  <c r="BX166" i="5"/>
  <c r="BN167" i="5"/>
  <c r="BO167" i="5"/>
  <c r="BP167" i="5"/>
  <c r="BQ167" i="5"/>
  <c r="BR167" i="5"/>
  <c r="BS167" i="5"/>
  <c r="BT167" i="5"/>
  <c r="BU167" i="5"/>
  <c r="BV167" i="5"/>
  <c r="BW167" i="5"/>
  <c r="BX167" i="5"/>
  <c r="BN168" i="5"/>
  <c r="BO168" i="5"/>
  <c r="BP168" i="5"/>
  <c r="BQ168" i="5"/>
  <c r="BR168" i="5"/>
  <c r="BS168" i="5"/>
  <c r="BT168" i="5"/>
  <c r="BU168" i="5"/>
  <c r="BV168" i="5"/>
  <c r="BW168" i="5"/>
  <c r="BX168" i="5"/>
  <c r="BN169" i="5"/>
  <c r="BO169" i="5"/>
  <c r="BP169" i="5"/>
  <c r="BQ169" i="5"/>
  <c r="BR169" i="5"/>
  <c r="BS169" i="5"/>
  <c r="BT169" i="5"/>
  <c r="BU169" i="5"/>
  <c r="BV169" i="5"/>
  <c r="BW169" i="5"/>
  <c r="BX169" i="5"/>
  <c r="BN170" i="5"/>
  <c r="BO170" i="5"/>
  <c r="BP170" i="5"/>
  <c r="BQ170" i="5"/>
  <c r="BR170" i="5"/>
  <c r="BS170" i="5"/>
  <c r="BT170" i="5"/>
  <c r="BU170" i="5"/>
  <c r="BV170" i="5"/>
  <c r="BW170" i="5"/>
  <c r="BX170" i="5"/>
  <c r="BN171" i="5"/>
  <c r="BO171" i="5"/>
  <c r="BP171" i="5"/>
  <c r="BQ171" i="5"/>
  <c r="BR171" i="5"/>
  <c r="BS171" i="5"/>
  <c r="BT171" i="5"/>
  <c r="BU171" i="5"/>
  <c r="BV171" i="5"/>
  <c r="BW171" i="5"/>
  <c r="BX171" i="5"/>
  <c r="BN172" i="5"/>
  <c r="BO172" i="5"/>
  <c r="BP172" i="5"/>
  <c r="BQ172" i="5"/>
  <c r="BR172" i="5"/>
  <c r="BS172" i="5"/>
  <c r="BT172" i="5"/>
  <c r="BU172" i="5"/>
  <c r="BV172" i="5"/>
  <c r="BW172" i="5"/>
  <c r="BX172" i="5"/>
  <c r="BN173" i="5"/>
  <c r="BO173" i="5"/>
  <c r="BP173" i="5"/>
  <c r="BQ173" i="5"/>
  <c r="BR173" i="5"/>
  <c r="BS173" i="5"/>
  <c r="BT173" i="5"/>
  <c r="BU173" i="5"/>
  <c r="BV173" i="5"/>
  <c r="BW173" i="5"/>
  <c r="BX173" i="5"/>
  <c r="BN174" i="5"/>
  <c r="BO174" i="5"/>
  <c r="BP174" i="5"/>
  <c r="BQ174" i="5"/>
  <c r="BR174" i="5"/>
  <c r="BS174" i="5"/>
  <c r="BT174" i="5"/>
  <c r="BU174" i="5"/>
  <c r="BV174" i="5"/>
  <c r="BW174" i="5"/>
  <c r="BX174" i="5"/>
  <c r="BN175" i="5"/>
  <c r="BO175" i="5"/>
  <c r="BP175" i="5"/>
  <c r="BQ175" i="5"/>
  <c r="BR175" i="5"/>
  <c r="BS175" i="5"/>
  <c r="BT175" i="5"/>
  <c r="BU175" i="5"/>
  <c r="BV175" i="5"/>
  <c r="BW175" i="5"/>
  <c r="BX175" i="5"/>
  <c r="BN176" i="5"/>
  <c r="BO176" i="5"/>
  <c r="BP176" i="5"/>
  <c r="BQ176" i="5"/>
  <c r="BR176" i="5"/>
  <c r="BS176" i="5"/>
  <c r="BT176" i="5"/>
  <c r="BU176" i="5"/>
  <c r="BV176" i="5"/>
  <c r="BW176" i="5"/>
  <c r="BX176" i="5"/>
  <c r="BN177" i="5"/>
  <c r="BO177" i="5"/>
  <c r="BP177" i="5"/>
  <c r="BQ177" i="5"/>
  <c r="BR177" i="5"/>
  <c r="BS177" i="5"/>
  <c r="BT177" i="5"/>
  <c r="BU177" i="5"/>
  <c r="BV177" i="5"/>
  <c r="BW177" i="5"/>
  <c r="BX177" i="5"/>
  <c r="BN178" i="5"/>
  <c r="BO178" i="5"/>
  <c r="BP178" i="5"/>
  <c r="BQ178" i="5"/>
  <c r="BR178" i="5"/>
  <c r="BS178" i="5"/>
  <c r="BT178" i="5"/>
  <c r="BU178" i="5"/>
  <c r="BV178" i="5"/>
  <c r="BW178" i="5"/>
  <c r="BX178" i="5"/>
  <c r="BN179" i="5"/>
  <c r="BO179" i="5"/>
  <c r="BP179" i="5"/>
  <c r="BQ179" i="5"/>
  <c r="BR179" i="5"/>
  <c r="BS179" i="5"/>
  <c r="BT179" i="5"/>
  <c r="BU179" i="5"/>
  <c r="BV179" i="5"/>
  <c r="BW179" i="5"/>
  <c r="BX179" i="5"/>
  <c r="BN180" i="5"/>
  <c r="BO180" i="5"/>
  <c r="BP180" i="5"/>
  <c r="BQ180" i="5"/>
  <c r="BR180" i="5"/>
  <c r="BS180" i="5"/>
  <c r="BT180" i="5"/>
  <c r="BU180" i="5"/>
  <c r="BV180" i="5"/>
  <c r="BW180" i="5"/>
  <c r="BX180" i="5"/>
  <c r="BN181" i="5"/>
  <c r="BO181" i="5"/>
  <c r="BP181" i="5"/>
  <c r="BQ181" i="5"/>
  <c r="BR181" i="5"/>
  <c r="BS181" i="5"/>
  <c r="BT181" i="5"/>
  <c r="BU181" i="5"/>
  <c r="BV181" i="5"/>
  <c r="BW181" i="5"/>
  <c r="BX181" i="5"/>
  <c r="BN182" i="5"/>
  <c r="BO182" i="5"/>
  <c r="BP182" i="5"/>
  <c r="BQ182" i="5"/>
  <c r="BR182" i="5"/>
  <c r="BS182" i="5"/>
  <c r="BT182" i="5"/>
  <c r="BU182" i="5"/>
  <c r="BV182" i="5"/>
  <c r="BW182" i="5"/>
  <c r="BX182" i="5"/>
  <c r="BN183" i="5"/>
  <c r="BO183" i="5"/>
  <c r="BP183" i="5"/>
  <c r="BQ183" i="5"/>
  <c r="BR183" i="5"/>
  <c r="BS183" i="5"/>
  <c r="BT183" i="5"/>
  <c r="BU183" i="5"/>
  <c r="BV183" i="5"/>
  <c r="BW183" i="5"/>
  <c r="BX183" i="5"/>
  <c r="BN184" i="5"/>
  <c r="BO184" i="5"/>
  <c r="BP184" i="5"/>
  <c r="BQ184" i="5"/>
  <c r="BR184" i="5"/>
  <c r="BS184" i="5"/>
  <c r="BT184" i="5"/>
  <c r="BU184" i="5"/>
  <c r="BV184" i="5"/>
  <c r="BW184" i="5"/>
  <c r="BX184" i="5"/>
  <c r="BN185" i="5"/>
  <c r="BO185" i="5"/>
  <c r="BP185" i="5"/>
  <c r="BQ185" i="5"/>
  <c r="BR185" i="5"/>
  <c r="BS185" i="5"/>
  <c r="BT185" i="5"/>
  <c r="BU185" i="5"/>
  <c r="BV185" i="5"/>
  <c r="BW185" i="5"/>
  <c r="BX185" i="5"/>
  <c r="BN186" i="5"/>
  <c r="BO186" i="5"/>
  <c r="BP186" i="5"/>
  <c r="BQ186" i="5"/>
  <c r="BR186" i="5"/>
  <c r="BS186" i="5"/>
  <c r="BT186" i="5"/>
  <c r="BU186" i="5"/>
  <c r="BV186" i="5"/>
  <c r="BW186" i="5"/>
  <c r="BX186" i="5"/>
  <c r="BN187" i="5"/>
  <c r="BO187" i="5"/>
  <c r="BP187" i="5"/>
  <c r="BQ187" i="5"/>
  <c r="BR187" i="5"/>
  <c r="BS187" i="5"/>
  <c r="BT187" i="5"/>
  <c r="BU187" i="5"/>
  <c r="BV187" i="5"/>
  <c r="BW187" i="5"/>
  <c r="BX187" i="5"/>
  <c r="BN188" i="5"/>
  <c r="BO188" i="5"/>
  <c r="BP188" i="5"/>
  <c r="BQ188" i="5"/>
  <c r="BR188" i="5"/>
  <c r="BS188" i="5"/>
  <c r="BT188" i="5"/>
  <c r="BU188" i="5"/>
  <c r="BV188" i="5"/>
  <c r="BW188" i="5"/>
  <c r="BX188" i="5"/>
  <c r="BN189" i="5"/>
  <c r="BO189" i="5"/>
  <c r="BP189" i="5"/>
  <c r="BQ189" i="5"/>
  <c r="BR189" i="5"/>
  <c r="BS189" i="5"/>
  <c r="BT189" i="5"/>
  <c r="BU189" i="5"/>
  <c r="BV189" i="5"/>
  <c r="BW189" i="5"/>
  <c r="BX189" i="5"/>
  <c r="BN190" i="5"/>
  <c r="BO190" i="5"/>
  <c r="BP190" i="5"/>
  <c r="BQ190" i="5"/>
  <c r="BR190" i="5"/>
  <c r="BS190" i="5"/>
  <c r="BT190" i="5"/>
  <c r="BU190" i="5"/>
  <c r="BV190" i="5"/>
  <c r="BW190" i="5"/>
  <c r="BX190" i="5"/>
  <c r="BN191" i="5"/>
  <c r="BO191" i="5"/>
  <c r="BP191" i="5"/>
  <c r="BQ191" i="5"/>
  <c r="BR191" i="5"/>
  <c r="BS191" i="5"/>
  <c r="BT191" i="5"/>
  <c r="BU191" i="5"/>
  <c r="BV191" i="5"/>
  <c r="BW191" i="5"/>
  <c r="BX191" i="5"/>
  <c r="BN192" i="5"/>
  <c r="BO192" i="5"/>
  <c r="BP192" i="5"/>
  <c r="BQ192" i="5"/>
  <c r="BR192" i="5"/>
  <c r="BS192" i="5"/>
  <c r="BT192" i="5"/>
  <c r="BU192" i="5"/>
  <c r="BV192" i="5"/>
  <c r="BW192" i="5"/>
  <c r="BX192" i="5"/>
  <c r="BN193" i="5"/>
  <c r="BO193" i="5"/>
  <c r="BP193" i="5"/>
  <c r="BQ193" i="5"/>
  <c r="BR193" i="5"/>
  <c r="BS193" i="5"/>
  <c r="BT193" i="5"/>
  <c r="BU193" i="5"/>
  <c r="BV193" i="5"/>
  <c r="BW193" i="5"/>
  <c r="BX193" i="5"/>
  <c r="BN194" i="5"/>
  <c r="BO194" i="5"/>
  <c r="BP194" i="5"/>
  <c r="BQ194" i="5"/>
  <c r="BR194" i="5"/>
  <c r="BS194" i="5"/>
  <c r="BT194" i="5"/>
  <c r="BU194" i="5"/>
  <c r="BV194" i="5"/>
  <c r="BW194" i="5"/>
  <c r="BX194" i="5"/>
  <c r="BN195" i="5"/>
  <c r="BO195" i="5"/>
  <c r="BP195" i="5"/>
  <c r="BQ195" i="5"/>
  <c r="BR195" i="5"/>
  <c r="BS195" i="5"/>
  <c r="BT195" i="5"/>
  <c r="BU195" i="5"/>
  <c r="BV195" i="5"/>
  <c r="BW195" i="5"/>
  <c r="BX195" i="5"/>
  <c r="BN196" i="5"/>
  <c r="BO196" i="5"/>
  <c r="BP196" i="5"/>
  <c r="BQ196" i="5"/>
  <c r="BR196" i="5"/>
  <c r="BS196" i="5"/>
  <c r="BT196" i="5"/>
  <c r="BU196" i="5"/>
  <c r="BV196" i="5"/>
  <c r="BW196" i="5"/>
  <c r="BX196" i="5"/>
  <c r="BN197" i="5"/>
  <c r="BO197" i="5"/>
  <c r="BP197" i="5"/>
  <c r="BQ197" i="5"/>
  <c r="BR197" i="5"/>
  <c r="BS197" i="5"/>
  <c r="BT197" i="5"/>
  <c r="BU197" i="5"/>
  <c r="BV197" i="5"/>
  <c r="BW197" i="5"/>
  <c r="BX197" i="5"/>
  <c r="BN198" i="5"/>
  <c r="BO198" i="5"/>
  <c r="BP198" i="5"/>
  <c r="BQ198" i="5"/>
  <c r="BR198" i="5"/>
  <c r="BS198" i="5"/>
  <c r="BT198" i="5"/>
  <c r="BU198" i="5"/>
  <c r="BV198" i="5"/>
  <c r="BW198" i="5"/>
  <c r="BX198" i="5"/>
  <c r="BN199" i="5"/>
  <c r="BO199" i="5"/>
  <c r="BP199" i="5"/>
  <c r="BQ199" i="5"/>
  <c r="BR199" i="5"/>
  <c r="BS199" i="5"/>
  <c r="BT199" i="5"/>
  <c r="BU199" i="5"/>
  <c r="BV199" i="5"/>
  <c r="BW199" i="5"/>
  <c r="BX199" i="5"/>
  <c r="BN200" i="5"/>
  <c r="BO200" i="5"/>
  <c r="BP200" i="5"/>
  <c r="BQ200" i="5"/>
  <c r="BR200" i="5"/>
  <c r="BS200" i="5"/>
  <c r="BT200" i="5"/>
  <c r="BU200" i="5"/>
  <c r="BV200" i="5"/>
  <c r="BW200" i="5"/>
  <c r="BX200" i="5"/>
  <c r="BN201" i="5"/>
  <c r="BO201" i="5"/>
  <c r="BP201" i="5"/>
  <c r="BQ201" i="5"/>
  <c r="BR201" i="5"/>
  <c r="BS201" i="5"/>
  <c r="BT201" i="5"/>
  <c r="BU201" i="5"/>
  <c r="BV201" i="5"/>
  <c r="BW201" i="5"/>
  <c r="BX201" i="5"/>
  <c r="BN202" i="5"/>
  <c r="BO202" i="5"/>
  <c r="BP202" i="5"/>
  <c r="BQ202" i="5"/>
  <c r="BR202" i="5"/>
  <c r="BS202" i="5"/>
  <c r="BT202" i="5"/>
  <c r="BU202" i="5"/>
  <c r="BV202" i="5"/>
  <c r="BW202" i="5"/>
  <c r="BX202" i="5"/>
  <c r="BN203" i="5"/>
  <c r="BO203" i="5"/>
  <c r="BP203" i="5"/>
  <c r="BQ203" i="5"/>
  <c r="BR203" i="5"/>
  <c r="BS203" i="5"/>
  <c r="BT203" i="5"/>
  <c r="BU203" i="5"/>
  <c r="BV203" i="5"/>
  <c r="BW203" i="5"/>
  <c r="BX203" i="5"/>
  <c r="BN204" i="5"/>
  <c r="BO204" i="5"/>
  <c r="BP204" i="5"/>
  <c r="BQ204" i="5"/>
  <c r="BR204" i="5"/>
  <c r="BS204" i="5"/>
  <c r="BT204" i="5"/>
  <c r="BU204" i="5"/>
  <c r="BV204" i="5"/>
  <c r="BW204" i="5"/>
  <c r="BX204" i="5"/>
  <c r="BN205" i="5"/>
  <c r="BO205" i="5"/>
  <c r="BP205" i="5"/>
  <c r="BQ205" i="5"/>
  <c r="BR205" i="5"/>
  <c r="BS205" i="5"/>
  <c r="BT205" i="5"/>
  <c r="BU205" i="5"/>
  <c r="BV205" i="5"/>
  <c r="BW205" i="5"/>
  <c r="BX205" i="5"/>
  <c r="BN206" i="5"/>
  <c r="BO206" i="5"/>
  <c r="BP206" i="5"/>
  <c r="BQ206" i="5"/>
  <c r="BR206" i="5"/>
  <c r="BS206" i="5"/>
  <c r="BT206" i="5"/>
  <c r="BU206" i="5"/>
  <c r="BV206" i="5"/>
  <c r="BW206" i="5"/>
  <c r="BX206" i="5"/>
  <c r="BN207" i="5"/>
  <c r="BO207" i="5"/>
  <c r="BP207" i="5"/>
  <c r="BQ207" i="5"/>
  <c r="BR207" i="5"/>
  <c r="BS207" i="5"/>
  <c r="BT207" i="5"/>
  <c r="BU207" i="5"/>
  <c r="BV207" i="5"/>
  <c r="BW207" i="5"/>
  <c r="BX207" i="5"/>
  <c r="BN208" i="5"/>
  <c r="BO208" i="5"/>
  <c r="BP208" i="5"/>
  <c r="BQ208" i="5"/>
  <c r="BR208" i="5"/>
  <c r="BS208" i="5"/>
  <c r="BT208" i="5"/>
  <c r="BU208" i="5"/>
  <c r="BV208" i="5"/>
  <c r="BW208" i="5"/>
  <c r="BX208" i="5"/>
  <c r="BN209" i="5"/>
  <c r="BO209" i="5"/>
  <c r="BP209" i="5"/>
  <c r="BQ209" i="5"/>
  <c r="BR209" i="5"/>
  <c r="BS209" i="5"/>
  <c r="BT209" i="5"/>
  <c r="BU209" i="5"/>
  <c r="BV209" i="5"/>
  <c r="BW209" i="5"/>
  <c r="BX209" i="5"/>
  <c r="BN210" i="5"/>
  <c r="BO210" i="5"/>
  <c r="BP210" i="5"/>
  <c r="BQ210" i="5"/>
  <c r="BR210" i="5"/>
  <c r="BS210" i="5"/>
  <c r="BT210" i="5"/>
  <c r="BU210" i="5"/>
  <c r="BV210" i="5"/>
  <c r="BW210" i="5"/>
  <c r="BX210" i="5"/>
  <c r="BN211" i="5"/>
  <c r="BO211" i="5"/>
  <c r="BP211" i="5"/>
  <c r="BQ211" i="5"/>
  <c r="BR211" i="5"/>
  <c r="BS211" i="5"/>
  <c r="BT211" i="5"/>
  <c r="BU211" i="5"/>
  <c r="BV211" i="5"/>
  <c r="BW211" i="5"/>
  <c r="BX211" i="5"/>
  <c r="BN212" i="5"/>
  <c r="BO212" i="5"/>
  <c r="BP212" i="5"/>
  <c r="BQ212" i="5"/>
  <c r="BR212" i="5"/>
  <c r="BS212" i="5"/>
  <c r="BT212" i="5"/>
  <c r="BU212" i="5"/>
  <c r="BV212" i="5"/>
  <c r="BW212" i="5"/>
  <c r="BX212" i="5"/>
  <c r="BN213" i="5"/>
  <c r="BO213" i="5"/>
  <c r="BP213" i="5"/>
  <c r="BQ213" i="5"/>
  <c r="BR213" i="5"/>
  <c r="BS213" i="5"/>
  <c r="BT213" i="5"/>
  <c r="BU213" i="5"/>
  <c r="BV213" i="5"/>
  <c r="BW213" i="5"/>
  <c r="BX213" i="5"/>
  <c r="BN214" i="5"/>
  <c r="BO214" i="5"/>
  <c r="BP214" i="5"/>
  <c r="BQ214" i="5"/>
  <c r="BR214" i="5"/>
  <c r="BS214" i="5"/>
  <c r="BT214" i="5"/>
  <c r="BU214" i="5"/>
  <c r="BV214" i="5"/>
  <c r="BW214" i="5"/>
  <c r="BX214" i="5"/>
  <c r="BN215" i="5"/>
  <c r="BO215" i="5"/>
  <c r="BP215" i="5"/>
  <c r="BQ215" i="5"/>
  <c r="BR215" i="5"/>
  <c r="BS215" i="5"/>
  <c r="BT215" i="5"/>
  <c r="BU215" i="5"/>
  <c r="BV215" i="5"/>
  <c r="BW215" i="5"/>
  <c r="BX215" i="5"/>
  <c r="BN216" i="5"/>
  <c r="BO216" i="5"/>
  <c r="BP216" i="5"/>
  <c r="BQ216" i="5"/>
  <c r="BR216" i="5"/>
  <c r="BS216" i="5"/>
  <c r="BT216" i="5"/>
  <c r="BU216" i="5"/>
  <c r="BV216" i="5"/>
  <c r="BW216" i="5"/>
  <c r="BX216" i="5"/>
  <c r="BN217" i="5"/>
  <c r="BO217" i="5"/>
  <c r="BP217" i="5"/>
  <c r="BQ217" i="5"/>
  <c r="BR217" i="5"/>
  <c r="BS217" i="5"/>
  <c r="BT217" i="5"/>
  <c r="BU217" i="5"/>
  <c r="BV217" i="5"/>
  <c r="BW217" i="5"/>
  <c r="BX217" i="5"/>
  <c r="BN218" i="5"/>
  <c r="BO218" i="5"/>
  <c r="BP218" i="5"/>
  <c r="BQ218" i="5"/>
  <c r="BR218" i="5"/>
  <c r="BS218" i="5"/>
  <c r="BT218" i="5"/>
  <c r="BU218" i="5"/>
  <c r="BV218" i="5"/>
  <c r="BW218" i="5"/>
  <c r="BX218" i="5"/>
  <c r="BN219" i="5"/>
  <c r="BO219" i="5"/>
  <c r="BP219" i="5"/>
  <c r="BQ219" i="5"/>
  <c r="BR219" i="5"/>
  <c r="BS219" i="5"/>
  <c r="BT219" i="5"/>
  <c r="BU219" i="5"/>
  <c r="BV219" i="5"/>
  <c r="BW219" i="5"/>
  <c r="BX219" i="5"/>
  <c r="BN220" i="5"/>
  <c r="BO220" i="5"/>
  <c r="BP220" i="5"/>
  <c r="BQ220" i="5"/>
  <c r="BR220" i="5"/>
  <c r="BS220" i="5"/>
  <c r="BT220" i="5"/>
  <c r="BU220" i="5"/>
  <c r="BV220" i="5"/>
  <c r="BW220" i="5"/>
  <c r="BX220" i="5"/>
  <c r="BN221" i="5"/>
  <c r="BO221" i="5"/>
  <c r="BP221" i="5"/>
  <c r="BQ221" i="5"/>
  <c r="BR221" i="5"/>
  <c r="BS221" i="5"/>
  <c r="BT221" i="5"/>
  <c r="BU221" i="5"/>
  <c r="BV221" i="5"/>
  <c r="BW221" i="5"/>
  <c r="BX221" i="5"/>
  <c r="BN222" i="5"/>
  <c r="BO222" i="5"/>
  <c r="BP222" i="5"/>
  <c r="BQ222" i="5"/>
  <c r="BR222" i="5"/>
  <c r="BS222" i="5"/>
  <c r="BT222" i="5"/>
  <c r="BU222" i="5"/>
  <c r="BV222" i="5"/>
  <c r="BW222" i="5"/>
  <c r="BX222" i="5"/>
  <c r="BN223" i="5"/>
  <c r="BO223" i="5"/>
  <c r="BP223" i="5"/>
  <c r="BQ223" i="5"/>
  <c r="BR223" i="5"/>
  <c r="BS223" i="5"/>
  <c r="BT223" i="5"/>
  <c r="BU223" i="5"/>
  <c r="BV223" i="5"/>
  <c r="BW223" i="5"/>
  <c r="BX223" i="5"/>
  <c r="BN224" i="5"/>
  <c r="BO224" i="5"/>
  <c r="BP224" i="5"/>
  <c r="BQ224" i="5"/>
  <c r="BR224" i="5"/>
  <c r="BS224" i="5"/>
  <c r="BT224" i="5"/>
  <c r="BU224" i="5"/>
  <c r="BV224" i="5"/>
  <c r="BW224" i="5"/>
  <c r="BX224" i="5"/>
  <c r="BN225" i="5"/>
  <c r="BO225" i="5"/>
  <c r="BP225" i="5"/>
  <c r="BQ225" i="5"/>
  <c r="BR225" i="5"/>
  <c r="BS225" i="5"/>
  <c r="BT225" i="5"/>
  <c r="BU225" i="5"/>
  <c r="BV225" i="5"/>
  <c r="BW225" i="5"/>
  <c r="BX225" i="5"/>
  <c r="BN226" i="5"/>
  <c r="BO226" i="5"/>
  <c r="BP226" i="5"/>
  <c r="BQ226" i="5"/>
  <c r="BR226" i="5"/>
  <c r="BS226" i="5"/>
  <c r="BT226" i="5"/>
  <c r="BU226" i="5"/>
  <c r="BV226" i="5"/>
  <c r="BW226" i="5"/>
  <c r="BX226" i="5"/>
  <c r="BN227" i="5"/>
  <c r="BO227" i="5"/>
  <c r="BP227" i="5"/>
  <c r="BQ227" i="5"/>
  <c r="BR227" i="5"/>
  <c r="BS227" i="5"/>
  <c r="BT227" i="5"/>
  <c r="BU227" i="5"/>
  <c r="BV227" i="5"/>
  <c r="BW227" i="5"/>
  <c r="BX227" i="5"/>
  <c r="BN228" i="5"/>
  <c r="BO228" i="5"/>
  <c r="BP228" i="5"/>
  <c r="BQ228" i="5"/>
  <c r="BR228" i="5"/>
  <c r="BS228" i="5"/>
  <c r="BT228" i="5"/>
  <c r="BU228" i="5"/>
  <c r="BV228" i="5"/>
  <c r="BW228" i="5"/>
  <c r="BX228" i="5"/>
  <c r="BN229" i="5"/>
  <c r="BO229" i="5"/>
  <c r="BP229" i="5"/>
  <c r="BQ229" i="5"/>
  <c r="BR229" i="5"/>
  <c r="BS229" i="5"/>
  <c r="BT229" i="5"/>
  <c r="BU229" i="5"/>
  <c r="BV229" i="5"/>
  <c r="BW229" i="5"/>
  <c r="BX229" i="5"/>
  <c r="BN230" i="5"/>
  <c r="BO230" i="5"/>
  <c r="BP230" i="5"/>
  <c r="BQ230" i="5"/>
  <c r="BR230" i="5"/>
  <c r="BS230" i="5"/>
  <c r="BT230" i="5"/>
  <c r="BU230" i="5"/>
  <c r="BV230" i="5"/>
  <c r="BW230" i="5"/>
  <c r="BX230" i="5"/>
  <c r="BN231" i="5"/>
  <c r="BO231" i="5"/>
  <c r="BP231" i="5"/>
  <c r="BQ231" i="5"/>
  <c r="BR231" i="5"/>
  <c r="BS231" i="5"/>
  <c r="BT231" i="5"/>
  <c r="BU231" i="5"/>
  <c r="BV231" i="5"/>
  <c r="BW231" i="5"/>
  <c r="BX231" i="5"/>
  <c r="BN232" i="5"/>
  <c r="BO232" i="5"/>
  <c r="BP232" i="5"/>
  <c r="BQ232" i="5"/>
  <c r="BR232" i="5"/>
  <c r="BS232" i="5"/>
  <c r="BT232" i="5"/>
  <c r="BU232" i="5"/>
  <c r="BV232" i="5"/>
  <c r="BW232" i="5"/>
  <c r="BX232" i="5"/>
  <c r="BN233" i="5"/>
  <c r="BO233" i="5"/>
  <c r="BP233" i="5"/>
  <c r="BQ233" i="5"/>
  <c r="BR233" i="5"/>
  <c r="BS233" i="5"/>
  <c r="BT233" i="5"/>
  <c r="BU233" i="5"/>
  <c r="BV233" i="5"/>
  <c r="BW233" i="5"/>
  <c r="BX233" i="5"/>
  <c r="BN234" i="5"/>
  <c r="BO234" i="5"/>
  <c r="BP234" i="5"/>
  <c r="BQ234" i="5"/>
  <c r="BR234" i="5"/>
  <c r="BS234" i="5"/>
  <c r="BT234" i="5"/>
  <c r="BU234" i="5"/>
  <c r="BV234" i="5"/>
  <c r="BW234" i="5"/>
  <c r="BX234" i="5"/>
  <c r="BN235" i="5"/>
  <c r="BO235" i="5"/>
  <c r="BP235" i="5"/>
  <c r="BQ235" i="5"/>
  <c r="BR235" i="5"/>
  <c r="BS235" i="5"/>
  <c r="BT235" i="5"/>
  <c r="BU235" i="5"/>
  <c r="BV235" i="5"/>
  <c r="BW235" i="5"/>
  <c r="BX235" i="5"/>
  <c r="BN236" i="5"/>
  <c r="BO236" i="5"/>
  <c r="BP236" i="5"/>
  <c r="BQ236" i="5"/>
  <c r="BR236" i="5"/>
  <c r="BS236" i="5"/>
  <c r="BT236" i="5"/>
  <c r="BU236" i="5"/>
  <c r="BV236" i="5"/>
  <c r="BW236" i="5"/>
  <c r="BX236" i="5"/>
  <c r="BN237" i="5"/>
  <c r="BO237" i="5"/>
  <c r="BP237" i="5"/>
  <c r="BQ237" i="5"/>
  <c r="BR237" i="5"/>
  <c r="BS237" i="5"/>
  <c r="BT237" i="5"/>
  <c r="BU237" i="5"/>
  <c r="BV237" i="5"/>
  <c r="BW237" i="5"/>
  <c r="BX237" i="5"/>
  <c r="BN238" i="5"/>
  <c r="BO238" i="5"/>
  <c r="BP238" i="5"/>
  <c r="BQ238" i="5"/>
  <c r="BR238" i="5"/>
  <c r="BS238" i="5"/>
  <c r="BT238" i="5"/>
  <c r="BU238" i="5"/>
  <c r="BV238" i="5"/>
  <c r="BW238" i="5"/>
  <c r="BX238" i="5"/>
  <c r="BN239" i="5"/>
  <c r="BO239" i="5"/>
  <c r="BP239" i="5"/>
  <c r="BQ239" i="5"/>
  <c r="BR239" i="5"/>
  <c r="BS239" i="5"/>
  <c r="BT239" i="5"/>
  <c r="BU239" i="5"/>
  <c r="BV239" i="5"/>
  <c r="BW239" i="5"/>
  <c r="BX239" i="5"/>
  <c r="BN240" i="5"/>
  <c r="BO240" i="5"/>
  <c r="BP240" i="5"/>
  <c r="BQ240" i="5"/>
  <c r="BR240" i="5"/>
  <c r="BS240" i="5"/>
  <c r="BT240" i="5"/>
  <c r="BU240" i="5"/>
  <c r="BV240" i="5"/>
  <c r="BW240" i="5"/>
  <c r="BX240" i="5"/>
  <c r="BN241" i="5"/>
  <c r="BO241" i="5"/>
  <c r="BP241" i="5"/>
  <c r="BQ241" i="5"/>
  <c r="BR241" i="5"/>
  <c r="BS241" i="5"/>
  <c r="BT241" i="5"/>
  <c r="BU241" i="5"/>
  <c r="BV241" i="5"/>
  <c r="BW241" i="5"/>
  <c r="BX241" i="5"/>
  <c r="BN242" i="5"/>
  <c r="BO242" i="5"/>
  <c r="BP242" i="5"/>
  <c r="BQ242" i="5"/>
  <c r="BR242" i="5"/>
  <c r="BS242" i="5"/>
  <c r="BT242" i="5"/>
  <c r="BU242" i="5"/>
  <c r="BV242" i="5"/>
  <c r="BW242" i="5"/>
  <c r="BX242" i="5"/>
  <c r="BN243" i="5"/>
  <c r="BO243" i="5"/>
  <c r="BP243" i="5"/>
  <c r="BQ243" i="5"/>
  <c r="BR243" i="5"/>
  <c r="BS243" i="5"/>
  <c r="BT243" i="5"/>
  <c r="BU243" i="5"/>
  <c r="BV243" i="5"/>
  <c r="BW243" i="5"/>
  <c r="BX243" i="5"/>
  <c r="BN244" i="5"/>
  <c r="BO244" i="5"/>
  <c r="BP244" i="5"/>
  <c r="BQ244" i="5"/>
  <c r="BR244" i="5"/>
  <c r="BS244" i="5"/>
  <c r="BT244" i="5"/>
  <c r="BU244" i="5"/>
  <c r="BV244" i="5"/>
  <c r="BW244" i="5"/>
  <c r="BX244" i="5"/>
  <c r="BN245" i="5"/>
  <c r="BO245" i="5"/>
  <c r="BP245" i="5"/>
  <c r="BQ245" i="5"/>
  <c r="BR245" i="5"/>
  <c r="BS245" i="5"/>
  <c r="BT245" i="5"/>
  <c r="BU245" i="5"/>
  <c r="BV245" i="5"/>
  <c r="BW245" i="5"/>
  <c r="BX245" i="5"/>
  <c r="BN246" i="5"/>
  <c r="BO246" i="5"/>
  <c r="BP246" i="5"/>
  <c r="BQ246" i="5"/>
  <c r="BR246" i="5"/>
  <c r="BS246" i="5"/>
  <c r="BT246" i="5"/>
  <c r="BU246" i="5"/>
  <c r="BV246" i="5"/>
  <c r="BW246" i="5"/>
  <c r="BX246" i="5"/>
  <c r="BN247" i="5"/>
  <c r="BO247" i="5"/>
  <c r="BP247" i="5"/>
  <c r="BQ247" i="5"/>
  <c r="BR247" i="5"/>
  <c r="BS247" i="5"/>
  <c r="BT247" i="5"/>
  <c r="BU247" i="5"/>
  <c r="BV247" i="5"/>
  <c r="BW247" i="5"/>
  <c r="BX247" i="5"/>
  <c r="BN248" i="5"/>
  <c r="BO248" i="5"/>
  <c r="BP248" i="5"/>
  <c r="BQ248" i="5"/>
  <c r="BR248" i="5"/>
  <c r="BS248" i="5"/>
  <c r="BT248" i="5"/>
  <c r="BU248" i="5"/>
  <c r="BV248" i="5"/>
  <c r="BW248" i="5"/>
  <c r="BX248" i="5"/>
  <c r="BN249" i="5"/>
  <c r="BO249" i="5"/>
  <c r="BP249" i="5"/>
  <c r="BQ249" i="5"/>
  <c r="BR249" i="5"/>
  <c r="BS249" i="5"/>
  <c r="BT249" i="5"/>
  <c r="BU249" i="5"/>
  <c r="BV249" i="5"/>
  <c r="BW249" i="5"/>
  <c r="BX249" i="5"/>
  <c r="BN250" i="5"/>
  <c r="BO250" i="5"/>
  <c r="BP250" i="5"/>
  <c r="BQ250" i="5"/>
  <c r="BR250" i="5"/>
  <c r="BS250" i="5"/>
  <c r="BT250" i="5"/>
  <c r="BU250" i="5"/>
  <c r="BV250" i="5"/>
  <c r="BW250" i="5"/>
  <c r="BX250" i="5"/>
  <c r="BN251" i="5"/>
  <c r="BO251" i="5"/>
  <c r="BP251" i="5"/>
  <c r="BQ251" i="5"/>
  <c r="BR251" i="5"/>
  <c r="BS251" i="5"/>
  <c r="BT251" i="5"/>
  <c r="BU251" i="5"/>
  <c r="BV251" i="5"/>
  <c r="BW251" i="5"/>
  <c r="BX251" i="5"/>
  <c r="BN252" i="5"/>
  <c r="BO252" i="5"/>
  <c r="BP252" i="5"/>
  <c r="BQ252" i="5"/>
  <c r="BR252" i="5"/>
  <c r="BS252" i="5"/>
  <c r="BT252" i="5"/>
  <c r="BU252" i="5"/>
  <c r="BV252" i="5"/>
  <c r="BW252" i="5"/>
  <c r="BX252" i="5"/>
  <c r="BN253" i="5"/>
  <c r="BO253" i="5"/>
  <c r="BP253" i="5"/>
  <c r="BQ253" i="5"/>
  <c r="BR253" i="5"/>
  <c r="BS253" i="5"/>
  <c r="BT253" i="5"/>
  <c r="BU253" i="5"/>
  <c r="BV253" i="5"/>
  <c r="BW253" i="5"/>
  <c r="BX253" i="5"/>
  <c r="BN254" i="5"/>
  <c r="BO254" i="5"/>
  <c r="BP254" i="5"/>
  <c r="BQ254" i="5"/>
  <c r="BR254" i="5"/>
  <c r="BS254" i="5"/>
  <c r="BT254" i="5"/>
  <c r="BU254" i="5"/>
  <c r="BV254" i="5"/>
  <c r="BW254" i="5"/>
  <c r="BX254" i="5"/>
  <c r="BN255" i="5"/>
  <c r="BO255" i="5"/>
  <c r="BP255" i="5"/>
  <c r="BQ255" i="5"/>
  <c r="BR255" i="5"/>
  <c r="BS255" i="5"/>
  <c r="BT255" i="5"/>
  <c r="BU255" i="5"/>
  <c r="BV255" i="5"/>
  <c r="BW255" i="5"/>
  <c r="BX255" i="5"/>
  <c r="BN256" i="5"/>
  <c r="BO256" i="5"/>
  <c r="BP256" i="5"/>
  <c r="BQ256" i="5"/>
  <c r="BR256" i="5"/>
  <c r="BS256" i="5"/>
  <c r="BT256" i="5"/>
  <c r="BU256" i="5"/>
  <c r="BV256" i="5"/>
  <c r="BW256" i="5"/>
  <c r="BX256" i="5"/>
  <c r="BN257" i="5"/>
  <c r="BO257" i="5"/>
  <c r="BP257" i="5"/>
  <c r="BQ257" i="5"/>
  <c r="BR257" i="5"/>
  <c r="BS257" i="5"/>
  <c r="BT257" i="5"/>
  <c r="BU257" i="5"/>
  <c r="BV257" i="5"/>
  <c r="BW257" i="5"/>
  <c r="BX257" i="5"/>
  <c r="BN258" i="5"/>
  <c r="BO258" i="5"/>
  <c r="BP258" i="5"/>
  <c r="BQ258" i="5"/>
  <c r="BR258" i="5"/>
  <c r="BS258" i="5"/>
  <c r="BT258" i="5"/>
  <c r="BU258" i="5"/>
  <c r="BV258" i="5"/>
  <c r="BW258" i="5"/>
  <c r="BX258" i="5"/>
  <c r="BN259" i="5"/>
  <c r="BO259" i="5"/>
  <c r="BP259" i="5"/>
  <c r="BQ259" i="5"/>
  <c r="BR259" i="5"/>
  <c r="BS259" i="5"/>
  <c r="BT259" i="5"/>
  <c r="BU259" i="5"/>
  <c r="BV259" i="5"/>
  <c r="BW259" i="5"/>
  <c r="BX259" i="5"/>
  <c r="BN260" i="5"/>
  <c r="BO260" i="5"/>
  <c r="BP260" i="5"/>
  <c r="BQ260" i="5"/>
  <c r="BR260" i="5"/>
  <c r="BS260" i="5"/>
  <c r="BT260" i="5"/>
  <c r="BU260" i="5"/>
  <c r="BV260" i="5"/>
  <c r="BW260" i="5"/>
  <c r="BX260" i="5"/>
  <c r="BN261" i="5"/>
  <c r="BO261" i="5"/>
  <c r="BP261" i="5"/>
  <c r="BQ261" i="5"/>
  <c r="BR261" i="5"/>
  <c r="BS261" i="5"/>
  <c r="BT261" i="5"/>
  <c r="BU261" i="5"/>
  <c r="BV261" i="5"/>
  <c r="BW261" i="5"/>
  <c r="BX261" i="5"/>
  <c r="BN262" i="5"/>
  <c r="BO262" i="5"/>
  <c r="BP262" i="5"/>
  <c r="BQ262" i="5"/>
  <c r="BR262" i="5"/>
  <c r="BS262" i="5"/>
  <c r="BT262" i="5"/>
  <c r="BU262" i="5"/>
  <c r="BV262" i="5"/>
  <c r="BW262" i="5"/>
  <c r="BX262" i="5"/>
  <c r="BN263" i="5"/>
  <c r="BO263" i="5"/>
  <c r="BP263" i="5"/>
  <c r="BQ263" i="5"/>
  <c r="BR263" i="5"/>
  <c r="BS263" i="5"/>
  <c r="BT263" i="5"/>
  <c r="BU263" i="5"/>
  <c r="BV263" i="5"/>
  <c r="BW263" i="5"/>
  <c r="BX263" i="5"/>
  <c r="BN264" i="5"/>
  <c r="BO264" i="5"/>
  <c r="BP264" i="5"/>
  <c r="BQ264" i="5"/>
  <c r="BR264" i="5"/>
  <c r="BS264" i="5"/>
  <c r="BT264" i="5"/>
  <c r="BU264" i="5"/>
  <c r="BV264" i="5"/>
  <c r="BW264" i="5"/>
  <c r="BX264" i="5"/>
  <c r="BN265" i="5"/>
  <c r="BO265" i="5"/>
  <c r="BP265" i="5"/>
  <c r="BQ265" i="5"/>
  <c r="BR265" i="5"/>
  <c r="BS265" i="5"/>
  <c r="BT265" i="5"/>
  <c r="BU265" i="5"/>
  <c r="BV265" i="5"/>
  <c r="BW265" i="5"/>
  <c r="BX265" i="5"/>
  <c r="BN266" i="5"/>
  <c r="BO266" i="5"/>
  <c r="BP266" i="5"/>
  <c r="BQ266" i="5"/>
  <c r="BR266" i="5"/>
  <c r="BS266" i="5"/>
  <c r="BT266" i="5"/>
  <c r="BU266" i="5"/>
  <c r="BV266" i="5"/>
  <c r="BW266" i="5"/>
  <c r="BX266" i="5"/>
  <c r="BN267" i="5"/>
  <c r="BO267" i="5"/>
  <c r="BP267" i="5"/>
  <c r="BQ267" i="5"/>
  <c r="BR267" i="5"/>
  <c r="BS267" i="5"/>
  <c r="BT267" i="5"/>
  <c r="BU267" i="5"/>
  <c r="BV267" i="5"/>
  <c r="BW267" i="5"/>
  <c r="BX267" i="5"/>
  <c r="BN268" i="5"/>
  <c r="BO268" i="5"/>
  <c r="BP268" i="5"/>
  <c r="BQ268" i="5"/>
  <c r="BR268" i="5"/>
  <c r="BS268" i="5"/>
  <c r="BT268" i="5"/>
  <c r="BU268" i="5"/>
  <c r="BV268" i="5"/>
  <c r="BW268" i="5"/>
  <c r="BX268" i="5"/>
  <c r="BN269" i="5"/>
  <c r="BO269" i="5"/>
  <c r="BP269" i="5"/>
  <c r="BQ269" i="5"/>
  <c r="BR269" i="5"/>
  <c r="BS269" i="5"/>
  <c r="BT269" i="5"/>
  <c r="BU269" i="5"/>
  <c r="BV269" i="5"/>
  <c r="BW269" i="5"/>
  <c r="BX269" i="5"/>
  <c r="BN270" i="5"/>
  <c r="BO270" i="5"/>
  <c r="BP270" i="5"/>
  <c r="BQ270" i="5"/>
  <c r="BR270" i="5"/>
  <c r="BS270" i="5"/>
  <c r="BT270" i="5"/>
  <c r="BU270" i="5"/>
  <c r="BV270" i="5"/>
  <c r="BW270" i="5"/>
  <c r="BX270" i="5"/>
  <c r="BN271" i="5"/>
  <c r="BO271" i="5"/>
  <c r="BP271" i="5"/>
  <c r="BQ271" i="5"/>
  <c r="BR271" i="5"/>
  <c r="BS271" i="5"/>
  <c r="BT271" i="5"/>
  <c r="BU271" i="5"/>
  <c r="BV271" i="5"/>
  <c r="BW271" i="5"/>
  <c r="BX271" i="5"/>
  <c r="BN272" i="5"/>
  <c r="BO272" i="5"/>
  <c r="BP272" i="5"/>
  <c r="BQ272" i="5"/>
  <c r="BR272" i="5"/>
  <c r="BS272" i="5"/>
  <c r="BT272" i="5"/>
  <c r="BU272" i="5"/>
  <c r="BV272" i="5"/>
  <c r="BW272" i="5"/>
  <c r="BX272" i="5"/>
  <c r="BN273" i="5"/>
  <c r="BO273" i="5"/>
  <c r="BP273" i="5"/>
  <c r="BQ273" i="5"/>
  <c r="BR273" i="5"/>
  <c r="BS273" i="5"/>
  <c r="BT273" i="5"/>
  <c r="BU273" i="5"/>
  <c r="BV273" i="5"/>
  <c r="BW273" i="5"/>
  <c r="BX273" i="5"/>
  <c r="BN274" i="5"/>
  <c r="BO274" i="5"/>
  <c r="BP274" i="5"/>
  <c r="BQ274" i="5"/>
  <c r="BR274" i="5"/>
  <c r="BS274" i="5"/>
  <c r="BT274" i="5"/>
  <c r="BU274" i="5"/>
  <c r="BV274" i="5"/>
  <c r="BW274" i="5"/>
  <c r="BX274" i="5"/>
  <c r="BN275" i="5"/>
  <c r="BO275" i="5"/>
  <c r="BP275" i="5"/>
  <c r="BQ275" i="5"/>
  <c r="BR275" i="5"/>
  <c r="BS275" i="5"/>
  <c r="BT275" i="5"/>
  <c r="BU275" i="5"/>
  <c r="BV275" i="5"/>
  <c r="BW275" i="5"/>
  <c r="BX275" i="5"/>
  <c r="BN276" i="5"/>
  <c r="BO276" i="5"/>
  <c r="BP276" i="5"/>
  <c r="BQ276" i="5"/>
  <c r="BR276" i="5"/>
  <c r="BS276" i="5"/>
  <c r="BT276" i="5"/>
  <c r="BU276" i="5"/>
  <c r="BV276" i="5"/>
  <c r="BW276" i="5"/>
  <c r="BX276" i="5"/>
  <c r="BN277" i="5"/>
  <c r="BO277" i="5"/>
  <c r="BP277" i="5"/>
  <c r="BQ277" i="5"/>
  <c r="BR277" i="5"/>
  <c r="BS277" i="5"/>
  <c r="BT277" i="5"/>
  <c r="BU277" i="5"/>
  <c r="BV277" i="5"/>
  <c r="BW277" i="5"/>
  <c r="BX277" i="5"/>
  <c r="BN278" i="5"/>
  <c r="BO278" i="5"/>
  <c r="BP278" i="5"/>
  <c r="BQ278" i="5"/>
  <c r="BR278" i="5"/>
  <c r="BS278" i="5"/>
  <c r="BT278" i="5"/>
  <c r="BU278" i="5"/>
  <c r="BV278" i="5"/>
  <c r="BW278" i="5"/>
  <c r="BX278" i="5"/>
  <c r="BN279" i="5"/>
  <c r="BO279" i="5"/>
  <c r="BP279" i="5"/>
  <c r="BQ279" i="5"/>
  <c r="BR279" i="5"/>
  <c r="BS279" i="5"/>
  <c r="BT279" i="5"/>
  <c r="BU279" i="5"/>
  <c r="BV279" i="5"/>
  <c r="BW279" i="5"/>
  <c r="BX279" i="5"/>
  <c r="BN280" i="5"/>
  <c r="BO280" i="5"/>
  <c r="BP280" i="5"/>
  <c r="BQ280" i="5"/>
  <c r="BR280" i="5"/>
  <c r="BS280" i="5"/>
  <c r="BT280" i="5"/>
  <c r="BU280" i="5"/>
  <c r="BV280" i="5"/>
  <c r="BW280" i="5"/>
  <c r="BX280" i="5"/>
  <c r="BN281" i="5"/>
  <c r="BO281" i="5"/>
  <c r="BP281" i="5"/>
  <c r="BQ281" i="5"/>
  <c r="BR281" i="5"/>
  <c r="BS281" i="5"/>
  <c r="BT281" i="5"/>
  <c r="BU281" i="5"/>
  <c r="BV281" i="5"/>
  <c r="BW281" i="5"/>
  <c r="BX281" i="5"/>
  <c r="BN282" i="5"/>
  <c r="BO282" i="5"/>
  <c r="BP282" i="5"/>
  <c r="BQ282" i="5"/>
  <c r="BR282" i="5"/>
  <c r="BS282" i="5"/>
  <c r="BT282" i="5"/>
  <c r="BU282" i="5"/>
  <c r="BV282" i="5"/>
  <c r="BW282" i="5"/>
  <c r="BX282" i="5"/>
  <c r="BN283" i="5"/>
  <c r="BO283" i="5"/>
  <c r="BP283" i="5"/>
  <c r="BQ283" i="5"/>
  <c r="BR283" i="5"/>
  <c r="BS283" i="5"/>
  <c r="BT283" i="5"/>
  <c r="BU283" i="5"/>
  <c r="BV283" i="5"/>
  <c r="BW283" i="5"/>
  <c r="BX283" i="5"/>
  <c r="BN284" i="5"/>
  <c r="BO284" i="5"/>
  <c r="BP284" i="5"/>
  <c r="BQ284" i="5"/>
  <c r="BR284" i="5"/>
  <c r="BS284" i="5"/>
  <c r="BT284" i="5"/>
  <c r="BU284" i="5"/>
  <c r="BV284" i="5"/>
  <c r="BW284" i="5"/>
  <c r="BX284" i="5"/>
  <c r="BN285" i="5"/>
  <c r="BO285" i="5"/>
  <c r="BP285" i="5"/>
  <c r="BQ285" i="5"/>
  <c r="BR285" i="5"/>
  <c r="BS285" i="5"/>
  <c r="BT285" i="5"/>
  <c r="BU285" i="5"/>
  <c r="BV285" i="5"/>
  <c r="BW285" i="5"/>
  <c r="BX285" i="5"/>
  <c r="BN286" i="5"/>
  <c r="BO286" i="5"/>
  <c r="BP286" i="5"/>
  <c r="BQ286" i="5"/>
  <c r="BR286" i="5"/>
  <c r="BS286" i="5"/>
  <c r="BT286" i="5"/>
  <c r="BU286" i="5"/>
  <c r="BV286" i="5"/>
  <c r="BW286" i="5"/>
  <c r="BX286" i="5"/>
  <c r="BN287" i="5"/>
  <c r="BO287" i="5"/>
  <c r="BP287" i="5"/>
  <c r="BQ287" i="5"/>
  <c r="BR287" i="5"/>
  <c r="BS287" i="5"/>
  <c r="BT287" i="5"/>
  <c r="BU287" i="5"/>
  <c r="BV287" i="5"/>
  <c r="BW287" i="5"/>
  <c r="BX287" i="5"/>
  <c r="BN288" i="5"/>
  <c r="BO288" i="5"/>
  <c r="BP288" i="5"/>
  <c r="BQ288" i="5"/>
  <c r="BR288" i="5"/>
  <c r="BS288" i="5"/>
  <c r="BT288" i="5"/>
  <c r="BU288" i="5"/>
  <c r="BV288" i="5"/>
  <c r="BW288" i="5"/>
  <c r="BX288" i="5"/>
  <c r="BN289" i="5"/>
  <c r="BO289" i="5"/>
  <c r="BP289" i="5"/>
  <c r="BQ289" i="5"/>
  <c r="BR289" i="5"/>
  <c r="BS289" i="5"/>
  <c r="BT289" i="5"/>
  <c r="BU289" i="5"/>
  <c r="BV289" i="5"/>
  <c r="BW289" i="5"/>
  <c r="BX289" i="5"/>
  <c r="BN290" i="5"/>
  <c r="BO290" i="5"/>
  <c r="BP290" i="5"/>
  <c r="BQ290" i="5"/>
  <c r="BR290" i="5"/>
  <c r="BS290" i="5"/>
  <c r="BT290" i="5"/>
  <c r="BU290" i="5"/>
  <c r="BV290" i="5"/>
  <c r="BW290" i="5"/>
  <c r="BX290" i="5"/>
  <c r="BN291" i="5"/>
  <c r="BO291" i="5"/>
  <c r="BP291" i="5"/>
  <c r="BQ291" i="5"/>
  <c r="BR291" i="5"/>
  <c r="BS291" i="5"/>
  <c r="BT291" i="5"/>
  <c r="BU291" i="5"/>
  <c r="BV291" i="5"/>
  <c r="BW291" i="5"/>
  <c r="BX291" i="5"/>
  <c r="BN292" i="5"/>
  <c r="BO292" i="5"/>
  <c r="BP292" i="5"/>
  <c r="BQ292" i="5"/>
  <c r="BR292" i="5"/>
  <c r="BS292" i="5"/>
  <c r="BT292" i="5"/>
  <c r="BU292" i="5"/>
  <c r="BV292" i="5"/>
  <c r="BW292" i="5"/>
  <c r="BX292" i="5"/>
  <c r="BN293" i="5"/>
  <c r="BO293" i="5"/>
  <c r="BP293" i="5"/>
  <c r="BQ293" i="5"/>
  <c r="BR293" i="5"/>
  <c r="BS293" i="5"/>
  <c r="BT293" i="5"/>
  <c r="BU293" i="5"/>
  <c r="BV293" i="5"/>
  <c r="BW293" i="5"/>
  <c r="BX293" i="5"/>
  <c r="BN294" i="5"/>
  <c r="BO294" i="5"/>
  <c r="BP294" i="5"/>
  <c r="BQ294" i="5"/>
  <c r="BR294" i="5"/>
  <c r="BS294" i="5"/>
  <c r="BT294" i="5"/>
  <c r="BU294" i="5"/>
  <c r="BV294" i="5"/>
  <c r="BW294" i="5"/>
  <c r="BX294" i="5"/>
  <c r="BN295" i="5"/>
  <c r="BO295" i="5"/>
  <c r="BP295" i="5"/>
  <c r="BQ295" i="5"/>
  <c r="BR295" i="5"/>
  <c r="BS295" i="5"/>
  <c r="BT295" i="5"/>
  <c r="BU295" i="5"/>
  <c r="BV295" i="5"/>
  <c r="BW295" i="5"/>
  <c r="BX295" i="5"/>
  <c r="BN296" i="5"/>
  <c r="BO296" i="5"/>
  <c r="BP296" i="5"/>
  <c r="BQ296" i="5"/>
  <c r="BR296" i="5"/>
  <c r="BS296" i="5"/>
  <c r="BT296" i="5"/>
  <c r="BU296" i="5"/>
  <c r="BV296" i="5"/>
  <c r="BW296" i="5"/>
  <c r="BX296" i="5"/>
  <c r="BN297" i="5"/>
  <c r="BO297" i="5"/>
  <c r="BP297" i="5"/>
  <c r="BQ297" i="5"/>
  <c r="BR297" i="5"/>
  <c r="BS297" i="5"/>
  <c r="BT297" i="5"/>
  <c r="BU297" i="5"/>
  <c r="BV297" i="5"/>
  <c r="BW297" i="5"/>
  <c r="BX297" i="5"/>
  <c r="BN298" i="5"/>
  <c r="BO298" i="5"/>
  <c r="BP298" i="5"/>
  <c r="BQ298" i="5"/>
  <c r="BR298" i="5"/>
  <c r="BS298" i="5"/>
  <c r="BT298" i="5"/>
  <c r="BU298" i="5"/>
  <c r="BV298" i="5"/>
  <c r="BW298" i="5"/>
  <c r="BX298" i="5"/>
  <c r="BN299" i="5"/>
  <c r="BO299" i="5"/>
  <c r="BP299" i="5"/>
  <c r="BQ299" i="5"/>
  <c r="BR299" i="5"/>
  <c r="BS299" i="5"/>
  <c r="BT299" i="5"/>
  <c r="BU299" i="5"/>
  <c r="BV299" i="5"/>
  <c r="BW299" i="5"/>
  <c r="BX299" i="5"/>
  <c r="BN300" i="5"/>
  <c r="BO300" i="5"/>
  <c r="BP300" i="5"/>
  <c r="BQ300" i="5"/>
  <c r="BR300" i="5"/>
  <c r="BS300" i="5"/>
  <c r="BT300" i="5"/>
  <c r="BU300" i="5"/>
  <c r="BV300" i="5"/>
  <c r="BW300" i="5"/>
  <c r="BX300" i="5"/>
  <c r="BN301" i="5"/>
  <c r="BO301" i="5"/>
  <c r="BP301" i="5"/>
  <c r="BQ301" i="5"/>
  <c r="BR301" i="5"/>
  <c r="BS301" i="5"/>
  <c r="BT301" i="5"/>
  <c r="BU301" i="5"/>
  <c r="BV301" i="5"/>
  <c r="BW301" i="5"/>
  <c r="BX301" i="5"/>
  <c r="BN302" i="5"/>
  <c r="BO302" i="5"/>
  <c r="BP302" i="5"/>
  <c r="BQ302" i="5"/>
  <c r="BR302" i="5"/>
  <c r="BS302" i="5"/>
  <c r="BT302" i="5"/>
  <c r="BU302" i="5"/>
  <c r="BV302" i="5"/>
  <c r="BW302" i="5"/>
  <c r="BX302" i="5"/>
  <c r="BN303" i="5"/>
  <c r="BO303" i="5"/>
  <c r="BP303" i="5"/>
  <c r="BQ303" i="5"/>
  <c r="BR303" i="5"/>
  <c r="BS303" i="5"/>
  <c r="BT303" i="5"/>
  <c r="BU303" i="5"/>
  <c r="BV303" i="5"/>
  <c r="BW303" i="5"/>
  <c r="BX303" i="5"/>
  <c r="BN304" i="5"/>
  <c r="BO304" i="5"/>
  <c r="BP304" i="5"/>
  <c r="BQ304" i="5"/>
  <c r="BR304" i="5"/>
  <c r="BS304" i="5"/>
  <c r="BT304" i="5"/>
  <c r="BU304" i="5"/>
  <c r="BV304" i="5"/>
  <c r="BW304" i="5"/>
  <c r="BX304" i="5"/>
  <c r="BN305" i="5"/>
  <c r="BO305" i="5"/>
  <c r="BP305" i="5"/>
  <c r="BQ305" i="5"/>
  <c r="BR305" i="5"/>
  <c r="BS305" i="5"/>
  <c r="BT305" i="5"/>
  <c r="BU305" i="5"/>
  <c r="BV305" i="5"/>
  <c r="BW305" i="5"/>
  <c r="BX305" i="5"/>
  <c r="BN306" i="5"/>
  <c r="BO306" i="5"/>
  <c r="BP306" i="5"/>
  <c r="BQ306" i="5"/>
  <c r="BR306" i="5"/>
  <c r="BS306" i="5"/>
  <c r="BT306" i="5"/>
  <c r="BU306" i="5"/>
  <c r="BV306" i="5"/>
  <c r="BW306" i="5"/>
  <c r="BX306" i="5"/>
  <c r="BN307" i="5"/>
  <c r="BO307" i="5"/>
  <c r="BP307" i="5"/>
  <c r="BQ307" i="5"/>
  <c r="BR307" i="5"/>
  <c r="BS307" i="5"/>
  <c r="BT307" i="5"/>
  <c r="BU307" i="5"/>
  <c r="BV307" i="5"/>
  <c r="BW307" i="5"/>
  <c r="BX307" i="5"/>
  <c r="BN308" i="5"/>
  <c r="BO308" i="5"/>
  <c r="BP308" i="5"/>
  <c r="BQ308" i="5"/>
  <c r="BR308" i="5"/>
  <c r="BS308" i="5"/>
  <c r="BT308" i="5"/>
  <c r="BU308" i="5"/>
  <c r="BV308" i="5"/>
  <c r="BW308" i="5"/>
  <c r="BX308" i="5"/>
  <c r="BN309" i="5"/>
  <c r="BO309" i="5"/>
  <c r="BP309" i="5"/>
  <c r="BQ309" i="5"/>
  <c r="BR309" i="5"/>
  <c r="BS309" i="5"/>
  <c r="BT309" i="5"/>
  <c r="BU309" i="5"/>
  <c r="BV309" i="5"/>
  <c r="BW309" i="5"/>
  <c r="BX309" i="5"/>
  <c r="BN310" i="5"/>
  <c r="BO310" i="5"/>
  <c r="BP310" i="5"/>
  <c r="BQ310" i="5"/>
  <c r="BR310" i="5"/>
  <c r="BS310" i="5"/>
  <c r="BT310" i="5"/>
  <c r="BU310" i="5"/>
  <c r="BV310" i="5"/>
  <c r="BW310" i="5"/>
  <c r="BX310" i="5"/>
  <c r="BN311" i="5"/>
  <c r="BO311" i="5"/>
  <c r="BP311" i="5"/>
  <c r="BQ311" i="5"/>
  <c r="BR311" i="5"/>
  <c r="BS311" i="5"/>
  <c r="BT311" i="5"/>
  <c r="BU311" i="5"/>
  <c r="BV311" i="5"/>
  <c r="BW311" i="5"/>
  <c r="BX311" i="5"/>
  <c r="BN312" i="5"/>
  <c r="BO312" i="5"/>
  <c r="BP312" i="5"/>
  <c r="BQ312" i="5"/>
  <c r="BR312" i="5"/>
  <c r="BS312" i="5"/>
  <c r="BT312" i="5"/>
  <c r="BU312" i="5"/>
  <c r="BV312" i="5"/>
  <c r="BW312" i="5"/>
  <c r="BX312" i="5"/>
  <c r="BN313" i="5"/>
  <c r="BO313" i="5"/>
  <c r="BP313" i="5"/>
  <c r="BQ313" i="5"/>
  <c r="BR313" i="5"/>
  <c r="BS313" i="5"/>
  <c r="BT313" i="5"/>
  <c r="BU313" i="5"/>
  <c r="BV313" i="5"/>
  <c r="BW313" i="5"/>
  <c r="BX313" i="5"/>
  <c r="BN314" i="5"/>
  <c r="BO314" i="5"/>
  <c r="BP314" i="5"/>
  <c r="BQ314" i="5"/>
  <c r="BR314" i="5"/>
  <c r="BS314" i="5"/>
  <c r="BT314" i="5"/>
  <c r="BU314" i="5"/>
  <c r="BV314" i="5"/>
  <c r="BW314" i="5"/>
  <c r="BX314" i="5"/>
  <c r="BN315" i="5"/>
  <c r="BO315" i="5"/>
  <c r="BP315" i="5"/>
  <c r="BQ315" i="5"/>
  <c r="BR315" i="5"/>
  <c r="BS315" i="5"/>
  <c r="BT315" i="5"/>
  <c r="BU315" i="5"/>
  <c r="BV315" i="5"/>
  <c r="BW315" i="5"/>
  <c r="BX315" i="5"/>
  <c r="BN316" i="5"/>
  <c r="BO316" i="5"/>
  <c r="BP316" i="5"/>
  <c r="BQ316" i="5"/>
  <c r="BR316" i="5"/>
  <c r="BS316" i="5"/>
  <c r="BT316" i="5"/>
  <c r="BU316" i="5"/>
  <c r="BV316" i="5"/>
  <c r="BW316" i="5"/>
  <c r="BX316" i="5"/>
  <c r="BN317" i="5"/>
  <c r="BO317" i="5"/>
  <c r="BP317" i="5"/>
  <c r="BQ317" i="5"/>
  <c r="BR317" i="5"/>
  <c r="BS317" i="5"/>
  <c r="BT317" i="5"/>
  <c r="BU317" i="5"/>
  <c r="BV317" i="5"/>
  <c r="BW317" i="5"/>
  <c r="BX317" i="5"/>
  <c r="BN318" i="5"/>
  <c r="BO318" i="5"/>
  <c r="BP318" i="5"/>
  <c r="BQ318" i="5"/>
  <c r="BR318" i="5"/>
  <c r="BS318" i="5"/>
  <c r="BT318" i="5"/>
  <c r="BU318" i="5"/>
  <c r="BV318" i="5"/>
  <c r="BW318" i="5"/>
  <c r="BX318" i="5"/>
  <c r="BN319" i="5"/>
  <c r="BO319" i="5"/>
  <c r="BP319" i="5"/>
  <c r="BQ319" i="5"/>
  <c r="BR319" i="5"/>
  <c r="BS319" i="5"/>
  <c r="BT319" i="5"/>
  <c r="BU319" i="5"/>
  <c r="BV319" i="5"/>
  <c r="BW319" i="5"/>
  <c r="BX319" i="5"/>
  <c r="BN320" i="5"/>
  <c r="BO320" i="5"/>
  <c r="BP320" i="5"/>
  <c r="BQ320" i="5"/>
  <c r="BR320" i="5"/>
  <c r="BS320" i="5"/>
  <c r="BT320" i="5"/>
  <c r="BU320" i="5"/>
  <c r="BV320" i="5"/>
  <c r="BW320" i="5"/>
  <c r="BX320" i="5"/>
  <c r="BN321" i="5"/>
  <c r="BO321" i="5"/>
  <c r="BP321" i="5"/>
  <c r="BQ321" i="5"/>
  <c r="BR321" i="5"/>
  <c r="BS321" i="5"/>
  <c r="BT321" i="5"/>
  <c r="BU321" i="5"/>
  <c r="BV321" i="5"/>
  <c r="BW321" i="5"/>
  <c r="BX321" i="5"/>
  <c r="BN322" i="5"/>
  <c r="BO322" i="5"/>
  <c r="BP322" i="5"/>
  <c r="BQ322" i="5"/>
  <c r="BR322" i="5"/>
  <c r="BS322" i="5"/>
  <c r="BT322" i="5"/>
  <c r="BU322" i="5"/>
  <c r="BV322" i="5"/>
  <c r="BW322" i="5"/>
  <c r="BX322" i="5"/>
  <c r="BN323" i="5"/>
  <c r="BO323" i="5"/>
  <c r="BP323" i="5"/>
  <c r="BQ323" i="5"/>
  <c r="BR323" i="5"/>
  <c r="BS323" i="5"/>
  <c r="BT323" i="5"/>
  <c r="BU323" i="5"/>
  <c r="BV323" i="5"/>
  <c r="BW323" i="5"/>
  <c r="BX323" i="5"/>
  <c r="BN324" i="5"/>
  <c r="BO324" i="5"/>
  <c r="BP324" i="5"/>
  <c r="BQ324" i="5"/>
  <c r="BR324" i="5"/>
  <c r="BS324" i="5"/>
  <c r="BT324" i="5"/>
  <c r="BU324" i="5"/>
  <c r="BV324" i="5"/>
  <c r="BW324" i="5"/>
  <c r="BX324" i="5"/>
  <c r="BN325" i="5"/>
  <c r="BO325" i="5"/>
  <c r="BP325" i="5"/>
  <c r="BQ325" i="5"/>
  <c r="BR325" i="5"/>
  <c r="BS325" i="5"/>
  <c r="BT325" i="5"/>
  <c r="BU325" i="5"/>
  <c r="BV325" i="5"/>
  <c r="BW325" i="5"/>
  <c r="BX325" i="5"/>
  <c r="BN326" i="5"/>
  <c r="BO326" i="5"/>
  <c r="BP326" i="5"/>
  <c r="BQ326" i="5"/>
  <c r="BR326" i="5"/>
  <c r="BS326" i="5"/>
  <c r="BT326" i="5"/>
  <c r="BU326" i="5"/>
  <c r="BV326" i="5"/>
  <c r="BW326" i="5"/>
  <c r="BX326" i="5"/>
  <c r="BN327" i="5"/>
  <c r="BO327" i="5"/>
  <c r="BP327" i="5"/>
  <c r="BQ327" i="5"/>
  <c r="BR327" i="5"/>
  <c r="BS327" i="5"/>
  <c r="BT327" i="5"/>
  <c r="BU327" i="5"/>
  <c r="BV327" i="5"/>
  <c r="BW327" i="5"/>
  <c r="BX327" i="5"/>
  <c r="BN328" i="5"/>
  <c r="BO328" i="5"/>
  <c r="BP328" i="5"/>
  <c r="BQ328" i="5"/>
  <c r="BR328" i="5"/>
  <c r="BS328" i="5"/>
  <c r="BT328" i="5"/>
  <c r="BU328" i="5"/>
  <c r="BV328" i="5"/>
  <c r="BW328" i="5"/>
  <c r="BX328" i="5"/>
  <c r="BN329" i="5"/>
  <c r="BO329" i="5"/>
  <c r="BP329" i="5"/>
  <c r="BQ329" i="5"/>
  <c r="BR329" i="5"/>
  <c r="BS329" i="5"/>
  <c r="BT329" i="5"/>
  <c r="BU329" i="5"/>
  <c r="BV329" i="5"/>
  <c r="BW329" i="5"/>
  <c r="BX329" i="5"/>
  <c r="BN330" i="5"/>
  <c r="BO330" i="5"/>
  <c r="BP330" i="5"/>
  <c r="BQ330" i="5"/>
  <c r="BR330" i="5"/>
  <c r="BS330" i="5"/>
  <c r="BT330" i="5"/>
  <c r="BU330" i="5"/>
  <c r="BV330" i="5"/>
  <c r="BW330" i="5"/>
  <c r="BX330" i="5"/>
  <c r="BN331" i="5"/>
  <c r="BO331" i="5"/>
  <c r="BP331" i="5"/>
  <c r="BQ331" i="5"/>
  <c r="BR331" i="5"/>
  <c r="BS331" i="5"/>
  <c r="BT331" i="5"/>
  <c r="BU331" i="5"/>
  <c r="BV331" i="5"/>
  <c r="BW331" i="5"/>
  <c r="BX331" i="5"/>
  <c r="BN332" i="5"/>
  <c r="BO332" i="5"/>
  <c r="BP332" i="5"/>
  <c r="BQ332" i="5"/>
  <c r="BR332" i="5"/>
  <c r="BS332" i="5"/>
  <c r="BT332" i="5"/>
  <c r="BU332" i="5"/>
  <c r="BV332" i="5"/>
  <c r="BW332" i="5"/>
  <c r="BX332" i="5"/>
  <c r="BN333" i="5"/>
  <c r="BO333" i="5"/>
  <c r="BP333" i="5"/>
  <c r="BQ333" i="5"/>
  <c r="BR333" i="5"/>
  <c r="BS333" i="5"/>
  <c r="BT333" i="5"/>
  <c r="BU333" i="5"/>
  <c r="BV333" i="5"/>
  <c r="BW333" i="5"/>
  <c r="BX333" i="5"/>
  <c r="BN334" i="5"/>
  <c r="BO334" i="5"/>
  <c r="BP334" i="5"/>
  <c r="BQ334" i="5"/>
  <c r="BR334" i="5"/>
  <c r="BS334" i="5"/>
  <c r="BT334" i="5"/>
  <c r="BU334" i="5"/>
  <c r="BV334" i="5"/>
  <c r="BW334" i="5"/>
  <c r="BX334" i="5"/>
  <c r="BN335" i="5"/>
  <c r="BO335" i="5"/>
  <c r="BP335" i="5"/>
  <c r="BQ335" i="5"/>
  <c r="BR335" i="5"/>
  <c r="BS335" i="5"/>
  <c r="BT335" i="5"/>
  <c r="BU335" i="5"/>
  <c r="BV335" i="5"/>
  <c r="BW335" i="5"/>
  <c r="BX335" i="5"/>
  <c r="BN336" i="5"/>
  <c r="BO336" i="5"/>
  <c r="BP336" i="5"/>
  <c r="BQ336" i="5"/>
  <c r="BR336" i="5"/>
  <c r="BS336" i="5"/>
  <c r="BT336" i="5"/>
  <c r="BU336" i="5"/>
  <c r="BV336" i="5"/>
  <c r="BW336" i="5"/>
  <c r="BX336" i="5"/>
  <c r="BN337" i="5"/>
  <c r="BO337" i="5"/>
  <c r="BP337" i="5"/>
  <c r="BQ337" i="5"/>
  <c r="BR337" i="5"/>
  <c r="BS337" i="5"/>
  <c r="BT337" i="5"/>
  <c r="BU337" i="5"/>
  <c r="BV337" i="5"/>
  <c r="BW337" i="5"/>
  <c r="BX337" i="5"/>
  <c r="BN338" i="5"/>
  <c r="BO338" i="5"/>
  <c r="BP338" i="5"/>
  <c r="BQ338" i="5"/>
  <c r="BR338" i="5"/>
  <c r="BS338" i="5"/>
  <c r="BT338" i="5"/>
  <c r="BU338" i="5"/>
  <c r="BV338" i="5"/>
  <c r="BW338" i="5"/>
  <c r="BX338" i="5"/>
  <c r="BN339" i="5"/>
  <c r="BO339" i="5"/>
  <c r="BP339" i="5"/>
  <c r="BQ339" i="5"/>
  <c r="BR339" i="5"/>
  <c r="BS339" i="5"/>
  <c r="BT339" i="5"/>
  <c r="BU339" i="5"/>
  <c r="BV339" i="5"/>
  <c r="BW339" i="5"/>
  <c r="BX339" i="5"/>
  <c r="BN340" i="5"/>
  <c r="BO340" i="5"/>
  <c r="BP340" i="5"/>
  <c r="BQ340" i="5"/>
  <c r="BR340" i="5"/>
  <c r="BS340" i="5"/>
  <c r="BT340" i="5"/>
  <c r="BU340" i="5"/>
  <c r="BV340" i="5"/>
  <c r="BW340" i="5"/>
  <c r="BX340" i="5"/>
  <c r="BO5" i="5"/>
  <c r="BP5" i="5"/>
  <c r="BQ5" i="5"/>
  <c r="BR5" i="5"/>
  <c r="BS5" i="5"/>
  <c r="BT5" i="5"/>
  <c r="BU5" i="5"/>
  <c r="BV5" i="5"/>
  <c r="BW5" i="5"/>
  <c r="BX5" i="5"/>
  <c r="BN5" i="5"/>
  <c r="BF6" i="3"/>
  <c r="BG6" i="3"/>
  <c r="BH6" i="3"/>
  <c r="BI6" i="3"/>
  <c r="BJ6" i="3"/>
  <c r="BK6" i="3"/>
  <c r="BL6" i="3"/>
  <c r="BM6" i="3"/>
  <c r="BN6" i="3"/>
  <c r="BF7" i="3"/>
  <c r="BG7" i="3"/>
  <c r="BH7" i="3"/>
  <c r="BI7" i="3"/>
  <c r="BJ7" i="3"/>
  <c r="BK7" i="3"/>
  <c r="BL7" i="3"/>
  <c r="BM7" i="3"/>
  <c r="BN7" i="3"/>
  <c r="BF8" i="3"/>
  <c r="BG8" i="3"/>
  <c r="BH8" i="3"/>
  <c r="BI8" i="3"/>
  <c r="BJ8" i="3"/>
  <c r="BK8" i="3"/>
  <c r="BL8" i="3"/>
  <c r="BM8" i="3"/>
  <c r="BN8" i="3"/>
  <c r="BF9" i="3"/>
  <c r="BG9" i="3"/>
  <c r="BH9" i="3"/>
  <c r="BI9" i="3"/>
  <c r="BJ9" i="3"/>
  <c r="BK9" i="3"/>
  <c r="BL9" i="3"/>
  <c r="BM9" i="3"/>
  <c r="BN9" i="3"/>
  <c r="BF10" i="3"/>
  <c r="BG10" i="3"/>
  <c r="BH10" i="3"/>
  <c r="BI10" i="3"/>
  <c r="BJ10" i="3"/>
  <c r="BK10" i="3"/>
  <c r="BL10" i="3"/>
  <c r="BM10" i="3"/>
  <c r="BN10" i="3"/>
  <c r="BF11" i="3"/>
  <c r="BG11" i="3"/>
  <c r="BH11" i="3"/>
  <c r="BI11" i="3"/>
  <c r="BJ11" i="3"/>
  <c r="BK11" i="3"/>
  <c r="BL11" i="3"/>
  <c r="BM11" i="3"/>
  <c r="BN11" i="3"/>
  <c r="BF12" i="3"/>
  <c r="BG12" i="3"/>
  <c r="BH12" i="3"/>
  <c r="BI12" i="3"/>
  <c r="BJ12" i="3"/>
  <c r="BK12" i="3"/>
  <c r="BL12" i="3"/>
  <c r="BM12" i="3"/>
  <c r="BN12" i="3"/>
  <c r="BF13" i="3"/>
  <c r="BG13" i="3"/>
  <c r="BH13" i="3"/>
  <c r="BI13" i="3"/>
  <c r="BJ13" i="3"/>
  <c r="BK13" i="3"/>
  <c r="BL13" i="3"/>
  <c r="BM13" i="3"/>
  <c r="BN13" i="3"/>
  <c r="BF14" i="3"/>
  <c r="BG14" i="3"/>
  <c r="BH14" i="3"/>
  <c r="BI14" i="3"/>
  <c r="BJ14" i="3"/>
  <c r="BK14" i="3"/>
  <c r="BL14" i="3"/>
  <c r="BM14" i="3"/>
  <c r="BN14" i="3"/>
  <c r="BF15" i="3"/>
  <c r="BG15" i="3"/>
  <c r="BH15" i="3"/>
  <c r="BI15" i="3"/>
  <c r="BJ15" i="3"/>
  <c r="BK15" i="3"/>
  <c r="BL15" i="3"/>
  <c r="BM15" i="3"/>
  <c r="BN15" i="3"/>
  <c r="BF16" i="3"/>
  <c r="BG16" i="3"/>
  <c r="BH16" i="3"/>
  <c r="BI16" i="3"/>
  <c r="BJ16" i="3"/>
  <c r="BK16" i="3"/>
  <c r="BL16" i="3"/>
  <c r="BM16" i="3"/>
  <c r="BN16" i="3"/>
  <c r="BF17" i="3"/>
  <c r="BG17" i="3"/>
  <c r="BH17" i="3"/>
  <c r="BI17" i="3"/>
  <c r="BJ17" i="3"/>
  <c r="BK17" i="3"/>
  <c r="BL17" i="3"/>
  <c r="BM17" i="3"/>
  <c r="BN17" i="3"/>
  <c r="BF18" i="3"/>
  <c r="BG18" i="3"/>
  <c r="BH18" i="3"/>
  <c r="BI18" i="3"/>
  <c r="BJ18" i="3"/>
  <c r="BK18" i="3"/>
  <c r="BL18" i="3"/>
  <c r="BM18" i="3"/>
  <c r="BN18" i="3"/>
  <c r="BF19" i="3"/>
  <c r="BG19" i="3"/>
  <c r="BH19" i="3"/>
  <c r="BI19" i="3"/>
  <c r="BJ19" i="3"/>
  <c r="BK19" i="3"/>
  <c r="BL19" i="3"/>
  <c r="BM19" i="3"/>
  <c r="BN19" i="3"/>
  <c r="BF20" i="3"/>
  <c r="BG20" i="3"/>
  <c r="BH20" i="3"/>
  <c r="BI20" i="3"/>
  <c r="BJ20" i="3"/>
  <c r="BK20" i="3"/>
  <c r="BL20" i="3"/>
  <c r="BM20" i="3"/>
  <c r="BN20" i="3"/>
  <c r="BF21" i="3"/>
  <c r="BG21" i="3"/>
  <c r="BH21" i="3"/>
  <c r="BI21" i="3"/>
  <c r="BJ21" i="3"/>
  <c r="BK21" i="3"/>
  <c r="BL21" i="3"/>
  <c r="BM21" i="3"/>
  <c r="BN21" i="3"/>
  <c r="BF22" i="3"/>
  <c r="BG22" i="3"/>
  <c r="BH22" i="3"/>
  <c r="BI22" i="3"/>
  <c r="BJ22" i="3"/>
  <c r="BK22" i="3"/>
  <c r="BL22" i="3"/>
  <c r="BM22" i="3"/>
  <c r="BN22" i="3"/>
  <c r="BF23" i="3"/>
  <c r="BG23" i="3"/>
  <c r="BH23" i="3"/>
  <c r="BI23" i="3"/>
  <c r="BJ23" i="3"/>
  <c r="BK23" i="3"/>
  <c r="BL23" i="3"/>
  <c r="BM23" i="3"/>
  <c r="BN23" i="3"/>
  <c r="BF24" i="3"/>
  <c r="BG24" i="3"/>
  <c r="BH24" i="3"/>
  <c r="BI24" i="3"/>
  <c r="BJ24" i="3"/>
  <c r="BK24" i="3"/>
  <c r="BL24" i="3"/>
  <c r="BM24" i="3"/>
  <c r="BN24" i="3"/>
  <c r="BF25" i="3"/>
  <c r="BG25" i="3"/>
  <c r="BH25" i="3"/>
  <c r="BI25" i="3"/>
  <c r="BJ25" i="3"/>
  <c r="BK25" i="3"/>
  <c r="BL25" i="3"/>
  <c r="BM25" i="3"/>
  <c r="BN25" i="3"/>
  <c r="BF26" i="3"/>
  <c r="BG26" i="3"/>
  <c r="BH26" i="3"/>
  <c r="BI26" i="3"/>
  <c r="BJ26" i="3"/>
  <c r="BK26" i="3"/>
  <c r="BL26" i="3"/>
  <c r="BM26" i="3"/>
  <c r="BN26" i="3"/>
  <c r="BF27" i="3"/>
  <c r="BG27" i="3"/>
  <c r="BH27" i="3"/>
  <c r="BI27" i="3"/>
  <c r="BJ27" i="3"/>
  <c r="BK27" i="3"/>
  <c r="BL27" i="3"/>
  <c r="BM27" i="3"/>
  <c r="BN27" i="3"/>
  <c r="BF28" i="3"/>
  <c r="BG28" i="3"/>
  <c r="BH28" i="3"/>
  <c r="BI28" i="3"/>
  <c r="BJ28" i="3"/>
  <c r="BK28" i="3"/>
  <c r="BL28" i="3"/>
  <c r="BM28" i="3"/>
  <c r="BN28" i="3"/>
  <c r="BF29" i="3"/>
  <c r="BG29" i="3"/>
  <c r="BH29" i="3"/>
  <c r="BI29" i="3"/>
  <c r="BJ29" i="3"/>
  <c r="BK29" i="3"/>
  <c r="BL29" i="3"/>
  <c r="BM29" i="3"/>
  <c r="BN29" i="3"/>
  <c r="BF30" i="3"/>
  <c r="BG30" i="3"/>
  <c r="BH30" i="3"/>
  <c r="BI30" i="3"/>
  <c r="BJ30" i="3"/>
  <c r="BK30" i="3"/>
  <c r="BL30" i="3"/>
  <c r="BM30" i="3"/>
  <c r="BN30" i="3"/>
  <c r="BF31" i="3"/>
  <c r="BG31" i="3"/>
  <c r="BH31" i="3"/>
  <c r="BI31" i="3"/>
  <c r="BJ31" i="3"/>
  <c r="BK31" i="3"/>
  <c r="BL31" i="3"/>
  <c r="BM31" i="3"/>
  <c r="BN31" i="3"/>
  <c r="BF32" i="3"/>
  <c r="BG32" i="3"/>
  <c r="BH32" i="3"/>
  <c r="BI32" i="3"/>
  <c r="BJ32" i="3"/>
  <c r="BK32" i="3"/>
  <c r="BL32" i="3"/>
  <c r="BM32" i="3"/>
  <c r="BN32" i="3"/>
  <c r="BF33" i="3"/>
  <c r="BG33" i="3"/>
  <c r="BH33" i="3"/>
  <c r="BI33" i="3"/>
  <c r="BJ33" i="3"/>
  <c r="BK33" i="3"/>
  <c r="BL33" i="3"/>
  <c r="BM33" i="3"/>
  <c r="BN33" i="3"/>
  <c r="BF34" i="3"/>
  <c r="BG34" i="3"/>
  <c r="BH34" i="3"/>
  <c r="BI34" i="3"/>
  <c r="BJ34" i="3"/>
  <c r="BK34" i="3"/>
  <c r="BL34" i="3"/>
  <c r="BM34" i="3"/>
  <c r="BN34" i="3"/>
  <c r="BF35" i="3"/>
  <c r="BG35" i="3"/>
  <c r="BH35" i="3"/>
  <c r="BI35" i="3"/>
  <c r="BJ35" i="3"/>
  <c r="BK35" i="3"/>
  <c r="BL35" i="3"/>
  <c r="BM35" i="3"/>
  <c r="BN35" i="3"/>
  <c r="BF36" i="3"/>
  <c r="BG36" i="3"/>
  <c r="BH36" i="3"/>
  <c r="BI36" i="3"/>
  <c r="BJ36" i="3"/>
  <c r="BK36" i="3"/>
  <c r="BL36" i="3"/>
  <c r="BM36" i="3"/>
  <c r="BN36" i="3"/>
  <c r="BF37" i="3"/>
  <c r="BG37" i="3"/>
  <c r="BH37" i="3"/>
  <c r="BI37" i="3"/>
  <c r="BJ37" i="3"/>
  <c r="BK37" i="3"/>
  <c r="BL37" i="3"/>
  <c r="BM37" i="3"/>
  <c r="BN37" i="3"/>
  <c r="BF38" i="3"/>
  <c r="BG38" i="3"/>
  <c r="BH38" i="3"/>
  <c r="BI38" i="3"/>
  <c r="BJ38" i="3"/>
  <c r="BK38" i="3"/>
  <c r="BL38" i="3"/>
  <c r="BM38" i="3"/>
  <c r="BN38" i="3"/>
  <c r="BF39" i="3"/>
  <c r="BG39" i="3"/>
  <c r="BH39" i="3"/>
  <c r="BI39" i="3"/>
  <c r="BJ39" i="3"/>
  <c r="BK39" i="3"/>
  <c r="BL39" i="3"/>
  <c r="BM39" i="3"/>
  <c r="BN39" i="3"/>
  <c r="BF40" i="3"/>
  <c r="BG40" i="3"/>
  <c r="BH40" i="3"/>
  <c r="BI40" i="3"/>
  <c r="BJ40" i="3"/>
  <c r="BK40" i="3"/>
  <c r="BL40" i="3"/>
  <c r="BM40" i="3"/>
  <c r="BN40" i="3"/>
  <c r="BF41" i="3"/>
  <c r="BG41" i="3"/>
  <c r="BH41" i="3"/>
  <c r="BI41" i="3"/>
  <c r="BJ41" i="3"/>
  <c r="BK41" i="3"/>
  <c r="BL41" i="3"/>
  <c r="BM41" i="3"/>
  <c r="BN41" i="3"/>
  <c r="BF42" i="3"/>
  <c r="BG42" i="3"/>
  <c r="BH42" i="3"/>
  <c r="BI42" i="3"/>
  <c r="BJ42" i="3"/>
  <c r="BK42" i="3"/>
  <c r="BL42" i="3"/>
  <c r="BM42" i="3"/>
  <c r="BN42" i="3"/>
  <c r="BF43" i="3"/>
  <c r="BG43" i="3"/>
  <c r="BH43" i="3"/>
  <c r="BI43" i="3"/>
  <c r="BJ43" i="3"/>
  <c r="BK43" i="3"/>
  <c r="BL43" i="3"/>
  <c r="BM43" i="3"/>
  <c r="BN43" i="3"/>
  <c r="BF44" i="3"/>
  <c r="BG44" i="3"/>
  <c r="BH44" i="3"/>
  <c r="BI44" i="3"/>
  <c r="BJ44" i="3"/>
  <c r="BK44" i="3"/>
  <c r="BL44" i="3"/>
  <c r="BM44" i="3"/>
  <c r="BN44" i="3"/>
  <c r="BF45" i="3"/>
  <c r="BG45" i="3"/>
  <c r="BH45" i="3"/>
  <c r="BI45" i="3"/>
  <c r="BJ45" i="3"/>
  <c r="BK45" i="3"/>
  <c r="BL45" i="3"/>
  <c r="BM45" i="3"/>
  <c r="BN45" i="3"/>
  <c r="BF46" i="3"/>
  <c r="BG46" i="3"/>
  <c r="BH46" i="3"/>
  <c r="BI46" i="3"/>
  <c r="BJ46" i="3"/>
  <c r="BK46" i="3"/>
  <c r="BL46" i="3"/>
  <c r="BM46" i="3"/>
  <c r="BN46" i="3"/>
  <c r="BF47" i="3"/>
  <c r="BG47" i="3"/>
  <c r="BH47" i="3"/>
  <c r="BI47" i="3"/>
  <c r="BJ47" i="3"/>
  <c r="BK47" i="3"/>
  <c r="BL47" i="3"/>
  <c r="BM47" i="3"/>
  <c r="BN47" i="3"/>
  <c r="BF48" i="3"/>
  <c r="BG48" i="3"/>
  <c r="BH48" i="3"/>
  <c r="BI48" i="3"/>
  <c r="BJ48" i="3"/>
  <c r="BK48" i="3"/>
  <c r="BL48" i="3"/>
  <c r="BM48" i="3"/>
  <c r="BN48" i="3"/>
  <c r="BF49" i="3"/>
  <c r="BG49" i="3"/>
  <c r="BH49" i="3"/>
  <c r="BI49" i="3"/>
  <c r="BJ49" i="3"/>
  <c r="BK49" i="3"/>
  <c r="BL49" i="3"/>
  <c r="BM49" i="3"/>
  <c r="BN49" i="3"/>
  <c r="BF50" i="3"/>
  <c r="BG50" i="3"/>
  <c r="BH50" i="3"/>
  <c r="BI50" i="3"/>
  <c r="BJ50" i="3"/>
  <c r="BK50" i="3"/>
  <c r="BL50" i="3"/>
  <c r="BM50" i="3"/>
  <c r="BN50" i="3"/>
  <c r="BF51" i="3"/>
  <c r="BG51" i="3"/>
  <c r="BH51" i="3"/>
  <c r="BI51" i="3"/>
  <c r="BJ51" i="3"/>
  <c r="BK51" i="3"/>
  <c r="BL51" i="3"/>
  <c r="BM51" i="3"/>
  <c r="BN51" i="3"/>
  <c r="BF52" i="3"/>
  <c r="BG52" i="3"/>
  <c r="BH52" i="3"/>
  <c r="BI52" i="3"/>
  <c r="BJ52" i="3"/>
  <c r="BK52" i="3"/>
  <c r="BL52" i="3"/>
  <c r="BM52" i="3"/>
  <c r="BN52" i="3"/>
  <c r="BF53" i="3"/>
  <c r="BG53" i="3"/>
  <c r="BH53" i="3"/>
  <c r="BI53" i="3"/>
  <c r="BJ53" i="3"/>
  <c r="BK53" i="3"/>
  <c r="BL53" i="3"/>
  <c r="BM53" i="3"/>
  <c r="BN53" i="3"/>
  <c r="BF54" i="3"/>
  <c r="BG54" i="3"/>
  <c r="BH54" i="3"/>
  <c r="BI54" i="3"/>
  <c r="BJ54" i="3"/>
  <c r="BK54" i="3"/>
  <c r="BL54" i="3"/>
  <c r="BM54" i="3"/>
  <c r="BN54" i="3"/>
  <c r="BF55" i="3"/>
  <c r="BG55" i="3"/>
  <c r="BH55" i="3"/>
  <c r="BI55" i="3"/>
  <c r="BJ55" i="3"/>
  <c r="BK55" i="3"/>
  <c r="BL55" i="3"/>
  <c r="BM55" i="3"/>
  <c r="BN55" i="3"/>
  <c r="BF56" i="3"/>
  <c r="BG56" i="3"/>
  <c r="BH56" i="3"/>
  <c r="BI56" i="3"/>
  <c r="BJ56" i="3"/>
  <c r="BK56" i="3"/>
  <c r="BL56" i="3"/>
  <c r="BM56" i="3"/>
  <c r="BN56" i="3"/>
  <c r="BF57" i="3"/>
  <c r="BG57" i="3"/>
  <c r="BH57" i="3"/>
  <c r="BI57" i="3"/>
  <c r="BJ57" i="3"/>
  <c r="BK57" i="3"/>
  <c r="BL57" i="3"/>
  <c r="BM57" i="3"/>
  <c r="BN57" i="3"/>
  <c r="BF58" i="3"/>
  <c r="BG58" i="3"/>
  <c r="BH58" i="3"/>
  <c r="BI58" i="3"/>
  <c r="BJ58" i="3"/>
  <c r="BK58" i="3"/>
  <c r="BL58" i="3"/>
  <c r="BM58" i="3"/>
  <c r="BN58" i="3"/>
  <c r="BF59" i="3"/>
  <c r="BG59" i="3"/>
  <c r="BH59" i="3"/>
  <c r="BI59" i="3"/>
  <c r="BJ59" i="3"/>
  <c r="BK59" i="3"/>
  <c r="BL59" i="3"/>
  <c r="BM59" i="3"/>
  <c r="BN59" i="3"/>
  <c r="BF60" i="3"/>
  <c r="BG60" i="3"/>
  <c r="BH60" i="3"/>
  <c r="BI60" i="3"/>
  <c r="BJ60" i="3"/>
  <c r="BK60" i="3"/>
  <c r="BL60" i="3"/>
  <c r="BM60" i="3"/>
  <c r="BN60" i="3"/>
  <c r="BF61" i="3"/>
  <c r="BG61" i="3"/>
  <c r="BH61" i="3"/>
  <c r="BI61" i="3"/>
  <c r="BJ61" i="3"/>
  <c r="BK61" i="3"/>
  <c r="BL61" i="3"/>
  <c r="BM61" i="3"/>
  <c r="BN61" i="3"/>
  <c r="BF62" i="3"/>
  <c r="BG62" i="3"/>
  <c r="BH62" i="3"/>
  <c r="BI62" i="3"/>
  <c r="BJ62" i="3"/>
  <c r="BK62" i="3"/>
  <c r="BL62" i="3"/>
  <c r="BM62" i="3"/>
  <c r="BN62" i="3"/>
  <c r="BF63" i="3"/>
  <c r="BG63" i="3"/>
  <c r="BH63" i="3"/>
  <c r="BI63" i="3"/>
  <c r="BJ63" i="3"/>
  <c r="BK63" i="3"/>
  <c r="BL63" i="3"/>
  <c r="BM63" i="3"/>
  <c r="BN63" i="3"/>
  <c r="BF64" i="3"/>
  <c r="BG64" i="3"/>
  <c r="BH64" i="3"/>
  <c r="BI64" i="3"/>
  <c r="BJ64" i="3"/>
  <c r="BK64" i="3"/>
  <c r="BL64" i="3"/>
  <c r="BM64" i="3"/>
  <c r="BN64" i="3"/>
  <c r="BF65" i="3"/>
  <c r="BG65" i="3"/>
  <c r="BH65" i="3"/>
  <c r="BI65" i="3"/>
  <c r="BJ65" i="3"/>
  <c r="BK65" i="3"/>
  <c r="BL65" i="3"/>
  <c r="BM65" i="3"/>
  <c r="BN65" i="3"/>
  <c r="BF66" i="3"/>
  <c r="BG66" i="3"/>
  <c r="BH66" i="3"/>
  <c r="BI66" i="3"/>
  <c r="BJ66" i="3"/>
  <c r="BK66" i="3"/>
  <c r="BL66" i="3"/>
  <c r="BM66" i="3"/>
  <c r="BN66" i="3"/>
  <c r="BF67" i="3"/>
  <c r="BG67" i="3"/>
  <c r="BH67" i="3"/>
  <c r="BI67" i="3"/>
  <c r="BJ67" i="3"/>
  <c r="BK67" i="3"/>
  <c r="BL67" i="3"/>
  <c r="BM67" i="3"/>
  <c r="BN67" i="3"/>
  <c r="BF68" i="3"/>
  <c r="BG68" i="3"/>
  <c r="BH68" i="3"/>
  <c r="BI68" i="3"/>
  <c r="BJ68" i="3"/>
  <c r="BK68" i="3"/>
  <c r="BL68" i="3"/>
  <c r="BM68" i="3"/>
  <c r="BN68" i="3"/>
  <c r="BF69" i="3"/>
  <c r="BG69" i="3"/>
  <c r="BH69" i="3"/>
  <c r="BI69" i="3"/>
  <c r="BJ69" i="3"/>
  <c r="BK69" i="3"/>
  <c r="BL69" i="3"/>
  <c r="BM69" i="3"/>
  <c r="BN69" i="3"/>
  <c r="BF70" i="3"/>
  <c r="BG70" i="3"/>
  <c r="BH70" i="3"/>
  <c r="BI70" i="3"/>
  <c r="BJ70" i="3"/>
  <c r="BK70" i="3"/>
  <c r="BL70" i="3"/>
  <c r="BM70" i="3"/>
  <c r="BN70" i="3"/>
  <c r="BF71" i="3"/>
  <c r="BG71" i="3"/>
  <c r="BH71" i="3"/>
  <c r="BI71" i="3"/>
  <c r="BJ71" i="3"/>
  <c r="BK71" i="3"/>
  <c r="BL71" i="3"/>
  <c r="BM71" i="3"/>
  <c r="BN71" i="3"/>
  <c r="BF72" i="3"/>
  <c r="BG72" i="3"/>
  <c r="BH72" i="3"/>
  <c r="BI72" i="3"/>
  <c r="BJ72" i="3"/>
  <c r="BK72" i="3"/>
  <c r="BL72" i="3"/>
  <c r="BM72" i="3"/>
  <c r="BN72" i="3"/>
  <c r="BF73" i="3"/>
  <c r="BG73" i="3"/>
  <c r="BH73" i="3"/>
  <c r="BI73" i="3"/>
  <c r="BJ73" i="3"/>
  <c r="BK73" i="3"/>
  <c r="BL73" i="3"/>
  <c r="BM73" i="3"/>
  <c r="BN73" i="3"/>
  <c r="BF74" i="3"/>
  <c r="BG74" i="3"/>
  <c r="BH74" i="3"/>
  <c r="BI74" i="3"/>
  <c r="BJ74" i="3"/>
  <c r="BK74" i="3"/>
  <c r="BL74" i="3"/>
  <c r="BM74" i="3"/>
  <c r="BN74" i="3"/>
  <c r="BF75" i="3"/>
  <c r="BG75" i="3"/>
  <c r="BH75" i="3"/>
  <c r="BI75" i="3"/>
  <c r="BJ75" i="3"/>
  <c r="BK75" i="3"/>
  <c r="BL75" i="3"/>
  <c r="BM75" i="3"/>
  <c r="BN75" i="3"/>
  <c r="BF76" i="3"/>
  <c r="BG76" i="3"/>
  <c r="BH76" i="3"/>
  <c r="BI76" i="3"/>
  <c r="BJ76" i="3"/>
  <c r="BK76" i="3"/>
  <c r="BL76" i="3"/>
  <c r="BM76" i="3"/>
  <c r="BN76" i="3"/>
  <c r="BF77" i="3"/>
  <c r="BG77" i="3"/>
  <c r="BH77" i="3"/>
  <c r="BI77" i="3"/>
  <c r="BJ77" i="3"/>
  <c r="BK77" i="3"/>
  <c r="BL77" i="3"/>
  <c r="BM77" i="3"/>
  <c r="BN77" i="3"/>
  <c r="BF78" i="3"/>
  <c r="BG78" i="3"/>
  <c r="BH78" i="3"/>
  <c r="BI78" i="3"/>
  <c r="BJ78" i="3"/>
  <c r="BK78" i="3"/>
  <c r="BL78" i="3"/>
  <c r="BM78" i="3"/>
  <c r="BN78" i="3"/>
  <c r="BF79" i="3"/>
  <c r="BG79" i="3"/>
  <c r="BH79" i="3"/>
  <c r="BI79" i="3"/>
  <c r="BJ79" i="3"/>
  <c r="BK79" i="3"/>
  <c r="BL79" i="3"/>
  <c r="BM79" i="3"/>
  <c r="BN79" i="3"/>
  <c r="BF80" i="3"/>
  <c r="BG80" i="3"/>
  <c r="BH80" i="3"/>
  <c r="BI80" i="3"/>
  <c r="BJ80" i="3"/>
  <c r="BK80" i="3"/>
  <c r="BL80" i="3"/>
  <c r="BM80" i="3"/>
  <c r="BN80" i="3"/>
  <c r="BF81" i="3"/>
  <c r="BG81" i="3"/>
  <c r="BH81" i="3"/>
  <c r="BI81" i="3"/>
  <c r="BJ81" i="3"/>
  <c r="BK81" i="3"/>
  <c r="BL81" i="3"/>
  <c r="BM81" i="3"/>
  <c r="BN81" i="3"/>
  <c r="BF82" i="3"/>
  <c r="BG82" i="3"/>
  <c r="BH82" i="3"/>
  <c r="BI82" i="3"/>
  <c r="BJ82" i="3"/>
  <c r="BK82" i="3"/>
  <c r="BL82" i="3"/>
  <c r="BM82" i="3"/>
  <c r="BN82" i="3"/>
  <c r="BF83" i="3"/>
  <c r="BG83" i="3"/>
  <c r="BH83" i="3"/>
  <c r="BI83" i="3"/>
  <c r="BJ83" i="3"/>
  <c r="BK83" i="3"/>
  <c r="BL83" i="3"/>
  <c r="BM83" i="3"/>
  <c r="BN83" i="3"/>
  <c r="BF84" i="3"/>
  <c r="BG84" i="3"/>
  <c r="BH84" i="3"/>
  <c r="BI84" i="3"/>
  <c r="BJ84" i="3"/>
  <c r="BK84" i="3"/>
  <c r="BL84" i="3"/>
  <c r="BM84" i="3"/>
  <c r="BN84" i="3"/>
  <c r="BF85" i="3"/>
  <c r="BG85" i="3"/>
  <c r="BH85" i="3"/>
  <c r="BI85" i="3"/>
  <c r="BJ85" i="3"/>
  <c r="BK85" i="3"/>
  <c r="BL85" i="3"/>
  <c r="BM85" i="3"/>
  <c r="BN85" i="3"/>
  <c r="BF86" i="3"/>
  <c r="BG86" i="3"/>
  <c r="BH86" i="3"/>
  <c r="BI86" i="3"/>
  <c r="BJ86" i="3"/>
  <c r="BK86" i="3"/>
  <c r="BL86" i="3"/>
  <c r="BM86" i="3"/>
  <c r="BN86" i="3"/>
  <c r="BF87" i="3"/>
  <c r="BG87" i="3"/>
  <c r="BH87" i="3"/>
  <c r="BI87" i="3"/>
  <c r="BJ87" i="3"/>
  <c r="BK87" i="3"/>
  <c r="BL87" i="3"/>
  <c r="BM87" i="3"/>
  <c r="BN87" i="3"/>
  <c r="BF88" i="3"/>
  <c r="BG88" i="3"/>
  <c r="BH88" i="3"/>
  <c r="BI88" i="3"/>
  <c r="BJ88" i="3"/>
  <c r="BK88" i="3"/>
  <c r="BL88" i="3"/>
  <c r="BM88" i="3"/>
  <c r="BN88" i="3"/>
  <c r="BF89" i="3"/>
  <c r="BG89" i="3"/>
  <c r="BH89" i="3"/>
  <c r="BI89" i="3"/>
  <c r="BJ89" i="3"/>
  <c r="BK89" i="3"/>
  <c r="BL89" i="3"/>
  <c r="BM89" i="3"/>
  <c r="BN89" i="3"/>
  <c r="BF90" i="3"/>
  <c r="BG90" i="3"/>
  <c r="BH90" i="3"/>
  <c r="BI90" i="3"/>
  <c r="BJ90" i="3"/>
  <c r="BK90" i="3"/>
  <c r="BL90" i="3"/>
  <c r="BM90" i="3"/>
  <c r="BN90" i="3"/>
  <c r="BF91" i="3"/>
  <c r="BG91" i="3"/>
  <c r="BH91" i="3"/>
  <c r="BI91" i="3"/>
  <c r="BJ91" i="3"/>
  <c r="BK91" i="3"/>
  <c r="BL91" i="3"/>
  <c r="BM91" i="3"/>
  <c r="BN91" i="3"/>
  <c r="BF92" i="3"/>
  <c r="BG92" i="3"/>
  <c r="BH92" i="3"/>
  <c r="BI92" i="3"/>
  <c r="BJ92" i="3"/>
  <c r="BK92" i="3"/>
  <c r="BL92" i="3"/>
  <c r="BM92" i="3"/>
  <c r="BN92" i="3"/>
  <c r="BF93" i="3"/>
  <c r="BG93" i="3"/>
  <c r="BH93" i="3"/>
  <c r="BI93" i="3"/>
  <c r="BJ93" i="3"/>
  <c r="BK93" i="3"/>
  <c r="BL93" i="3"/>
  <c r="BM93" i="3"/>
  <c r="BN93" i="3"/>
  <c r="BF94" i="3"/>
  <c r="BG94" i="3"/>
  <c r="BH94" i="3"/>
  <c r="BI94" i="3"/>
  <c r="BJ94" i="3"/>
  <c r="BK94" i="3"/>
  <c r="BL94" i="3"/>
  <c r="BM94" i="3"/>
  <c r="BN94" i="3"/>
  <c r="BF95" i="3"/>
  <c r="BG95" i="3"/>
  <c r="BH95" i="3"/>
  <c r="BI95" i="3"/>
  <c r="BJ95" i="3"/>
  <c r="BK95" i="3"/>
  <c r="BL95" i="3"/>
  <c r="BM95" i="3"/>
  <c r="BN95" i="3"/>
  <c r="BF96" i="3"/>
  <c r="BG96" i="3"/>
  <c r="BH96" i="3"/>
  <c r="BI96" i="3"/>
  <c r="BJ96" i="3"/>
  <c r="BK96" i="3"/>
  <c r="BL96" i="3"/>
  <c r="BM96" i="3"/>
  <c r="BN96" i="3"/>
  <c r="BF97" i="3"/>
  <c r="BG97" i="3"/>
  <c r="BH97" i="3"/>
  <c r="BI97" i="3"/>
  <c r="BJ97" i="3"/>
  <c r="BK97" i="3"/>
  <c r="BL97" i="3"/>
  <c r="BM97" i="3"/>
  <c r="BN97" i="3"/>
  <c r="BF98" i="3"/>
  <c r="BG98" i="3"/>
  <c r="BH98" i="3"/>
  <c r="BI98" i="3"/>
  <c r="BJ98" i="3"/>
  <c r="BK98" i="3"/>
  <c r="BL98" i="3"/>
  <c r="BM98" i="3"/>
  <c r="BN98" i="3"/>
  <c r="BF99" i="3"/>
  <c r="BG99" i="3"/>
  <c r="BH99" i="3"/>
  <c r="BI99" i="3"/>
  <c r="BJ99" i="3"/>
  <c r="BK99" i="3"/>
  <c r="BL99" i="3"/>
  <c r="BM99" i="3"/>
  <c r="BN99" i="3"/>
  <c r="BF100" i="3"/>
  <c r="BG100" i="3"/>
  <c r="BH100" i="3"/>
  <c r="BI100" i="3"/>
  <c r="BJ100" i="3"/>
  <c r="BK100" i="3"/>
  <c r="BL100" i="3"/>
  <c r="BM100" i="3"/>
  <c r="BN100" i="3"/>
  <c r="BF101" i="3"/>
  <c r="BG101" i="3"/>
  <c r="BH101" i="3"/>
  <c r="BI101" i="3"/>
  <c r="BJ101" i="3"/>
  <c r="BK101" i="3"/>
  <c r="BL101" i="3"/>
  <c r="BM101" i="3"/>
  <c r="BN101" i="3"/>
  <c r="BF102" i="3"/>
  <c r="BG102" i="3"/>
  <c r="BH102" i="3"/>
  <c r="BI102" i="3"/>
  <c r="BJ102" i="3"/>
  <c r="BK102" i="3"/>
  <c r="BL102" i="3"/>
  <c r="BM102" i="3"/>
  <c r="BN102" i="3"/>
  <c r="BF103" i="3"/>
  <c r="BG103" i="3"/>
  <c r="BH103" i="3"/>
  <c r="BI103" i="3"/>
  <c r="BJ103" i="3"/>
  <c r="BK103" i="3"/>
  <c r="BL103" i="3"/>
  <c r="BM103" i="3"/>
  <c r="BN103" i="3"/>
  <c r="BF104" i="3"/>
  <c r="BG104" i="3"/>
  <c r="BH104" i="3"/>
  <c r="BI104" i="3"/>
  <c r="BJ104" i="3"/>
  <c r="BK104" i="3"/>
  <c r="BL104" i="3"/>
  <c r="BM104" i="3"/>
  <c r="BN104" i="3"/>
  <c r="BF105" i="3"/>
  <c r="BG105" i="3"/>
  <c r="BH105" i="3"/>
  <c r="BI105" i="3"/>
  <c r="BJ105" i="3"/>
  <c r="BK105" i="3"/>
  <c r="BL105" i="3"/>
  <c r="BM105" i="3"/>
  <c r="BN105" i="3"/>
  <c r="BF106" i="3"/>
  <c r="BG106" i="3"/>
  <c r="BH106" i="3"/>
  <c r="BI106" i="3"/>
  <c r="BJ106" i="3"/>
  <c r="BK106" i="3"/>
  <c r="BL106" i="3"/>
  <c r="BM106" i="3"/>
  <c r="BN106" i="3"/>
  <c r="BF107" i="3"/>
  <c r="BG107" i="3"/>
  <c r="BH107" i="3"/>
  <c r="BI107" i="3"/>
  <c r="BJ107" i="3"/>
  <c r="BK107" i="3"/>
  <c r="BL107" i="3"/>
  <c r="BM107" i="3"/>
  <c r="BN107" i="3"/>
  <c r="BF108" i="3"/>
  <c r="BG108" i="3"/>
  <c r="BH108" i="3"/>
  <c r="BI108" i="3"/>
  <c r="BJ108" i="3"/>
  <c r="BK108" i="3"/>
  <c r="BL108" i="3"/>
  <c r="BM108" i="3"/>
  <c r="BN108" i="3"/>
  <c r="BF109" i="3"/>
  <c r="BG109" i="3"/>
  <c r="BH109" i="3"/>
  <c r="BI109" i="3"/>
  <c r="BJ109" i="3"/>
  <c r="BK109" i="3"/>
  <c r="BL109" i="3"/>
  <c r="BM109" i="3"/>
  <c r="BN109" i="3"/>
  <c r="BF110" i="3"/>
  <c r="BG110" i="3"/>
  <c r="BH110" i="3"/>
  <c r="BI110" i="3"/>
  <c r="BJ110" i="3"/>
  <c r="BK110" i="3"/>
  <c r="BL110" i="3"/>
  <c r="BM110" i="3"/>
  <c r="BN110" i="3"/>
  <c r="BF111" i="3"/>
  <c r="BG111" i="3"/>
  <c r="BH111" i="3"/>
  <c r="BI111" i="3"/>
  <c r="BJ111" i="3"/>
  <c r="BK111" i="3"/>
  <c r="BL111" i="3"/>
  <c r="BM111" i="3"/>
  <c r="BN111" i="3"/>
  <c r="BF112" i="3"/>
  <c r="BG112" i="3"/>
  <c r="BH112" i="3"/>
  <c r="BI112" i="3"/>
  <c r="BJ112" i="3"/>
  <c r="BK112" i="3"/>
  <c r="BL112" i="3"/>
  <c r="BM112" i="3"/>
  <c r="BN112" i="3"/>
  <c r="BF113" i="3"/>
  <c r="BG113" i="3"/>
  <c r="BH113" i="3"/>
  <c r="BI113" i="3"/>
  <c r="BJ113" i="3"/>
  <c r="BK113" i="3"/>
  <c r="BL113" i="3"/>
  <c r="BM113" i="3"/>
  <c r="BN113" i="3"/>
  <c r="BF114" i="3"/>
  <c r="BG114" i="3"/>
  <c r="BH114" i="3"/>
  <c r="BI114" i="3"/>
  <c r="BJ114" i="3"/>
  <c r="BK114" i="3"/>
  <c r="BL114" i="3"/>
  <c r="BM114" i="3"/>
  <c r="BN114" i="3"/>
  <c r="BF115" i="3"/>
  <c r="BG115" i="3"/>
  <c r="BH115" i="3"/>
  <c r="BI115" i="3"/>
  <c r="BJ115" i="3"/>
  <c r="BK115" i="3"/>
  <c r="BL115" i="3"/>
  <c r="BM115" i="3"/>
  <c r="BN115" i="3"/>
  <c r="BF116" i="3"/>
  <c r="BG116" i="3"/>
  <c r="BH116" i="3"/>
  <c r="BI116" i="3"/>
  <c r="BJ116" i="3"/>
  <c r="BK116" i="3"/>
  <c r="BL116" i="3"/>
  <c r="BM116" i="3"/>
  <c r="BN116" i="3"/>
  <c r="BF117" i="3"/>
  <c r="BG117" i="3"/>
  <c r="BH117" i="3"/>
  <c r="BI117" i="3"/>
  <c r="BJ117" i="3"/>
  <c r="BK117" i="3"/>
  <c r="BL117" i="3"/>
  <c r="BM117" i="3"/>
  <c r="BN117" i="3"/>
  <c r="BF118" i="3"/>
  <c r="BG118" i="3"/>
  <c r="BH118" i="3"/>
  <c r="BI118" i="3"/>
  <c r="BJ118" i="3"/>
  <c r="BK118" i="3"/>
  <c r="BL118" i="3"/>
  <c r="BM118" i="3"/>
  <c r="BN118" i="3"/>
  <c r="BF119" i="3"/>
  <c r="BG119" i="3"/>
  <c r="BH119" i="3"/>
  <c r="BI119" i="3"/>
  <c r="BJ119" i="3"/>
  <c r="BK119" i="3"/>
  <c r="BL119" i="3"/>
  <c r="BM119" i="3"/>
  <c r="BN119" i="3"/>
  <c r="BF120" i="3"/>
  <c r="BG120" i="3"/>
  <c r="BH120" i="3"/>
  <c r="BI120" i="3"/>
  <c r="BJ120" i="3"/>
  <c r="BK120" i="3"/>
  <c r="BL120" i="3"/>
  <c r="BM120" i="3"/>
  <c r="BN120" i="3"/>
  <c r="BF121" i="3"/>
  <c r="BG121" i="3"/>
  <c r="BH121" i="3"/>
  <c r="BI121" i="3"/>
  <c r="BJ121" i="3"/>
  <c r="BK121" i="3"/>
  <c r="BL121" i="3"/>
  <c r="BM121" i="3"/>
  <c r="BN121" i="3"/>
  <c r="BF122" i="3"/>
  <c r="BG122" i="3"/>
  <c r="BH122" i="3"/>
  <c r="BI122" i="3"/>
  <c r="BJ122" i="3"/>
  <c r="BK122" i="3"/>
  <c r="BL122" i="3"/>
  <c r="BM122" i="3"/>
  <c r="BN122" i="3"/>
  <c r="BF123" i="3"/>
  <c r="BG123" i="3"/>
  <c r="BH123" i="3"/>
  <c r="BI123" i="3"/>
  <c r="BJ123" i="3"/>
  <c r="BK123" i="3"/>
  <c r="BL123" i="3"/>
  <c r="BM123" i="3"/>
  <c r="BN123" i="3"/>
  <c r="BF124" i="3"/>
  <c r="BG124" i="3"/>
  <c r="BH124" i="3"/>
  <c r="BI124" i="3"/>
  <c r="BJ124" i="3"/>
  <c r="BK124" i="3"/>
  <c r="BL124" i="3"/>
  <c r="BM124" i="3"/>
  <c r="BN124" i="3"/>
  <c r="BF125" i="3"/>
  <c r="BG125" i="3"/>
  <c r="BH125" i="3"/>
  <c r="BI125" i="3"/>
  <c r="BJ125" i="3"/>
  <c r="BK125" i="3"/>
  <c r="BL125" i="3"/>
  <c r="BM125" i="3"/>
  <c r="BN125" i="3"/>
  <c r="BF126" i="3"/>
  <c r="BG126" i="3"/>
  <c r="BH126" i="3"/>
  <c r="BI126" i="3"/>
  <c r="BJ126" i="3"/>
  <c r="BK126" i="3"/>
  <c r="BL126" i="3"/>
  <c r="BM126" i="3"/>
  <c r="BN126" i="3"/>
  <c r="BF127" i="3"/>
  <c r="BG127" i="3"/>
  <c r="BH127" i="3"/>
  <c r="BI127" i="3"/>
  <c r="BJ127" i="3"/>
  <c r="BK127" i="3"/>
  <c r="BL127" i="3"/>
  <c r="BM127" i="3"/>
  <c r="BN127" i="3"/>
  <c r="BF128" i="3"/>
  <c r="BG128" i="3"/>
  <c r="BH128" i="3"/>
  <c r="BI128" i="3"/>
  <c r="BJ128" i="3"/>
  <c r="BK128" i="3"/>
  <c r="BL128" i="3"/>
  <c r="BM128" i="3"/>
  <c r="BN128" i="3"/>
  <c r="BF129" i="3"/>
  <c r="BG129" i="3"/>
  <c r="BH129" i="3"/>
  <c r="BI129" i="3"/>
  <c r="BJ129" i="3"/>
  <c r="BK129" i="3"/>
  <c r="BL129" i="3"/>
  <c r="BM129" i="3"/>
  <c r="BN129" i="3"/>
  <c r="BF130" i="3"/>
  <c r="BG130" i="3"/>
  <c r="BH130" i="3"/>
  <c r="BI130" i="3"/>
  <c r="BJ130" i="3"/>
  <c r="BK130" i="3"/>
  <c r="BL130" i="3"/>
  <c r="BM130" i="3"/>
  <c r="BN130" i="3"/>
  <c r="BF131" i="3"/>
  <c r="BG131" i="3"/>
  <c r="BH131" i="3"/>
  <c r="BI131" i="3"/>
  <c r="BJ131" i="3"/>
  <c r="BK131" i="3"/>
  <c r="BL131" i="3"/>
  <c r="BM131" i="3"/>
  <c r="BN131" i="3"/>
  <c r="BF132" i="3"/>
  <c r="BG132" i="3"/>
  <c r="BH132" i="3"/>
  <c r="BI132" i="3"/>
  <c r="BJ132" i="3"/>
  <c r="BK132" i="3"/>
  <c r="BL132" i="3"/>
  <c r="BM132" i="3"/>
  <c r="BN132" i="3"/>
  <c r="BF133" i="3"/>
  <c r="BG133" i="3"/>
  <c r="BH133" i="3"/>
  <c r="BI133" i="3"/>
  <c r="BJ133" i="3"/>
  <c r="BK133" i="3"/>
  <c r="BL133" i="3"/>
  <c r="BM133" i="3"/>
  <c r="BN133" i="3"/>
  <c r="BF134" i="3"/>
  <c r="BG134" i="3"/>
  <c r="BH134" i="3"/>
  <c r="BI134" i="3"/>
  <c r="BJ134" i="3"/>
  <c r="BK134" i="3"/>
  <c r="BL134" i="3"/>
  <c r="BM134" i="3"/>
  <c r="BN134" i="3"/>
  <c r="BF135" i="3"/>
  <c r="BG135" i="3"/>
  <c r="BH135" i="3"/>
  <c r="BI135" i="3"/>
  <c r="BJ135" i="3"/>
  <c r="BK135" i="3"/>
  <c r="BL135" i="3"/>
  <c r="BM135" i="3"/>
  <c r="BN135" i="3"/>
  <c r="BF136" i="3"/>
  <c r="BG136" i="3"/>
  <c r="BH136" i="3"/>
  <c r="BI136" i="3"/>
  <c r="BJ136" i="3"/>
  <c r="BK136" i="3"/>
  <c r="BL136" i="3"/>
  <c r="BM136" i="3"/>
  <c r="BN136" i="3"/>
  <c r="BF137" i="3"/>
  <c r="BG137" i="3"/>
  <c r="BH137" i="3"/>
  <c r="BI137" i="3"/>
  <c r="BJ137" i="3"/>
  <c r="BK137" i="3"/>
  <c r="BL137" i="3"/>
  <c r="BM137" i="3"/>
  <c r="BN137" i="3"/>
  <c r="BF138" i="3"/>
  <c r="BG138" i="3"/>
  <c r="BH138" i="3"/>
  <c r="BI138" i="3"/>
  <c r="BJ138" i="3"/>
  <c r="BK138" i="3"/>
  <c r="BL138" i="3"/>
  <c r="BM138" i="3"/>
  <c r="BN138" i="3"/>
  <c r="BF139" i="3"/>
  <c r="BG139" i="3"/>
  <c r="BH139" i="3"/>
  <c r="BI139" i="3"/>
  <c r="BJ139" i="3"/>
  <c r="BK139" i="3"/>
  <c r="BL139" i="3"/>
  <c r="BM139" i="3"/>
  <c r="BN139" i="3"/>
  <c r="BF140" i="3"/>
  <c r="BG140" i="3"/>
  <c r="BH140" i="3"/>
  <c r="BI140" i="3"/>
  <c r="BJ140" i="3"/>
  <c r="BK140" i="3"/>
  <c r="BL140" i="3"/>
  <c r="BM140" i="3"/>
  <c r="BN140" i="3"/>
  <c r="BF141" i="3"/>
  <c r="BG141" i="3"/>
  <c r="BH141" i="3"/>
  <c r="BI141" i="3"/>
  <c r="BJ141" i="3"/>
  <c r="BK141" i="3"/>
  <c r="BL141" i="3"/>
  <c r="BM141" i="3"/>
  <c r="BN141" i="3"/>
  <c r="BF142" i="3"/>
  <c r="BG142" i="3"/>
  <c r="BH142" i="3"/>
  <c r="BI142" i="3"/>
  <c r="BJ142" i="3"/>
  <c r="BK142" i="3"/>
  <c r="BL142" i="3"/>
  <c r="BM142" i="3"/>
  <c r="BN142" i="3"/>
  <c r="BF143" i="3"/>
  <c r="BG143" i="3"/>
  <c r="BH143" i="3"/>
  <c r="BI143" i="3"/>
  <c r="BJ143" i="3"/>
  <c r="BK143" i="3"/>
  <c r="BL143" i="3"/>
  <c r="BM143" i="3"/>
  <c r="BN143" i="3"/>
  <c r="BF144" i="3"/>
  <c r="BG144" i="3"/>
  <c r="BH144" i="3"/>
  <c r="BI144" i="3"/>
  <c r="BJ144" i="3"/>
  <c r="BK144" i="3"/>
  <c r="BL144" i="3"/>
  <c r="BM144" i="3"/>
  <c r="BN144" i="3"/>
  <c r="BF145" i="3"/>
  <c r="BG145" i="3"/>
  <c r="BH145" i="3"/>
  <c r="BI145" i="3"/>
  <c r="BJ145" i="3"/>
  <c r="BK145" i="3"/>
  <c r="BL145" i="3"/>
  <c r="BM145" i="3"/>
  <c r="BN145" i="3"/>
  <c r="BF146" i="3"/>
  <c r="BG146" i="3"/>
  <c r="BH146" i="3"/>
  <c r="BI146" i="3"/>
  <c r="BJ146" i="3"/>
  <c r="BK146" i="3"/>
  <c r="BL146" i="3"/>
  <c r="BM146" i="3"/>
  <c r="BN146" i="3"/>
  <c r="BF147" i="3"/>
  <c r="BG147" i="3"/>
  <c r="BH147" i="3"/>
  <c r="BI147" i="3"/>
  <c r="BJ147" i="3"/>
  <c r="BK147" i="3"/>
  <c r="BL147" i="3"/>
  <c r="BM147" i="3"/>
  <c r="BN147" i="3"/>
  <c r="BF148" i="3"/>
  <c r="BG148" i="3"/>
  <c r="BH148" i="3"/>
  <c r="BI148" i="3"/>
  <c r="BJ148" i="3"/>
  <c r="BK148" i="3"/>
  <c r="BL148" i="3"/>
  <c r="BM148" i="3"/>
  <c r="BN148" i="3"/>
  <c r="BF149" i="3"/>
  <c r="BG149" i="3"/>
  <c r="BH149" i="3"/>
  <c r="BI149" i="3"/>
  <c r="BJ149" i="3"/>
  <c r="BK149" i="3"/>
  <c r="BL149" i="3"/>
  <c r="BM149" i="3"/>
  <c r="BN149" i="3"/>
  <c r="BF150" i="3"/>
  <c r="BG150" i="3"/>
  <c r="BH150" i="3"/>
  <c r="BI150" i="3"/>
  <c r="BJ150" i="3"/>
  <c r="BK150" i="3"/>
  <c r="BL150" i="3"/>
  <c r="BM150" i="3"/>
  <c r="BN150" i="3"/>
  <c r="BF151" i="3"/>
  <c r="BG151" i="3"/>
  <c r="BH151" i="3"/>
  <c r="BI151" i="3"/>
  <c r="BJ151" i="3"/>
  <c r="BK151" i="3"/>
  <c r="BL151" i="3"/>
  <c r="BM151" i="3"/>
  <c r="BN151" i="3"/>
  <c r="BF152" i="3"/>
  <c r="BG152" i="3"/>
  <c r="BH152" i="3"/>
  <c r="BI152" i="3"/>
  <c r="BJ152" i="3"/>
  <c r="BK152" i="3"/>
  <c r="BL152" i="3"/>
  <c r="BM152" i="3"/>
  <c r="BN152" i="3"/>
  <c r="BF153" i="3"/>
  <c r="BG153" i="3"/>
  <c r="BH153" i="3"/>
  <c r="BI153" i="3"/>
  <c r="BJ153" i="3"/>
  <c r="BK153" i="3"/>
  <c r="BL153" i="3"/>
  <c r="BM153" i="3"/>
  <c r="BN153" i="3"/>
  <c r="BF154" i="3"/>
  <c r="BG154" i="3"/>
  <c r="BH154" i="3"/>
  <c r="BI154" i="3"/>
  <c r="BJ154" i="3"/>
  <c r="BK154" i="3"/>
  <c r="BL154" i="3"/>
  <c r="BM154" i="3"/>
  <c r="BN154" i="3"/>
  <c r="BF155" i="3"/>
  <c r="BG155" i="3"/>
  <c r="BH155" i="3"/>
  <c r="BI155" i="3"/>
  <c r="BJ155" i="3"/>
  <c r="BK155" i="3"/>
  <c r="BL155" i="3"/>
  <c r="BM155" i="3"/>
  <c r="BN155" i="3"/>
  <c r="BF156" i="3"/>
  <c r="BG156" i="3"/>
  <c r="BH156" i="3"/>
  <c r="BI156" i="3"/>
  <c r="BJ156" i="3"/>
  <c r="BK156" i="3"/>
  <c r="BL156" i="3"/>
  <c r="BM156" i="3"/>
  <c r="BN156" i="3"/>
  <c r="BF157" i="3"/>
  <c r="BG157" i="3"/>
  <c r="BH157" i="3"/>
  <c r="BI157" i="3"/>
  <c r="BJ157" i="3"/>
  <c r="BK157" i="3"/>
  <c r="BL157" i="3"/>
  <c r="BM157" i="3"/>
  <c r="BN157" i="3"/>
  <c r="BF158" i="3"/>
  <c r="BG158" i="3"/>
  <c r="BH158" i="3"/>
  <c r="BI158" i="3"/>
  <c r="BJ158" i="3"/>
  <c r="BK158" i="3"/>
  <c r="BL158" i="3"/>
  <c r="BM158" i="3"/>
  <c r="BN158" i="3"/>
  <c r="BF159" i="3"/>
  <c r="BG159" i="3"/>
  <c r="BH159" i="3"/>
  <c r="BI159" i="3"/>
  <c r="BJ159" i="3"/>
  <c r="BK159" i="3"/>
  <c r="BL159" i="3"/>
  <c r="BM159" i="3"/>
  <c r="BN159" i="3"/>
  <c r="BF160" i="3"/>
  <c r="BG160" i="3"/>
  <c r="BH160" i="3"/>
  <c r="BI160" i="3"/>
  <c r="BJ160" i="3"/>
  <c r="BK160" i="3"/>
  <c r="BL160" i="3"/>
  <c r="BM160" i="3"/>
  <c r="BN160" i="3"/>
  <c r="BF161" i="3"/>
  <c r="BG161" i="3"/>
  <c r="BH161" i="3"/>
  <c r="BI161" i="3"/>
  <c r="BJ161" i="3"/>
  <c r="BK161" i="3"/>
  <c r="BL161" i="3"/>
  <c r="BM161" i="3"/>
  <c r="BN161" i="3"/>
  <c r="BF162" i="3"/>
  <c r="BG162" i="3"/>
  <c r="BH162" i="3"/>
  <c r="BI162" i="3"/>
  <c r="BJ162" i="3"/>
  <c r="BK162" i="3"/>
  <c r="BL162" i="3"/>
  <c r="BM162" i="3"/>
  <c r="BN162" i="3"/>
  <c r="BF163" i="3"/>
  <c r="BG163" i="3"/>
  <c r="BH163" i="3"/>
  <c r="BI163" i="3"/>
  <c r="BJ163" i="3"/>
  <c r="BK163" i="3"/>
  <c r="BL163" i="3"/>
  <c r="BM163" i="3"/>
  <c r="BN163" i="3"/>
  <c r="BF164" i="3"/>
  <c r="BG164" i="3"/>
  <c r="BH164" i="3"/>
  <c r="BI164" i="3"/>
  <c r="BJ164" i="3"/>
  <c r="BK164" i="3"/>
  <c r="BL164" i="3"/>
  <c r="BM164" i="3"/>
  <c r="BN164" i="3"/>
  <c r="BF165" i="3"/>
  <c r="BG165" i="3"/>
  <c r="BH165" i="3"/>
  <c r="BI165" i="3"/>
  <c r="BJ165" i="3"/>
  <c r="BK165" i="3"/>
  <c r="BL165" i="3"/>
  <c r="BM165" i="3"/>
  <c r="BN165" i="3"/>
  <c r="BF166" i="3"/>
  <c r="BG166" i="3"/>
  <c r="BH166" i="3"/>
  <c r="BI166" i="3"/>
  <c r="BJ166" i="3"/>
  <c r="BK166" i="3"/>
  <c r="BL166" i="3"/>
  <c r="BM166" i="3"/>
  <c r="BN166" i="3"/>
  <c r="BF167" i="3"/>
  <c r="BG167" i="3"/>
  <c r="BH167" i="3"/>
  <c r="BI167" i="3"/>
  <c r="BJ167" i="3"/>
  <c r="BK167" i="3"/>
  <c r="BL167" i="3"/>
  <c r="BM167" i="3"/>
  <c r="BN167" i="3"/>
  <c r="BF168" i="3"/>
  <c r="BG168" i="3"/>
  <c r="BH168" i="3"/>
  <c r="BI168" i="3"/>
  <c r="BJ168" i="3"/>
  <c r="BK168" i="3"/>
  <c r="BL168" i="3"/>
  <c r="BM168" i="3"/>
  <c r="BN168" i="3"/>
  <c r="BF169" i="3"/>
  <c r="BG169" i="3"/>
  <c r="BH169" i="3"/>
  <c r="BI169" i="3"/>
  <c r="BJ169" i="3"/>
  <c r="BK169" i="3"/>
  <c r="BL169" i="3"/>
  <c r="BM169" i="3"/>
  <c r="BN169" i="3"/>
  <c r="BF170" i="3"/>
  <c r="BG170" i="3"/>
  <c r="BH170" i="3"/>
  <c r="BI170" i="3"/>
  <c r="BJ170" i="3"/>
  <c r="BK170" i="3"/>
  <c r="BL170" i="3"/>
  <c r="BM170" i="3"/>
  <c r="BN170" i="3"/>
  <c r="BF171" i="3"/>
  <c r="BG171" i="3"/>
  <c r="BH171" i="3"/>
  <c r="BI171" i="3"/>
  <c r="BJ171" i="3"/>
  <c r="BK171" i="3"/>
  <c r="BL171" i="3"/>
  <c r="BM171" i="3"/>
  <c r="BN171" i="3"/>
  <c r="BF172" i="3"/>
  <c r="BG172" i="3"/>
  <c r="BH172" i="3"/>
  <c r="BI172" i="3"/>
  <c r="BJ172" i="3"/>
  <c r="BK172" i="3"/>
  <c r="BL172" i="3"/>
  <c r="BM172" i="3"/>
  <c r="BN172" i="3"/>
  <c r="BF173" i="3"/>
  <c r="BG173" i="3"/>
  <c r="BH173" i="3"/>
  <c r="BI173" i="3"/>
  <c r="BJ173" i="3"/>
  <c r="BK173" i="3"/>
  <c r="BL173" i="3"/>
  <c r="BM173" i="3"/>
  <c r="BN173" i="3"/>
  <c r="BF174" i="3"/>
  <c r="BG174" i="3"/>
  <c r="BH174" i="3"/>
  <c r="BI174" i="3"/>
  <c r="BJ174" i="3"/>
  <c r="BK174" i="3"/>
  <c r="BL174" i="3"/>
  <c r="BM174" i="3"/>
  <c r="BN174" i="3"/>
  <c r="BF175" i="3"/>
  <c r="BG175" i="3"/>
  <c r="BH175" i="3"/>
  <c r="BI175" i="3"/>
  <c r="BJ175" i="3"/>
  <c r="BK175" i="3"/>
  <c r="BL175" i="3"/>
  <c r="BM175" i="3"/>
  <c r="BN175" i="3"/>
  <c r="BF176" i="3"/>
  <c r="BG176" i="3"/>
  <c r="BH176" i="3"/>
  <c r="BI176" i="3"/>
  <c r="BJ176" i="3"/>
  <c r="BK176" i="3"/>
  <c r="BL176" i="3"/>
  <c r="BM176" i="3"/>
  <c r="BN176" i="3"/>
  <c r="BF177" i="3"/>
  <c r="BG177" i="3"/>
  <c r="BH177" i="3"/>
  <c r="BI177" i="3"/>
  <c r="BJ177" i="3"/>
  <c r="BK177" i="3"/>
  <c r="BL177" i="3"/>
  <c r="BM177" i="3"/>
  <c r="BN177" i="3"/>
  <c r="BF178" i="3"/>
  <c r="BG178" i="3"/>
  <c r="BH178" i="3"/>
  <c r="BI178" i="3"/>
  <c r="BJ178" i="3"/>
  <c r="BK178" i="3"/>
  <c r="BL178" i="3"/>
  <c r="BM178" i="3"/>
  <c r="BN178" i="3"/>
  <c r="BF179" i="3"/>
  <c r="BG179" i="3"/>
  <c r="BH179" i="3"/>
  <c r="BI179" i="3"/>
  <c r="BJ179" i="3"/>
  <c r="BK179" i="3"/>
  <c r="BL179" i="3"/>
  <c r="BM179" i="3"/>
  <c r="BN179" i="3"/>
  <c r="BF180" i="3"/>
  <c r="BG180" i="3"/>
  <c r="BH180" i="3"/>
  <c r="BI180" i="3"/>
  <c r="BJ180" i="3"/>
  <c r="BK180" i="3"/>
  <c r="BL180" i="3"/>
  <c r="BM180" i="3"/>
  <c r="BN180" i="3"/>
  <c r="BF181" i="3"/>
  <c r="BG181" i="3"/>
  <c r="BH181" i="3"/>
  <c r="BI181" i="3"/>
  <c r="BJ181" i="3"/>
  <c r="BK181" i="3"/>
  <c r="BL181" i="3"/>
  <c r="BM181" i="3"/>
  <c r="BN181" i="3"/>
  <c r="BF182" i="3"/>
  <c r="BG182" i="3"/>
  <c r="BH182" i="3"/>
  <c r="BI182" i="3"/>
  <c r="BJ182" i="3"/>
  <c r="BK182" i="3"/>
  <c r="BL182" i="3"/>
  <c r="BM182" i="3"/>
  <c r="BN182" i="3"/>
  <c r="BF183" i="3"/>
  <c r="BG183" i="3"/>
  <c r="BH183" i="3"/>
  <c r="BI183" i="3"/>
  <c r="BJ183" i="3"/>
  <c r="BK183" i="3"/>
  <c r="BL183" i="3"/>
  <c r="BM183" i="3"/>
  <c r="BN183" i="3"/>
  <c r="BF184" i="3"/>
  <c r="BG184" i="3"/>
  <c r="BH184" i="3"/>
  <c r="BI184" i="3"/>
  <c r="BJ184" i="3"/>
  <c r="BK184" i="3"/>
  <c r="BL184" i="3"/>
  <c r="BM184" i="3"/>
  <c r="BN184" i="3"/>
  <c r="BF185" i="3"/>
  <c r="BG185" i="3"/>
  <c r="BH185" i="3"/>
  <c r="BI185" i="3"/>
  <c r="BJ185" i="3"/>
  <c r="BK185" i="3"/>
  <c r="BL185" i="3"/>
  <c r="BM185" i="3"/>
  <c r="BN185" i="3"/>
  <c r="BF186" i="3"/>
  <c r="BG186" i="3"/>
  <c r="BH186" i="3"/>
  <c r="BI186" i="3"/>
  <c r="BJ186" i="3"/>
  <c r="BK186" i="3"/>
  <c r="BL186" i="3"/>
  <c r="BM186" i="3"/>
  <c r="BN186" i="3"/>
  <c r="BF187" i="3"/>
  <c r="BG187" i="3"/>
  <c r="BH187" i="3"/>
  <c r="BI187" i="3"/>
  <c r="BJ187" i="3"/>
  <c r="BK187" i="3"/>
  <c r="BL187" i="3"/>
  <c r="BM187" i="3"/>
  <c r="BN187" i="3"/>
  <c r="BF188" i="3"/>
  <c r="BG188" i="3"/>
  <c r="BH188" i="3"/>
  <c r="BI188" i="3"/>
  <c r="BJ188" i="3"/>
  <c r="BK188" i="3"/>
  <c r="BL188" i="3"/>
  <c r="BM188" i="3"/>
  <c r="BN188" i="3"/>
  <c r="BF189" i="3"/>
  <c r="BG189" i="3"/>
  <c r="BH189" i="3"/>
  <c r="BI189" i="3"/>
  <c r="BJ189" i="3"/>
  <c r="BK189" i="3"/>
  <c r="BL189" i="3"/>
  <c r="BM189" i="3"/>
  <c r="BN189" i="3"/>
  <c r="BF190" i="3"/>
  <c r="BG190" i="3"/>
  <c r="BH190" i="3"/>
  <c r="BI190" i="3"/>
  <c r="BJ190" i="3"/>
  <c r="BK190" i="3"/>
  <c r="BL190" i="3"/>
  <c r="BM190" i="3"/>
  <c r="BN190" i="3"/>
  <c r="BF191" i="3"/>
  <c r="BG191" i="3"/>
  <c r="BH191" i="3"/>
  <c r="BI191" i="3"/>
  <c r="BJ191" i="3"/>
  <c r="BK191" i="3"/>
  <c r="BL191" i="3"/>
  <c r="BM191" i="3"/>
  <c r="BN191" i="3"/>
  <c r="BF192" i="3"/>
  <c r="BG192" i="3"/>
  <c r="BH192" i="3"/>
  <c r="BI192" i="3"/>
  <c r="BJ192" i="3"/>
  <c r="BK192" i="3"/>
  <c r="BL192" i="3"/>
  <c r="BM192" i="3"/>
  <c r="BN192" i="3"/>
  <c r="BF193" i="3"/>
  <c r="BG193" i="3"/>
  <c r="BH193" i="3"/>
  <c r="BI193" i="3"/>
  <c r="BJ193" i="3"/>
  <c r="BK193" i="3"/>
  <c r="BL193" i="3"/>
  <c r="BM193" i="3"/>
  <c r="BN193" i="3"/>
  <c r="BF194" i="3"/>
  <c r="BG194" i="3"/>
  <c r="BH194" i="3"/>
  <c r="BI194" i="3"/>
  <c r="BJ194" i="3"/>
  <c r="BK194" i="3"/>
  <c r="BL194" i="3"/>
  <c r="BM194" i="3"/>
  <c r="BN194" i="3"/>
  <c r="BF195" i="3"/>
  <c r="BG195" i="3"/>
  <c r="BH195" i="3"/>
  <c r="BI195" i="3"/>
  <c r="BJ195" i="3"/>
  <c r="BK195" i="3"/>
  <c r="BL195" i="3"/>
  <c r="BM195" i="3"/>
  <c r="BN195" i="3"/>
  <c r="BF196" i="3"/>
  <c r="BG196" i="3"/>
  <c r="BH196" i="3"/>
  <c r="BI196" i="3"/>
  <c r="BJ196" i="3"/>
  <c r="BK196" i="3"/>
  <c r="BL196" i="3"/>
  <c r="BM196" i="3"/>
  <c r="BN196" i="3"/>
  <c r="BF197" i="3"/>
  <c r="BG197" i="3"/>
  <c r="BH197" i="3"/>
  <c r="BI197" i="3"/>
  <c r="BJ197" i="3"/>
  <c r="BK197" i="3"/>
  <c r="BL197" i="3"/>
  <c r="BM197" i="3"/>
  <c r="BN197" i="3"/>
  <c r="BF198" i="3"/>
  <c r="BG198" i="3"/>
  <c r="BH198" i="3"/>
  <c r="BI198" i="3"/>
  <c r="BJ198" i="3"/>
  <c r="BK198" i="3"/>
  <c r="BL198" i="3"/>
  <c r="BM198" i="3"/>
  <c r="BN198" i="3"/>
  <c r="BF199" i="3"/>
  <c r="BG199" i="3"/>
  <c r="BH199" i="3"/>
  <c r="BI199" i="3"/>
  <c r="BJ199" i="3"/>
  <c r="BK199" i="3"/>
  <c r="BL199" i="3"/>
  <c r="BM199" i="3"/>
  <c r="BN199" i="3"/>
  <c r="BF200" i="3"/>
  <c r="BG200" i="3"/>
  <c r="BH200" i="3"/>
  <c r="BI200" i="3"/>
  <c r="BJ200" i="3"/>
  <c r="BK200" i="3"/>
  <c r="BL200" i="3"/>
  <c r="BM200" i="3"/>
  <c r="BN200" i="3"/>
  <c r="BF201" i="3"/>
  <c r="BG201" i="3"/>
  <c r="BH201" i="3"/>
  <c r="BI201" i="3"/>
  <c r="BJ201" i="3"/>
  <c r="BK201" i="3"/>
  <c r="BL201" i="3"/>
  <c r="BM201" i="3"/>
  <c r="BN201" i="3"/>
  <c r="BF202" i="3"/>
  <c r="BG202" i="3"/>
  <c r="BH202" i="3"/>
  <c r="BI202" i="3"/>
  <c r="BJ202" i="3"/>
  <c r="BK202" i="3"/>
  <c r="BL202" i="3"/>
  <c r="BM202" i="3"/>
  <c r="BN202" i="3"/>
  <c r="BF203" i="3"/>
  <c r="BG203" i="3"/>
  <c r="BH203" i="3"/>
  <c r="BI203" i="3"/>
  <c r="BJ203" i="3"/>
  <c r="BK203" i="3"/>
  <c r="BL203" i="3"/>
  <c r="BM203" i="3"/>
  <c r="BN203" i="3"/>
  <c r="BF204" i="3"/>
  <c r="BG204" i="3"/>
  <c r="BH204" i="3"/>
  <c r="BI204" i="3"/>
  <c r="BJ204" i="3"/>
  <c r="BK204" i="3"/>
  <c r="BL204" i="3"/>
  <c r="BM204" i="3"/>
  <c r="BN204" i="3"/>
  <c r="BF205" i="3"/>
  <c r="BG205" i="3"/>
  <c r="BH205" i="3"/>
  <c r="BI205" i="3"/>
  <c r="BJ205" i="3"/>
  <c r="BK205" i="3"/>
  <c r="BL205" i="3"/>
  <c r="BM205" i="3"/>
  <c r="BN205" i="3"/>
  <c r="BF206" i="3"/>
  <c r="BG206" i="3"/>
  <c r="BH206" i="3"/>
  <c r="BI206" i="3"/>
  <c r="BJ206" i="3"/>
  <c r="BK206" i="3"/>
  <c r="BL206" i="3"/>
  <c r="BM206" i="3"/>
  <c r="BN206" i="3"/>
  <c r="BF207" i="3"/>
  <c r="BG207" i="3"/>
  <c r="BH207" i="3"/>
  <c r="BI207" i="3"/>
  <c r="BJ207" i="3"/>
  <c r="BK207" i="3"/>
  <c r="BL207" i="3"/>
  <c r="BM207" i="3"/>
  <c r="BN207" i="3"/>
  <c r="BF208" i="3"/>
  <c r="BG208" i="3"/>
  <c r="BH208" i="3"/>
  <c r="BI208" i="3"/>
  <c r="BJ208" i="3"/>
  <c r="BK208" i="3"/>
  <c r="BL208" i="3"/>
  <c r="BM208" i="3"/>
  <c r="BN208" i="3"/>
  <c r="BF209" i="3"/>
  <c r="BG209" i="3"/>
  <c r="BH209" i="3"/>
  <c r="BI209" i="3"/>
  <c r="BJ209" i="3"/>
  <c r="BK209" i="3"/>
  <c r="BL209" i="3"/>
  <c r="BM209" i="3"/>
  <c r="BN209" i="3"/>
  <c r="BF210" i="3"/>
  <c r="BG210" i="3"/>
  <c r="BH210" i="3"/>
  <c r="BI210" i="3"/>
  <c r="BJ210" i="3"/>
  <c r="BK210" i="3"/>
  <c r="BL210" i="3"/>
  <c r="BM210" i="3"/>
  <c r="BN210" i="3"/>
  <c r="BF211" i="3"/>
  <c r="BG211" i="3"/>
  <c r="BH211" i="3"/>
  <c r="BI211" i="3"/>
  <c r="BJ211" i="3"/>
  <c r="BK211" i="3"/>
  <c r="BL211" i="3"/>
  <c r="BM211" i="3"/>
  <c r="BN211" i="3"/>
  <c r="BF212" i="3"/>
  <c r="BG212" i="3"/>
  <c r="BH212" i="3"/>
  <c r="BI212" i="3"/>
  <c r="BJ212" i="3"/>
  <c r="BK212" i="3"/>
  <c r="BL212" i="3"/>
  <c r="BM212" i="3"/>
  <c r="BN212" i="3"/>
  <c r="BF213" i="3"/>
  <c r="BG213" i="3"/>
  <c r="BH213" i="3"/>
  <c r="BI213" i="3"/>
  <c r="BJ213" i="3"/>
  <c r="BK213" i="3"/>
  <c r="BL213" i="3"/>
  <c r="BM213" i="3"/>
  <c r="BN213" i="3"/>
  <c r="BF214" i="3"/>
  <c r="BG214" i="3"/>
  <c r="BH214" i="3"/>
  <c r="BI214" i="3"/>
  <c r="BJ214" i="3"/>
  <c r="BK214" i="3"/>
  <c r="BL214" i="3"/>
  <c r="BM214" i="3"/>
  <c r="BN214" i="3"/>
  <c r="BF215" i="3"/>
  <c r="BG215" i="3"/>
  <c r="BH215" i="3"/>
  <c r="BI215" i="3"/>
  <c r="BJ215" i="3"/>
  <c r="BK215" i="3"/>
  <c r="BL215" i="3"/>
  <c r="BM215" i="3"/>
  <c r="BN215" i="3"/>
  <c r="BF216" i="3"/>
  <c r="BG216" i="3"/>
  <c r="BH216" i="3"/>
  <c r="BI216" i="3"/>
  <c r="BJ216" i="3"/>
  <c r="BK216" i="3"/>
  <c r="BL216" i="3"/>
  <c r="BM216" i="3"/>
  <c r="BN216" i="3"/>
  <c r="BF217" i="3"/>
  <c r="BG217" i="3"/>
  <c r="BH217" i="3"/>
  <c r="BI217" i="3"/>
  <c r="BJ217" i="3"/>
  <c r="BK217" i="3"/>
  <c r="BL217" i="3"/>
  <c r="BM217" i="3"/>
  <c r="BN217" i="3"/>
  <c r="BF218" i="3"/>
  <c r="BG218" i="3"/>
  <c r="BH218" i="3"/>
  <c r="BI218" i="3"/>
  <c r="BJ218" i="3"/>
  <c r="BK218" i="3"/>
  <c r="BL218" i="3"/>
  <c r="BM218" i="3"/>
  <c r="BN218" i="3"/>
  <c r="BF219" i="3"/>
  <c r="BG219" i="3"/>
  <c r="BH219" i="3"/>
  <c r="BI219" i="3"/>
  <c r="BJ219" i="3"/>
  <c r="BK219" i="3"/>
  <c r="BL219" i="3"/>
  <c r="BM219" i="3"/>
  <c r="BN219" i="3"/>
  <c r="BF220" i="3"/>
  <c r="BG220" i="3"/>
  <c r="BH220" i="3"/>
  <c r="BI220" i="3"/>
  <c r="BJ220" i="3"/>
  <c r="BK220" i="3"/>
  <c r="BL220" i="3"/>
  <c r="BM220" i="3"/>
  <c r="BN220" i="3"/>
  <c r="BF221" i="3"/>
  <c r="BG221" i="3"/>
  <c r="BH221" i="3"/>
  <c r="BI221" i="3"/>
  <c r="BJ221" i="3"/>
  <c r="BK221" i="3"/>
  <c r="BL221" i="3"/>
  <c r="BM221" i="3"/>
  <c r="BN221" i="3"/>
  <c r="BF222" i="3"/>
  <c r="BG222" i="3"/>
  <c r="BH222" i="3"/>
  <c r="BI222" i="3"/>
  <c r="BJ222" i="3"/>
  <c r="BK222" i="3"/>
  <c r="BL222" i="3"/>
  <c r="BM222" i="3"/>
  <c r="BN222" i="3"/>
  <c r="BF223" i="3"/>
  <c r="BG223" i="3"/>
  <c r="BH223" i="3"/>
  <c r="BI223" i="3"/>
  <c r="BJ223" i="3"/>
  <c r="BK223" i="3"/>
  <c r="BL223" i="3"/>
  <c r="BM223" i="3"/>
  <c r="BN223" i="3"/>
  <c r="BF224" i="3"/>
  <c r="BG224" i="3"/>
  <c r="BH224" i="3"/>
  <c r="BI224" i="3"/>
  <c r="BJ224" i="3"/>
  <c r="BK224" i="3"/>
  <c r="BL224" i="3"/>
  <c r="BM224" i="3"/>
  <c r="BN224" i="3"/>
  <c r="BF225" i="3"/>
  <c r="BG225" i="3"/>
  <c r="BH225" i="3"/>
  <c r="BI225" i="3"/>
  <c r="BJ225" i="3"/>
  <c r="BK225" i="3"/>
  <c r="BL225" i="3"/>
  <c r="BM225" i="3"/>
  <c r="BN225" i="3"/>
  <c r="BF226" i="3"/>
  <c r="BG226" i="3"/>
  <c r="BH226" i="3"/>
  <c r="BI226" i="3"/>
  <c r="BJ226" i="3"/>
  <c r="BK226" i="3"/>
  <c r="BL226" i="3"/>
  <c r="BM226" i="3"/>
  <c r="BN226" i="3"/>
  <c r="BF227" i="3"/>
  <c r="BG227" i="3"/>
  <c r="BH227" i="3"/>
  <c r="BI227" i="3"/>
  <c r="BJ227" i="3"/>
  <c r="BK227" i="3"/>
  <c r="BL227" i="3"/>
  <c r="BM227" i="3"/>
  <c r="BN227" i="3"/>
  <c r="BF228" i="3"/>
  <c r="BG228" i="3"/>
  <c r="BH228" i="3"/>
  <c r="BI228" i="3"/>
  <c r="BJ228" i="3"/>
  <c r="BK228" i="3"/>
  <c r="BL228" i="3"/>
  <c r="BM228" i="3"/>
  <c r="BN228" i="3"/>
  <c r="BF229" i="3"/>
  <c r="BG229" i="3"/>
  <c r="BH229" i="3"/>
  <c r="BI229" i="3"/>
  <c r="BJ229" i="3"/>
  <c r="BK229" i="3"/>
  <c r="BL229" i="3"/>
  <c r="BM229" i="3"/>
  <c r="BN229" i="3"/>
  <c r="BF230" i="3"/>
  <c r="BG230" i="3"/>
  <c r="BH230" i="3"/>
  <c r="BI230" i="3"/>
  <c r="BJ230" i="3"/>
  <c r="BK230" i="3"/>
  <c r="BL230" i="3"/>
  <c r="BM230" i="3"/>
  <c r="BN230" i="3"/>
  <c r="BF231" i="3"/>
  <c r="BG231" i="3"/>
  <c r="BH231" i="3"/>
  <c r="BI231" i="3"/>
  <c r="BJ231" i="3"/>
  <c r="BK231" i="3"/>
  <c r="BL231" i="3"/>
  <c r="BM231" i="3"/>
  <c r="BN231" i="3"/>
  <c r="BF232" i="3"/>
  <c r="BG232" i="3"/>
  <c r="BH232" i="3"/>
  <c r="BI232" i="3"/>
  <c r="BJ232" i="3"/>
  <c r="BK232" i="3"/>
  <c r="BL232" i="3"/>
  <c r="BM232" i="3"/>
  <c r="BN232" i="3"/>
  <c r="BF233" i="3"/>
  <c r="BG233" i="3"/>
  <c r="BH233" i="3"/>
  <c r="BI233" i="3"/>
  <c r="BJ233" i="3"/>
  <c r="BK233" i="3"/>
  <c r="BL233" i="3"/>
  <c r="BM233" i="3"/>
  <c r="BN233" i="3"/>
  <c r="BF234" i="3"/>
  <c r="BG234" i="3"/>
  <c r="BH234" i="3"/>
  <c r="BI234" i="3"/>
  <c r="BJ234" i="3"/>
  <c r="BK234" i="3"/>
  <c r="BL234" i="3"/>
  <c r="BM234" i="3"/>
  <c r="BN234" i="3"/>
  <c r="BF235" i="3"/>
  <c r="BG235" i="3"/>
  <c r="BH235" i="3"/>
  <c r="BI235" i="3"/>
  <c r="BJ235" i="3"/>
  <c r="BK235" i="3"/>
  <c r="BL235" i="3"/>
  <c r="BM235" i="3"/>
  <c r="BN235" i="3"/>
  <c r="BF236" i="3"/>
  <c r="BG236" i="3"/>
  <c r="BH236" i="3"/>
  <c r="BI236" i="3"/>
  <c r="BJ236" i="3"/>
  <c r="BK236" i="3"/>
  <c r="BL236" i="3"/>
  <c r="BM236" i="3"/>
  <c r="BN236" i="3"/>
  <c r="BF237" i="3"/>
  <c r="BG237" i="3"/>
  <c r="BH237" i="3"/>
  <c r="BI237" i="3"/>
  <c r="BJ237" i="3"/>
  <c r="BK237" i="3"/>
  <c r="BL237" i="3"/>
  <c r="BM237" i="3"/>
  <c r="BN237" i="3"/>
  <c r="BF238" i="3"/>
  <c r="BG238" i="3"/>
  <c r="BH238" i="3"/>
  <c r="BI238" i="3"/>
  <c r="BJ238" i="3"/>
  <c r="BK238" i="3"/>
  <c r="BL238" i="3"/>
  <c r="BM238" i="3"/>
  <c r="BN238" i="3"/>
  <c r="BF239" i="3"/>
  <c r="BG239" i="3"/>
  <c r="BH239" i="3"/>
  <c r="BI239" i="3"/>
  <c r="BJ239" i="3"/>
  <c r="BK239" i="3"/>
  <c r="BL239" i="3"/>
  <c r="BM239" i="3"/>
  <c r="BN239" i="3"/>
  <c r="BF240" i="3"/>
  <c r="BG240" i="3"/>
  <c r="BH240" i="3"/>
  <c r="BI240" i="3"/>
  <c r="BJ240" i="3"/>
  <c r="BK240" i="3"/>
  <c r="BL240" i="3"/>
  <c r="BM240" i="3"/>
  <c r="BN240" i="3"/>
  <c r="BF241" i="3"/>
  <c r="BG241" i="3"/>
  <c r="BH241" i="3"/>
  <c r="BI241" i="3"/>
  <c r="BJ241" i="3"/>
  <c r="BK241" i="3"/>
  <c r="BL241" i="3"/>
  <c r="BM241" i="3"/>
  <c r="BN241" i="3"/>
  <c r="BF242" i="3"/>
  <c r="BG242" i="3"/>
  <c r="BH242" i="3"/>
  <c r="BI242" i="3"/>
  <c r="BJ242" i="3"/>
  <c r="BK242" i="3"/>
  <c r="BL242" i="3"/>
  <c r="BM242" i="3"/>
  <c r="BN242" i="3"/>
  <c r="BF243" i="3"/>
  <c r="BG243" i="3"/>
  <c r="BH243" i="3"/>
  <c r="BI243" i="3"/>
  <c r="BJ243" i="3"/>
  <c r="BK243" i="3"/>
  <c r="BL243" i="3"/>
  <c r="BM243" i="3"/>
  <c r="BN243" i="3"/>
  <c r="BF244" i="3"/>
  <c r="BG244" i="3"/>
  <c r="BH244" i="3"/>
  <c r="BI244" i="3"/>
  <c r="BJ244" i="3"/>
  <c r="BK244" i="3"/>
  <c r="BL244" i="3"/>
  <c r="BM244" i="3"/>
  <c r="BN244" i="3"/>
  <c r="BF245" i="3"/>
  <c r="BG245" i="3"/>
  <c r="BH245" i="3"/>
  <c r="BI245" i="3"/>
  <c r="BJ245" i="3"/>
  <c r="BK245" i="3"/>
  <c r="BL245" i="3"/>
  <c r="BM245" i="3"/>
  <c r="BN245" i="3"/>
  <c r="BF246" i="3"/>
  <c r="BG246" i="3"/>
  <c r="BH246" i="3"/>
  <c r="BI246" i="3"/>
  <c r="BJ246" i="3"/>
  <c r="BK246" i="3"/>
  <c r="BL246" i="3"/>
  <c r="BM246" i="3"/>
  <c r="BN246" i="3"/>
  <c r="BF247" i="3"/>
  <c r="BG247" i="3"/>
  <c r="BH247" i="3"/>
  <c r="BI247" i="3"/>
  <c r="BJ247" i="3"/>
  <c r="BK247" i="3"/>
  <c r="BL247" i="3"/>
  <c r="BM247" i="3"/>
  <c r="BN247" i="3"/>
  <c r="BF248" i="3"/>
  <c r="BG248" i="3"/>
  <c r="BH248" i="3"/>
  <c r="BI248" i="3"/>
  <c r="BJ248" i="3"/>
  <c r="BK248" i="3"/>
  <c r="BL248" i="3"/>
  <c r="BM248" i="3"/>
  <c r="BN248" i="3"/>
  <c r="BF249" i="3"/>
  <c r="BG249" i="3"/>
  <c r="BH249" i="3"/>
  <c r="BI249" i="3"/>
  <c r="BJ249" i="3"/>
  <c r="BK249" i="3"/>
  <c r="BL249" i="3"/>
  <c r="BM249" i="3"/>
  <c r="BN249" i="3"/>
  <c r="BF250" i="3"/>
  <c r="BG250" i="3"/>
  <c r="BH250" i="3"/>
  <c r="BI250" i="3"/>
  <c r="BJ250" i="3"/>
  <c r="BK250" i="3"/>
  <c r="BL250" i="3"/>
  <c r="BM250" i="3"/>
  <c r="BN250" i="3"/>
  <c r="BF251" i="3"/>
  <c r="BG251" i="3"/>
  <c r="BH251" i="3"/>
  <c r="BI251" i="3"/>
  <c r="BJ251" i="3"/>
  <c r="BK251" i="3"/>
  <c r="BL251" i="3"/>
  <c r="BM251" i="3"/>
  <c r="BN251" i="3"/>
  <c r="BF252" i="3"/>
  <c r="BG252" i="3"/>
  <c r="BH252" i="3"/>
  <c r="BI252" i="3"/>
  <c r="BJ252" i="3"/>
  <c r="BK252" i="3"/>
  <c r="BL252" i="3"/>
  <c r="BM252" i="3"/>
  <c r="BN252" i="3"/>
  <c r="BF253" i="3"/>
  <c r="BG253" i="3"/>
  <c r="BH253" i="3"/>
  <c r="BI253" i="3"/>
  <c r="BJ253" i="3"/>
  <c r="BK253" i="3"/>
  <c r="BL253" i="3"/>
  <c r="BM253" i="3"/>
  <c r="BN253" i="3"/>
  <c r="BF254" i="3"/>
  <c r="BG254" i="3"/>
  <c r="BH254" i="3"/>
  <c r="BI254" i="3"/>
  <c r="BJ254" i="3"/>
  <c r="BK254" i="3"/>
  <c r="BL254" i="3"/>
  <c r="BM254" i="3"/>
  <c r="BN254" i="3"/>
  <c r="BF255" i="3"/>
  <c r="BG255" i="3"/>
  <c r="BH255" i="3"/>
  <c r="BI255" i="3"/>
  <c r="BJ255" i="3"/>
  <c r="BK255" i="3"/>
  <c r="BL255" i="3"/>
  <c r="BM255" i="3"/>
  <c r="BN255" i="3"/>
  <c r="BF256" i="3"/>
  <c r="BG256" i="3"/>
  <c r="BH256" i="3"/>
  <c r="BI256" i="3"/>
  <c r="BJ256" i="3"/>
  <c r="BK256" i="3"/>
  <c r="BL256" i="3"/>
  <c r="BM256" i="3"/>
  <c r="BN256" i="3"/>
  <c r="BF257" i="3"/>
  <c r="BG257" i="3"/>
  <c r="BH257" i="3"/>
  <c r="BI257" i="3"/>
  <c r="BJ257" i="3"/>
  <c r="BK257" i="3"/>
  <c r="BL257" i="3"/>
  <c r="BM257" i="3"/>
  <c r="BN257" i="3"/>
  <c r="BF258" i="3"/>
  <c r="BG258" i="3"/>
  <c r="BH258" i="3"/>
  <c r="BI258" i="3"/>
  <c r="BJ258" i="3"/>
  <c r="BK258" i="3"/>
  <c r="BL258" i="3"/>
  <c r="BM258" i="3"/>
  <c r="BN258" i="3"/>
  <c r="BF259" i="3"/>
  <c r="BG259" i="3"/>
  <c r="BH259" i="3"/>
  <c r="BI259" i="3"/>
  <c r="BJ259" i="3"/>
  <c r="BK259" i="3"/>
  <c r="BL259" i="3"/>
  <c r="BM259" i="3"/>
  <c r="BN259" i="3"/>
  <c r="BF260" i="3"/>
  <c r="BG260" i="3"/>
  <c r="BH260" i="3"/>
  <c r="BI260" i="3"/>
  <c r="BJ260" i="3"/>
  <c r="BK260" i="3"/>
  <c r="BL260" i="3"/>
  <c r="BM260" i="3"/>
  <c r="BN260" i="3"/>
  <c r="BF261" i="3"/>
  <c r="BG261" i="3"/>
  <c r="BH261" i="3"/>
  <c r="BI261" i="3"/>
  <c r="BJ261" i="3"/>
  <c r="BK261" i="3"/>
  <c r="BL261" i="3"/>
  <c r="BM261" i="3"/>
  <c r="BN261" i="3"/>
  <c r="BF262" i="3"/>
  <c r="BG262" i="3"/>
  <c r="BH262" i="3"/>
  <c r="BI262" i="3"/>
  <c r="BJ262" i="3"/>
  <c r="BK262" i="3"/>
  <c r="BL262" i="3"/>
  <c r="BM262" i="3"/>
  <c r="BN262" i="3"/>
  <c r="BF263" i="3"/>
  <c r="BG263" i="3"/>
  <c r="BH263" i="3"/>
  <c r="BI263" i="3"/>
  <c r="BJ263" i="3"/>
  <c r="BK263" i="3"/>
  <c r="BL263" i="3"/>
  <c r="BM263" i="3"/>
  <c r="BN263" i="3"/>
  <c r="BF264" i="3"/>
  <c r="BG264" i="3"/>
  <c r="BH264" i="3"/>
  <c r="BI264" i="3"/>
  <c r="BJ264" i="3"/>
  <c r="BK264" i="3"/>
  <c r="BL264" i="3"/>
  <c r="BM264" i="3"/>
  <c r="BN264" i="3"/>
  <c r="BF265" i="3"/>
  <c r="BG265" i="3"/>
  <c r="BH265" i="3"/>
  <c r="BI265" i="3"/>
  <c r="BJ265" i="3"/>
  <c r="BK265" i="3"/>
  <c r="BL265" i="3"/>
  <c r="BM265" i="3"/>
  <c r="BN265" i="3"/>
  <c r="BF266" i="3"/>
  <c r="BG266" i="3"/>
  <c r="BH266" i="3"/>
  <c r="BI266" i="3"/>
  <c r="BJ266" i="3"/>
  <c r="BK266" i="3"/>
  <c r="BL266" i="3"/>
  <c r="BM266" i="3"/>
  <c r="BN266" i="3"/>
  <c r="BF267" i="3"/>
  <c r="BG267" i="3"/>
  <c r="BH267" i="3"/>
  <c r="BI267" i="3"/>
  <c r="BJ267" i="3"/>
  <c r="BK267" i="3"/>
  <c r="BL267" i="3"/>
  <c r="BM267" i="3"/>
  <c r="BN267" i="3"/>
  <c r="BF268" i="3"/>
  <c r="BG268" i="3"/>
  <c r="BH268" i="3"/>
  <c r="BI268" i="3"/>
  <c r="BJ268" i="3"/>
  <c r="BK268" i="3"/>
  <c r="BL268" i="3"/>
  <c r="BM268" i="3"/>
  <c r="BN268" i="3"/>
  <c r="BF269" i="3"/>
  <c r="BG269" i="3"/>
  <c r="BH269" i="3"/>
  <c r="BI269" i="3"/>
  <c r="BJ269" i="3"/>
  <c r="BK269" i="3"/>
  <c r="BL269" i="3"/>
  <c r="BM269" i="3"/>
  <c r="BN269" i="3"/>
  <c r="BF270" i="3"/>
  <c r="BG270" i="3"/>
  <c r="BH270" i="3"/>
  <c r="BI270" i="3"/>
  <c r="BJ270" i="3"/>
  <c r="BK270" i="3"/>
  <c r="BL270" i="3"/>
  <c r="BM270" i="3"/>
  <c r="BN270" i="3"/>
  <c r="BF271" i="3"/>
  <c r="BG271" i="3"/>
  <c r="BH271" i="3"/>
  <c r="BI271" i="3"/>
  <c r="BJ271" i="3"/>
  <c r="BK271" i="3"/>
  <c r="BL271" i="3"/>
  <c r="BM271" i="3"/>
  <c r="BN271" i="3"/>
  <c r="BF272" i="3"/>
  <c r="BG272" i="3"/>
  <c r="BH272" i="3"/>
  <c r="BI272" i="3"/>
  <c r="BJ272" i="3"/>
  <c r="BK272" i="3"/>
  <c r="BL272" i="3"/>
  <c r="BM272" i="3"/>
  <c r="BN272" i="3"/>
  <c r="BF273" i="3"/>
  <c r="BG273" i="3"/>
  <c r="BH273" i="3"/>
  <c r="BI273" i="3"/>
  <c r="BJ273" i="3"/>
  <c r="BK273" i="3"/>
  <c r="BL273" i="3"/>
  <c r="BM273" i="3"/>
  <c r="BN273" i="3"/>
  <c r="BF274" i="3"/>
  <c r="BG274" i="3"/>
  <c r="BH274" i="3"/>
  <c r="BI274" i="3"/>
  <c r="BJ274" i="3"/>
  <c r="BK274" i="3"/>
  <c r="BL274" i="3"/>
  <c r="BM274" i="3"/>
  <c r="BN274" i="3"/>
  <c r="BF275" i="3"/>
  <c r="BG275" i="3"/>
  <c r="BH275" i="3"/>
  <c r="BI275" i="3"/>
  <c r="BJ275" i="3"/>
  <c r="BK275" i="3"/>
  <c r="BL275" i="3"/>
  <c r="BM275" i="3"/>
  <c r="BN275" i="3"/>
  <c r="BF276" i="3"/>
  <c r="BG276" i="3"/>
  <c r="BH276" i="3"/>
  <c r="BI276" i="3"/>
  <c r="BJ276" i="3"/>
  <c r="BK276" i="3"/>
  <c r="BL276" i="3"/>
  <c r="BM276" i="3"/>
  <c r="BN276" i="3"/>
  <c r="BF277" i="3"/>
  <c r="BG277" i="3"/>
  <c r="BH277" i="3"/>
  <c r="BI277" i="3"/>
  <c r="BJ277" i="3"/>
  <c r="BK277" i="3"/>
  <c r="BL277" i="3"/>
  <c r="BM277" i="3"/>
  <c r="BN277" i="3"/>
  <c r="BF278" i="3"/>
  <c r="BG278" i="3"/>
  <c r="BH278" i="3"/>
  <c r="BI278" i="3"/>
  <c r="BJ278" i="3"/>
  <c r="BK278" i="3"/>
  <c r="BL278" i="3"/>
  <c r="BM278" i="3"/>
  <c r="BN278" i="3"/>
  <c r="BF279" i="3"/>
  <c r="BG279" i="3"/>
  <c r="BH279" i="3"/>
  <c r="BI279" i="3"/>
  <c r="BJ279" i="3"/>
  <c r="BK279" i="3"/>
  <c r="BL279" i="3"/>
  <c r="BM279" i="3"/>
  <c r="BN279" i="3"/>
  <c r="BF280" i="3"/>
  <c r="BG280" i="3"/>
  <c r="BH280" i="3"/>
  <c r="BI280" i="3"/>
  <c r="BJ280" i="3"/>
  <c r="BK280" i="3"/>
  <c r="BL280" i="3"/>
  <c r="BM280" i="3"/>
  <c r="BN280" i="3"/>
  <c r="BF281" i="3"/>
  <c r="BG281" i="3"/>
  <c r="BH281" i="3"/>
  <c r="BI281" i="3"/>
  <c r="BJ281" i="3"/>
  <c r="BK281" i="3"/>
  <c r="BL281" i="3"/>
  <c r="BM281" i="3"/>
  <c r="BN281" i="3"/>
  <c r="BF282" i="3"/>
  <c r="BG282" i="3"/>
  <c r="BH282" i="3"/>
  <c r="BI282" i="3"/>
  <c r="BJ282" i="3"/>
  <c r="BK282" i="3"/>
  <c r="BL282" i="3"/>
  <c r="BM282" i="3"/>
  <c r="BN282" i="3"/>
  <c r="BF283" i="3"/>
  <c r="BG283" i="3"/>
  <c r="BH283" i="3"/>
  <c r="BI283" i="3"/>
  <c r="BJ283" i="3"/>
  <c r="BK283" i="3"/>
  <c r="BL283" i="3"/>
  <c r="BM283" i="3"/>
  <c r="BN283" i="3"/>
  <c r="BF284" i="3"/>
  <c r="BG284" i="3"/>
  <c r="BH284" i="3"/>
  <c r="BI284" i="3"/>
  <c r="BJ284" i="3"/>
  <c r="BK284" i="3"/>
  <c r="BL284" i="3"/>
  <c r="BM284" i="3"/>
  <c r="BN284" i="3"/>
  <c r="BF285" i="3"/>
  <c r="BG285" i="3"/>
  <c r="BH285" i="3"/>
  <c r="BI285" i="3"/>
  <c r="BJ285" i="3"/>
  <c r="BK285" i="3"/>
  <c r="BL285" i="3"/>
  <c r="BM285" i="3"/>
  <c r="BN285" i="3"/>
  <c r="BF286" i="3"/>
  <c r="BG286" i="3"/>
  <c r="BH286" i="3"/>
  <c r="BI286" i="3"/>
  <c r="BJ286" i="3"/>
  <c r="BK286" i="3"/>
  <c r="BL286" i="3"/>
  <c r="BM286" i="3"/>
  <c r="BN286" i="3"/>
  <c r="BF287" i="3"/>
  <c r="BG287" i="3"/>
  <c r="BH287" i="3"/>
  <c r="BI287" i="3"/>
  <c r="BJ287" i="3"/>
  <c r="BK287" i="3"/>
  <c r="BL287" i="3"/>
  <c r="BM287" i="3"/>
  <c r="BN287" i="3"/>
  <c r="BF288" i="3"/>
  <c r="BG288" i="3"/>
  <c r="BH288" i="3"/>
  <c r="BI288" i="3"/>
  <c r="BJ288" i="3"/>
  <c r="BK288" i="3"/>
  <c r="BL288" i="3"/>
  <c r="BM288" i="3"/>
  <c r="BN288" i="3"/>
  <c r="BF289" i="3"/>
  <c r="BG289" i="3"/>
  <c r="BH289" i="3"/>
  <c r="BI289" i="3"/>
  <c r="BJ289" i="3"/>
  <c r="BK289" i="3"/>
  <c r="BL289" i="3"/>
  <c r="BM289" i="3"/>
  <c r="BN289" i="3"/>
  <c r="BF290" i="3"/>
  <c r="BG290" i="3"/>
  <c r="BH290" i="3"/>
  <c r="BI290" i="3"/>
  <c r="BJ290" i="3"/>
  <c r="BK290" i="3"/>
  <c r="BL290" i="3"/>
  <c r="BM290" i="3"/>
  <c r="BN290" i="3"/>
  <c r="BF291" i="3"/>
  <c r="BG291" i="3"/>
  <c r="BH291" i="3"/>
  <c r="BI291" i="3"/>
  <c r="BJ291" i="3"/>
  <c r="BK291" i="3"/>
  <c r="BL291" i="3"/>
  <c r="BM291" i="3"/>
  <c r="BN291" i="3"/>
  <c r="BF292" i="3"/>
  <c r="BG292" i="3"/>
  <c r="BH292" i="3"/>
  <c r="BI292" i="3"/>
  <c r="BJ292" i="3"/>
  <c r="BK292" i="3"/>
  <c r="BL292" i="3"/>
  <c r="BM292" i="3"/>
  <c r="BN292" i="3"/>
  <c r="BF293" i="3"/>
  <c r="BG293" i="3"/>
  <c r="BH293" i="3"/>
  <c r="BI293" i="3"/>
  <c r="BJ293" i="3"/>
  <c r="BK293" i="3"/>
  <c r="BL293" i="3"/>
  <c r="BM293" i="3"/>
  <c r="BN293" i="3"/>
  <c r="BF294" i="3"/>
  <c r="BG294" i="3"/>
  <c r="BH294" i="3"/>
  <c r="BI294" i="3"/>
  <c r="BJ294" i="3"/>
  <c r="BK294" i="3"/>
  <c r="BL294" i="3"/>
  <c r="BM294" i="3"/>
  <c r="BN294" i="3"/>
  <c r="BF295" i="3"/>
  <c r="BG295" i="3"/>
  <c r="BH295" i="3"/>
  <c r="BI295" i="3"/>
  <c r="BJ295" i="3"/>
  <c r="BK295" i="3"/>
  <c r="BL295" i="3"/>
  <c r="BM295" i="3"/>
  <c r="BN295" i="3"/>
  <c r="BF296" i="3"/>
  <c r="BG296" i="3"/>
  <c r="BH296" i="3"/>
  <c r="BI296" i="3"/>
  <c r="BJ296" i="3"/>
  <c r="BK296" i="3"/>
  <c r="BL296" i="3"/>
  <c r="BM296" i="3"/>
  <c r="BN296" i="3"/>
  <c r="BF297" i="3"/>
  <c r="BG297" i="3"/>
  <c r="BH297" i="3"/>
  <c r="BI297" i="3"/>
  <c r="BJ297" i="3"/>
  <c r="BK297" i="3"/>
  <c r="BL297" i="3"/>
  <c r="BM297" i="3"/>
  <c r="BN297" i="3"/>
  <c r="BF298" i="3"/>
  <c r="BG298" i="3"/>
  <c r="BH298" i="3"/>
  <c r="BI298" i="3"/>
  <c r="BJ298" i="3"/>
  <c r="BK298" i="3"/>
  <c r="BL298" i="3"/>
  <c r="BM298" i="3"/>
  <c r="BN298" i="3"/>
  <c r="BF299" i="3"/>
  <c r="BG299" i="3"/>
  <c r="BH299" i="3"/>
  <c r="BI299" i="3"/>
  <c r="BJ299" i="3"/>
  <c r="BK299" i="3"/>
  <c r="BL299" i="3"/>
  <c r="BM299" i="3"/>
  <c r="BN299" i="3"/>
  <c r="BF300" i="3"/>
  <c r="BG300" i="3"/>
  <c r="BH300" i="3"/>
  <c r="BI300" i="3"/>
  <c r="BJ300" i="3"/>
  <c r="BK300" i="3"/>
  <c r="BL300" i="3"/>
  <c r="BM300" i="3"/>
  <c r="BN300" i="3"/>
  <c r="BF301" i="3"/>
  <c r="BG301" i="3"/>
  <c r="BH301" i="3"/>
  <c r="BI301" i="3"/>
  <c r="BJ301" i="3"/>
  <c r="BK301" i="3"/>
  <c r="BL301" i="3"/>
  <c r="BM301" i="3"/>
  <c r="BN301" i="3"/>
  <c r="BF302" i="3"/>
  <c r="BG302" i="3"/>
  <c r="BH302" i="3"/>
  <c r="BI302" i="3"/>
  <c r="BJ302" i="3"/>
  <c r="BK302" i="3"/>
  <c r="BL302" i="3"/>
  <c r="BM302" i="3"/>
  <c r="BN302" i="3"/>
  <c r="BF303" i="3"/>
  <c r="BG303" i="3"/>
  <c r="BH303" i="3"/>
  <c r="BI303" i="3"/>
  <c r="BJ303" i="3"/>
  <c r="BK303" i="3"/>
  <c r="BL303" i="3"/>
  <c r="BM303" i="3"/>
  <c r="BN303" i="3"/>
  <c r="BF304" i="3"/>
  <c r="BG304" i="3"/>
  <c r="BH304" i="3"/>
  <c r="BI304" i="3"/>
  <c r="BJ304" i="3"/>
  <c r="BK304" i="3"/>
  <c r="BL304" i="3"/>
  <c r="BM304" i="3"/>
  <c r="BN304" i="3"/>
  <c r="BF305" i="3"/>
  <c r="BG305" i="3"/>
  <c r="BH305" i="3"/>
  <c r="BI305" i="3"/>
  <c r="BJ305" i="3"/>
  <c r="BK305" i="3"/>
  <c r="BL305" i="3"/>
  <c r="BM305" i="3"/>
  <c r="BN305" i="3"/>
  <c r="BF306" i="3"/>
  <c r="BG306" i="3"/>
  <c r="BH306" i="3"/>
  <c r="BI306" i="3"/>
  <c r="BJ306" i="3"/>
  <c r="BK306" i="3"/>
  <c r="BL306" i="3"/>
  <c r="BM306" i="3"/>
  <c r="BN306" i="3"/>
  <c r="BF307" i="3"/>
  <c r="BG307" i="3"/>
  <c r="BH307" i="3"/>
  <c r="BI307" i="3"/>
  <c r="BJ307" i="3"/>
  <c r="BK307" i="3"/>
  <c r="BL307" i="3"/>
  <c r="BM307" i="3"/>
  <c r="BN307" i="3"/>
  <c r="BF308" i="3"/>
  <c r="BG308" i="3"/>
  <c r="BH308" i="3"/>
  <c r="BI308" i="3"/>
  <c r="BJ308" i="3"/>
  <c r="BK308" i="3"/>
  <c r="BL308" i="3"/>
  <c r="BM308" i="3"/>
  <c r="BN308" i="3"/>
  <c r="BF309" i="3"/>
  <c r="BG309" i="3"/>
  <c r="BH309" i="3"/>
  <c r="BI309" i="3"/>
  <c r="BJ309" i="3"/>
  <c r="BK309" i="3"/>
  <c r="BL309" i="3"/>
  <c r="BM309" i="3"/>
  <c r="BN309" i="3"/>
  <c r="BF310" i="3"/>
  <c r="BG310" i="3"/>
  <c r="BH310" i="3"/>
  <c r="BI310" i="3"/>
  <c r="BJ310" i="3"/>
  <c r="BK310" i="3"/>
  <c r="BL310" i="3"/>
  <c r="BM310" i="3"/>
  <c r="BN310" i="3"/>
  <c r="BF311" i="3"/>
  <c r="BG311" i="3"/>
  <c r="BH311" i="3"/>
  <c r="BI311" i="3"/>
  <c r="BJ311" i="3"/>
  <c r="BK311" i="3"/>
  <c r="BL311" i="3"/>
  <c r="BM311" i="3"/>
  <c r="BN311" i="3"/>
  <c r="BF312" i="3"/>
  <c r="BG312" i="3"/>
  <c r="BH312" i="3"/>
  <c r="BI312" i="3"/>
  <c r="BJ312" i="3"/>
  <c r="BK312" i="3"/>
  <c r="BL312" i="3"/>
  <c r="BM312" i="3"/>
  <c r="BN312" i="3"/>
  <c r="BF313" i="3"/>
  <c r="BG313" i="3"/>
  <c r="BH313" i="3"/>
  <c r="BI313" i="3"/>
  <c r="BJ313" i="3"/>
  <c r="BK313" i="3"/>
  <c r="BL313" i="3"/>
  <c r="BM313" i="3"/>
  <c r="BN313" i="3"/>
  <c r="BF314" i="3"/>
  <c r="BG314" i="3"/>
  <c r="BH314" i="3"/>
  <c r="BI314" i="3"/>
  <c r="BJ314" i="3"/>
  <c r="BK314" i="3"/>
  <c r="BL314" i="3"/>
  <c r="BM314" i="3"/>
  <c r="BN314" i="3"/>
  <c r="BF315" i="3"/>
  <c r="BG315" i="3"/>
  <c r="BH315" i="3"/>
  <c r="BI315" i="3"/>
  <c r="BJ315" i="3"/>
  <c r="BK315" i="3"/>
  <c r="BL315" i="3"/>
  <c r="BM315" i="3"/>
  <c r="BN315" i="3"/>
  <c r="BF316" i="3"/>
  <c r="BG316" i="3"/>
  <c r="BH316" i="3"/>
  <c r="BI316" i="3"/>
  <c r="BJ316" i="3"/>
  <c r="BK316" i="3"/>
  <c r="BL316" i="3"/>
  <c r="BM316" i="3"/>
  <c r="BN316" i="3"/>
  <c r="BF317" i="3"/>
  <c r="BG317" i="3"/>
  <c r="BH317" i="3"/>
  <c r="BI317" i="3"/>
  <c r="BJ317" i="3"/>
  <c r="BK317" i="3"/>
  <c r="BL317" i="3"/>
  <c r="BM317" i="3"/>
  <c r="BN317" i="3"/>
  <c r="BF318" i="3"/>
  <c r="BG318" i="3"/>
  <c r="BH318" i="3"/>
  <c r="BI318" i="3"/>
  <c r="BJ318" i="3"/>
  <c r="BK318" i="3"/>
  <c r="BL318" i="3"/>
  <c r="BM318" i="3"/>
  <c r="BN318" i="3"/>
  <c r="BF319" i="3"/>
  <c r="BG319" i="3"/>
  <c r="BH319" i="3"/>
  <c r="BI319" i="3"/>
  <c r="BJ319" i="3"/>
  <c r="BK319" i="3"/>
  <c r="BL319" i="3"/>
  <c r="BM319" i="3"/>
  <c r="BN319" i="3"/>
  <c r="BF320" i="3"/>
  <c r="BG320" i="3"/>
  <c r="BH320" i="3"/>
  <c r="BI320" i="3"/>
  <c r="BJ320" i="3"/>
  <c r="BK320" i="3"/>
  <c r="BL320" i="3"/>
  <c r="BM320" i="3"/>
  <c r="BN320" i="3"/>
  <c r="BF321" i="3"/>
  <c r="BG321" i="3"/>
  <c r="BH321" i="3"/>
  <c r="BI321" i="3"/>
  <c r="BJ321" i="3"/>
  <c r="BK321" i="3"/>
  <c r="BL321" i="3"/>
  <c r="BM321" i="3"/>
  <c r="BN321" i="3"/>
  <c r="BF322" i="3"/>
  <c r="BG322" i="3"/>
  <c r="BH322" i="3"/>
  <c r="BI322" i="3"/>
  <c r="BJ322" i="3"/>
  <c r="BK322" i="3"/>
  <c r="BL322" i="3"/>
  <c r="BM322" i="3"/>
  <c r="BN322" i="3"/>
  <c r="BF323" i="3"/>
  <c r="BG323" i="3"/>
  <c r="BH323" i="3"/>
  <c r="BI323" i="3"/>
  <c r="BJ323" i="3"/>
  <c r="BK323" i="3"/>
  <c r="BL323" i="3"/>
  <c r="BM323" i="3"/>
  <c r="BN323" i="3"/>
  <c r="BF324" i="3"/>
  <c r="BG324" i="3"/>
  <c r="BH324" i="3"/>
  <c r="BI324" i="3"/>
  <c r="BJ324" i="3"/>
  <c r="BK324" i="3"/>
  <c r="BL324" i="3"/>
  <c r="BM324" i="3"/>
  <c r="BN324" i="3"/>
  <c r="BF325" i="3"/>
  <c r="BG325" i="3"/>
  <c r="BH325" i="3"/>
  <c r="BI325" i="3"/>
  <c r="BJ325" i="3"/>
  <c r="BK325" i="3"/>
  <c r="BL325" i="3"/>
  <c r="BM325" i="3"/>
  <c r="BN325" i="3"/>
  <c r="BF326" i="3"/>
  <c r="BG326" i="3"/>
  <c r="BH326" i="3"/>
  <c r="BI326" i="3"/>
  <c r="BJ326" i="3"/>
  <c r="BK326" i="3"/>
  <c r="BL326" i="3"/>
  <c r="BM326" i="3"/>
  <c r="BN326" i="3"/>
  <c r="BF327" i="3"/>
  <c r="BG327" i="3"/>
  <c r="BH327" i="3"/>
  <c r="BI327" i="3"/>
  <c r="BJ327" i="3"/>
  <c r="BK327" i="3"/>
  <c r="BL327" i="3"/>
  <c r="BM327" i="3"/>
  <c r="BN327" i="3"/>
  <c r="BF328" i="3"/>
  <c r="BG328" i="3"/>
  <c r="BH328" i="3"/>
  <c r="BI328" i="3"/>
  <c r="BJ328" i="3"/>
  <c r="BK328" i="3"/>
  <c r="BL328" i="3"/>
  <c r="BM328" i="3"/>
  <c r="BN328" i="3"/>
  <c r="BF329" i="3"/>
  <c r="BG329" i="3"/>
  <c r="BH329" i="3"/>
  <c r="BI329" i="3"/>
  <c r="BJ329" i="3"/>
  <c r="BK329" i="3"/>
  <c r="BL329" i="3"/>
  <c r="BM329" i="3"/>
  <c r="BN329" i="3"/>
  <c r="BF330" i="3"/>
  <c r="BG330" i="3"/>
  <c r="BH330" i="3"/>
  <c r="BI330" i="3"/>
  <c r="BJ330" i="3"/>
  <c r="BK330" i="3"/>
  <c r="BL330" i="3"/>
  <c r="BM330" i="3"/>
  <c r="BN330" i="3"/>
  <c r="BF331" i="3"/>
  <c r="BG331" i="3"/>
  <c r="BH331" i="3"/>
  <c r="BI331" i="3"/>
  <c r="BJ331" i="3"/>
  <c r="BK331" i="3"/>
  <c r="BL331" i="3"/>
  <c r="BM331" i="3"/>
  <c r="BN331" i="3"/>
  <c r="BF332" i="3"/>
  <c r="BG332" i="3"/>
  <c r="BH332" i="3"/>
  <c r="BI332" i="3"/>
  <c r="BJ332" i="3"/>
  <c r="BK332" i="3"/>
  <c r="BL332" i="3"/>
  <c r="BM332" i="3"/>
  <c r="BN332" i="3"/>
  <c r="BF333" i="3"/>
  <c r="BG333" i="3"/>
  <c r="BH333" i="3"/>
  <c r="BI333" i="3"/>
  <c r="BJ333" i="3"/>
  <c r="BK333" i="3"/>
  <c r="BL333" i="3"/>
  <c r="BM333" i="3"/>
  <c r="BN333" i="3"/>
  <c r="BF334" i="3"/>
  <c r="BG334" i="3"/>
  <c r="BH334" i="3"/>
  <c r="BI334" i="3"/>
  <c r="BJ334" i="3"/>
  <c r="BK334" i="3"/>
  <c r="BL334" i="3"/>
  <c r="BM334" i="3"/>
  <c r="BN334" i="3"/>
  <c r="BF335" i="3"/>
  <c r="BG335" i="3"/>
  <c r="BH335" i="3"/>
  <c r="BI335" i="3"/>
  <c r="BJ335" i="3"/>
  <c r="BK335" i="3"/>
  <c r="BL335" i="3"/>
  <c r="BM335" i="3"/>
  <c r="BN335" i="3"/>
  <c r="BF336" i="3"/>
  <c r="BG336" i="3"/>
  <c r="BH336" i="3"/>
  <c r="BI336" i="3"/>
  <c r="BJ336" i="3"/>
  <c r="BK336" i="3"/>
  <c r="BL336" i="3"/>
  <c r="BM336" i="3"/>
  <c r="BN336" i="3"/>
  <c r="BF337" i="3"/>
  <c r="BG337" i="3"/>
  <c r="BH337" i="3"/>
  <c r="BI337" i="3"/>
  <c r="BJ337" i="3"/>
  <c r="BK337" i="3"/>
  <c r="BL337" i="3"/>
  <c r="BM337" i="3"/>
  <c r="BN337" i="3"/>
  <c r="BF338" i="3"/>
  <c r="BG338" i="3"/>
  <c r="BH338" i="3"/>
  <c r="BI338" i="3"/>
  <c r="BJ338" i="3"/>
  <c r="BK338" i="3"/>
  <c r="BL338" i="3"/>
  <c r="BM338" i="3"/>
  <c r="BN338" i="3"/>
  <c r="BF339" i="3"/>
  <c r="BG339" i="3"/>
  <c r="BH339" i="3"/>
  <c r="BI339" i="3"/>
  <c r="BJ339" i="3"/>
  <c r="BK339" i="3"/>
  <c r="BL339" i="3"/>
  <c r="BM339" i="3"/>
  <c r="BN339" i="3"/>
  <c r="BF340" i="3"/>
  <c r="BG340" i="3"/>
  <c r="BH340" i="3"/>
  <c r="BI340" i="3"/>
  <c r="BJ340" i="3"/>
  <c r="BK340" i="3"/>
  <c r="BL340" i="3"/>
  <c r="BM340" i="3"/>
  <c r="BN340" i="3"/>
  <c r="BG5" i="3"/>
  <c r="BH5" i="3"/>
  <c r="BI5" i="3"/>
  <c r="BJ5" i="3"/>
  <c r="BK5" i="3"/>
  <c r="BL5" i="3"/>
  <c r="BM5" i="3"/>
  <c r="BN5" i="3"/>
  <c r="BF5" i="3"/>
  <c r="AY292" i="7" l="1"/>
  <c r="AX292" i="7"/>
  <c r="AC292" i="7"/>
  <c r="AB292" i="7"/>
  <c r="AY290" i="7"/>
  <c r="AX290" i="7"/>
  <c r="AC290" i="7"/>
  <c r="AB290" i="7"/>
  <c r="BA284" i="7"/>
  <c r="AJ284" i="7"/>
  <c r="AI284" i="7"/>
  <c r="AG284" i="7"/>
  <c r="AF284" i="7"/>
  <c r="AE284" i="7"/>
  <c r="N284" i="7"/>
  <c r="M284" i="7"/>
  <c r="K284" i="7"/>
  <c r="J284" i="7"/>
  <c r="I284" i="7"/>
  <c r="BA283" i="7"/>
  <c r="AJ283" i="7"/>
  <c r="AI283" i="7"/>
  <c r="AG283" i="7"/>
  <c r="AF283" i="7"/>
  <c r="AE283" i="7"/>
  <c r="N283" i="7"/>
  <c r="M283" i="7"/>
  <c r="K283" i="7"/>
  <c r="J283" i="7"/>
  <c r="I283" i="7"/>
  <c r="BA282" i="7"/>
  <c r="AJ282" i="7"/>
  <c r="AI282" i="7"/>
  <c r="AG282" i="7"/>
  <c r="AF282" i="7"/>
  <c r="AE282" i="7"/>
  <c r="N282" i="7"/>
  <c r="M282" i="7"/>
  <c r="K282" i="7"/>
  <c r="J282" i="7"/>
  <c r="I282" i="7"/>
  <c r="BA281" i="7"/>
  <c r="AJ281" i="7"/>
  <c r="AI281" i="7"/>
  <c r="AG281" i="7"/>
  <c r="AF281" i="7"/>
  <c r="AE281" i="7"/>
  <c r="N281" i="7"/>
  <c r="M281" i="7"/>
  <c r="K281" i="7"/>
  <c r="J281" i="7"/>
  <c r="I281" i="7"/>
  <c r="BB280" i="7" a="1"/>
  <c r="BB280" i="7" s="1"/>
  <c r="BA280" i="7"/>
  <c r="AJ280" i="7"/>
  <c r="AI280" i="7"/>
  <c r="AG280" i="7"/>
  <c r="AF280" i="7"/>
  <c r="AE280" i="7"/>
  <c r="N280" i="7"/>
  <c r="M280" i="7"/>
  <c r="K280" i="7"/>
  <c r="J280" i="7"/>
  <c r="I280" i="7"/>
  <c r="BA279" i="7"/>
  <c r="AJ279" i="7"/>
  <c r="AI279" i="7"/>
  <c r="AG279" i="7"/>
  <c r="AF279" i="7"/>
  <c r="AE279" i="7"/>
  <c r="N279" i="7"/>
  <c r="M279" i="7"/>
  <c r="K279" i="7"/>
  <c r="J279" i="7"/>
  <c r="I279" i="7"/>
  <c r="BA278" i="7"/>
  <c r="AJ278" i="7"/>
  <c r="AI278" i="7"/>
  <c r="AG278" i="7"/>
  <c r="AF278" i="7"/>
  <c r="AE278" i="7"/>
  <c r="N278" i="7"/>
  <c r="M278" i="7"/>
  <c r="K278" i="7"/>
  <c r="J278" i="7"/>
  <c r="I278" i="7"/>
  <c r="BA277" i="7"/>
  <c r="AJ277" i="7"/>
  <c r="AI277" i="7"/>
  <c r="AG277" i="7"/>
  <c r="AF277" i="7"/>
  <c r="AE277" i="7"/>
  <c r="N277" i="7"/>
  <c r="M277" i="7"/>
  <c r="K277" i="7"/>
  <c r="J277" i="7"/>
  <c r="I277" i="7"/>
  <c r="BA276" i="7"/>
  <c r="AJ276" i="7"/>
  <c r="AI276" i="7"/>
  <c r="AG276" i="7"/>
  <c r="AF276" i="7"/>
  <c r="AE276" i="7"/>
  <c r="N276" i="7"/>
  <c r="M276" i="7"/>
  <c r="K276" i="7"/>
  <c r="J276" i="7"/>
  <c r="I276" i="7"/>
  <c r="BB275" i="7" a="1"/>
  <c r="BB275" i="7" s="1"/>
  <c r="BA275" i="7"/>
  <c r="AJ275" i="7"/>
  <c r="AI275" i="7"/>
  <c r="AG275" i="7"/>
  <c r="AF275" i="7"/>
  <c r="AE275" i="7"/>
  <c r="N275" i="7"/>
  <c r="M275" i="7"/>
  <c r="K275" i="7"/>
  <c r="J275" i="7"/>
  <c r="I275" i="7"/>
  <c r="BA274" i="7"/>
  <c r="AJ274" i="7"/>
  <c r="AI274" i="7"/>
  <c r="AG274" i="7"/>
  <c r="AF274" i="7"/>
  <c r="AE274" i="7"/>
  <c r="N274" i="7"/>
  <c r="M274" i="7"/>
  <c r="K274" i="7"/>
  <c r="J274" i="7"/>
  <c r="I274" i="7"/>
  <c r="BA273" i="7"/>
  <c r="AJ273" i="7"/>
  <c r="AI273" i="7"/>
  <c r="AG273" i="7"/>
  <c r="AF273" i="7"/>
  <c r="AE273" i="7"/>
  <c r="N273" i="7"/>
  <c r="M273" i="7"/>
  <c r="K273" i="7"/>
  <c r="J273" i="7"/>
  <c r="I273" i="7"/>
  <c r="BA272" i="7"/>
  <c r="AJ272" i="7"/>
  <c r="AI272" i="7"/>
  <c r="AG272" i="7"/>
  <c r="AF272" i="7"/>
  <c r="AE272" i="7"/>
  <c r="N272" i="7"/>
  <c r="M272" i="7"/>
  <c r="K272" i="7"/>
  <c r="J272" i="7"/>
  <c r="I272" i="7"/>
  <c r="BA271" i="7"/>
  <c r="AJ271" i="7"/>
  <c r="AI271" i="7"/>
  <c r="AG271" i="7"/>
  <c r="AF271" i="7"/>
  <c r="AE271" i="7"/>
  <c r="N271" i="7"/>
  <c r="M271" i="7"/>
  <c r="K271" i="7"/>
  <c r="J271" i="7"/>
  <c r="I271" i="7"/>
  <c r="BB270" i="7" a="1"/>
  <c r="BB270" i="7" s="1"/>
  <c r="BA270" i="7"/>
  <c r="AJ270" i="7"/>
  <c r="AI270" i="7"/>
  <c r="AG270" i="7"/>
  <c r="AF270" i="7"/>
  <c r="AE270" i="7"/>
  <c r="N270" i="7"/>
  <c r="M270" i="7"/>
  <c r="K270" i="7"/>
  <c r="J270" i="7"/>
  <c r="I270" i="7"/>
  <c r="BA269" i="7"/>
  <c r="AJ269" i="7"/>
  <c r="AI269" i="7"/>
  <c r="AG269" i="7"/>
  <c r="AF269" i="7"/>
  <c r="AE269" i="7"/>
  <c r="N269" i="7"/>
  <c r="M269" i="7"/>
  <c r="K269" i="7"/>
  <c r="J269" i="7"/>
  <c r="I269" i="7"/>
  <c r="BA268" i="7"/>
  <c r="AJ268" i="7"/>
  <c r="AI268" i="7"/>
  <c r="AG268" i="7"/>
  <c r="AF268" i="7"/>
  <c r="AE268" i="7"/>
  <c r="N268" i="7"/>
  <c r="M268" i="7"/>
  <c r="K268" i="7"/>
  <c r="J268" i="7"/>
  <c r="I268" i="7"/>
  <c r="BA267" i="7"/>
  <c r="AJ267" i="7"/>
  <c r="AI267" i="7"/>
  <c r="AG267" i="7"/>
  <c r="AF267" i="7"/>
  <c r="AE267" i="7"/>
  <c r="N267" i="7"/>
  <c r="M267" i="7"/>
  <c r="K267" i="7"/>
  <c r="J267" i="7"/>
  <c r="I267" i="7"/>
  <c r="BA266" i="7"/>
  <c r="AJ266" i="7"/>
  <c r="AI266" i="7"/>
  <c r="AG266" i="7"/>
  <c r="AF266" i="7"/>
  <c r="AE266" i="7"/>
  <c r="N266" i="7"/>
  <c r="M266" i="7"/>
  <c r="K266" i="7"/>
  <c r="J266" i="7"/>
  <c r="I266" i="7"/>
  <c r="BB265" i="7" a="1"/>
  <c r="BB265" i="7" s="1"/>
  <c r="BA265" i="7"/>
  <c r="AJ265" i="7"/>
  <c r="AI265" i="7"/>
  <c r="AG265" i="7"/>
  <c r="AF265" i="7"/>
  <c r="AE265" i="7"/>
  <c r="N265" i="7"/>
  <c r="M265" i="7"/>
  <c r="K265" i="7"/>
  <c r="J265" i="7"/>
  <c r="I265" i="7"/>
  <c r="BA264" i="7"/>
  <c r="AJ264" i="7"/>
  <c r="AI264" i="7"/>
  <c r="AG264" i="7"/>
  <c r="AF264" i="7"/>
  <c r="AE264" i="7"/>
  <c r="N264" i="7"/>
  <c r="M264" i="7"/>
  <c r="K264" i="7"/>
  <c r="J264" i="7"/>
  <c r="I264" i="7"/>
  <c r="BA263" i="7"/>
  <c r="AJ263" i="7"/>
  <c r="AI263" i="7"/>
  <c r="AG263" i="7"/>
  <c r="AF263" i="7"/>
  <c r="AE263" i="7"/>
  <c r="N263" i="7"/>
  <c r="M263" i="7"/>
  <c r="K263" i="7"/>
  <c r="J263" i="7"/>
  <c r="I263" i="7"/>
  <c r="BA262" i="7"/>
  <c r="AJ262" i="7"/>
  <c r="AI262" i="7"/>
  <c r="AG262" i="7"/>
  <c r="AF262" i="7"/>
  <c r="AE262" i="7"/>
  <c r="N262" i="7"/>
  <c r="M262" i="7"/>
  <c r="K262" i="7"/>
  <c r="J262" i="7"/>
  <c r="I262" i="7"/>
  <c r="BA261" i="7"/>
  <c r="AJ261" i="7"/>
  <c r="AI261" i="7"/>
  <c r="AG261" i="7"/>
  <c r="AF261" i="7"/>
  <c r="AE261" i="7"/>
  <c r="N261" i="7"/>
  <c r="M261" i="7"/>
  <c r="K261" i="7"/>
  <c r="J261" i="7"/>
  <c r="I261" i="7"/>
  <c r="BB260" i="7" a="1"/>
  <c r="BB260" i="7" s="1"/>
  <c r="BA260" i="7"/>
  <c r="AJ260" i="7"/>
  <c r="AI260" i="7"/>
  <c r="AG260" i="7"/>
  <c r="AF260" i="7"/>
  <c r="AE260" i="7"/>
  <c r="N260" i="7"/>
  <c r="M260" i="7"/>
  <c r="K260" i="7"/>
  <c r="J260" i="7"/>
  <c r="I260" i="7"/>
  <c r="BA259" i="7"/>
  <c r="AJ259" i="7"/>
  <c r="AI259" i="7"/>
  <c r="AG259" i="7"/>
  <c r="AF259" i="7"/>
  <c r="AE259" i="7"/>
  <c r="N259" i="7"/>
  <c r="M259" i="7"/>
  <c r="K259" i="7"/>
  <c r="J259" i="7"/>
  <c r="I259" i="7"/>
  <c r="BA258" i="7"/>
  <c r="AJ258" i="7"/>
  <c r="AI258" i="7"/>
  <c r="AG258" i="7"/>
  <c r="AF258" i="7"/>
  <c r="AE258" i="7"/>
  <c r="N258" i="7"/>
  <c r="M258" i="7"/>
  <c r="K258" i="7"/>
  <c r="J258" i="7"/>
  <c r="I258" i="7"/>
  <c r="BA257" i="7"/>
  <c r="AJ257" i="7"/>
  <c r="AI257" i="7"/>
  <c r="AG257" i="7"/>
  <c r="AF257" i="7"/>
  <c r="AE257" i="7"/>
  <c r="N257" i="7"/>
  <c r="M257" i="7"/>
  <c r="K257" i="7"/>
  <c r="J257" i="7"/>
  <c r="I257" i="7"/>
  <c r="BA256" i="7"/>
  <c r="AJ256" i="7"/>
  <c r="AI256" i="7"/>
  <c r="AG256" i="7"/>
  <c r="AF256" i="7"/>
  <c r="AE256" i="7"/>
  <c r="N256" i="7"/>
  <c r="M256" i="7"/>
  <c r="K256" i="7"/>
  <c r="J256" i="7"/>
  <c r="I256" i="7"/>
  <c r="BB255" i="7" a="1"/>
  <c r="BB255" i="7" s="1"/>
  <c r="BA255" i="7"/>
  <c r="AJ255" i="7"/>
  <c r="AI255" i="7"/>
  <c r="AG255" i="7"/>
  <c r="AF255" i="7"/>
  <c r="AE255" i="7"/>
  <c r="N255" i="7"/>
  <c r="M255" i="7"/>
  <c r="K255" i="7"/>
  <c r="J255" i="7"/>
  <c r="I255" i="7"/>
  <c r="BA254" i="7"/>
  <c r="AJ254" i="7"/>
  <c r="AI254" i="7"/>
  <c r="AG254" i="7"/>
  <c r="AF254" i="7"/>
  <c r="AE254" i="7"/>
  <c r="N254" i="7"/>
  <c r="M254" i="7"/>
  <c r="K254" i="7"/>
  <c r="J254" i="7"/>
  <c r="I254" i="7"/>
  <c r="BA253" i="7"/>
  <c r="AJ253" i="7"/>
  <c r="AI253" i="7"/>
  <c r="AG253" i="7"/>
  <c r="AF253" i="7"/>
  <c r="AE253" i="7"/>
  <c r="N253" i="7"/>
  <c r="M253" i="7"/>
  <c r="K253" i="7"/>
  <c r="J253" i="7"/>
  <c r="I253" i="7"/>
  <c r="BA252" i="7"/>
  <c r="AJ252" i="7"/>
  <c r="AI252" i="7"/>
  <c r="AG252" i="7"/>
  <c r="AF252" i="7"/>
  <c r="AE252" i="7"/>
  <c r="N252" i="7"/>
  <c r="M252" i="7"/>
  <c r="K252" i="7"/>
  <c r="J252" i="7"/>
  <c r="I252" i="7"/>
  <c r="BA251" i="7"/>
  <c r="AJ251" i="7"/>
  <c r="AI251" i="7"/>
  <c r="AG251" i="7"/>
  <c r="AF251" i="7"/>
  <c r="AE251" i="7"/>
  <c r="N251" i="7"/>
  <c r="M251" i="7"/>
  <c r="K251" i="7"/>
  <c r="J251" i="7"/>
  <c r="I251" i="7"/>
  <c r="BB250" i="7" a="1"/>
  <c r="BB250" i="7" s="1"/>
  <c r="BA250" i="7"/>
  <c r="AJ250" i="7"/>
  <c r="AI250" i="7"/>
  <c r="AG250" i="7"/>
  <c r="AF250" i="7"/>
  <c r="AE250" i="7"/>
  <c r="N250" i="7"/>
  <c r="M250" i="7"/>
  <c r="K250" i="7"/>
  <c r="J250" i="7"/>
  <c r="I250" i="7"/>
  <c r="BA249" i="7"/>
  <c r="AJ249" i="7"/>
  <c r="AI249" i="7"/>
  <c r="AH249" i="7"/>
  <c r="AG249" i="7"/>
  <c r="AF249" i="7"/>
  <c r="AE249" i="7"/>
  <c r="N249" i="7"/>
  <c r="M249" i="7"/>
  <c r="L249" i="7"/>
  <c r="K249" i="7"/>
  <c r="J249" i="7"/>
  <c r="I249" i="7"/>
  <c r="BA248" i="7"/>
  <c r="AJ248" i="7"/>
  <c r="AI248" i="7"/>
  <c r="AH248" i="7"/>
  <c r="AG248" i="7"/>
  <c r="AF248" i="7"/>
  <c r="AE248" i="7"/>
  <c r="N248" i="7"/>
  <c r="M248" i="7"/>
  <c r="L248" i="7"/>
  <c r="K248" i="7"/>
  <c r="J248" i="7"/>
  <c r="I248" i="7"/>
  <c r="BA247" i="7"/>
  <c r="AJ247" i="7"/>
  <c r="AI247" i="7"/>
  <c r="AH247" i="7"/>
  <c r="AG247" i="7"/>
  <c r="AF247" i="7"/>
  <c r="AE247" i="7"/>
  <c r="N247" i="7"/>
  <c r="M247" i="7"/>
  <c r="L247" i="7"/>
  <c r="K247" i="7"/>
  <c r="J247" i="7"/>
  <c r="I247" i="7"/>
  <c r="BA246" i="7"/>
  <c r="AJ246" i="7"/>
  <c r="AI246" i="7"/>
  <c r="AH246" i="7"/>
  <c r="AG246" i="7"/>
  <c r="AF246" i="7"/>
  <c r="AE246" i="7"/>
  <c r="N246" i="7"/>
  <c r="M246" i="7"/>
  <c r="L246" i="7"/>
  <c r="K246" i="7"/>
  <c r="J246" i="7"/>
  <c r="I246" i="7"/>
  <c r="BB245" i="7" a="1"/>
  <c r="BB245" i="7" s="1"/>
  <c r="BA245" i="7"/>
  <c r="AJ245" i="7"/>
  <c r="AI245" i="7"/>
  <c r="AH245" i="7"/>
  <c r="AG245" i="7"/>
  <c r="AF245" i="7"/>
  <c r="AE245" i="7"/>
  <c r="N245" i="7"/>
  <c r="M245" i="7"/>
  <c r="L245" i="7"/>
  <c r="K245" i="7"/>
  <c r="J245" i="7"/>
  <c r="I245" i="7"/>
  <c r="BA244" i="7"/>
  <c r="AJ244" i="7"/>
  <c r="AI244" i="7"/>
  <c r="AH244" i="7"/>
  <c r="AG244" i="7"/>
  <c r="AF244" i="7"/>
  <c r="AE244" i="7"/>
  <c r="N244" i="7"/>
  <c r="M244" i="7"/>
  <c r="L244" i="7"/>
  <c r="K244" i="7"/>
  <c r="J244" i="7"/>
  <c r="I244" i="7"/>
  <c r="BA243" i="7"/>
  <c r="AJ243" i="7"/>
  <c r="AI243" i="7"/>
  <c r="AH243" i="7"/>
  <c r="AG243" i="7"/>
  <c r="AF243" i="7"/>
  <c r="AE243" i="7"/>
  <c r="N243" i="7"/>
  <c r="M243" i="7"/>
  <c r="L243" i="7"/>
  <c r="K243" i="7"/>
  <c r="J243" i="7"/>
  <c r="I243" i="7"/>
  <c r="BA242" i="7"/>
  <c r="AJ242" i="7"/>
  <c r="AI242" i="7"/>
  <c r="AH242" i="7"/>
  <c r="AG242" i="7"/>
  <c r="AF242" i="7"/>
  <c r="AE242" i="7"/>
  <c r="N242" i="7"/>
  <c r="M242" i="7"/>
  <c r="L242" i="7"/>
  <c r="K242" i="7"/>
  <c r="J242" i="7"/>
  <c r="I242" i="7"/>
  <c r="BA241" i="7"/>
  <c r="AJ241" i="7"/>
  <c r="AI241" i="7"/>
  <c r="AH241" i="7"/>
  <c r="AG241" i="7"/>
  <c r="AF241" i="7"/>
  <c r="AE241" i="7"/>
  <c r="N241" i="7"/>
  <c r="M241" i="7"/>
  <c r="L241" i="7"/>
  <c r="K241" i="7"/>
  <c r="J241" i="7"/>
  <c r="I241" i="7"/>
  <c r="BB240" i="7" a="1"/>
  <c r="BB240" i="7" s="1"/>
  <c r="BA240" i="7"/>
  <c r="AJ240" i="7"/>
  <c r="AI240" i="7"/>
  <c r="AH240" i="7"/>
  <c r="AG240" i="7"/>
  <c r="AF240" i="7"/>
  <c r="AE240" i="7"/>
  <c r="N240" i="7"/>
  <c r="M240" i="7"/>
  <c r="L240" i="7"/>
  <c r="K240" i="7"/>
  <c r="J240" i="7"/>
  <c r="I240" i="7"/>
  <c r="BA239" i="7"/>
  <c r="AJ239" i="7"/>
  <c r="AI239" i="7"/>
  <c r="AH239" i="7"/>
  <c r="AG239" i="7"/>
  <c r="AF239" i="7"/>
  <c r="AE239" i="7"/>
  <c r="N239" i="7"/>
  <c r="M239" i="7"/>
  <c r="L239" i="7"/>
  <c r="K239" i="7"/>
  <c r="J239" i="7"/>
  <c r="I239" i="7"/>
  <c r="BA238" i="7"/>
  <c r="AJ238" i="7"/>
  <c r="AI238" i="7"/>
  <c r="AH238" i="7"/>
  <c r="AG238" i="7"/>
  <c r="AF238" i="7"/>
  <c r="AE238" i="7"/>
  <c r="N238" i="7"/>
  <c r="M238" i="7"/>
  <c r="L238" i="7"/>
  <c r="K238" i="7"/>
  <c r="J238" i="7"/>
  <c r="I238" i="7"/>
  <c r="BA237" i="7"/>
  <c r="AJ237" i="7"/>
  <c r="AI237" i="7"/>
  <c r="AH237" i="7"/>
  <c r="AG237" i="7"/>
  <c r="AF237" i="7"/>
  <c r="AE237" i="7"/>
  <c r="N237" i="7"/>
  <c r="M237" i="7"/>
  <c r="L237" i="7"/>
  <c r="K237" i="7"/>
  <c r="J237" i="7"/>
  <c r="I237" i="7"/>
  <c r="BA236" i="7"/>
  <c r="AJ236" i="7"/>
  <c r="AI236" i="7"/>
  <c r="AH236" i="7"/>
  <c r="AG236" i="7"/>
  <c r="AF236" i="7"/>
  <c r="AE236" i="7"/>
  <c r="N236" i="7"/>
  <c r="M236" i="7"/>
  <c r="L236" i="7"/>
  <c r="K236" i="7"/>
  <c r="J236" i="7"/>
  <c r="I236" i="7"/>
  <c r="BB235" i="7" a="1"/>
  <c r="BB235" i="7" s="1"/>
  <c r="BA235" i="7"/>
  <c r="AJ235" i="7"/>
  <c r="AI235" i="7"/>
  <c r="AH235" i="7"/>
  <c r="AG235" i="7"/>
  <c r="AF235" i="7"/>
  <c r="AE235" i="7"/>
  <c r="N235" i="7"/>
  <c r="M235" i="7"/>
  <c r="L235" i="7"/>
  <c r="K235" i="7"/>
  <c r="J235" i="7"/>
  <c r="I235" i="7"/>
  <c r="BA234" i="7"/>
  <c r="AJ234" i="7"/>
  <c r="AH234" i="7"/>
  <c r="AG234" i="7"/>
  <c r="AF234" i="7"/>
  <c r="AE234" i="7"/>
  <c r="N234" i="7"/>
  <c r="L234" i="7"/>
  <c r="K234" i="7"/>
  <c r="J234" i="7"/>
  <c r="I234" i="7"/>
  <c r="BA233" i="7"/>
  <c r="AJ233" i="7"/>
  <c r="AH233" i="7"/>
  <c r="AG233" i="7"/>
  <c r="AF233" i="7"/>
  <c r="AE233" i="7"/>
  <c r="N233" i="7"/>
  <c r="L233" i="7"/>
  <c r="K233" i="7"/>
  <c r="J233" i="7"/>
  <c r="I233" i="7"/>
  <c r="BA232" i="7"/>
  <c r="AJ232" i="7"/>
  <c r="AH232" i="7"/>
  <c r="AG232" i="7"/>
  <c r="AF232" i="7"/>
  <c r="AE232" i="7"/>
  <c r="N232" i="7"/>
  <c r="L232" i="7"/>
  <c r="K232" i="7"/>
  <c r="J232" i="7"/>
  <c r="I232" i="7"/>
  <c r="BA231" i="7"/>
  <c r="AJ231" i="7"/>
  <c r="AH231" i="7"/>
  <c r="AG231" i="7"/>
  <c r="AF231" i="7"/>
  <c r="AE231" i="7"/>
  <c r="N231" i="7"/>
  <c r="L231" i="7"/>
  <c r="K231" i="7"/>
  <c r="J231" i="7"/>
  <c r="I231" i="7"/>
  <c r="BB230" i="7" a="1"/>
  <c r="BB230" i="7" s="1"/>
  <c r="BA230" i="7"/>
  <c r="AJ230" i="7"/>
  <c r="AH230" i="7"/>
  <c r="AG230" i="7"/>
  <c r="AF230" i="7"/>
  <c r="AE230" i="7"/>
  <c r="N230" i="7"/>
  <c r="L230" i="7"/>
  <c r="K230" i="7"/>
  <c r="J230" i="7"/>
  <c r="I230" i="7"/>
  <c r="BA229" i="7"/>
  <c r="AJ229" i="7"/>
  <c r="AH229" i="7"/>
  <c r="AG229" i="7"/>
  <c r="AF229" i="7"/>
  <c r="AE229" i="7"/>
  <c r="N229" i="7"/>
  <c r="L229" i="7"/>
  <c r="K229" i="7"/>
  <c r="J229" i="7"/>
  <c r="I229" i="7"/>
  <c r="BA228" i="7"/>
  <c r="AJ228" i="7"/>
  <c r="AH228" i="7"/>
  <c r="AG228" i="7"/>
  <c r="AF228" i="7"/>
  <c r="AE228" i="7"/>
  <c r="N228" i="7"/>
  <c r="L228" i="7"/>
  <c r="K228" i="7"/>
  <c r="J228" i="7"/>
  <c r="I228" i="7"/>
  <c r="BA227" i="7"/>
  <c r="AJ227" i="7"/>
  <c r="AH227" i="7"/>
  <c r="AG227" i="7"/>
  <c r="AF227" i="7"/>
  <c r="AE227" i="7"/>
  <c r="N227" i="7"/>
  <c r="L227" i="7"/>
  <c r="K227" i="7"/>
  <c r="J227" i="7"/>
  <c r="I227" i="7"/>
  <c r="BA226" i="7"/>
  <c r="AJ226" i="7"/>
  <c r="AH226" i="7"/>
  <c r="AG226" i="7"/>
  <c r="AF226" i="7"/>
  <c r="AE226" i="7"/>
  <c r="N226" i="7"/>
  <c r="L226" i="7"/>
  <c r="K226" i="7"/>
  <c r="J226" i="7"/>
  <c r="I226" i="7"/>
  <c r="BB225" i="7" a="1"/>
  <c r="BB225" i="7" s="1"/>
  <c r="BA225" i="7"/>
  <c r="AJ225" i="7"/>
  <c r="AH225" i="7"/>
  <c r="AG225" i="7"/>
  <c r="AF225" i="7"/>
  <c r="AE225" i="7"/>
  <c r="N225" i="7"/>
  <c r="L225" i="7"/>
  <c r="K225" i="7"/>
  <c r="J225" i="7"/>
  <c r="I225" i="7"/>
  <c r="BA224" i="7"/>
  <c r="AJ224" i="7"/>
  <c r="AH224" i="7"/>
  <c r="AG224" i="7"/>
  <c r="AF224" i="7"/>
  <c r="AE224" i="7"/>
  <c r="N224" i="7"/>
  <c r="L224" i="7"/>
  <c r="K224" i="7"/>
  <c r="J224" i="7"/>
  <c r="I224" i="7"/>
  <c r="BA223" i="7"/>
  <c r="AJ223" i="7"/>
  <c r="AH223" i="7"/>
  <c r="AG223" i="7"/>
  <c r="AF223" i="7"/>
  <c r="AE223" i="7"/>
  <c r="N223" i="7"/>
  <c r="L223" i="7"/>
  <c r="K223" i="7"/>
  <c r="J223" i="7"/>
  <c r="I223" i="7"/>
  <c r="BA222" i="7"/>
  <c r="AJ222" i="7"/>
  <c r="AH222" i="7"/>
  <c r="AG222" i="7"/>
  <c r="AF222" i="7"/>
  <c r="AE222" i="7"/>
  <c r="N222" i="7"/>
  <c r="L222" i="7"/>
  <c r="K222" i="7"/>
  <c r="J222" i="7"/>
  <c r="I222" i="7"/>
  <c r="BA221" i="7"/>
  <c r="AJ221" i="7"/>
  <c r="AH221" i="7"/>
  <c r="AG221" i="7"/>
  <c r="AF221" i="7"/>
  <c r="AE221" i="7"/>
  <c r="N221" i="7"/>
  <c r="L221" i="7"/>
  <c r="K221" i="7"/>
  <c r="J221" i="7"/>
  <c r="I221" i="7"/>
  <c r="BB220" i="7" a="1"/>
  <c r="BB220" i="7" s="1"/>
  <c r="BA220" i="7"/>
  <c r="AJ220" i="7"/>
  <c r="AH220" i="7"/>
  <c r="AG220" i="7"/>
  <c r="AF220" i="7"/>
  <c r="AE220" i="7"/>
  <c r="N220" i="7"/>
  <c r="L220" i="7"/>
  <c r="K220" i="7"/>
  <c r="J220" i="7"/>
  <c r="I220" i="7"/>
  <c r="BA219" i="7"/>
  <c r="AJ219" i="7"/>
  <c r="AH219" i="7"/>
  <c r="AG219" i="7"/>
  <c r="AF219" i="7"/>
  <c r="AE219" i="7"/>
  <c r="N219" i="7"/>
  <c r="L219" i="7"/>
  <c r="K219" i="7"/>
  <c r="J219" i="7"/>
  <c r="I219" i="7"/>
  <c r="BA218" i="7"/>
  <c r="AJ218" i="7"/>
  <c r="AH218" i="7"/>
  <c r="AG218" i="7"/>
  <c r="AF218" i="7"/>
  <c r="AE218" i="7"/>
  <c r="N218" i="7"/>
  <c r="L218" i="7"/>
  <c r="K218" i="7"/>
  <c r="J218" i="7"/>
  <c r="I218" i="7"/>
  <c r="BA217" i="7"/>
  <c r="AJ217" i="7"/>
  <c r="AH217" i="7"/>
  <c r="AG217" i="7"/>
  <c r="AF217" i="7"/>
  <c r="AE217" i="7"/>
  <c r="N217" i="7"/>
  <c r="L217" i="7"/>
  <c r="K217" i="7"/>
  <c r="J217" i="7"/>
  <c r="I217" i="7"/>
  <c r="BA216" i="7"/>
  <c r="AJ216" i="7"/>
  <c r="AH216" i="7"/>
  <c r="AG216" i="7"/>
  <c r="AF216" i="7"/>
  <c r="AE216" i="7"/>
  <c r="N216" i="7"/>
  <c r="L216" i="7"/>
  <c r="K216" i="7"/>
  <c r="J216" i="7"/>
  <c r="I216" i="7"/>
  <c r="BB215" i="7" a="1"/>
  <c r="BB215" i="7" s="1"/>
  <c r="BA215" i="7"/>
  <c r="AJ215" i="7"/>
  <c r="AH215" i="7"/>
  <c r="AG215" i="7"/>
  <c r="AF215" i="7"/>
  <c r="AE215" i="7"/>
  <c r="N215" i="7"/>
  <c r="L215" i="7"/>
  <c r="K215" i="7"/>
  <c r="J215" i="7"/>
  <c r="I215" i="7"/>
  <c r="BA214" i="7"/>
  <c r="AJ214" i="7"/>
  <c r="AH214" i="7"/>
  <c r="AG214" i="7"/>
  <c r="AF214" i="7"/>
  <c r="AE214" i="7"/>
  <c r="N214" i="7"/>
  <c r="L214" i="7"/>
  <c r="K214" i="7"/>
  <c r="J214" i="7"/>
  <c r="I214" i="7"/>
  <c r="BA213" i="7"/>
  <c r="AJ213" i="7"/>
  <c r="AH213" i="7"/>
  <c r="AG213" i="7"/>
  <c r="AF213" i="7"/>
  <c r="AE213" i="7"/>
  <c r="N213" i="7"/>
  <c r="L213" i="7"/>
  <c r="K213" i="7"/>
  <c r="J213" i="7"/>
  <c r="I213" i="7"/>
  <c r="BA212" i="7"/>
  <c r="AJ212" i="7"/>
  <c r="AH212" i="7"/>
  <c r="AG212" i="7"/>
  <c r="AF212" i="7"/>
  <c r="AE212" i="7"/>
  <c r="N212" i="7"/>
  <c r="L212" i="7"/>
  <c r="K212" i="7"/>
  <c r="J212" i="7"/>
  <c r="I212" i="7"/>
  <c r="BA211" i="7"/>
  <c r="AJ211" i="7"/>
  <c r="AH211" i="7"/>
  <c r="AG211" i="7"/>
  <c r="AF211" i="7"/>
  <c r="AE211" i="7"/>
  <c r="N211" i="7"/>
  <c r="L211" i="7"/>
  <c r="K211" i="7"/>
  <c r="J211" i="7"/>
  <c r="I211" i="7"/>
  <c r="BB210" i="7" a="1"/>
  <c r="BB210" i="7" s="1"/>
  <c r="BA210" i="7"/>
  <c r="AJ210" i="7"/>
  <c r="AH210" i="7"/>
  <c r="AG210" i="7"/>
  <c r="AF210" i="7"/>
  <c r="AE210" i="7"/>
  <c r="N210" i="7"/>
  <c r="L210" i="7"/>
  <c r="K210" i="7"/>
  <c r="J210" i="7"/>
  <c r="I210" i="7"/>
  <c r="BA209" i="7"/>
  <c r="AJ209" i="7"/>
  <c r="AH209" i="7"/>
  <c r="AG209" i="7"/>
  <c r="AF209" i="7"/>
  <c r="AE209" i="7"/>
  <c r="N209" i="7"/>
  <c r="L209" i="7"/>
  <c r="K209" i="7"/>
  <c r="J209" i="7"/>
  <c r="I209" i="7"/>
  <c r="BA208" i="7"/>
  <c r="AJ208" i="7"/>
  <c r="AH208" i="7"/>
  <c r="AG208" i="7"/>
  <c r="AF208" i="7"/>
  <c r="AE208" i="7"/>
  <c r="N208" i="7"/>
  <c r="L208" i="7"/>
  <c r="K208" i="7"/>
  <c r="J208" i="7"/>
  <c r="I208" i="7"/>
  <c r="BA207" i="7"/>
  <c r="AJ207" i="7"/>
  <c r="AH207" i="7"/>
  <c r="AG207" i="7"/>
  <c r="AF207" i="7"/>
  <c r="AE207" i="7"/>
  <c r="N207" i="7"/>
  <c r="L207" i="7"/>
  <c r="K207" i="7"/>
  <c r="J207" i="7"/>
  <c r="I207" i="7"/>
  <c r="BA206" i="7"/>
  <c r="AJ206" i="7"/>
  <c r="AH206" i="7"/>
  <c r="AG206" i="7"/>
  <c r="AF206" i="7"/>
  <c r="AE206" i="7"/>
  <c r="N206" i="7"/>
  <c r="L206" i="7"/>
  <c r="K206" i="7"/>
  <c r="J206" i="7"/>
  <c r="I206" i="7"/>
  <c r="BB205" i="7" a="1"/>
  <c r="BB205" i="7" s="1"/>
  <c r="BA205" i="7"/>
  <c r="AJ205" i="7"/>
  <c r="AH205" i="7"/>
  <c r="AG205" i="7"/>
  <c r="AF205" i="7"/>
  <c r="AE205" i="7"/>
  <c r="N205" i="7"/>
  <c r="L205" i="7"/>
  <c r="K205" i="7"/>
  <c r="J205" i="7"/>
  <c r="I205" i="7"/>
  <c r="BA204" i="7"/>
  <c r="AJ204" i="7"/>
  <c r="AH204" i="7"/>
  <c r="AG204" i="7"/>
  <c r="AF204" i="7"/>
  <c r="AE204" i="7"/>
  <c r="N204" i="7"/>
  <c r="L204" i="7"/>
  <c r="K204" i="7"/>
  <c r="J204" i="7"/>
  <c r="I204" i="7"/>
  <c r="BA203" i="7"/>
  <c r="AJ203" i="7"/>
  <c r="AH203" i="7"/>
  <c r="AG203" i="7"/>
  <c r="AF203" i="7"/>
  <c r="AE203" i="7"/>
  <c r="N203" i="7"/>
  <c r="L203" i="7"/>
  <c r="K203" i="7"/>
  <c r="J203" i="7"/>
  <c r="I203" i="7"/>
  <c r="BA202" i="7"/>
  <c r="AJ202" i="7"/>
  <c r="AH202" i="7"/>
  <c r="AG202" i="7"/>
  <c r="AF202" i="7"/>
  <c r="AE202" i="7"/>
  <c r="N202" i="7"/>
  <c r="L202" i="7"/>
  <c r="K202" i="7"/>
  <c r="J202" i="7"/>
  <c r="I202" i="7"/>
  <c r="BA201" i="7"/>
  <c r="AJ201" i="7"/>
  <c r="AH201" i="7"/>
  <c r="AG201" i="7"/>
  <c r="AF201" i="7"/>
  <c r="AE201" i="7"/>
  <c r="N201" i="7"/>
  <c r="L201" i="7"/>
  <c r="K201" i="7"/>
  <c r="J201" i="7"/>
  <c r="I201" i="7"/>
  <c r="BB200" i="7" a="1"/>
  <c r="BB200" i="7" s="1"/>
  <c r="BA200" i="7"/>
  <c r="AJ200" i="7"/>
  <c r="AH200" i="7"/>
  <c r="AG200" i="7"/>
  <c r="AF200" i="7"/>
  <c r="AE200" i="7"/>
  <c r="N200" i="7"/>
  <c r="L200" i="7"/>
  <c r="K200" i="7"/>
  <c r="J200" i="7"/>
  <c r="I200" i="7"/>
  <c r="BA199" i="7"/>
  <c r="AJ199" i="7"/>
  <c r="AH199" i="7"/>
  <c r="AG199" i="7"/>
  <c r="AF199" i="7"/>
  <c r="AE199" i="7"/>
  <c r="N199" i="7"/>
  <c r="L199" i="7"/>
  <c r="K199" i="7"/>
  <c r="J199" i="7"/>
  <c r="I199" i="7"/>
  <c r="BA198" i="7"/>
  <c r="AJ198" i="7"/>
  <c r="AH198" i="7"/>
  <c r="AG198" i="7"/>
  <c r="AF198" i="7"/>
  <c r="AE198" i="7"/>
  <c r="N198" i="7"/>
  <c r="L198" i="7"/>
  <c r="K198" i="7"/>
  <c r="J198" i="7"/>
  <c r="I198" i="7"/>
  <c r="BA197" i="7"/>
  <c r="AJ197" i="7"/>
  <c r="AH197" i="7"/>
  <c r="AG197" i="7"/>
  <c r="AF197" i="7"/>
  <c r="AE197" i="7"/>
  <c r="N197" i="7"/>
  <c r="L197" i="7"/>
  <c r="K197" i="7"/>
  <c r="J197" i="7"/>
  <c r="I197" i="7"/>
  <c r="BA196" i="7"/>
  <c r="AJ196" i="7"/>
  <c r="AH196" i="7"/>
  <c r="AG196" i="7"/>
  <c r="AF196" i="7"/>
  <c r="AE196" i="7"/>
  <c r="N196" i="7"/>
  <c r="L196" i="7"/>
  <c r="K196" i="7"/>
  <c r="J196" i="7"/>
  <c r="I196" i="7"/>
  <c r="BB195" i="7" a="1"/>
  <c r="BB195" i="7" s="1"/>
  <c r="BA195" i="7"/>
  <c r="AJ195" i="7"/>
  <c r="AH195" i="7"/>
  <c r="AG195" i="7"/>
  <c r="AF195" i="7"/>
  <c r="AE195" i="7"/>
  <c r="N195" i="7"/>
  <c r="L195" i="7"/>
  <c r="K195" i="7"/>
  <c r="J195" i="7"/>
  <c r="I195" i="7"/>
  <c r="BA194" i="7"/>
  <c r="AJ194" i="7"/>
  <c r="AH194" i="7"/>
  <c r="AG194" i="7"/>
  <c r="AF194" i="7"/>
  <c r="AE194" i="7"/>
  <c r="N194" i="7"/>
  <c r="L194" i="7"/>
  <c r="K194" i="7"/>
  <c r="J194" i="7"/>
  <c r="I194" i="7"/>
  <c r="BA193" i="7"/>
  <c r="AJ193" i="7"/>
  <c r="AH193" i="7"/>
  <c r="AG193" i="7"/>
  <c r="AF193" i="7"/>
  <c r="AE193" i="7"/>
  <c r="N193" i="7"/>
  <c r="L193" i="7"/>
  <c r="K193" i="7"/>
  <c r="J193" i="7"/>
  <c r="I193" i="7"/>
  <c r="BA192" i="7"/>
  <c r="AJ192" i="7"/>
  <c r="AH192" i="7"/>
  <c r="AG192" i="7"/>
  <c r="AF192" i="7"/>
  <c r="AE192" i="7"/>
  <c r="N192" i="7"/>
  <c r="L192" i="7"/>
  <c r="K192" i="7"/>
  <c r="J192" i="7"/>
  <c r="I192" i="7"/>
  <c r="BA191" i="7"/>
  <c r="AJ191" i="7"/>
  <c r="AH191" i="7"/>
  <c r="AG191" i="7"/>
  <c r="AF191" i="7"/>
  <c r="AE191" i="7"/>
  <c r="N191" i="7"/>
  <c r="L191" i="7"/>
  <c r="K191" i="7"/>
  <c r="J191" i="7"/>
  <c r="I191" i="7"/>
  <c r="BB190" i="7" a="1"/>
  <c r="BB190" i="7" s="1"/>
  <c r="BA190" i="7"/>
  <c r="AJ190" i="7"/>
  <c r="AH190" i="7"/>
  <c r="AG190" i="7"/>
  <c r="AF190" i="7"/>
  <c r="AE190" i="7"/>
  <c r="N190" i="7"/>
  <c r="L190" i="7"/>
  <c r="K190" i="7"/>
  <c r="J190" i="7"/>
  <c r="I190" i="7"/>
  <c r="BA189" i="7"/>
  <c r="AJ189" i="7"/>
  <c r="AH189" i="7"/>
  <c r="AG189" i="7"/>
  <c r="AF189" i="7"/>
  <c r="AE189" i="7"/>
  <c r="N189" i="7"/>
  <c r="L189" i="7"/>
  <c r="K189" i="7"/>
  <c r="J189" i="7"/>
  <c r="I189" i="7"/>
  <c r="BA188" i="7"/>
  <c r="AJ188" i="7"/>
  <c r="AH188" i="7"/>
  <c r="AG188" i="7"/>
  <c r="AF188" i="7"/>
  <c r="AE188" i="7"/>
  <c r="N188" i="7"/>
  <c r="L188" i="7"/>
  <c r="K188" i="7"/>
  <c r="J188" i="7"/>
  <c r="I188" i="7"/>
  <c r="BA187" i="7"/>
  <c r="AJ187" i="7"/>
  <c r="AH187" i="7"/>
  <c r="AG187" i="7"/>
  <c r="AF187" i="7"/>
  <c r="AE187" i="7"/>
  <c r="N187" i="7"/>
  <c r="L187" i="7"/>
  <c r="K187" i="7"/>
  <c r="J187" i="7"/>
  <c r="I187" i="7"/>
  <c r="BA186" i="7"/>
  <c r="AJ186" i="7"/>
  <c r="AH186" i="7"/>
  <c r="AG186" i="7"/>
  <c r="AF186" i="7"/>
  <c r="AE186" i="7"/>
  <c r="N186" i="7"/>
  <c r="L186" i="7"/>
  <c r="K186" i="7"/>
  <c r="J186" i="7"/>
  <c r="I186" i="7"/>
  <c r="BB185" i="7" a="1"/>
  <c r="BB185" i="7" s="1"/>
  <c r="BA185" i="7"/>
  <c r="AJ185" i="7"/>
  <c r="AH185" i="7"/>
  <c r="AG185" i="7"/>
  <c r="AF185" i="7"/>
  <c r="AE185" i="7"/>
  <c r="N185" i="7"/>
  <c r="L185" i="7"/>
  <c r="K185" i="7"/>
  <c r="J185" i="7"/>
  <c r="I185" i="7"/>
  <c r="BA184" i="7"/>
  <c r="AJ184" i="7"/>
  <c r="AH184" i="7"/>
  <c r="AG184" i="7"/>
  <c r="AF184" i="7"/>
  <c r="AE184" i="7"/>
  <c r="N184" i="7"/>
  <c r="L184" i="7"/>
  <c r="K184" i="7"/>
  <c r="J184" i="7"/>
  <c r="I184" i="7"/>
  <c r="BA183" i="7"/>
  <c r="AJ183" i="7"/>
  <c r="AH183" i="7"/>
  <c r="AG183" i="7"/>
  <c r="AF183" i="7"/>
  <c r="AE183" i="7"/>
  <c r="N183" i="7"/>
  <c r="L183" i="7"/>
  <c r="K183" i="7"/>
  <c r="J183" i="7"/>
  <c r="I183" i="7"/>
  <c r="BA182" i="7"/>
  <c r="AJ182" i="7"/>
  <c r="AH182" i="7"/>
  <c r="AG182" i="7"/>
  <c r="AF182" i="7"/>
  <c r="AE182" i="7"/>
  <c r="N182" i="7"/>
  <c r="L182" i="7"/>
  <c r="K182" i="7"/>
  <c r="J182" i="7"/>
  <c r="I182" i="7"/>
  <c r="BA181" i="7"/>
  <c r="AJ181" i="7"/>
  <c r="AH181" i="7"/>
  <c r="AG181" i="7"/>
  <c r="AF181" i="7"/>
  <c r="AE181" i="7"/>
  <c r="N181" i="7"/>
  <c r="L181" i="7"/>
  <c r="K181" i="7"/>
  <c r="J181" i="7"/>
  <c r="I181" i="7"/>
  <c r="BB180" i="7" a="1"/>
  <c r="BB180" i="7" s="1"/>
  <c r="BA180" i="7"/>
  <c r="AJ180" i="7"/>
  <c r="AH180" i="7"/>
  <c r="AG180" i="7"/>
  <c r="AF180" i="7"/>
  <c r="AE180" i="7"/>
  <c r="N180" i="7"/>
  <c r="L180" i="7"/>
  <c r="K180" i="7"/>
  <c r="J180" i="7"/>
  <c r="I180" i="7"/>
  <c r="BA179" i="7"/>
  <c r="AJ179" i="7"/>
  <c r="AH179" i="7"/>
  <c r="AG179" i="7"/>
  <c r="AF179" i="7"/>
  <c r="AE179" i="7"/>
  <c r="N179" i="7"/>
  <c r="L179" i="7"/>
  <c r="K179" i="7"/>
  <c r="J179" i="7"/>
  <c r="I179" i="7"/>
  <c r="BA178" i="7"/>
  <c r="AJ178" i="7"/>
  <c r="AH178" i="7"/>
  <c r="AG178" i="7"/>
  <c r="AF178" i="7"/>
  <c r="AE178" i="7"/>
  <c r="N178" i="7"/>
  <c r="L178" i="7"/>
  <c r="K178" i="7"/>
  <c r="J178" i="7"/>
  <c r="I178" i="7"/>
  <c r="BA177" i="7"/>
  <c r="AJ177" i="7"/>
  <c r="AH177" i="7"/>
  <c r="AG177" i="7"/>
  <c r="AF177" i="7"/>
  <c r="AE177" i="7"/>
  <c r="N177" i="7"/>
  <c r="L177" i="7"/>
  <c r="K177" i="7"/>
  <c r="J177" i="7"/>
  <c r="I177" i="7"/>
  <c r="BA176" i="7"/>
  <c r="AJ176" i="7"/>
  <c r="AH176" i="7"/>
  <c r="AG176" i="7"/>
  <c r="AF176" i="7"/>
  <c r="AE176" i="7"/>
  <c r="N176" i="7"/>
  <c r="L176" i="7"/>
  <c r="K176" i="7"/>
  <c r="J176" i="7"/>
  <c r="I176" i="7"/>
  <c r="BB175" i="7" a="1"/>
  <c r="BB175" i="7" s="1"/>
  <c r="BA175" i="7"/>
  <c r="AJ175" i="7"/>
  <c r="AH175" i="7"/>
  <c r="AG175" i="7"/>
  <c r="AF175" i="7"/>
  <c r="AE175" i="7"/>
  <c r="N175" i="7"/>
  <c r="L175" i="7"/>
  <c r="K175" i="7"/>
  <c r="J175" i="7"/>
  <c r="I175" i="7"/>
  <c r="BA174" i="7"/>
  <c r="AJ174" i="7"/>
  <c r="AH174" i="7"/>
  <c r="AG174" i="7"/>
  <c r="AF174" i="7"/>
  <c r="AE174" i="7"/>
  <c r="N174" i="7"/>
  <c r="L174" i="7"/>
  <c r="K174" i="7"/>
  <c r="J174" i="7"/>
  <c r="I174" i="7"/>
  <c r="BA173" i="7"/>
  <c r="AJ173" i="7"/>
  <c r="AH173" i="7"/>
  <c r="AG173" i="7"/>
  <c r="AF173" i="7"/>
  <c r="AE173" i="7"/>
  <c r="N173" i="7"/>
  <c r="L173" i="7"/>
  <c r="K173" i="7"/>
  <c r="J173" i="7"/>
  <c r="I173" i="7"/>
  <c r="BA172" i="7"/>
  <c r="AJ172" i="7"/>
  <c r="AH172" i="7"/>
  <c r="AG172" i="7"/>
  <c r="AF172" i="7"/>
  <c r="AE172" i="7"/>
  <c r="N172" i="7"/>
  <c r="L172" i="7"/>
  <c r="K172" i="7"/>
  <c r="J172" i="7"/>
  <c r="I172" i="7"/>
  <c r="BA171" i="7"/>
  <c r="AJ171" i="7"/>
  <c r="AH171" i="7"/>
  <c r="AG171" i="7"/>
  <c r="AF171" i="7"/>
  <c r="AE171" i="7"/>
  <c r="N171" i="7"/>
  <c r="L171" i="7"/>
  <c r="K171" i="7"/>
  <c r="J171" i="7"/>
  <c r="I171" i="7"/>
  <c r="BB170" i="7" a="1"/>
  <c r="BB170" i="7" s="1"/>
  <c r="BA170" i="7"/>
  <c r="AJ170" i="7"/>
  <c r="AH170" i="7"/>
  <c r="AG170" i="7"/>
  <c r="AF170" i="7"/>
  <c r="AE170" i="7"/>
  <c r="N170" i="7"/>
  <c r="L170" i="7"/>
  <c r="K170" i="7"/>
  <c r="J170" i="7"/>
  <c r="I170" i="7"/>
  <c r="BA169" i="7"/>
  <c r="AJ169" i="7"/>
  <c r="AH169" i="7"/>
  <c r="AG169" i="7"/>
  <c r="AF169" i="7"/>
  <c r="AE169" i="7"/>
  <c r="N169" i="7"/>
  <c r="L169" i="7"/>
  <c r="K169" i="7"/>
  <c r="J169" i="7"/>
  <c r="I169" i="7"/>
  <c r="BA168" i="7"/>
  <c r="AJ168" i="7"/>
  <c r="AH168" i="7"/>
  <c r="AG168" i="7"/>
  <c r="AF168" i="7"/>
  <c r="AE168" i="7"/>
  <c r="N168" i="7"/>
  <c r="L168" i="7"/>
  <c r="K168" i="7"/>
  <c r="J168" i="7"/>
  <c r="I168" i="7"/>
  <c r="BA167" i="7"/>
  <c r="AJ167" i="7"/>
  <c r="AH167" i="7"/>
  <c r="AG167" i="7"/>
  <c r="AF167" i="7"/>
  <c r="AE167" i="7"/>
  <c r="N167" i="7"/>
  <c r="L167" i="7"/>
  <c r="K167" i="7"/>
  <c r="J167" i="7"/>
  <c r="I167" i="7"/>
  <c r="BA166" i="7"/>
  <c r="AJ166" i="7"/>
  <c r="AH166" i="7"/>
  <c r="AG166" i="7"/>
  <c r="AF166" i="7"/>
  <c r="AE166" i="7"/>
  <c r="N166" i="7"/>
  <c r="L166" i="7"/>
  <c r="K166" i="7"/>
  <c r="J166" i="7"/>
  <c r="I166" i="7"/>
  <c r="BB165" i="7" a="1"/>
  <c r="BB165" i="7"/>
  <c r="BA165" i="7"/>
  <c r="AJ165" i="7"/>
  <c r="AH165" i="7"/>
  <c r="AG165" i="7"/>
  <c r="AF165" i="7"/>
  <c r="AE165" i="7"/>
  <c r="N165" i="7"/>
  <c r="L165" i="7"/>
  <c r="K165" i="7"/>
  <c r="J165" i="7"/>
  <c r="I165" i="7"/>
  <c r="BA164" i="7"/>
  <c r="AJ164" i="7"/>
  <c r="AH164" i="7"/>
  <c r="AG164" i="7"/>
  <c r="AF164" i="7"/>
  <c r="AE164" i="7"/>
  <c r="N164" i="7"/>
  <c r="L164" i="7"/>
  <c r="K164" i="7"/>
  <c r="J164" i="7"/>
  <c r="I164" i="7"/>
  <c r="BA163" i="7"/>
  <c r="AJ163" i="7"/>
  <c r="AH163" i="7"/>
  <c r="AG163" i="7"/>
  <c r="AF163" i="7"/>
  <c r="AE163" i="7"/>
  <c r="N163" i="7"/>
  <c r="L163" i="7"/>
  <c r="K163" i="7"/>
  <c r="J163" i="7"/>
  <c r="I163" i="7"/>
  <c r="BA162" i="7"/>
  <c r="AJ162" i="7"/>
  <c r="AH162" i="7"/>
  <c r="AG162" i="7"/>
  <c r="AF162" i="7"/>
  <c r="AE162" i="7"/>
  <c r="N162" i="7"/>
  <c r="L162" i="7"/>
  <c r="K162" i="7"/>
  <c r="J162" i="7"/>
  <c r="I162" i="7"/>
  <c r="BA161" i="7"/>
  <c r="AJ161" i="7"/>
  <c r="AH161" i="7"/>
  <c r="AG161" i="7"/>
  <c r="AF161" i="7"/>
  <c r="AE161" i="7"/>
  <c r="N161" i="7"/>
  <c r="L161" i="7"/>
  <c r="K161" i="7"/>
  <c r="J161" i="7"/>
  <c r="I161" i="7"/>
  <c r="BB160" i="7" a="1"/>
  <c r="BB160" i="7" s="1"/>
  <c r="BA160" i="7"/>
  <c r="AJ160" i="7"/>
  <c r="AH160" i="7"/>
  <c r="AG160" i="7"/>
  <c r="AF160" i="7"/>
  <c r="AE160" i="7"/>
  <c r="N160" i="7"/>
  <c r="L160" i="7"/>
  <c r="K160" i="7"/>
  <c r="J160" i="7"/>
  <c r="I160" i="7"/>
  <c r="BA159" i="7"/>
  <c r="AJ159" i="7"/>
  <c r="AH159" i="7"/>
  <c r="AG159" i="7"/>
  <c r="AF159" i="7"/>
  <c r="AE159" i="7"/>
  <c r="N159" i="7"/>
  <c r="L159" i="7"/>
  <c r="K159" i="7"/>
  <c r="J159" i="7"/>
  <c r="I159" i="7"/>
  <c r="BA158" i="7"/>
  <c r="AJ158" i="7"/>
  <c r="AH158" i="7"/>
  <c r="AG158" i="7"/>
  <c r="AF158" i="7"/>
  <c r="AE158" i="7"/>
  <c r="N158" i="7"/>
  <c r="L158" i="7"/>
  <c r="K158" i="7"/>
  <c r="J158" i="7"/>
  <c r="I158" i="7"/>
  <c r="BA157" i="7"/>
  <c r="AJ157" i="7"/>
  <c r="AH157" i="7"/>
  <c r="AG157" i="7"/>
  <c r="AF157" i="7"/>
  <c r="AE157" i="7"/>
  <c r="N157" i="7"/>
  <c r="L157" i="7"/>
  <c r="K157" i="7"/>
  <c r="J157" i="7"/>
  <c r="I157" i="7"/>
  <c r="BA156" i="7"/>
  <c r="AJ156" i="7"/>
  <c r="AH156" i="7"/>
  <c r="AG156" i="7"/>
  <c r="AF156" i="7"/>
  <c r="AE156" i="7"/>
  <c r="N156" i="7"/>
  <c r="L156" i="7"/>
  <c r="K156" i="7"/>
  <c r="J156" i="7"/>
  <c r="I156" i="7"/>
  <c r="BB155" i="7" a="1"/>
  <c r="BB155" i="7"/>
  <c r="BA155" i="7"/>
  <c r="AJ155" i="7"/>
  <c r="AH155" i="7"/>
  <c r="AG155" i="7"/>
  <c r="AF155" i="7"/>
  <c r="AE155" i="7"/>
  <c r="N155" i="7"/>
  <c r="L155" i="7"/>
  <c r="K155" i="7"/>
  <c r="J155" i="7"/>
  <c r="I155" i="7"/>
  <c r="BA154" i="7"/>
  <c r="AJ154" i="7"/>
  <c r="AH154" i="7"/>
  <c r="AG154" i="7"/>
  <c r="AF154" i="7"/>
  <c r="AE154" i="7"/>
  <c r="N154" i="7"/>
  <c r="L154" i="7"/>
  <c r="K154" i="7"/>
  <c r="J154" i="7"/>
  <c r="I154" i="7"/>
  <c r="BA153" i="7"/>
  <c r="AJ153" i="7"/>
  <c r="AH153" i="7"/>
  <c r="AG153" i="7"/>
  <c r="AF153" i="7"/>
  <c r="AE153" i="7"/>
  <c r="N153" i="7"/>
  <c r="L153" i="7"/>
  <c r="K153" i="7"/>
  <c r="J153" i="7"/>
  <c r="I153" i="7"/>
  <c r="BA152" i="7"/>
  <c r="AJ152" i="7"/>
  <c r="AH152" i="7"/>
  <c r="AG152" i="7"/>
  <c r="AF152" i="7"/>
  <c r="AE152" i="7"/>
  <c r="N152" i="7"/>
  <c r="L152" i="7"/>
  <c r="K152" i="7"/>
  <c r="J152" i="7"/>
  <c r="I152" i="7"/>
  <c r="BA151" i="7"/>
  <c r="AJ151" i="7"/>
  <c r="AH151" i="7"/>
  <c r="AG151" i="7"/>
  <c r="AF151" i="7"/>
  <c r="AE151" i="7"/>
  <c r="N151" i="7"/>
  <c r="L151" i="7"/>
  <c r="K151" i="7"/>
  <c r="J151" i="7"/>
  <c r="I151" i="7"/>
  <c r="BB150" i="7" a="1"/>
  <c r="BB150" i="7" s="1"/>
  <c r="BA150" i="7"/>
  <c r="AJ150" i="7"/>
  <c r="AH150" i="7"/>
  <c r="AG150" i="7"/>
  <c r="AF150" i="7"/>
  <c r="AE150" i="7"/>
  <c r="N150" i="7"/>
  <c r="L150" i="7"/>
  <c r="K150" i="7"/>
  <c r="J150" i="7"/>
  <c r="I150" i="7"/>
  <c r="BA149" i="7"/>
  <c r="AJ149" i="7"/>
  <c r="AH149" i="7"/>
  <c r="AG149" i="7"/>
  <c r="AF149" i="7"/>
  <c r="AE149" i="7"/>
  <c r="N149" i="7"/>
  <c r="L149" i="7"/>
  <c r="K149" i="7"/>
  <c r="J149" i="7"/>
  <c r="I149" i="7"/>
  <c r="BA148" i="7"/>
  <c r="AJ148" i="7"/>
  <c r="AH148" i="7"/>
  <c r="AG148" i="7"/>
  <c r="AF148" i="7"/>
  <c r="AE148" i="7"/>
  <c r="N148" i="7"/>
  <c r="L148" i="7"/>
  <c r="K148" i="7"/>
  <c r="J148" i="7"/>
  <c r="I148" i="7"/>
  <c r="BA147" i="7"/>
  <c r="AJ147" i="7"/>
  <c r="AH147" i="7"/>
  <c r="AG147" i="7"/>
  <c r="AF147" i="7"/>
  <c r="AE147" i="7"/>
  <c r="N147" i="7"/>
  <c r="L147" i="7"/>
  <c r="K147" i="7"/>
  <c r="J147" i="7"/>
  <c r="I147" i="7"/>
  <c r="BA146" i="7"/>
  <c r="AJ146" i="7"/>
  <c r="AH146" i="7"/>
  <c r="AG146" i="7"/>
  <c r="AF146" i="7"/>
  <c r="AE146" i="7"/>
  <c r="N146" i="7"/>
  <c r="L146" i="7"/>
  <c r="K146" i="7"/>
  <c r="J146" i="7"/>
  <c r="I146" i="7"/>
  <c r="BB145" i="7" a="1"/>
  <c r="BB145" i="7" s="1"/>
  <c r="BA145" i="7"/>
  <c r="AJ145" i="7"/>
  <c r="AH145" i="7"/>
  <c r="AG145" i="7"/>
  <c r="AF145" i="7"/>
  <c r="AE145" i="7"/>
  <c r="N145" i="7"/>
  <c r="L145" i="7"/>
  <c r="K145" i="7"/>
  <c r="J145" i="7"/>
  <c r="I145" i="7"/>
  <c r="BA144" i="7"/>
  <c r="AJ144" i="7"/>
  <c r="AH144" i="7"/>
  <c r="AG144" i="7"/>
  <c r="AF144" i="7"/>
  <c r="AE144" i="7"/>
  <c r="N144" i="7"/>
  <c r="L144" i="7"/>
  <c r="K144" i="7"/>
  <c r="J144" i="7"/>
  <c r="I144" i="7"/>
  <c r="BA143" i="7"/>
  <c r="AJ143" i="7"/>
  <c r="AH143" i="7"/>
  <c r="AG143" i="7"/>
  <c r="AF143" i="7"/>
  <c r="AE143" i="7"/>
  <c r="N143" i="7"/>
  <c r="L143" i="7"/>
  <c r="K143" i="7"/>
  <c r="J143" i="7"/>
  <c r="I143" i="7"/>
  <c r="BA142" i="7"/>
  <c r="AJ142" i="7"/>
  <c r="AH142" i="7"/>
  <c r="AG142" i="7"/>
  <c r="AF142" i="7"/>
  <c r="AE142" i="7"/>
  <c r="N142" i="7"/>
  <c r="L142" i="7"/>
  <c r="K142" i="7"/>
  <c r="J142" i="7"/>
  <c r="I142" i="7"/>
  <c r="BA141" i="7"/>
  <c r="AJ141" i="7"/>
  <c r="AH141" i="7"/>
  <c r="AG141" i="7"/>
  <c r="AF141" i="7"/>
  <c r="AE141" i="7"/>
  <c r="N141" i="7"/>
  <c r="L141" i="7"/>
  <c r="K141" i="7"/>
  <c r="J141" i="7"/>
  <c r="I141" i="7"/>
  <c r="BB140" i="7" a="1"/>
  <c r="BB140" i="7" s="1"/>
  <c r="BA140" i="7"/>
  <c r="AJ140" i="7"/>
  <c r="AH140" i="7"/>
  <c r="AG140" i="7"/>
  <c r="AF140" i="7"/>
  <c r="AE140" i="7"/>
  <c r="N140" i="7"/>
  <c r="L140" i="7"/>
  <c r="K140" i="7"/>
  <c r="J140" i="7"/>
  <c r="I140" i="7"/>
  <c r="BA139" i="7"/>
  <c r="AJ139" i="7"/>
  <c r="AH139" i="7"/>
  <c r="AG139" i="7"/>
  <c r="AF139" i="7"/>
  <c r="AE139" i="7"/>
  <c r="N139" i="7"/>
  <c r="L139" i="7"/>
  <c r="K139" i="7"/>
  <c r="J139" i="7"/>
  <c r="I139" i="7"/>
  <c r="BA138" i="7"/>
  <c r="AJ138" i="7"/>
  <c r="AH138" i="7"/>
  <c r="AG138" i="7"/>
  <c r="AF138" i="7"/>
  <c r="AE138" i="7"/>
  <c r="N138" i="7"/>
  <c r="L138" i="7"/>
  <c r="K138" i="7"/>
  <c r="J138" i="7"/>
  <c r="I138" i="7"/>
  <c r="BA137" i="7"/>
  <c r="AJ137" i="7"/>
  <c r="AH137" i="7"/>
  <c r="AG137" i="7"/>
  <c r="AF137" i="7"/>
  <c r="AE137" i="7"/>
  <c r="N137" i="7"/>
  <c r="L137" i="7"/>
  <c r="K137" i="7"/>
  <c r="J137" i="7"/>
  <c r="I137" i="7"/>
  <c r="BA136" i="7"/>
  <c r="AJ136" i="7"/>
  <c r="AH136" i="7"/>
  <c r="AG136" i="7"/>
  <c r="AF136" i="7"/>
  <c r="AE136" i="7"/>
  <c r="N136" i="7"/>
  <c r="L136" i="7"/>
  <c r="K136" i="7"/>
  <c r="J136" i="7"/>
  <c r="I136" i="7"/>
  <c r="BB135" i="7" a="1"/>
  <c r="BB135" i="7" s="1"/>
  <c r="BA135" i="7"/>
  <c r="AJ135" i="7"/>
  <c r="AH135" i="7"/>
  <c r="AG135" i="7"/>
  <c r="AF135" i="7"/>
  <c r="AE135" i="7"/>
  <c r="N135" i="7"/>
  <c r="L135" i="7"/>
  <c r="K135" i="7"/>
  <c r="J135" i="7"/>
  <c r="I135" i="7"/>
  <c r="BA134" i="7"/>
  <c r="AJ134" i="7"/>
  <c r="AH134" i="7"/>
  <c r="AG134" i="7"/>
  <c r="AF134" i="7"/>
  <c r="AE134" i="7"/>
  <c r="N134" i="7"/>
  <c r="L134" i="7"/>
  <c r="K134" i="7"/>
  <c r="J134" i="7"/>
  <c r="I134" i="7"/>
  <c r="BA133" i="7"/>
  <c r="AJ133" i="7"/>
  <c r="AH133" i="7"/>
  <c r="AG133" i="7"/>
  <c r="AF133" i="7"/>
  <c r="AE133" i="7"/>
  <c r="N133" i="7"/>
  <c r="L133" i="7"/>
  <c r="K133" i="7"/>
  <c r="J133" i="7"/>
  <c r="I133" i="7"/>
  <c r="BA132" i="7"/>
  <c r="AJ132" i="7"/>
  <c r="AH132" i="7"/>
  <c r="AG132" i="7"/>
  <c r="AF132" i="7"/>
  <c r="AE132" i="7"/>
  <c r="N132" i="7"/>
  <c r="L132" i="7"/>
  <c r="K132" i="7"/>
  <c r="J132" i="7"/>
  <c r="I132" i="7"/>
  <c r="BA131" i="7"/>
  <c r="AJ131" i="7"/>
  <c r="AH131" i="7"/>
  <c r="AG131" i="7"/>
  <c r="AF131" i="7"/>
  <c r="AE131" i="7"/>
  <c r="N131" i="7"/>
  <c r="L131" i="7"/>
  <c r="K131" i="7"/>
  <c r="J131" i="7"/>
  <c r="I131" i="7"/>
  <c r="BB130" i="7" a="1"/>
  <c r="BB130" i="7" s="1"/>
  <c r="BA130" i="7"/>
  <c r="AJ130" i="7"/>
  <c r="AH130" i="7"/>
  <c r="AG130" i="7"/>
  <c r="AF130" i="7"/>
  <c r="AE130" i="7"/>
  <c r="N130" i="7"/>
  <c r="L130" i="7"/>
  <c r="K130" i="7"/>
  <c r="J130" i="7"/>
  <c r="I130" i="7"/>
  <c r="BA129" i="7"/>
  <c r="AJ129" i="7"/>
  <c r="AH129" i="7"/>
  <c r="AG129" i="7"/>
  <c r="AF129" i="7"/>
  <c r="AE129" i="7"/>
  <c r="N129" i="7"/>
  <c r="L129" i="7"/>
  <c r="K129" i="7"/>
  <c r="J129" i="7"/>
  <c r="I129" i="7"/>
  <c r="BA128" i="7"/>
  <c r="AJ128" i="7"/>
  <c r="AH128" i="7"/>
  <c r="AG128" i="7"/>
  <c r="AF128" i="7"/>
  <c r="AE128" i="7"/>
  <c r="N128" i="7"/>
  <c r="L128" i="7"/>
  <c r="K128" i="7"/>
  <c r="J128" i="7"/>
  <c r="I128" i="7"/>
  <c r="BA127" i="7"/>
  <c r="AJ127" i="7"/>
  <c r="AH127" i="7"/>
  <c r="AG127" i="7"/>
  <c r="AF127" i="7"/>
  <c r="AE127" i="7"/>
  <c r="N127" i="7"/>
  <c r="L127" i="7"/>
  <c r="K127" i="7"/>
  <c r="J127" i="7"/>
  <c r="I127" i="7"/>
  <c r="BA126" i="7"/>
  <c r="AJ126" i="7"/>
  <c r="AH126" i="7"/>
  <c r="AG126" i="7"/>
  <c r="AF126" i="7"/>
  <c r="AE126" i="7"/>
  <c r="N126" i="7"/>
  <c r="L126" i="7"/>
  <c r="K126" i="7"/>
  <c r="J126" i="7"/>
  <c r="I126" i="7"/>
  <c r="BB125" i="7" a="1"/>
  <c r="BB125" i="7" s="1"/>
  <c r="BA125" i="7"/>
  <c r="AJ125" i="7"/>
  <c r="AH125" i="7"/>
  <c r="AG125" i="7"/>
  <c r="AF125" i="7"/>
  <c r="AE125" i="7"/>
  <c r="N125" i="7"/>
  <c r="L125" i="7"/>
  <c r="K125" i="7"/>
  <c r="J125" i="7"/>
  <c r="I125" i="7"/>
  <c r="BA124" i="7"/>
  <c r="AJ124" i="7"/>
  <c r="AH124" i="7"/>
  <c r="AG124" i="7"/>
  <c r="AF124" i="7"/>
  <c r="AE124" i="7"/>
  <c r="N124" i="7"/>
  <c r="L124" i="7"/>
  <c r="K124" i="7"/>
  <c r="J124" i="7"/>
  <c r="I124" i="7"/>
  <c r="BA123" i="7"/>
  <c r="AJ123" i="7"/>
  <c r="AH123" i="7"/>
  <c r="AG123" i="7"/>
  <c r="AF123" i="7"/>
  <c r="AE123" i="7"/>
  <c r="N123" i="7"/>
  <c r="L123" i="7"/>
  <c r="K123" i="7"/>
  <c r="J123" i="7"/>
  <c r="I123" i="7"/>
  <c r="BA122" i="7"/>
  <c r="AJ122" i="7"/>
  <c r="AH122" i="7"/>
  <c r="AG122" i="7"/>
  <c r="AF122" i="7"/>
  <c r="AE122" i="7"/>
  <c r="N122" i="7"/>
  <c r="L122" i="7"/>
  <c r="K122" i="7"/>
  <c r="J122" i="7"/>
  <c r="I122" i="7"/>
  <c r="BA121" i="7"/>
  <c r="AJ121" i="7"/>
  <c r="AH121" i="7"/>
  <c r="AG121" i="7"/>
  <c r="AF121" i="7"/>
  <c r="AE121" i="7"/>
  <c r="N121" i="7"/>
  <c r="L121" i="7"/>
  <c r="K121" i="7"/>
  <c r="J121" i="7"/>
  <c r="I121" i="7"/>
  <c r="BB120" i="7" a="1"/>
  <c r="BB120" i="7" s="1"/>
  <c r="BA120" i="7"/>
  <c r="AJ120" i="7"/>
  <c r="AH120" i="7"/>
  <c r="AG120" i="7"/>
  <c r="AF120" i="7"/>
  <c r="AE120" i="7"/>
  <c r="N120" i="7"/>
  <c r="L120" i="7"/>
  <c r="K120" i="7"/>
  <c r="J120" i="7"/>
  <c r="I120" i="7"/>
  <c r="BA119" i="7"/>
  <c r="AJ119" i="7"/>
  <c r="AH119" i="7"/>
  <c r="AG119" i="7"/>
  <c r="AF119" i="7"/>
  <c r="AE119" i="7"/>
  <c r="N119" i="7"/>
  <c r="L119" i="7"/>
  <c r="K119" i="7"/>
  <c r="J119" i="7"/>
  <c r="I119" i="7"/>
  <c r="BA118" i="7"/>
  <c r="AJ118" i="7"/>
  <c r="AH118" i="7"/>
  <c r="AG118" i="7"/>
  <c r="AF118" i="7"/>
  <c r="AE118" i="7"/>
  <c r="N118" i="7"/>
  <c r="L118" i="7"/>
  <c r="K118" i="7"/>
  <c r="J118" i="7"/>
  <c r="I118" i="7"/>
  <c r="BA117" i="7"/>
  <c r="AJ117" i="7"/>
  <c r="AH117" i="7"/>
  <c r="AG117" i="7"/>
  <c r="AF117" i="7"/>
  <c r="AE117" i="7"/>
  <c r="N117" i="7"/>
  <c r="L117" i="7"/>
  <c r="K117" i="7"/>
  <c r="J117" i="7"/>
  <c r="I117" i="7"/>
  <c r="BA116" i="7"/>
  <c r="AJ116" i="7"/>
  <c r="AH116" i="7"/>
  <c r="AG116" i="7"/>
  <c r="AF116" i="7"/>
  <c r="AE116" i="7"/>
  <c r="N116" i="7"/>
  <c r="L116" i="7"/>
  <c r="K116" i="7"/>
  <c r="J116" i="7"/>
  <c r="I116" i="7"/>
  <c r="BB115" i="7" a="1"/>
  <c r="BB115" i="7" s="1"/>
  <c r="BA115" i="7"/>
  <c r="AJ115" i="7"/>
  <c r="AH115" i="7"/>
  <c r="AG115" i="7"/>
  <c r="AF115" i="7"/>
  <c r="AE115" i="7"/>
  <c r="N115" i="7"/>
  <c r="L115" i="7"/>
  <c r="K115" i="7"/>
  <c r="J115" i="7"/>
  <c r="I115" i="7"/>
  <c r="BA114" i="7"/>
  <c r="AJ114" i="7"/>
  <c r="AH114" i="7"/>
  <c r="AG114" i="7"/>
  <c r="AF114" i="7"/>
  <c r="AE114" i="7"/>
  <c r="N114" i="7"/>
  <c r="L114" i="7"/>
  <c r="K114" i="7"/>
  <c r="J114" i="7"/>
  <c r="I114" i="7"/>
  <c r="BA113" i="7"/>
  <c r="AJ113" i="7"/>
  <c r="AH113" i="7"/>
  <c r="AG113" i="7"/>
  <c r="AF113" i="7"/>
  <c r="AE113" i="7"/>
  <c r="N113" i="7"/>
  <c r="L113" i="7"/>
  <c r="K113" i="7"/>
  <c r="J113" i="7"/>
  <c r="I113" i="7"/>
  <c r="BA112" i="7"/>
  <c r="AJ112" i="7"/>
  <c r="AH112" i="7"/>
  <c r="AG112" i="7"/>
  <c r="AF112" i="7"/>
  <c r="AE112" i="7"/>
  <c r="N112" i="7"/>
  <c r="L112" i="7"/>
  <c r="K112" i="7"/>
  <c r="J112" i="7"/>
  <c r="I112" i="7"/>
  <c r="BA111" i="7"/>
  <c r="AJ111" i="7"/>
  <c r="AH111" i="7"/>
  <c r="AG111" i="7"/>
  <c r="AF111" i="7"/>
  <c r="AE111" i="7"/>
  <c r="N111" i="7"/>
  <c r="L111" i="7"/>
  <c r="K111" i="7"/>
  <c r="J111" i="7"/>
  <c r="I111" i="7"/>
  <c r="BB110" i="7" a="1"/>
  <c r="BB110" i="7" s="1"/>
  <c r="BA110" i="7"/>
  <c r="AJ110" i="7"/>
  <c r="AH110" i="7"/>
  <c r="AG110" i="7"/>
  <c r="AF110" i="7"/>
  <c r="AE110" i="7"/>
  <c r="N110" i="7"/>
  <c r="L110" i="7"/>
  <c r="K110" i="7"/>
  <c r="J110" i="7"/>
  <c r="I110" i="7"/>
  <c r="BA109" i="7"/>
  <c r="AJ109" i="7"/>
  <c r="AH109" i="7"/>
  <c r="AG109" i="7"/>
  <c r="AF109" i="7"/>
  <c r="AE109" i="7"/>
  <c r="N109" i="7"/>
  <c r="L109" i="7"/>
  <c r="K109" i="7"/>
  <c r="J109" i="7"/>
  <c r="I109" i="7"/>
  <c r="BA108" i="7"/>
  <c r="AJ108" i="7"/>
  <c r="AH108" i="7"/>
  <c r="AG108" i="7"/>
  <c r="AF108" i="7"/>
  <c r="AE108" i="7"/>
  <c r="N108" i="7"/>
  <c r="L108" i="7"/>
  <c r="K108" i="7"/>
  <c r="J108" i="7"/>
  <c r="I108" i="7"/>
  <c r="BA107" i="7"/>
  <c r="AJ107" i="7"/>
  <c r="AH107" i="7"/>
  <c r="AG107" i="7"/>
  <c r="AF107" i="7"/>
  <c r="AE107" i="7"/>
  <c r="N107" i="7"/>
  <c r="L107" i="7"/>
  <c r="K107" i="7"/>
  <c r="J107" i="7"/>
  <c r="I107" i="7"/>
  <c r="BA106" i="7"/>
  <c r="AJ106" i="7"/>
  <c r="AH106" i="7"/>
  <c r="AG106" i="7"/>
  <c r="AF106" i="7"/>
  <c r="AE106" i="7"/>
  <c r="N106" i="7"/>
  <c r="L106" i="7"/>
  <c r="K106" i="7"/>
  <c r="J106" i="7"/>
  <c r="I106" i="7"/>
  <c r="BB105" i="7" a="1"/>
  <c r="BB105" i="7" s="1"/>
  <c r="BA105" i="7"/>
  <c r="AJ105" i="7"/>
  <c r="AH105" i="7"/>
  <c r="AG105" i="7"/>
  <c r="AF105" i="7"/>
  <c r="AE105" i="7"/>
  <c r="N105" i="7"/>
  <c r="L105" i="7"/>
  <c r="K105" i="7"/>
  <c r="J105" i="7"/>
  <c r="I105" i="7"/>
  <c r="BA104" i="7"/>
  <c r="AJ104" i="7"/>
  <c r="AH104" i="7"/>
  <c r="AG104" i="7"/>
  <c r="AF104" i="7"/>
  <c r="AE104" i="7"/>
  <c r="N104" i="7"/>
  <c r="L104" i="7"/>
  <c r="K104" i="7"/>
  <c r="J104" i="7"/>
  <c r="I104" i="7"/>
  <c r="BA103" i="7"/>
  <c r="AJ103" i="7"/>
  <c r="AH103" i="7"/>
  <c r="AG103" i="7"/>
  <c r="AF103" i="7"/>
  <c r="AE103" i="7"/>
  <c r="N103" i="7"/>
  <c r="L103" i="7"/>
  <c r="K103" i="7"/>
  <c r="J103" i="7"/>
  <c r="I103" i="7"/>
  <c r="BA102" i="7"/>
  <c r="AJ102" i="7"/>
  <c r="AH102" i="7"/>
  <c r="AG102" i="7"/>
  <c r="AF102" i="7"/>
  <c r="AE102" i="7"/>
  <c r="N102" i="7"/>
  <c r="L102" i="7"/>
  <c r="K102" i="7"/>
  <c r="J102" i="7"/>
  <c r="I102" i="7"/>
  <c r="BA101" i="7"/>
  <c r="AJ101" i="7"/>
  <c r="AH101" i="7"/>
  <c r="AG101" i="7"/>
  <c r="AF101" i="7"/>
  <c r="AE101" i="7"/>
  <c r="N101" i="7"/>
  <c r="L101" i="7"/>
  <c r="K101" i="7"/>
  <c r="J101" i="7"/>
  <c r="I101" i="7"/>
  <c r="BB100" i="7" a="1"/>
  <c r="BB100" i="7" s="1"/>
  <c r="BA100" i="7"/>
  <c r="AJ100" i="7"/>
  <c r="AH100" i="7"/>
  <c r="AG100" i="7"/>
  <c r="AF100" i="7"/>
  <c r="AE100" i="7"/>
  <c r="N100" i="7"/>
  <c r="L100" i="7"/>
  <c r="K100" i="7"/>
  <c r="J100" i="7"/>
  <c r="I100" i="7"/>
  <c r="BA99" i="7"/>
  <c r="AJ99" i="7"/>
  <c r="AH99" i="7"/>
  <c r="AG99" i="7"/>
  <c r="AF99" i="7"/>
  <c r="AE99" i="7"/>
  <c r="N99" i="7"/>
  <c r="L99" i="7"/>
  <c r="K99" i="7"/>
  <c r="J99" i="7"/>
  <c r="I99" i="7"/>
  <c r="BA98" i="7"/>
  <c r="AJ98" i="7"/>
  <c r="AH98" i="7"/>
  <c r="AG98" i="7"/>
  <c r="AF98" i="7"/>
  <c r="AE98" i="7"/>
  <c r="N98" i="7"/>
  <c r="L98" i="7"/>
  <c r="K98" i="7"/>
  <c r="J98" i="7"/>
  <c r="I98" i="7"/>
  <c r="BA97" i="7"/>
  <c r="AJ97" i="7"/>
  <c r="AH97" i="7"/>
  <c r="AG97" i="7"/>
  <c r="AF97" i="7"/>
  <c r="AE97" i="7"/>
  <c r="N97" i="7"/>
  <c r="L97" i="7"/>
  <c r="K97" i="7"/>
  <c r="J97" i="7"/>
  <c r="I97" i="7"/>
  <c r="BA96" i="7"/>
  <c r="AJ96" i="7"/>
  <c r="AH96" i="7"/>
  <c r="AG96" i="7"/>
  <c r="AF96" i="7"/>
  <c r="AE96" i="7"/>
  <c r="N96" i="7"/>
  <c r="L96" i="7"/>
  <c r="K96" i="7"/>
  <c r="J96" i="7"/>
  <c r="I96" i="7"/>
  <c r="BB95" i="7" a="1"/>
  <c r="BB95" i="7" s="1"/>
  <c r="BA95" i="7"/>
  <c r="AJ95" i="7"/>
  <c r="AH95" i="7"/>
  <c r="AG95" i="7"/>
  <c r="AF95" i="7"/>
  <c r="AE95" i="7"/>
  <c r="N95" i="7"/>
  <c r="L95" i="7"/>
  <c r="K95" i="7"/>
  <c r="J95" i="7"/>
  <c r="I95" i="7"/>
  <c r="BA94" i="7"/>
  <c r="AJ94" i="7"/>
  <c r="AH94" i="7"/>
  <c r="AG94" i="7"/>
  <c r="AF94" i="7"/>
  <c r="AE94" i="7"/>
  <c r="N94" i="7"/>
  <c r="L94" i="7"/>
  <c r="K94" i="7"/>
  <c r="J94" i="7"/>
  <c r="I94" i="7"/>
  <c r="BA93" i="7"/>
  <c r="AJ93" i="7"/>
  <c r="AH93" i="7"/>
  <c r="AG93" i="7"/>
  <c r="AF93" i="7"/>
  <c r="AE93" i="7"/>
  <c r="N93" i="7"/>
  <c r="L93" i="7"/>
  <c r="K93" i="7"/>
  <c r="J93" i="7"/>
  <c r="I93" i="7"/>
  <c r="BA92" i="7"/>
  <c r="AJ92" i="7"/>
  <c r="AH92" i="7"/>
  <c r="AG92" i="7"/>
  <c r="AF92" i="7"/>
  <c r="AE92" i="7"/>
  <c r="N92" i="7"/>
  <c r="L92" i="7"/>
  <c r="K92" i="7"/>
  <c r="J92" i="7"/>
  <c r="I92" i="7"/>
  <c r="BA91" i="7"/>
  <c r="AJ91" i="7"/>
  <c r="AH91" i="7"/>
  <c r="AG91" i="7"/>
  <c r="AF91" i="7"/>
  <c r="AE91" i="7"/>
  <c r="N91" i="7"/>
  <c r="L91" i="7"/>
  <c r="K91" i="7"/>
  <c r="J91" i="7"/>
  <c r="I91" i="7"/>
  <c r="BB90" i="7" a="1"/>
  <c r="BB90" i="7" s="1"/>
  <c r="BA90" i="7"/>
  <c r="AJ90" i="7"/>
  <c r="AH90" i="7"/>
  <c r="AG90" i="7"/>
  <c r="AF90" i="7"/>
  <c r="AE90" i="7"/>
  <c r="N90" i="7"/>
  <c r="L90" i="7"/>
  <c r="K90" i="7"/>
  <c r="J90" i="7"/>
  <c r="I90" i="7"/>
  <c r="BA89" i="7"/>
  <c r="AJ89" i="7"/>
  <c r="AH89" i="7"/>
  <c r="AG89" i="7"/>
  <c r="AF89" i="7"/>
  <c r="AE89" i="7"/>
  <c r="N89" i="7"/>
  <c r="L89" i="7"/>
  <c r="K89" i="7"/>
  <c r="J89" i="7"/>
  <c r="I89" i="7"/>
  <c r="BA88" i="7"/>
  <c r="AJ88" i="7"/>
  <c r="AH88" i="7"/>
  <c r="AG88" i="7"/>
  <c r="AF88" i="7"/>
  <c r="AE88" i="7"/>
  <c r="N88" i="7"/>
  <c r="L88" i="7"/>
  <c r="K88" i="7"/>
  <c r="J88" i="7"/>
  <c r="I88" i="7"/>
  <c r="BA87" i="7"/>
  <c r="AJ87" i="7"/>
  <c r="AH87" i="7"/>
  <c r="AG87" i="7"/>
  <c r="AF87" i="7"/>
  <c r="AE87" i="7"/>
  <c r="N87" i="7"/>
  <c r="L87" i="7"/>
  <c r="K87" i="7"/>
  <c r="J87" i="7"/>
  <c r="I87" i="7"/>
  <c r="BA86" i="7"/>
  <c r="AJ86" i="7"/>
  <c r="AH86" i="7"/>
  <c r="AG86" i="7"/>
  <c r="AF86" i="7"/>
  <c r="AE86" i="7"/>
  <c r="N86" i="7"/>
  <c r="L86" i="7"/>
  <c r="K86" i="7"/>
  <c r="J86" i="7"/>
  <c r="I86" i="7"/>
  <c r="BB85" i="7" a="1"/>
  <c r="BB85" i="7" s="1"/>
  <c r="BA85" i="7"/>
  <c r="AJ85" i="7"/>
  <c r="AH85" i="7"/>
  <c r="AG85" i="7"/>
  <c r="AF85" i="7"/>
  <c r="AE85" i="7"/>
  <c r="N85" i="7"/>
  <c r="L85" i="7"/>
  <c r="K85" i="7"/>
  <c r="J85" i="7"/>
  <c r="I85" i="7"/>
  <c r="BA84" i="7"/>
  <c r="AJ84" i="7"/>
  <c r="AH84" i="7"/>
  <c r="AG84" i="7"/>
  <c r="AF84" i="7"/>
  <c r="AE84" i="7"/>
  <c r="N84" i="7"/>
  <c r="L84" i="7"/>
  <c r="K84" i="7"/>
  <c r="J84" i="7"/>
  <c r="I84" i="7"/>
  <c r="BA83" i="7"/>
  <c r="AJ83" i="7"/>
  <c r="AH83" i="7"/>
  <c r="AG83" i="7"/>
  <c r="AF83" i="7"/>
  <c r="AE83" i="7"/>
  <c r="N83" i="7"/>
  <c r="L83" i="7"/>
  <c r="K83" i="7"/>
  <c r="J83" i="7"/>
  <c r="I83" i="7"/>
  <c r="BA82" i="7"/>
  <c r="AJ82" i="7"/>
  <c r="AH82" i="7"/>
  <c r="AG82" i="7"/>
  <c r="AF82" i="7"/>
  <c r="AE82" i="7"/>
  <c r="N82" i="7"/>
  <c r="L82" i="7"/>
  <c r="K82" i="7"/>
  <c r="J82" i="7"/>
  <c r="I82" i="7"/>
  <c r="BA81" i="7"/>
  <c r="AJ81" i="7"/>
  <c r="AH81" i="7"/>
  <c r="AG81" i="7"/>
  <c r="AF81" i="7"/>
  <c r="AE81" i="7"/>
  <c r="N81" i="7"/>
  <c r="L81" i="7"/>
  <c r="K81" i="7"/>
  <c r="J81" i="7"/>
  <c r="I81" i="7"/>
  <c r="BB80" i="7" a="1"/>
  <c r="BB80" i="7" s="1"/>
  <c r="BA80" i="7"/>
  <c r="AJ80" i="7"/>
  <c r="AH80" i="7"/>
  <c r="AG80" i="7"/>
  <c r="AF80" i="7"/>
  <c r="AE80" i="7"/>
  <c r="N80" i="7"/>
  <c r="L80" i="7"/>
  <c r="K80" i="7"/>
  <c r="J80" i="7"/>
  <c r="I80" i="7"/>
  <c r="BA79" i="7"/>
  <c r="AJ79" i="7"/>
  <c r="AH79" i="7"/>
  <c r="AG79" i="7"/>
  <c r="AF79" i="7"/>
  <c r="AE79" i="7"/>
  <c r="N79" i="7"/>
  <c r="L79" i="7"/>
  <c r="K79" i="7"/>
  <c r="J79" i="7"/>
  <c r="I79" i="7"/>
  <c r="BA78" i="7"/>
  <c r="AJ78" i="7"/>
  <c r="AH78" i="7"/>
  <c r="AG78" i="7"/>
  <c r="AF78" i="7"/>
  <c r="AE78" i="7"/>
  <c r="N78" i="7"/>
  <c r="L78" i="7"/>
  <c r="K78" i="7"/>
  <c r="J78" i="7"/>
  <c r="I78" i="7"/>
  <c r="BA77" i="7"/>
  <c r="AJ77" i="7"/>
  <c r="AH77" i="7"/>
  <c r="AG77" i="7"/>
  <c r="AF77" i="7"/>
  <c r="AE77" i="7"/>
  <c r="N77" i="7"/>
  <c r="L77" i="7"/>
  <c r="K77" i="7"/>
  <c r="J77" i="7"/>
  <c r="I77" i="7"/>
  <c r="BA76" i="7"/>
  <c r="AJ76" i="7"/>
  <c r="AH76" i="7"/>
  <c r="AG76" i="7"/>
  <c r="AF76" i="7"/>
  <c r="AE76" i="7"/>
  <c r="N76" i="7"/>
  <c r="L76" i="7"/>
  <c r="K76" i="7"/>
  <c r="J76" i="7"/>
  <c r="I76" i="7"/>
  <c r="BB75" i="7" a="1"/>
  <c r="BB75" i="7" s="1"/>
  <c r="BA75" i="7"/>
  <c r="AJ75" i="7"/>
  <c r="AH75" i="7"/>
  <c r="AG75" i="7"/>
  <c r="AF75" i="7"/>
  <c r="AE75" i="7"/>
  <c r="N75" i="7"/>
  <c r="L75" i="7"/>
  <c r="K75" i="7"/>
  <c r="J75" i="7"/>
  <c r="I75" i="7"/>
  <c r="BA74" i="7"/>
  <c r="AJ74" i="7"/>
  <c r="AH74" i="7"/>
  <c r="AG74" i="7"/>
  <c r="AF74" i="7"/>
  <c r="AE74" i="7"/>
  <c r="N74" i="7"/>
  <c r="L74" i="7"/>
  <c r="K74" i="7"/>
  <c r="J74" i="7"/>
  <c r="I74" i="7"/>
  <c r="BA73" i="7"/>
  <c r="AJ73" i="7"/>
  <c r="AH73" i="7"/>
  <c r="AG73" i="7"/>
  <c r="AF73" i="7"/>
  <c r="AE73" i="7"/>
  <c r="N73" i="7"/>
  <c r="L73" i="7"/>
  <c r="K73" i="7"/>
  <c r="J73" i="7"/>
  <c r="I73" i="7"/>
  <c r="BA72" i="7"/>
  <c r="AJ72" i="7"/>
  <c r="AH72" i="7"/>
  <c r="AG72" i="7"/>
  <c r="AF72" i="7"/>
  <c r="AE72" i="7"/>
  <c r="N72" i="7"/>
  <c r="L72" i="7"/>
  <c r="K72" i="7"/>
  <c r="J72" i="7"/>
  <c r="I72" i="7"/>
  <c r="BA71" i="7"/>
  <c r="AJ71" i="7"/>
  <c r="AH71" i="7"/>
  <c r="AG71" i="7"/>
  <c r="AF71" i="7"/>
  <c r="AE71" i="7"/>
  <c r="N71" i="7"/>
  <c r="L71" i="7"/>
  <c r="K71" i="7"/>
  <c r="J71" i="7"/>
  <c r="I71" i="7"/>
  <c r="BB70" i="7" a="1"/>
  <c r="BB70" i="7" s="1"/>
  <c r="BA70" i="7"/>
  <c r="AJ70" i="7"/>
  <c r="AH70" i="7"/>
  <c r="AG70" i="7"/>
  <c r="AF70" i="7"/>
  <c r="AE70" i="7"/>
  <c r="N70" i="7"/>
  <c r="L70" i="7"/>
  <c r="K70" i="7"/>
  <c r="J70" i="7"/>
  <c r="I70" i="7"/>
  <c r="BA69" i="7"/>
  <c r="AJ69" i="7"/>
  <c r="AH69" i="7"/>
  <c r="AG69" i="7"/>
  <c r="AF69" i="7"/>
  <c r="AE69" i="7"/>
  <c r="N69" i="7"/>
  <c r="L69" i="7"/>
  <c r="K69" i="7"/>
  <c r="J69" i="7"/>
  <c r="I69" i="7"/>
  <c r="BA68" i="7"/>
  <c r="AJ68" i="7"/>
  <c r="AH68" i="7"/>
  <c r="AG68" i="7"/>
  <c r="AF68" i="7"/>
  <c r="AE68" i="7"/>
  <c r="N68" i="7"/>
  <c r="L68" i="7"/>
  <c r="K68" i="7"/>
  <c r="J68" i="7"/>
  <c r="I68" i="7"/>
  <c r="BA67" i="7"/>
  <c r="AJ67" i="7"/>
  <c r="AH67" i="7"/>
  <c r="AG67" i="7"/>
  <c r="AF67" i="7"/>
  <c r="AE67" i="7"/>
  <c r="N67" i="7"/>
  <c r="L67" i="7"/>
  <c r="K67" i="7"/>
  <c r="J67" i="7"/>
  <c r="I67" i="7"/>
  <c r="BA66" i="7"/>
  <c r="AJ66" i="7"/>
  <c r="AH66" i="7"/>
  <c r="AG66" i="7"/>
  <c r="AF66" i="7"/>
  <c r="AE66" i="7"/>
  <c r="N66" i="7"/>
  <c r="L66" i="7"/>
  <c r="K66" i="7"/>
  <c r="J66" i="7"/>
  <c r="I66" i="7"/>
  <c r="BB65" i="7" a="1"/>
  <c r="BB65" i="7"/>
  <c r="BA65" i="7"/>
  <c r="AJ65" i="7"/>
  <c r="AH65" i="7"/>
  <c r="AG65" i="7"/>
  <c r="AF65" i="7"/>
  <c r="AE65" i="7"/>
  <c r="N65" i="7"/>
  <c r="L65" i="7"/>
  <c r="K65" i="7"/>
  <c r="J65" i="7"/>
  <c r="I65" i="7"/>
  <c r="BA64" i="7"/>
  <c r="AJ64" i="7"/>
  <c r="AH64" i="7"/>
  <c r="AG64" i="7"/>
  <c r="AF64" i="7"/>
  <c r="AE64" i="7"/>
  <c r="N64" i="7"/>
  <c r="L64" i="7"/>
  <c r="K64" i="7"/>
  <c r="J64" i="7"/>
  <c r="I64" i="7"/>
  <c r="BA63" i="7"/>
  <c r="AJ63" i="7"/>
  <c r="AH63" i="7"/>
  <c r="AG63" i="7"/>
  <c r="AF63" i="7"/>
  <c r="AE63" i="7"/>
  <c r="N63" i="7"/>
  <c r="L63" i="7"/>
  <c r="K63" i="7"/>
  <c r="J63" i="7"/>
  <c r="I63" i="7"/>
  <c r="BA62" i="7"/>
  <c r="AJ62" i="7"/>
  <c r="AH62" i="7"/>
  <c r="AG62" i="7"/>
  <c r="AF62" i="7"/>
  <c r="AE62" i="7"/>
  <c r="N62" i="7"/>
  <c r="L62" i="7"/>
  <c r="K62" i="7"/>
  <c r="J62" i="7"/>
  <c r="I62" i="7"/>
  <c r="BA61" i="7"/>
  <c r="AJ61" i="7"/>
  <c r="AH61" i="7"/>
  <c r="AG61" i="7"/>
  <c r="AF61" i="7"/>
  <c r="AE61" i="7"/>
  <c r="N61" i="7"/>
  <c r="L61" i="7"/>
  <c r="K61" i="7"/>
  <c r="J61" i="7"/>
  <c r="I61" i="7"/>
  <c r="BB60" i="7" a="1"/>
  <c r="BB60" i="7" s="1"/>
  <c r="BA60" i="7"/>
  <c r="AJ60" i="7"/>
  <c r="AH60" i="7"/>
  <c r="AG60" i="7"/>
  <c r="AF60" i="7"/>
  <c r="AE60" i="7"/>
  <c r="N60" i="7"/>
  <c r="L60" i="7"/>
  <c r="K60" i="7"/>
  <c r="J60" i="7"/>
  <c r="I60" i="7"/>
  <c r="BA59" i="7"/>
  <c r="AJ59" i="7"/>
  <c r="AH59" i="7"/>
  <c r="AG59" i="7"/>
  <c r="AF59" i="7"/>
  <c r="AE59" i="7"/>
  <c r="N59" i="7"/>
  <c r="L59" i="7"/>
  <c r="K59" i="7"/>
  <c r="J59" i="7"/>
  <c r="I59" i="7"/>
  <c r="BA58" i="7"/>
  <c r="AJ58" i="7"/>
  <c r="AH58" i="7"/>
  <c r="AG58" i="7"/>
  <c r="AF58" i="7"/>
  <c r="AE58" i="7"/>
  <c r="N58" i="7"/>
  <c r="L58" i="7"/>
  <c r="K58" i="7"/>
  <c r="J58" i="7"/>
  <c r="I58" i="7"/>
  <c r="BA57" i="7"/>
  <c r="AJ57" i="7"/>
  <c r="AH57" i="7"/>
  <c r="AG57" i="7"/>
  <c r="AF57" i="7"/>
  <c r="AE57" i="7"/>
  <c r="N57" i="7"/>
  <c r="L57" i="7"/>
  <c r="K57" i="7"/>
  <c r="J57" i="7"/>
  <c r="I57" i="7"/>
  <c r="BA56" i="7"/>
  <c r="AJ56" i="7"/>
  <c r="AH56" i="7"/>
  <c r="AG56" i="7"/>
  <c r="AF56" i="7"/>
  <c r="AE56" i="7"/>
  <c r="N56" i="7"/>
  <c r="L56" i="7"/>
  <c r="K56" i="7"/>
  <c r="J56" i="7"/>
  <c r="I56" i="7"/>
  <c r="BB55" i="7" a="1"/>
  <c r="BB55" i="7" s="1"/>
  <c r="BA55" i="7"/>
  <c r="AJ55" i="7"/>
  <c r="AH55" i="7"/>
  <c r="AG55" i="7"/>
  <c r="AF55" i="7"/>
  <c r="AE55" i="7"/>
  <c r="N55" i="7"/>
  <c r="L55" i="7"/>
  <c r="K55" i="7"/>
  <c r="J55" i="7"/>
  <c r="I55" i="7"/>
  <c r="BA54" i="7"/>
  <c r="AJ54" i="7"/>
  <c r="AH54" i="7"/>
  <c r="AG54" i="7"/>
  <c r="AF54" i="7"/>
  <c r="AE54" i="7"/>
  <c r="N54" i="7"/>
  <c r="L54" i="7"/>
  <c r="K54" i="7"/>
  <c r="J54" i="7"/>
  <c r="I54" i="7"/>
  <c r="BA53" i="7"/>
  <c r="AJ53" i="7"/>
  <c r="AH53" i="7"/>
  <c r="AG53" i="7"/>
  <c r="AF53" i="7"/>
  <c r="AE53" i="7"/>
  <c r="N53" i="7"/>
  <c r="L53" i="7"/>
  <c r="K53" i="7"/>
  <c r="J53" i="7"/>
  <c r="I53" i="7"/>
  <c r="BA52" i="7"/>
  <c r="AJ52" i="7"/>
  <c r="AH52" i="7"/>
  <c r="AG52" i="7"/>
  <c r="AF52" i="7"/>
  <c r="AE52" i="7"/>
  <c r="N52" i="7"/>
  <c r="L52" i="7"/>
  <c r="K52" i="7"/>
  <c r="J52" i="7"/>
  <c r="I52" i="7"/>
  <c r="BA51" i="7"/>
  <c r="AJ51" i="7"/>
  <c r="AH51" i="7"/>
  <c r="AG51" i="7"/>
  <c r="AF51" i="7"/>
  <c r="AE51" i="7"/>
  <c r="N51" i="7"/>
  <c r="L51" i="7"/>
  <c r="K51" i="7"/>
  <c r="J51" i="7"/>
  <c r="I51" i="7"/>
  <c r="BB50" i="7" a="1"/>
  <c r="BB50" i="7" s="1"/>
  <c r="BA50" i="7"/>
  <c r="AJ50" i="7"/>
  <c r="AH50" i="7"/>
  <c r="AG50" i="7"/>
  <c r="AF50" i="7"/>
  <c r="AE50" i="7"/>
  <c r="N50" i="7"/>
  <c r="L50" i="7"/>
  <c r="K50" i="7"/>
  <c r="J50" i="7"/>
  <c r="I50" i="7"/>
  <c r="BA49" i="7"/>
  <c r="AJ49" i="7"/>
  <c r="AH49" i="7"/>
  <c r="AG49" i="7"/>
  <c r="AF49" i="7"/>
  <c r="AE49" i="7"/>
  <c r="N49" i="7"/>
  <c r="L49" i="7"/>
  <c r="K49" i="7"/>
  <c r="J49" i="7"/>
  <c r="I49" i="7"/>
  <c r="BA48" i="7"/>
  <c r="AJ48" i="7"/>
  <c r="AH48" i="7"/>
  <c r="AG48" i="7"/>
  <c r="AF48" i="7"/>
  <c r="AE48" i="7"/>
  <c r="N48" i="7"/>
  <c r="L48" i="7"/>
  <c r="K48" i="7"/>
  <c r="J48" i="7"/>
  <c r="I48" i="7"/>
  <c r="BA47" i="7"/>
  <c r="AJ47" i="7"/>
  <c r="AH47" i="7"/>
  <c r="AG47" i="7"/>
  <c r="AF47" i="7"/>
  <c r="AE47" i="7"/>
  <c r="N47" i="7"/>
  <c r="L47" i="7"/>
  <c r="K47" i="7"/>
  <c r="J47" i="7"/>
  <c r="I47" i="7"/>
  <c r="BA46" i="7"/>
  <c r="AJ46" i="7"/>
  <c r="AH46" i="7"/>
  <c r="AG46" i="7"/>
  <c r="AF46" i="7"/>
  <c r="AE46" i="7"/>
  <c r="N46" i="7"/>
  <c r="L46" i="7"/>
  <c r="K46" i="7"/>
  <c r="J46" i="7"/>
  <c r="I46" i="7"/>
  <c r="BB45" i="7" a="1"/>
  <c r="BB45" i="7" s="1"/>
  <c r="BA45" i="7"/>
  <c r="AJ45" i="7"/>
  <c r="AH45" i="7"/>
  <c r="AG45" i="7"/>
  <c r="AF45" i="7"/>
  <c r="AE45" i="7"/>
  <c r="N45" i="7"/>
  <c r="L45" i="7"/>
  <c r="K45" i="7"/>
  <c r="J45" i="7"/>
  <c r="I45" i="7"/>
  <c r="BA44" i="7"/>
  <c r="AJ44" i="7"/>
  <c r="AH44" i="7"/>
  <c r="AG44" i="7"/>
  <c r="AF44" i="7"/>
  <c r="AE44" i="7"/>
  <c r="N44" i="7"/>
  <c r="L44" i="7"/>
  <c r="K44" i="7"/>
  <c r="J44" i="7"/>
  <c r="I44" i="7"/>
  <c r="BA43" i="7"/>
  <c r="AJ43" i="7"/>
  <c r="AH43" i="7"/>
  <c r="AG43" i="7"/>
  <c r="AF43" i="7"/>
  <c r="AE43" i="7"/>
  <c r="N43" i="7"/>
  <c r="L43" i="7"/>
  <c r="K43" i="7"/>
  <c r="J43" i="7"/>
  <c r="I43" i="7"/>
  <c r="BA42" i="7"/>
  <c r="AJ42" i="7"/>
  <c r="AH42" i="7"/>
  <c r="AG42" i="7"/>
  <c r="AF42" i="7"/>
  <c r="AE42" i="7"/>
  <c r="N42" i="7"/>
  <c r="L42" i="7"/>
  <c r="K42" i="7"/>
  <c r="J42" i="7"/>
  <c r="I42" i="7"/>
  <c r="BA41" i="7"/>
  <c r="AJ41" i="7"/>
  <c r="AH41" i="7"/>
  <c r="AG41" i="7"/>
  <c r="AF41" i="7"/>
  <c r="AE41" i="7"/>
  <c r="N41" i="7"/>
  <c r="L41" i="7"/>
  <c r="K41" i="7"/>
  <c r="J41" i="7"/>
  <c r="I41" i="7"/>
  <c r="BB40" i="7" a="1"/>
  <c r="BB40" i="7" s="1"/>
  <c r="BA40" i="7"/>
  <c r="AJ40" i="7"/>
  <c r="AH40" i="7"/>
  <c r="AG40" i="7"/>
  <c r="AF40" i="7"/>
  <c r="AE40" i="7"/>
  <c r="N40" i="7"/>
  <c r="L40" i="7"/>
  <c r="K40" i="7"/>
  <c r="J40" i="7"/>
  <c r="I40" i="7"/>
  <c r="BA39" i="7"/>
  <c r="AJ39" i="7"/>
  <c r="AH39" i="7"/>
  <c r="AG39" i="7"/>
  <c r="AF39" i="7"/>
  <c r="AE39" i="7"/>
  <c r="N39" i="7"/>
  <c r="L39" i="7"/>
  <c r="K39" i="7"/>
  <c r="J39" i="7"/>
  <c r="I39" i="7"/>
  <c r="BA38" i="7"/>
  <c r="AJ38" i="7"/>
  <c r="AH38" i="7"/>
  <c r="AG38" i="7"/>
  <c r="AF38" i="7"/>
  <c r="AE38" i="7"/>
  <c r="N38" i="7"/>
  <c r="L38" i="7"/>
  <c r="K38" i="7"/>
  <c r="J38" i="7"/>
  <c r="I38" i="7"/>
  <c r="BA37" i="7"/>
  <c r="AJ37" i="7"/>
  <c r="AH37" i="7"/>
  <c r="AG37" i="7"/>
  <c r="AF37" i="7"/>
  <c r="AE37" i="7"/>
  <c r="N37" i="7"/>
  <c r="L37" i="7"/>
  <c r="K37" i="7"/>
  <c r="J37" i="7"/>
  <c r="I37" i="7"/>
  <c r="BA36" i="7"/>
  <c r="AJ36" i="7"/>
  <c r="AH36" i="7"/>
  <c r="AG36" i="7"/>
  <c r="AF36" i="7"/>
  <c r="AE36" i="7"/>
  <c r="N36" i="7"/>
  <c r="L36" i="7"/>
  <c r="K36" i="7"/>
  <c r="J36" i="7"/>
  <c r="I36" i="7"/>
  <c r="BB35" i="7" a="1"/>
  <c r="BB35" i="7"/>
  <c r="BA35" i="7"/>
  <c r="AJ35" i="7"/>
  <c r="AH35" i="7"/>
  <c r="AG35" i="7"/>
  <c r="AF35" i="7"/>
  <c r="AE35" i="7"/>
  <c r="N35" i="7"/>
  <c r="L35" i="7"/>
  <c r="K35" i="7"/>
  <c r="J35" i="7"/>
  <c r="I35" i="7"/>
  <c r="BA34" i="7"/>
  <c r="AJ34" i="7"/>
  <c r="AH34" i="7"/>
  <c r="AG34" i="7"/>
  <c r="AF34" i="7"/>
  <c r="AE34" i="7"/>
  <c r="N34" i="7"/>
  <c r="L34" i="7"/>
  <c r="K34" i="7"/>
  <c r="J34" i="7"/>
  <c r="I34" i="7"/>
  <c r="BA33" i="7"/>
  <c r="AJ33" i="7"/>
  <c r="AH33" i="7"/>
  <c r="AG33" i="7"/>
  <c r="AF33" i="7"/>
  <c r="AE33" i="7"/>
  <c r="N33" i="7"/>
  <c r="L33" i="7"/>
  <c r="K33" i="7"/>
  <c r="J33" i="7"/>
  <c r="I33" i="7"/>
  <c r="BA32" i="7"/>
  <c r="AJ32" i="7"/>
  <c r="AH32" i="7"/>
  <c r="AG32" i="7"/>
  <c r="AF32" i="7"/>
  <c r="AE32" i="7"/>
  <c r="N32" i="7"/>
  <c r="L32" i="7"/>
  <c r="K32" i="7"/>
  <c r="J32" i="7"/>
  <c r="I32" i="7"/>
  <c r="BA31" i="7"/>
  <c r="AJ31" i="7"/>
  <c r="AH31" i="7"/>
  <c r="AG31" i="7"/>
  <c r="AF31" i="7"/>
  <c r="AE31" i="7"/>
  <c r="N31" i="7"/>
  <c r="L31" i="7"/>
  <c r="K31" i="7"/>
  <c r="J31" i="7"/>
  <c r="I31" i="7"/>
  <c r="BB30" i="7" a="1"/>
  <c r="BB30" i="7" s="1"/>
  <c r="BA30" i="7"/>
  <c r="AJ30" i="7"/>
  <c r="AH30" i="7"/>
  <c r="AG30" i="7"/>
  <c r="AF30" i="7"/>
  <c r="AE30" i="7"/>
  <c r="N30" i="7"/>
  <c r="L30" i="7"/>
  <c r="K30" i="7"/>
  <c r="J30" i="7"/>
  <c r="I30" i="7"/>
  <c r="BA29" i="7"/>
  <c r="AJ29" i="7"/>
  <c r="AH29" i="7"/>
  <c r="AG29" i="7"/>
  <c r="AF29" i="7"/>
  <c r="AE29" i="7"/>
  <c r="N29" i="7"/>
  <c r="L29" i="7"/>
  <c r="K29" i="7"/>
  <c r="J29" i="7"/>
  <c r="I29" i="7"/>
  <c r="BA28" i="7"/>
  <c r="AJ28" i="7"/>
  <c r="AH28" i="7"/>
  <c r="AG28" i="7"/>
  <c r="AF28" i="7"/>
  <c r="AE28" i="7"/>
  <c r="N28" i="7"/>
  <c r="L28" i="7"/>
  <c r="K28" i="7"/>
  <c r="J28" i="7"/>
  <c r="I28" i="7"/>
  <c r="BA27" i="7"/>
  <c r="AJ27" i="7"/>
  <c r="AH27" i="7"/>
  <c r="AG27" i="7"/>
  <c r="AF27" i="7"/>
  <c r="AE27" i="7"/>
  <c r="N27" i="7"/>
  <c r="L27" i="7"/>
  <c r="K27" i="7"/>
  <c r="J27" i="7"/>
  <c r="I27" i="7"/>
  <c r="BA26" i="7"/>
  <c r="AJ26" i="7"/>
  <c r="AH26" i="7"/>
  <c r="AG26" i="7"/>
  <c r="AF26" i="7"/>
  <c r="AE26" i="7"/>
  <c r="N26" i="7"/>
  <c r="L26" i="7"/>
  <c r="K26" i="7"/>
  <c r="J26" i="7"/>
  <c r="I26" i="7"/>
  <c r="BB25" i="7" a="1"/>
  <c r="BB25" i="7" s="1"/>
  <c r="BA25" i="7"/>
  <c r="AJ25" i="7"/>
  <c r="AH25" i="7"/>
  <c r="AG25" i="7"/>
  <c r="AF25" i="7"/>
  <c r="AE25" i="7"/>
  <c r="N25" i="7"/>
  <c r="L25" i="7"/>
  <c r="K25" i="7"/>
  <c r="J25" i="7"/>
  <c r="I25" i="7"/>
  <c r="BA24" i="7"/>
  <c r="AJ24" i="7"/>
  <c r="AH24" i="7"/>
  <c r="AG24" i="7"/>
  <c r="AF24" i="7"/>
  <c r="AE24" i="7"/>
  <c r="N24" i="7"/>
  <c r="L24" i="7"/>
  <c r="K24" i="7"/>
  <c r="J24" i="7"/>
  <c r="I24" i="7"/>
  <c r="BA23" i="7"/>
  <c r="AJ23" i="7"/>
  <c r="AH23" i="7"/>
  <c r="AG23" i="7"/>
  <c r="AF23" i="7"/>
  <c r="AE23" i="7"/>
  <c r="N23" i="7"/>
  <c r="L23" i="7"/>
  <c r="K23" i="7"/>
  <c r="J23" i="7"/>
  <c r="I23" i="7"/>
  <c r="BA22" i="7"/>
  <c r="AJ22" i="7"/>
  <c r="AH22" i="7"/>
  <c r="AG22" i="7"/>
  <c r="AF22" i="7"/>
  <c r="AE22" i="7"/>
  <c r="N22" i="7"/>
  <c r="L22" i="7"/>
  <c r="K22" i="7"/>
  <c r="J22" i="7"/>
  <c r="I22" i="7"/>
  <c r="BA21" i="7"/>
  <c r="AJ21" i="7"/>
  <c r="AH21" i="7"/>
  <c r="AG21" i="7"/>
  <c r="AF21" i="7"/>
  <c r="AE21" i="7"/>
  <c r="N21" i="7"/>
  <c r="L21" i="7"/>
  <c r="K21" i="7"/>
  <c r="J21" i="7"/>
  <c r="I21" i="7"/>
  <c r="BB20" i="7" a="1"/>
  <c r="BB20" i="7" s="1"/>
  <c r="BA20" i="7"/>
  <c r="AJ20" i="7"/>
  <c r="AH20" i="7"/>
  <c r="AG20" i="7"/>
  <c r="AF20" i="7"/>
  <c r="AE20" i="7"/>
  <c r="N20" i="7"/>
  <c r="L20" i="7"/>
  <c r="K20" i="7"/>
  <c r="J20" i="7"/>
  <c r="I20" i="7"/>
  <c r="BA19" i="7"/>
  <c r="AJ19" i="7"/>
  <c r="AH19" i="7"/>
  <c r="AG19" i="7"/>
  <c r="AF19" i="7"/>
  <c r="AE19" i="7"/>
  <c r="N19" i="7"/>
  <c r="L19" i="7"/>
  <c r="K19" i="7"/>
  <c r="J19" i="7"/>
  <c r="I19" i="7"/>
  <c r="BA18" i="7"/>
  <c r="AJ18" i="7"/>
  <c r="AH18" i="7"/>
  <c r="AG18" i="7"/>
  <c r="AF18" i="7"/>
  <c r="AE18" i="7"/>
  <c r="N18" i="7"/>
  <c r="L18" i="7"/>
  <c r="K18" i="7"/>
  <c r="J18" i="7"/>
  <c r="I18" i="7"/>
  <c r="BA17" i="7"/>
  <c r="AJ17" i="7"/>
  <c r="AH17" i="7"/>
  <c r="AG17" i="7"/>
  <c r="AF17" i="7"/>
  <c r="AE17" i="7"/>
  <c r="N17" i="7"/>
  <c r="L17" i="7"/>
  <c r="K17" i="7"/>
  <c r="J17" i="7"/>
  <c r="I17" i="7"/>
  <c r="BA16" i="7"/>
  <c r="AJ16" i="7"/>
  <c r="AH16" i="7"/>
  <c r="AG16" i="7"/>
  <c r="AF16" i="7"/>
  <c r="AE16" i="7"/>
  <c r="N16" i="7"/>
  <c r="L16" i="7"/>
  <c r="K16" i="7"/>
  <c r="J16" i="7"/>
  <c r="I16" i="7"/>
  <c r="BB15" i="7" a="1"/>
  <c r="BB15" i="7" s="1"/>
  <c r="BA15" i="7"/>
  <c r="AJ15" i="7"/>
  <c r="AH15" i="7"/>
  <c r="AG15" i="7"/>
  <c r="AF15" i="7"/>
  <c r="AE15" i="7"/>
  <c r="N15" i="7"/>
  <c r="L15" i="7"/>
  <c r="K15" i="7"/>
  <c r="J15" i="7"/>
  <c r="I15" i="7"/>
  <c r="BA14" i="7"/>
  <c r="AJ14" i="7"/>
  <c r="AH14" i="7"/>
  <c r="AG14" i="7"/>
  <c r="AF14" i="7"/>
  <c r="AE14" i="7"/>
  <c r="N14" i="7"/>
  <c r="L14" i="7"/>
  <c r="K14" i="7"/>
  <c r="J14" i="7"/>
  <c r="I14" i="7"/>
  <c r="BA13" i="7"/>
  <c r="AJ13" i="7"/>
  <c r="AH13" i="7"/>
  <c r="AG13" i="7"/>
  <c r="AF13" i="7"/>
  <c r="AE13" i="7"/>
  <c r="N13" i="7"/>
  <c r="L13" i="7"/>
  <c r="K13" i="7"/>
  <c r="J13" i="7"/>
  <c r="I13" i="7"/>
  <c r="BA12" i="7"/>
  <c r="AJ12" i="7"/>
  <c r="AH12" i="7"/>
  <c r="AG12" i="7"/>
  <c r="AF12" i="7"/>
  <c r="AE12" i="7"/>
  <c r="N12" i="7"/>
  <c r="L12" i="7"/>
  <c r="K12" i="7"/>
  <c r="J12" i="7"/>
  <c r="I12" i="7"/>
  <c r="BA11" i="7"/>
  <c r="AJ11" i="7"/>
  <c r="AH11" i="7"/>
  <c r="AG11" i="7"/>
  <c r="AF11" i="7"/>
  <c r="AE11" i="7"/>
  <c r="N11" i="7"/>
  <c r="L11" i="7"/>
  <c r="K11" i="7"/>
  <c r="J11" i="7"/>
  <c r="I11" i="7"/>
  <c r="BB10" i="7" a="1"/>
  <c r="BB10" i="7" s="1"/>
  <c r="BA10" i="7"/>
  <c r="AJ10" i="7"/>
  <c r="AH10" i="7"/>
  <c r="AG10" i="7"/>
  <c r="AF10" i="7"/>
  <c r="AE10" i="7"/>
  <c r="N10" i="7"/>
  <c r="L10" i="7"/>
  <c r="K10" i="7"/>
  <c r="J10" i="7"/>
  <c r="I10" i="7"/>
  <c r="BA9" i="7"/>
  <c r="AJ9" i="7"/>
  <c r="AH9" i="7"/>
  <c r="AG9" i="7"/>
  <c r="AF9" i="7"/>
  <c r="AE9" i="7"/>
  <c r="N9" i="7"/>
  <c r="L9" i="7"/>
  <c r="K9" i="7"/>
  <c r="J9" i="7"/>
  <c r="I9" i="7"/>
  <c r="BA8" i="7"/>
  <c r="AJ8" i="7"/>
  <c r="AH8" i="7"/>
  <c r="AG8" i="7"/>
  <c r="AF8" i="7"/>
  <c r="AE8" i="7"/>
  <c r="N8" i="7"/>
  <c r="L8" i="7"/>
  <c r="K8" i="7"/>
  <c r="J8" i="7"/>
  <c r="I8" i="7"/>
  <c r="BA7" i="7"/>
  <c r="AJ7" i="7"/>
  <c r="AH7" i="7"/>
  <c r="AG7" i="7"/>
  <c r="AF7" i="7"/>
  <c r="AE7" i="7"/>
  <c r="N7" i="7"/>
  <c r="L7" i="7"/>
  <c r="K7" i="7"/>
  <c r="J7" i="7"/>
  <c r="I7" i="7"/>
  <c r="BA6" i="7"/>
  <c r="AJ6" i="7"/>
  <c r="AH6" i="7"/>
  <c r="AG6" i="7"/>
  <c r="AF6" i="7"/>
  <c r="AE6" i="7"/>
  <c r="N6" i="7"/>
  <c r="L6" i="7"/>
  <c r="K6" i="7"/>
  <c r="J6" i="7"/>
  <c r="I6" i="7"/>
  <c r="BB5" i="7" a="1"/>
  <c r="BB5" i="7" s="1"/>
  <c r="BA5" i="7"/>
  <c r="AJ5" i="7"/>
  <c r="AH5" i="7"/>
  <c r="AG5" i="7"/>
  <c r="AF5" i="7"/>
  <c r="AE5" i="7"/>
  <c r="N5" i="7"/>
  <c r="L5" i="7"/>
  <c r="K5" i="7"/>
  <c r="J5" i="7"/>
  <c r="I5" i="7"/>
  <c r="AJ68" i="6"/>
  <c r="AI68" i="6"/>
  <c r="U68" i="6"/>
  <c r="T68" i="6"/>
  <c r="AJ66" i="6"/>
  <c r="AI66" i="6"/>
  <c r="U66" i="6"/>
  <c r="T66" i="6"/>
  <c r="AQ60" i="6" a="1"/>
  <c r="AQ60" i="6" s="1"/>
  <c r="AP60" i="6"/>
  <c r="AC60" i="6"/>
  <c r="AB60" i="6"/>
  <c r="AO60" i="6" s="1"/>
  <c r="Z60" i="6"/>
  <c r="Y60" i="6"/>
  <c r="X60" i="6"/>
  <c r="W60" i="6"/>
  <c r="N60" i="6"/>
  <c r="M60" i="6"/>
  <c r="K60" i="6"/>
  <c r="J60" i="6"/>
  <c r="I60" i="6"/>
  <c r="H60" i="6"/>
  <c r="AQ59" i="6" a="1"/>
  <c r="AQ59" i="6"/>
  <c r="AP59" i="6"/>
  <c r="AC59" i="6"/>
  <c r="AB59" i="6"/>
  <c r="Z59" i="6"/>
  <c r="AM59" i="6" s="1"/>
  <c r="Y59" i="6"/>
  <c r="X59" i="6"/>
  <c r="W59" i="6"/>
  <c r="N59" i="6"/>
  <c r="M59" i="6"/>
  <c r="K59" i="6"/>
  <c r="J59" i="6"/>
  <c r="I59" i="6"/>
  <c r="H59" i="6"/>
  <c r="AQ58" i="6" a="1"/>
  <c r="AQ58" i="6" s="1"/>
  <c r="AP58" i="6"/>
  <c r="AC58" i="6"/>
  <c r="AB58" i="6"/>
  <c r="Z58" i="6"/>
  <c r="Y58" i="6"/>
  <c r="AL58" i="6" s="1"/>
  <c r="X58" i="6"/>
  <c r="W58" i="6"/>
  <c r="N58" i="6"/>
  <c r="M58" i="6"/>
  <c r="K58" i="6"/>
  <c r="J58" i="6"/>
  <c r="I58" i="6"/>
  <c r="H58" i="6"/>
  <c r="AQ57" i="6" a="1"/>
  <c r="AQ57" i="6" s="1"/>
  <c r="AP57" i="6"/>
  <c r="AC57" i="6"/>
  <c r="AB57" i="6"/>
  <c r="Z57" i="6"/>
  <c r="Y57" i="6"/>
  <c r="X57" i="6"/>
  <c r="W57" i="6"/>
  <c r="N57" i="6"/>
  <c r="M57" i="6"/>
  <c r="K57" i="6"/>
  <c r="J57" i="6"/>
  <c r="I57" i="6"/>
  <c r="H57" i="6"/>
  <c r="AQ56" i="6" a="1"/>
  <c r="AQ56" i="6"/>
  <c r="AP56" i="6"/>
  <c r="AC56" i="6"/>
  <c r="AB56" i="6"/>
  <c r="Z56" i="6"/>
  <c r="Y56" i="6"/>
  <c r="X56" i="6"/>
  <c r="W56" i="6"/>
  <c r="N56" i="6"/>
  <c r="M56" i="6"/>
  <c r="K56" i="6"/>
  <c r="J56" i="6"/>
  <c r="I56" i="6"/>
  <c r="H56" i="6"/>
  <c r="AQ55" i="6" a="1"/>
  <c r="AQ55" i="6" s="1"/>
  <c r="AP55" i="6"/>
  <c r="AC55" i="6"/>
  <c r="AB55" i="6"/>
  <c r="Z55" i="6"/>
  <c r="Y55" i="6"/>
  <c r="X55" i="6"/>
  <c r="W55" i="6"/>
  <c r="N55" i="6"/>
  <c r="M55" i="6"/>
  <c r="K55" i="6"/>
  <c r="J55" i="6"/>
  <c r="I55" i="6"/>
  <c r="H55" i="6"/>
  <c r="AQ54" i="6" a="1"/>
  <c r="AQ54" i="6" s="1"/>
  <c r="AP54" i="6"/>
  <c r="AC54" i="6"/>
  <c r="AB54" i="6"/>
  <c r="Z54" i="6"/>
  <c r="Y54" i="6"/>
  <c r="X54" i="6"/>
  <c r="W54" i="6"/>
  <c r="N54" i="6"/>
  <c r="M54" i="6"/>
  <c r="K54" i="6"/>
  <c r="J54" i="6"/>
  <c r="I54" i="6"/>
  <c r="H54" i="6"/>
  <c r="AQ53" i="6" a="1"/>
  <c r="AQ53" i="6" s="1"/>
  <c r="AP53" i="6"/>
  <c r="AC53" i="6"/>
  <c r="AB53" i="6"/>
  <c r="AA53" i="6"/>
  <c r="Z53" i="6"/>
  <c r="Y53" i="6"/>
  <c r="X53" i="6"/>
  <c r="W53" i="6"/>
  <c r="N53" i="6"/>
  <c r="M53" i="6"/>
  <c r="L53" i="6"/>
  <c r="K53" i="6"/>
  <c r="J53" i="6"/>
  <c r="I53" i="6"/>
  <c r="H53" i="6"/>
  <c r="AQ52" i="6" a="1"/>
  <c r="AQ52" i="6" s="1"/>
  <c r="AP52" i="6"/>
  <c r="AC52" i="6"/>
  <c r="AB52" i="6"/>
  <c r="AA52" i="6"/>
  <c r="Z52" i="6"/>
  <c r="Y52" i="6"/>
  <c r="X52" i="6"/>
  <c r="W52" i="6"/>
  <c r="N52" i="6"/>
  <c r="M52" i="6"/>
  <c r="L52" i="6"/>
  <c r="K52" i="6"/>
  <c r="J52" i="6"/>
  <c r="I52" i="6"/>
  <c r="H52" i="6"/>
  <c r="AQ51" i="6" a="1"/>
  <c r="AQ51" i="6" s="1"/>
  <c r="AP51" i="6"/>
  <c r="AC51" i="6"/>
  <c r="AB51" i="6"/>
  <c r="AA51" i="6"/>
  <c r="Z51" i="6"/>
  <c r="Y51" i="6"/>
  <c r="X51" i="6"/>
  <c r="W51" i="6"/>
  <c r="N51" i="6"/>
  <c r="M51" i="6"/>
  <c r="L51" i="6"/>
  <c r="K51" i="6"/>
  <c r="J51" i="6"/>
  <c r="I51" i="6"/>
  <c r="H51" i="6"/>
  <c r="AQ50" i="6" a="1"/>
  <c r="AQ50" i="6" s="1"/>
  <c r="AP50" i="6"/>
  <c r="AC50" i="6"/>
  <c r="AA50" i="6"/>
  <c r="Z50" i="6"/>
  <c r="Y50" i="6"/>
  <c r="X50" i="6"/>
  <c r="W50" i="6"/>
  <c r="N50" i="6"/>
  <c r="L50" i="6"/>
  <c r="K50" i="6"/>
  <c r="J50" i="6"/>
  <c r="I50" i="6"/>
  <c r="H50" i="6"/>
  <c r="AQ49" i="6" a="1"/>
  <c r="AQ49" i="6" s="1"/>
  <c r="AP49" i="6"/>
  <c r="AC49" i="6"/>
  <c r="AA49" i="6"/>
  <c r="Z49" i="6"/>
  <c r="Y49" i="6"/>
  <c r="X49" i="6"/>
  <c r="W49" i="6"/>
  <c r="N49" i="6"/>
  <c r="L49" i="6"/>
  <c r="K49" i="6"/>
  <c r="J49" i="6"/>
  <c r="I49" i="6"/>
  <c r="H49" i="6"/>
  <c r="AQ48" i="6" a="1"/>
  <c r="AQ48" i="6" s="1"/>
  <c r="AP48" i="6"/>
  <c r="AC48" i="6"/>
  <c r="AA48" i="6"/>
  <c r="Z48" i="6"/>
  <c r="Y48" i="6"/>
  <c r="X48" i="6"/>
  <c r="W48" i="6"/>
  <c r="N48" i="6"/>
  <c r="L48" i="6"/>
  <c r="K48" i="6"/>
  <c r="J48" i="6"/>
  <c r="I48" i="6"/>
  <c r="H48" i="6"/>
  <c r="AQ47" i="6" a="1"/>
  <c r="AQ47" i="6" s="1"/>
  <c r="AP47" i="6"/>
  <c r="AC47" i="6"/>
  <c r="AA47" i="6"/>
  <c r="Z47" i="6"/>
  <c r="Y47" i="6"/>
  <c r="X47" i="6"/>
  <c r="W47" i="6"/>
  <c r="N47" i="6"/>
  <c r="L47" i="6"/>
  <c r="K47" i="6"/>
  <c r="J47" i="6"/>
  <c r="I47" i="6"/>
  <c r="H47" i="6"/>
  <c r="AQ46" i="6" a="1"/>
  <c r="AQ46" i="6" s="1"/>
  <c r="AP46" i="6"/>
  <c r="AC46" i="6"/>
  <c r="AA46" i="6"/>
  <c r="Z46" i="6"/>
  <c r="Y46" i="6"/>
  <c r="X46" i="6"/>
  <c r="W46" i="6"/>
  <c r="N46" i="6"/>
  <c r="L46" i="6"/>
  <c r="K46" i="6"/>
  <c r="J46" i="6"/>
  <c r="I46" i="6"/>
  <c r="H46" i="6"/>
  <c r="AQ45" i="6" a="1"/>
  <c r="AQ45" i="6" s="1"/>
  <c r="AP45" i="6"/>
  <c r="AC45" i="6"/>
  <c r="AA45" i="6"/>
  <c r="Z45" i="6"/>
  <c r="Y45" i="6"/>
  <c r="X45" i="6"/>
  <c r="W45" i="6"/>
  <c r="N45" i="6"/>
  <c r="L45" i="6"/>
  <c r="K45" i="6"/>
  <c r="J45" i="6"/>
  <c r="I45" i="6"/>
  <c r="H45" i="6"/>
  <c r="AQ44" i="6" a="1"/>
  <c r="AQ44" i="6" s="1"/>
  <c r="AP44" i="6"/>
  <c r="AC44" i="6"/>
  <c r="AA44" i="6"/>
  <c r="Z44" i="6"/>
  <c r="Y44" i="6"/>
  <c r="X44" i="6"/>
  <c r="W44" i="6"/>
  <c r="N44" i="6"/>
  <c r="L44" i="6"/>
  <c r="K44" i="6"/>
  <c r="J44" i="6"/>
  <c r="I44" i="6"/>
  <c r="H44" i="6"/>
  <c r="AQ43" i="6" a="1"/>
  <c r="AQ43" i="6" s="1"/>
  <c r="AP43" i="6"/>
  <c r="AC43" i="6"/>
  <c r="AA43" i="6"/>
  <c r="Z43" i="6"/>
  <c r="Y43" i="6"/>
  <c r="X43" i="6"/>
  <c r="W43" i="6"/>
  <c r="N43" i="6"/>
  <c r="L43" i="6"/>
  <c r="K43" i="6"/>
  <c r="J43" i="6"/>
  <c r="I43" i="6"/>
  <c r="H43" i="6"/>
  <c r="AQ42" i="6" a="1"/>
  <c r="AQ42" i="6" s="1"/>
  <c r="AP42" i="6"/>
  <c r="AC42" i="6"/>
  <c r="AA42" i="6"/>
  <c r="Z42" i="6"/>
  <c r="Y42" i="6"/>
  <c r="X42" i="6"/>
  <c r="W42" i="6"/>
  <c r="N42" i="6"/>
  <c r="L42" i="6"/>
  <c r="K42" i="6"/>
  <c r="J42" i="6"/>
  <c r="I42" i="6"/>
  <c r="H42" i="6"/>
  <c r="AQ41" i="6" a="1"/>
  <c r="AQ41" i="6" s="1"/>
  <c r="AP41" i="6"/>
  <c r="AC41" i="6"/>
  <c r="AA41" i="6"/>
  <c r="Z41" i="6"/>
  <c r="Y41" i="6"/>
  <c r="X41" i="6"/>
  <c r="W41" i="6"/>
  <c r="N41" i="6"/>
  <c r="L41" i="6"/>
  <c r="K41" i="6"/>
  <c r="J41" i="6"/>
  <c r="I41" i="6"/>
  <c r="H41" i="6"/>
  <c r="AQ40" i="6" a="1"/>
  <c r="AQ40" i="6" s="1"/>
  <c r="AP40" i="6"/>
  <c r="AC40" i="6"/>
  <c r="AA40" i="6"/>
  <c r="Z40" i="6"/>
  <c r="Y40" i="6"/>
  <c r="X40" i="6"/>
  <c r="W40" i="6"/>
  <c r="N40" i="6"/>
  <c r="L40" i="6"/>
  <c r="K40" i="6"/>
  <c r="J40" i="6"/>
  <c r="I40" i="6"/>
  <c r="H40" i="6"/>
  <c r="AQ39" i="6" a="1"/>
  <c r="AQ39" i="6" s="1"/>
  <c r="AP39" i="6"/>
  <c r="AC39" i="6"/>
  <c r="AA39" i="6"/>
  <c r="Z39" i="6"/>
  <c r="Y39" i="6"/>
  <c r="X39" i="6"/>
  <c r="W39" i="6"/>
  <c r="N39" i="6"/>
  <c r="L39" i="6"/>
  <c r="K39" i="6"/>
  <c r="J39" i="6"/>
  <c r="I39" i="6"/>
  <c r="H39" i="6"/>
  <c r="AQ38" i="6" a="1"/>
  <c r="AQ38" i="6" s="1"/>
  <c r="AP38" i="6"/>
  <c r="AC38" i="6"/>
  <c r="AA38" i="6"/>
  <c r="Z38" i="6"/>
  <c r="Y38" i="6"/>
  <c r="X38" i="6"/>
  <c r="W38" i="6"/>
  <c r="N38" i="6"/>
  <c r="L38" i="6"/>
  <c r="K38" i="6"/>
  <c r="J38" i="6"/>
  <c r="I38" i="6"/>
  <c r="H38" i="6"/>
  <c r="AQ37" i="6" a="1"/>
  <c r="AQ37" i="6" s="1"/>
  <c r="AP37" i="6"/>
  <c r="AC37" i="6"/>
  <c r="AA37" i="6"/>
  <c r="Z37" i="6"/>
  <c r="Y37" i="6"/>
  <c r="X37" i="6"/>
  <c r="W37" i="6"/>
  <c r="N37" i="6"/>
  <c r="L37" i="6"/>
  <c r="K37" i="6"/>
  <c r="J37" i="6"/>
  <c r="I37" i="6"/>
  <c r="H37" i="6"/>
  <c r="AQ36" i="6" a="1"/>
  <c r="AQ36" i="6" s="1"/>
  <c r="AP36" i="6"/>
  <c r="AC36" i="6"/>
  <c r="AA36" i="6"/>
  <c r="Z36" i="6"/>
  <c r="Y36" i="6"/>
  <c r="X36" i="6"/>
  <c r="W36" i="6"/>
  <c r="N36" i="6"/>
  <c r="L36" i="6"/>
  <c r="K36" i="6"/>
  <c r="J36" i="6"/>
  <c r="I36" i="6"/>
  <c r="H36" i="6"/>
  <c r="AQ35" i="6" a="1"/>
  <c r="AQ35" i="6" s="1"/>
  <c r="AP35" i="6"/>
  <c r="AC35" i="6"/>
  <c r="AA35" i="6"/>
  <c r="Z35" i="6"/>
  <c r="Y35" i="6"/>
  <c r="X35" i="6"/>
  <c r="W35" i="6"/>
  <c r="N35" i="6"/>
  <c r="L35" i="6"/>
  <c r="K35" i="6"/>
  <c r="J35" i="6"/>
  <c r="I35" i="6"/>
  <c r="H35" i="6"/>
  <c r="AQ34" i="6" a="1"/>
  <c r="AQ34" i="6" s="1"/>
  <c r="AP34" i="6"/>
  <c r="AC34" i="6"/>
  <c r="AA34" i="6"/>
  <c r="Z34" i="6"/>
  <c r="Y34" i="6"/>
  <c r="X34" i="6"/>
  <c r="W34" i="6"/>
  <c r="N34" i="6"/>
  <c r="L34" i="6"/>
  <c r="K34" i="6"/>
  <c r="J34" i="6"/>
  <c r="I34" i="6"/>
  <c r="H34" i="6"/>
  <c r="AQ33" i="6" a="1"/>
  <c r="AQ33" i="6" s="1"/>
  <c r="AP33" i="6"/>
  <c r="AC33" i="6"/>
  <c r="AA33" i="6"/>
  <c r="Z33" i="6"/>
  <c r="Y33" i="6"/>
  <c r="X33" i="6"/>
  <c r="W33" i="6"/>
  <c r="N33" i="6"/>
  <c r="L33" i="6"/>
  <c r="K33" i="6"/>
  <c r="J33" i="6"/>
  <c r="I33" i="6"/>
  <c r="H33" i="6"/>
  <c r="AQ32" i="6" a="1"/>
  <c r="AQ32" i="6" s="1"/>
  <c r="AP32" i="6"/>
  <c r="AC32" i="6"/>
  <c r="AA32" i="6"/>
  <c r="Z32" i="6"/>
  <c r="Y32" i="6"/>
  <c r="X32" i="6"/>
  <c r="W32" i="6"/>
  <c r="N32" i="6"/>
  <c r="L32" i="6"/>
  <c r="K32" i="6"/>
  <c r="J32" i="6"/>
  <c r="I32" i="6"/>
  <c r="H32" i="6"/>
  <c r="AQ31" i="6" a="1"/>
  <c r="AQ31" i="6" s="1"/>
  <c r="AP31" i="6"/>
  <c r="AC31" i="6"/>
  <c r="AA31" i="6"/>
  <c r="Z31" i="6"/>
  <c r="Y31" i="6"/>
  <c r="X31" i="6"/>
  <c r="W31" i="6"/>
  <c r="N31" i="6"/>
  <c r="L31" i="6"/>
  <c r="K31" i="6"/>
  <c r="J31" i="6"/>
  <c r="I31" i="6"/>
  <c r="H31" i="6"/>
  <c r="AQ30" i="6" a="1"/>
  <c r="AQ30" i="6" s="1"/>
  <c r="AP30" i="6"/>
  <c r="AC30" i="6"/>
  <c r="AA30" i="6"/>
  <c r="Z30" i="6"/>
  <c r="Y30" i="6"/>
  <c r="X30" i="6"/>
  <c r="W30" i="6"/>
  <c r="N30" i="6"/>
  <c r="L30" i="6"/>
  <c r="K30" i="6"/>
  <c r="J30" i="6"/>
  <c r="I30" i="6"/>
  <c r="H30" i="6"/>
  <c r="AQ29" i="6" a="1"/>
  <c r="AQ29" i="6" s="1"/>
  <c r="AP29" i="6"/>
  <c r="AC29" i="6"/>
  <c r="AA29" i="6"/>
  <c r="Z29" i="6"/>
  <c r="Y29" i="6"/>
  <c r="X29" i="6"/>
  <c r="W29" i="6"/>
  <c r="N29" i="6"/>
  <c r="L29" i="6"/>
  <c r="K29" i="6"/>
  <c r="J29" i="6"/>
  <c r="I29" i="6"/>
  <c r="H29" i="6"/>
  <c r="AQ28" i="6" a="1"/>
  <c r="AQ28" i="6" s="1"/>
  <c r="AP28" i="6"/>
  <c r="AC28" i="6"/>
  <c r="AA28" i="6"/>
  <c r="Z28" i="6"/>
  <c r="Y28" i="6"/>
  <c r="X28" i="6"/>
  <c r="W28" i="6"/>
  <c r="N28" i="6"/>
  <c r="L28" i="6"/>
  <c r="K28" i="6"/>
  <c r="J28" i="6"/>
  <c r="I28" i="6"/>
  <c r="H28" i="6"/>
  <c r="AQ27" i="6" a="1"/>
  <c r="AQ27" i="6" s="1"/>
  <c r="AP27" i="6"/>
  <c r="AC27" i="6"/>
  <c r="AA27" i="6"/>
  <c r="Z27" i="6"/>
  <c r="Y27" i="6"/>
  <c r="X27" i="6"/>
  <c r="W27" i="6"/>
  <c r="N27" i="6"/>
  <c r="L27" i="6"/>
  <c r="K27" i="6"/>
  <c r="J27" i="6"/>
  <c r="I27" i="6"/>
  <c r="H27" i="6"/>
  <c r="AQ26" i="6" a="1"/>
  <c r="AQ26" i="6" s="1"/>
  <c r="AP26" i="6"/>
  <c r="AC26" i="6"/>
  <c r="AA26" i="6"/>
  <c r="Z26" i="6"/>
  <c r="Y26" i="6"/>
  <c r="X26" i="6"/>
  <c r="W26" i="6"/>
  <c r="N26" i="6"/>
  <c r="L26" i="6"/>
  <c r="K26" i="6"/>
  <c r="J26" i="6"/>
  <c r="I26" i="6"/>
  <c r="H26" i="6"/>
  <c r="AQ25" i="6" a="1"/>
  <c r="AQ25" i="6" s="1"/>
  <c r="AP25" i="6"/>
  <c r="AC25" i="6"/>
  <c r="AA25" i="6"/>
  <c r="Z25" i="6"/>
  <c r="Y25" i="6"/>
  <c r="X25" i="6"/>
  <c r="W25" i="6"/>
  <c r="N25" i="6"/>
  <c r="L25" i="6"/>
  <c r="K25" i="6"/>
  <c r="J25" i="6"/>
  <c r="I25" i="6"/>
  <c r="H25" i="6"/>
  <c r="AQ24" i="6" a="1"/>
  <c r="AQ24" i="6" s="1"/>
  <c r="AP24" i="6"/>
  <c r="AC24" i="6"/>
  <c r="AA24" i="6"/>
  <c r="Z24" i="6"/>
  <c r="Y24" i="6"/>
  <c r="X24" i="6"/>
  <c r="W24" i="6"/>
  <c r="N24" i="6"/>
  <c r="L24" i="6"/>
  <c r="K24" i="6"/>
  <c r="J24" i="6"/>
  <c r="I24" i="6"/>
  <c r="H24" i="6"/>
  <c r="AQ23" i="6" a="1"/>
  <c r="AQ23" i="6"/>
  <c r="AP23" i="6"/>
  <c r="AC23" i="6"/>
  <c r="AA23" i="6"/>
  <c r="Z23" i="6"/>
  <c r="Y23" i="6"/>
  <c r="X23" i="6"/>
  <c r="W23" i="6"/>
  <c r="N23" i="6"/>
  <c r="L23" i="6"/>
  <c r="K23" i="6"/>
  <c r="J23" i="6"/>
  <c r="I23" i="6"/>
  <c r="H23" i="6"/>
  <c r="AQ22" i="6" a="1"/>
  <c r="AQ22" i="6" s="1"/>
  <c r="AP22" i="6"/>
  <c r="AC22" i="6"/>
  <c r="AA22" i="6"/>
  <c r="Z22" i="6"/>
  <c r="Y22" i="6"/>
  <c r="X22" i="6"/>
  <c r="W22" i="6"/>
  <c r="N22" i="6"/>
  <c r="L22" i="6"/>
  <c r="K22" i="6"/>
  <c r="J22" i="6"/>
  <c r="I22" i="6"/>
  <c r="H22" i="6"/>
  <c r="AQ21" i="6" a="1"/>
  <c r="AQ21" i="6" s="1"/>
  <c r="AP21" i="6"/>
  <c r="AC21" i="6"/>
  <c r="AA21" i="6"/>
  <c r="Z21" i="6"/>
  <c r="Y21" i="6"/>
  <c r="X21" i="6"/>
  <c r="W21" i="6"/>
  <c r="N21" i="6"/>
  <c r="L21" i="6"/>
  <c r="K21" i="6"/>
  <c r="J21" i="6"/>
  <c r="I21" i="6"/>
  <c r="H21" i="6"/>
  <c r="AQ20" i="6" a="1"/>
  <c r="AQ20" i="6" s="1"/>
  <c r="AP20" i="6"/>
  <c r="AC20" i="6"/>
  <c r="AA20" i="6"/>
  <c r="Z20" i="6"/>
  <c r="Y20" i="6"/>
  <c r="X20" i="6"/>
  <c r="W20" i="6"/>
  <c r="N20" i="6"/>
  <c r="L20" i="6"/>
  <c r="K20" i="6"/>
  <c r="J20" i="6"/>
  <c r="I20" i="6"/>
  <c r="H20" i="6"/>
  <c r="AQ19" i="6" a="1"/>
  <c r="AQ19" i="6" s="1"/>
  <c r="AP19" i="6"/>
  <c r="AC19" i="6"/>
  <c r="AA19" i="6"/>
  <c r="Z19" i="6"/>
  <c r="Y19" i="6"/>
  <c r="X19" i="6"/>
  <c r="W19" i="6"/>
  <c r="N19" i="6"/>
  <c r="L19" i="6"/>
  <c r="K19" i="6"/>
  <c r="J19" i="6"/>
  <c r="I19" i="6"/>
  <c r="H19" i="6"/>
  <c r="AQ18" i="6" a="1"/>
  <c r="AQ18" i="6" s="1"/>
  <c r="AP18" i="6"/>
  <c r="AC18" i="6"/>
  <c r="AA18" i="6"/>
  <c r="Z18" i="6"/>
  <c r="Y18" i="6"/>
  <c r="X18" i="6"/>
  <c r="W18" i="6"/>
  <c r="N18" i="6"/>
  <c r="L18" i="6"/>
  <c r="K18" i="6"/>
  <c r="J18" i="6"/>
  <c r="I18" i="6"/>
  <c r="H18" i="6"/>
  <c r="AQ17" i="6" a="1"/>
  <c r="AQ17" i="6" s="1"/>
  <c r="AP17" i="6"/>
  <c r="AC17" i="6"/>
  <c r="AA17" i="6"/>
  <c r="Z17" i="6"/>
  <c r="Y17" i="6"/>
  <c r="X17" i="6"/>
  <c r="W17" i="6"/>
  <c r="N17" i="6"/>
  <c r="L17" i="6"/>
  <c r="K17" i="6"/>
  <c r="J17" i="6"/>
  <c r="I17" i="6"/>
  <c r="H17" i="6"/>
  <c r="AQ16" i="6" a="1"/>
  <c r="AQ16" i="6" s="1"/>
  <c r="AP16" i="6"/>
  <c r="AC16" i="6"/>
  <c r="AA16" i="6"/>
  <c r="Z16" i="6"/>
  <c r="Y16" i="6"/>
  <c r="N16" i="6"/>
  <c r="L16" i="6"/>
  <c r="K16" i="6"/>
  <c r="J16" i="6"/>
  <c r="I16" i="6"/>
  <c r="H16" i="6"/>
  <c r="AQ15" i="6" a="1"/>
  <c r="AQ15" i="6" s="1"/>
  <c r="AP15" i="6"/>
  <c r="AC15" i="6"/>
  <c r="AA15" i="6"/>
  <c r="Z15" i="6"/>
  <c r="Y15" i="6"/>
  <c r="X15" i="6"/>
  <c r="W15" i="6"/>
  <c r="N15" i="6"/>
  <c r="L15" i="6"/>
  <c r="K15" i="6"/>
  <c r="J15" i="6"/>
  <c r="I15" i="6"/>
  <c r="H15" i="6"/>
  <c r="AQ14" i="6" a="1"/>
  <c r="AQ14" i="6" s="1"/>
  <c r="AP14" i="6"/>
  <c r="AC14" i="6"/>
  <c r="AA14" i="6"/>
  <c r="Z14" i="6"/>
  <c r="Y14" i="6"/>
  <c r="X14" i="6"/>
  <c r="W14" i="6"/>
  <c r="N14" i="6"/>
  <c r="L14" i="6"/>
  <c r="K14" i="6"/>
  <c r="J14" i="6"/>
  <c r="I14" i="6"/>
  <c r="H14" i="6"/>
  <c r="AQ13" i="6" a="1"/>
  <c r="AQ13" i="6" s="1"/>
  <c r="AP13" i="6"/>
  <c r="AC13" i="6"/>
  <c r="AA13" i="6"/>
  <c r="Z13" i="6"/>
  <c r="Y13" i="6"/>
  <c r="X13" i="6"/>
  <c r="W13" i="6"/>
  <c r="N13" i="6"/>
  <c r="L13" i="6"/>
  <c r="K13" i="6"/>
  <c r="J13" i="6"/>
  <c r="I13" i="6"/>
  <c r="H13" i="6"/>
  <c r="AQ12" i="6" a="1"/>
  <c r="AQ12" i="6" s="1"/>
  <c r="AP12" i="6"/>
  <c r="AC12" i="6"/>
  <c r="AA12" i="6"/>
  <c r="Z12" i="6"/>
  <c r="Y12" i="6"/>
  <c r="X12" i="6"/>
  <c r="W12" i="6"/>
  <c r="N12" i="6"/>
  <c r="L12" i="6"/>
  <c r="K12" i="6"/>
  <c r="J12" i="6"/>
  <c r="I12" i="6"/>
  <c r="H12" i="6"/>
  <c r="AQ11" i="6" a="1"/>
  <c r="AQ11" i="6" s="1"/>
  <c r="AP11" i="6"/>
  <c r="AC11" i="6"/>
  <c r="AA11" i="6"/>
  <c r="Z11" i="6"/>
  <c r="Y11" i="6"/>
  <c r="X11" i="6"/>
  <c r="W11" i="6"/>
  <c r="N11" i="6"/>
  <c r="L11" i="6"/>
  <c r="K11" i="6"/>
  <c r="J11" i="6"/>
  <c r="I11" i="6"/>
  <c r="H11" i="6"/>
  <c r="AQ10" i="6" a="1"/>
  <c r="AQ10" i="6" s="1"/>
  <c r="AP10" i="6"/>
  <c r="AC10" i="6"/>
  <c r="AA10" i="6"/>
  <c r="Z10" i="6"/>
  <c r="Y10" i="6"/>
  <c r="X10" i="6"/>
  <c r="W10" i="6"/>
  <c r="N10" i="6"/>
  <c r="L10" i="6"/>
  <c r="K10" i="6"/>
  <c r="J10" i="6"/>
  <c r="I10" i="6"/>
  <c r="H10" i="6"/>
  <c r="AQ9" i="6" a="1"/>
  <c r="AQ9" i="6" s="1"/>
  <c r="AP9" i="6"/>
  <c r="AC9" i="6"/>
  <c r="AA9" i="6"/>
  <c r="Z9" i="6"/>
  <c r="Y9" i="6"/>
  <c r="X9" i="6"/>
  <c r="W9" i="6"/>
  <c r="N9" i="6"/>
  <c r="L9" i="6"/>
  <c r="K9" i="6"/>
  <c r="J9" i="6"/>
  <c r="I9" i="6"/>
  <c r="H9" i="6"/>
  <c r="AQ8" i="6" a="1"/>
  <c r="AQ8" i="6" s="1"/>
  <c r="AP8" i="6"/>
  <c r="AC8" i="6"/>
  <c r="AA8" i="6"/>
  <c r="Z8" i="6"/>
  <c r="Y8" i="6"/>
  <c r="X8" i="6"/>
  <c r="W8" i="6"/>
  <c r="N8" i="6"/>
  <c r="L8" i="6"/>
  <c r="K8" i="6"/>
  <c r="J8" i="6"/>
  <c r="I8" i="6"/>
  <c r="H8" i="6"/>
  <c r="AQ7" i="6" a="1"/>
  <c r="AQ7" i="6" s="1"/>
  <c r="AP7" i="6"/>
  <c r="AC7" i="6"/>
  <c r="AA7" i="6"/>
  <c r="Z7" i="6"/>
  <c r="Y7" i="6"/>
  <c r="X7" i="6"/>
  <c r="W7" i="6"/>
  <c r="N7" i="6"/>
  <c r="L7" i="6"/>
  <c r="K7" i="6"/>
  <c r="J7" i="6"/>
  <c r="I7" i="6"/>
  <c r="H7" i="6"/>
  <c r="AQ6" i="6" a="1"/>
  <c r="AQ6" i="6" s="1"/>
  <c r="AP6" i="6"/>
  <c r="AC6" i="6"/>
  <c r="AA6" i="6"/>
  <c r="Z6" i="6"/>
  <c r="Y6" i="6"/>
  <c r="X6" i="6"/>
  <c r="W6" i="6"/>
  <c r="N6" i="6"/>
  <c r="L6" i="6"/>
  <c r="K6" i="6"/>
  <c r="J6" i="6"/>
  <c r="I6" i="6"/>
  <c r="H6" i="6"/>
  <c r="AQ5" i="6" a="1"/>
  <c r="AQ5" i="6" s="1"/>
  <c r="AP5" i="6"/>
  <c r="AC5" i="6"/>
  <c r="AA5" i="6"/>
  <c r="Z5" i="6"/>
  <c r="Y5" i="6"/>
  <c r="X5" i="6"/>
  <c r="W5" i="6"/>
  <c r="N5" i="6"/>
  <c r="L5" i="6"/>
  <c r="K5" i="6"/>
  <c r="J5" i="6"/>
  <c r="I5" i="6"/>
  <c r="H5" i="6"/>
  <c r="AU348" i="5"/>
  <c r="AT348" i="5"/>
  <c r="AA348" i="5"/>
  <c r="Z348" i="5"/>
  <c r="AU346" i="5"/>
  <c r="AT346" i="5"/>
  <c r="AA346" i="5"/>
  <c r="Z346" i="5"/>
  <c r="AW340" i="5"/>
  <c r="AH340" i="5"/>
  <c r="AG340" i="5"/>
  <c r="AE340" i="5"/>
  <c r="AD340" i="5"/>
  <c r="AC340" i="5"/>
  <c r="N340" i="5"/>
  <c r="M340" i="5"/>
  <c r="K340" i="5"/>
  <c r="J340" i="5"/>
  <c r="I340" i="5"/>
  <c r="AW339" i="5"/>
  <c r="AH339" i="5"/>
  <c r="AG339" i="5"/>
  <c r="AE339" i="5"/>
  <c r="AD339" i="5"/>
  <c r="AC339" i="5"/>
  <c r="N339" i="5"/>
  <c r="M339" i="5"/>
  <c r="K339" i="5"/>
  <c r="J339" i="5"/>
  <c r="I339" i="5"/>
  <c r="AW338" i="5"/>
  <c r="AH338" i="5"/>
  <c r="AG338" i="5"/>
  <c r="AE338" i="5"/>
  <c r="AD338" i="5"/>
  <c r="AC338" i="5"/>
  <c r="N338" i="5"/>
  <c r="M338" i="5"/>
  <c r="K338" i="5"/>
  <c r="J338" i="5"/>
  <c r="I338" i="5"/>
  <c r="AW337" i="5"/>
  <c r="AH337" i="5"/>
  <c r="AG337" i="5"/>
  <c r="AE337" i="5"/>
  <c r="AD337" i="5"/>
  <c r="AC337" i="5"/>
  <c r="N337" i="5"/>
  <c r="M337" i="5"/>
  <c r="K337" i="5"/>
  <c r="J337" i="5"/>
  <c r="I337" i="5"/>
  <c r="AW336" i="5"/>
  <c r="AH336" i="5"/>
  <c r="AG336" i="5"/>
  <c r="AE336" i="5"/>
  <c r="AD336" i="5"/>
  <c r="AC336" i="5"/>
  <c r="N336" i="5"/>
  <c r="M336" i="5"/>
  <c r="K336" i="5"/>
  <c r="J336" i="5"/>
  <c r="I336" i="5"/>
  <c r="AX335" i="5" a="1"/>
  <c r="AX335" i="5" s="1"/>
  <c r="AW335" i="5"/>
  <c r="AH335" i="5"/>
  <c r="AG335" i="5"/>
  <c r="AE335" i="5"/>
  <c r="AD335" i="5"/>
  <c r="AC335" i="5"/>
  <c r="N335" i="5"/>
  <c r="M335" i="5"/>
  <c r="K335" i="5"/>
  <c r="J335" i="5"/>
  <c r="I335" i="5"/>
  <c r="AW334" i="5"/>
  <c r="AH334" i="5"/>
  <c r="AG334" i="5"/>
  <c r="AE334" i="5"/>
  <c r="AD334" i="5"/>
  <c r="AC334" i="5"/>
  <c r="N334" i="5"/>
  <c r="M334" i="5"/>
  <c r="K334" i="5"/>
  <c r="J334" i="5"/>
  <c r="I334" i="5"/>
  <c r="AW333" i="5"/>
  <c r="AH333" i="5"/>
  <c r="AG333" i="5"/>
  <c r="AE333" i="5"/>
  <c r="AD333" i="5"/>
  <c r="AC333" i="5"/>
  <c r="N333" i="5"/>
  <c r="M333" i="5"/>
  <c r="K333" i="5"/>
  <c r="J333" i="5"/>
  <c r="I333" i="5"/>
  <c r="AW332" i="5"/>
  <c r="AH332" i="5"/>
  <c r="AG332" i="5"/>
  <c r="AE332" i="5"/>
  <c r="AD332" i="5"/>
  <c r="AC332" i="5"/>
  <c r="N332" i="5"/>
  <c r="M332" i="5"/>
  <c r="K332" i="5"/>
  <c r="J332" i="5"/>
  <c r="I332" i="5"/>
  <c r="AW331" i="5"/>
  <c r="AH331" i="5"/>
  <c r="AG331" i="5"/>
  <c r="AE331" i="5"/>
  <c r="AD331" i="5"/>
  <c r="AC331" i="5"/>
  <c r="N331" i="5"/>
  <c r="M331" i="5"/>
  <c r="K331" i="5"/>
  <c r="J331" i="5"/>
  <c r="I331" i="5"/>
  <c r="AW330" i="5"/>
  <c r="AH330" i="5"/>
  <c r="AG330" i="5"/>
  <c r="AE330" i="5"/>
  <c r="AD330" i="5"/>
  <c r="AC330" i="5"/>
  <c r="N330" i="5"/>
  <c r="M330" i="5"/>
  <c r="K330" i="5"/>
  <c r="J330" i="5"/>
  <c r="I330" i="5"/>
  <c r="AX329" i="5" a="1"/>
  <c r="AX329" i="5" s="1"/>
  <c r="AW329" i="5"/>
  <c r="AH329" i="5"/>
  <c r="AG329" i="5"/>
  <c r="AE329" i="5"/>
  <c r="AD329" i="5"/>
  <c r="AC329" i="5"/>
  <c r="N329" i="5"/>
  <c r="M329" i="5"/>
  <c r="K329" i="5"/>
  <c r="J329" i="5"/>
  <c r="I329" i="5"/>
  <c r="AW328" i="5"/>
  <c r="AH328" i="5"/>
  <c r="AG328" i="5"/>
  <c r="AE328" i="5"/>
  <c r="AD328" i="5"/>
  <c r="AC328" i="5"/>
  <c r="N328" i="5"/>
  <c r="M328" i="5"/>
  <c r="K328" i="5"/>
  <c r="J328" i="5"/>
  <c r="I328" i="5"/>
  <c r="AW327" i="5"/>
  <c r="AH327" i="5"/>
  <c r="AG327" i="5"/>
  <c r="AE327" i="5"/>
  <c r="AD327" i="5"/>
  <c r="AC327" i="5"/>
  <c r="N327" i="5"/>
  <c r="M327" i="5"/>
  <c r="K327" i="5"/>
  <c r="J327" i="5"/>
  <c r="I327" i="5"/>
  <c r="AW326" i="5"/>
  <c r="AH326" i="5"/>
  <c r="AG326" i="5"/>
  <c r="AE326" i="5"/>
  <c r="AD326" i="5"/>
  <c r="AC326" i="5"/>
  <c r="N326" i="5"/>
  <c r="M326" i="5"/>
  <c r="K326" i="5"/>
  <c r="J326" i="5"/>
  <c r="I326" i="5"/>
  <c r="AW325" i="5"/>
  <c r="AH325" i="5"/>
  <c r="AG325" i="5"/>
  <c r="AE325" i="5"/>
  <c r="AD325" i="5"/>
  <c r="AC325" i="5"/>
  <c r="N325" i="5"/>
  <c r="M325" i="5"/>
  <c r="K325" i="5"/>
  <c r="J325" i="5"/>
  <c r="I325" i="5"/>
  <c r="AW324" i="5"/>
  <c r="AH324" i="5"/>
  <c r="AG324" i="5"/>
  <c r="AE324" i="5"/>
  <c r="AD324" i="5"/>
  <c r="AC324" i="5"/>
  <c r="N324" i="5"/>
  <c r="M324" i="5"/>
  <c r="K324" i="5"/>
  <c r="J324" i="5"/>
  <c r="I324" i="5"/>
  <c r="AX323" i="5" a="1"/>
  <c r="AX323" i="5" s="1"/>
  <c r="AW323" i="5"/>
  <c r="AH323" i="5"/>
  <c r="AG323" i="5"/>
  <c r="AE323" i="5"/>
  <c r="AD323" i="5"/>
  <c r="AC323" i="5"/>
  <c r="N323" i="5"/>
  <c r="M323" i="5"/>
  <c r="K323" i="5"/>
  <c r="J323" i="5"/>
  <c r="I323" i="5"/>
  <c r="AW322" i="5"/>
  <c r="AH322" i="5"/>
  <c r="AG322" i="5"/>
  <c r="AE322" i="5"/>
  <c r="AD322" i="5"/>
  <c r="AC322" i="5"/>
  <c r="N322" i="5"/>
  <c r="M322" i="5"/>
  <c r="K322" i="5"/>
  <c r="J322" i="5"/>
  <c r="I322" i="5"/>
  <c r="AW321" i="5"/>
  <c r="AH321" i="5"/>
  <c r="AG321" i="5"/>
  <c r="AE321" i="5"/>
  <c r="AD321" i="5"/>
  <c r="AC321" i="5"/>
  <c r="N321" i="5"/>
  <c r="M321" i="5"/>
  <c r="K321" i="5"/>
  <c r="J321" i="5"/>
  <c r="I321" i="5"/>
  <c r="AW320" i="5"/>
  <c r="AH320" i="5"/>
  <c r="AG320" i="5"/>
  <c r="AE320" i="5"/>
  <c r="AD320" i="5"/>
  <c r="AC320" i="5"/>
  <c r="N320" i="5"/>
  <c r="M320" i="5"/>
  <c r="K320" i="5"/>
  <c r="J320" i="5"/>
  <c r="I320" i="5"/>
  <c r="AW319" i="5"/>
  <c r="AH319" i="5"/>
  <c r="AG319" i="5"/>
  <c r="AE319" i="5"/>
  <c r="AD319" i="5"/>
  <c r="AC319" i="5"/>
  <c r="N319" i="5"/>
  <c r="M319" i="5"/>
  <c r="K319" i="5"/>
  <c r="J319" i="5"/>
  <c r="I319" i="5"/>
  <c r="AW318" i="5"/>
  <c r="AH318" i="5"/>
  <c r="AG318" i="5"/>
  <c r="AE318" i="5"/>
  <c r="AD318" i="5"/>
  <c r="AC318" i="5"/>
  <c r="N318" i="5"/>
  <c r="M318" i="5"/>
  <c r="K318" i="5"/>
  <c r="J318" i="5"/>
  <c r="I318" i="5"/>
  <c r="AX317" i="5" a="1"/>
  <c r="AX317" i="5" s="1"/>
  <c r="AW317" i="5"/>
  <c r="AH317" i="5"/>
  <c r="AG317" i="5"/>
  <c r="AE317" i="5"/>
  <c r="AD317" i="5"/>
  <c r="AC317" i="5"/>
  <c r="N317" i="5"/>
  <c r="M317" i="5"/>
  <c r="K317" i="5"/>
  <c r="J317" i="5"/>
  <c r="I317" i="5"/>
  <c r="AW316" i="5"/>
  <c r="AH316" i="5"/>
  <c r="AG316" i="5"/>
  <c r="AE316" i="5"/>
  <c r="AD316" i="5"/>
  <c r="AC316" i="5"/>
  <c r="N316" i="5"/>
  <c r="M316" i="5"/>
  <c r="K316" i="5"/>
  <c r="J316" i="5"/>
  <c r="I316" i="5"/>
  <c r="AW315" i="5"/>
  <c r="AH315" i="5"/>
  <c r="AG315" i="5"/>
  <c r="AE315" i="5"/>
  <c r="AD315" i="5"/>
  <c r="AC315" i="5"/>
  <c r="N315" i="5"/>
  <c r="M315" i="5"/>
  <c r="K315" i="5"/>
  <c r="J315" i="5"/>
  <c r="I315" i="5"/>
  <c r="AW314" i="5"/>
  <c r="AH314" i="5"/>
  <c r="AG314" i="5"/>
  <c r="AE314" i="5"/>
  <c r="AD314" i="5"/>
  <c r="AC314" i="5"/>
  <c r="N314" i="5"/>
  <c r="M314" i="5"/>
  <c r="K314" i="5"/>
  <c r="J314" i="5"/>
  <c r="I314" i="5"/>
  <c r="AW313" i="5"/>
  <c r="AH313" i="5"/>
  <c r="AG313" i="5"/>
  <c r="AE313" i="5"/>
  <c r="AD313" i="5"/>
  <c r="AC313" i="5"/>
  <c r="N313" i="5"/>
  <c r="M313" i="5"/>
  <c r="K313" i="5"/>
  <c r="J313" i="5"/>
  <c r="I313" i="5"/>
  <c r="AW312" i="5"/>
  <c r="AH312" i="5"/>
  <c r="AG312" i="5"/>
  <c r="AE312" i="5"/>
  <c r="AD312" i="5"/>
  <c r="AC312" i="5"/>
  <c r="N312" i="5"/>
  <c r="M312" i="5"/>
  <c r="K312" i="5"/>
  <c r="J312" i="5"/>
  <c r="I312" i="5"/>
  <c r="AX311" i="5" a="1"/>
  <c r="AX311" i="5" s="1"/>
  <c r="AW311" i="5"/>
  <c r="AH311" i="5"/>
  <c r="AG311" i="5"/>
  <c r="AE311" i="5"/>
  <c r="AD311" i="5"/>
  <c r="AC311" i="5"/>
  <c r="N311" i="5"/>
  <c r="M311" i="5"/>
  <c r="K311" i="5"/>
  <c r="J311" i="5"/>
  <c r="I311" i="5"/>
  <c r="AW310" i="5"/>
  <c r="AH310" i="5"/>
  <c r="AG310" i="5"/>
  <c r="AE310" i="5"/>
  <c r="AD310" i="5"/>
  <c r="AC310" i="5"/>
  <c r="N310" i="5"/>
  <c r="M310" i="5"/>
  <c r="K310" i="5"/>
  <c r="J310" i="5"/>
  <c r="I310" i="5"/>
  <c r="AW309" i="5"/>
  <c r="AH309" i="5"/>
  <c r="AG309" i="5"/>
  <c r="AE309" i="5"/>
  <c r="AD309" i="5"/>
  <c r="AC309" i="5"/>
  <c r="N309" i="5"/>
  <c r="M309" i="5"/>
  <c r="K309" i="5"/>
  <c r="J309" i="5"/>
  <c r="I309" i="5"/>
  <c r="AW308" i="5"/>
  <c r="AH308" i="5"/>
  <c r="AG308" i="5"/>
  <c r="AE308" i="5"/>
  <c r="AD308" i="5"/>
  <c r="AC308" i="5"/>
  <c r="N308" i="5"/>
  <c r="M308" i="5"/>
  <c r="K308" i="5"/>
  <c r="J308" i="5"/>
  <c r="I308" i="5"/>
  <c r="AW307" i="5"/>
  <c r="AH307" i="5"/>
  <c r="AG307" i="5"/>
  <c r="AE307" i="5"/>
  <c r="AD307" i="5"/>
  <c r="AC307" i="5"/>
  <c r="N307" i="5"/>
  <c r="M307" i="5"/>
  <c r="K307" i="5"/>
  <c r="J307" i="5"/>
  <c r="I307" i="5"/>
  <c r="AW306" i="5"/>
  <c r="AH306" i="5"/>
  <c r="AG306" i="5"/>
  <c r="AE306" i="5"/>
  <c r="AD306" i="5"/>
  <c r="AC306" i="5"/>
  <c r="N306" i="5"/>
  <c r="M306" i="5"/>
  <c r="K306" i="5"/>
  <c r="J306" i="5"/>
  <c r="I306" i="5"/>
  <c r="AX305" i="5" a="1"/>
  <c r="AX305" i="5" s="1"/>
  <c r="AW305" i="5"/>
  <c r="AH305" i="5"/>
  <c r="AG305" i="5"/>
  <c r="AE305" i="5"/>
  <c r="AD305" i="5"/>
  <c r="AC305" i="5"/>
  <c r="N305" i="5"/>
  <c r="M305" i="5"/>
  <c r="K305" i="5"/>
  <c r="J305" i="5"/>
  <c r="I305" i="5"/>
  <c r="AW304" i="5"/>
  <c r="AH304" i="5"/>
  <c r="AG304" i="5"/>
  <c r="AE304" i="5"/>
  <c r="AD304" i="5"/>
  <c r="AC304" i="5"/>
  <c r="N304" i="5"/>
  <c r="M304" i="5"/>
  <c r="K304" i="5"/>
  <c r="J304" i="5"/>
  <c r="I304" i="5"/>
  <c r="AW303" i="5"/>
  <c r="AH303" i="5"/>
  <c r="AG303" i="5"/>
  <c r="AE303" i="5"/>
  <c r="AD303" i="5"/>
  <c r="AC303" i="5"/>
  <c r="N303" i="5"/>
  <c r="M303" i="5"/>
  <c r="K303" i="5"/>
  <c r="J303" i="5"/>
  <c r="I303" i="5"/>
  <c r="AW302" i="5"/>
  <c r="AH302" i="5"/>
  <c r="AG302" i="5"/>
  <c r="AE302" i="5"/>
  <c r="AD302" i="5"/>
  <c r="AC302" i="5"/>
  <c r="N302" i="5"/>
  <c r="M302" i="5"/>
  <c r="K302" i="5"/>
  <c r="J302" i="5"/>
  <c r="I302" i="5"/>
  <c r="AW301" i="5"/>
  <c r="AH301" i="5"/>
  <c r="AG301" i="5"/>
  <c r="AE301" i="5"/>
  <c r="AD301" i="5"/>
  <c r="AC301" i="5"/>
  <c r="N301" i="5"/>
  <c r="M301" i="5"/>
  <c r="K301" i="5"/>
  <c r="J301" i="5"/>
  <c r="I301" i="5"/>
  <c r="AW300" i="5"/>
  <c r="AH300" i="5"/>
  <c r="AG300" i="5"/>
  <c r="AE300" i="5"/>
  <c r="AD300" i="5"/>
  <c r="AC300" i="5"/>
  <c r="N300" i="5"/>
  <c r="M300" i="5"/>
  <c r="K300" i="5"/>
  <c r="J300" i="5"/>
  <c r="I300" i="5"/>
  <c r="AX299" i="5" a="1"/>
  <c r="AX299" i="5" s="1"/>
  <c r="AW299" i="5"/>
  <c r="AH299" i="5"/>
  <c r="AG299" i="5"/>
  <c r="AE299" i="5"/>
  <c r="AD299" i="5"/>
  <c r="AC299" i="5"/>
  <c r="N299" i="5"/>
  <c r="M299" i="5"/>
  <c r="K299" i="5"/>
  <c r="J299" i="5"/>
  <c r="I299" i="5"/>
  <c r="AW298" i="5"/>
  <c r="AH298" i="5"/>
  <c r="AG298" i="5"/>
  <c r="AF298" i="5"/>
  <c r="AE298" i="5"/>
  <c r="AD298" i="5"/>
  <c r="AC298" i="5"/>
  <c r="N298" i="5"/>
  <c r="M298" i="5"/>
  <c r="L298" i="5"/>
  <c r="K298" i="5"/>
  <c r="J298" i="5"/>
  <c r="I298" i="5"/>
  <c r="AW297" i="5"/>
  <c r="AH297" i="5"/>
  <c r="AG297" i="5"/>
  <c r="AF297" i="5"/>
  <c r="AE297" i="5"/>
  <c r="AD297" i="5"/>
  <c r="AC297" i="5"/>
  <c r="N297" i="5"/>
  <c r="M297" i="5"/>
  <c r="L297" i="5"/>
  <c r="K297" i="5"/>
  <c r="J297" i="5"/>
  <c r="I297" i="5"/>
  <c r="AW296" i="5"/>
  <c r="AH296" i="5"/>
  <c r="AG296" i="5"/>
  <c r="AF296" i="5"/>
  <c r="AE296" i="5"/>
  <c r="AD296" i="5"/>
  <c r="AC296" i="5"/>
  <c r="N296" i="5"/>
  <c r="M296" i="5"/>
  <c r="L296" i="5"/>
  <c r="K296" i="5"/>
  <c r="J296" i="5"/>
  <c r="I296" i="5"/>
  <c r="AW295" i="5"/>
  <c r="AH295" i="5"/>
  <c r="AG295" i="5"/>
  <c r="AF295" i="5"/>
  <c r="AE295" i="5"/>
  <c r="AD295" i="5"/>
  <c r="AC295" i="5"/>
  <c r="N295" i="5"/>
  <c r="M295" i="5"/>
  <c r="L295" i="5"/>
  <c r="K295" i="5"/>
  <c r="J295" i="5"/>
  <c r="I295" i="5"/>
  <c r="AW294" i="5"/>
  <c r="AH294" i="5"/>
  <c r="AG294" i="5"/>
  <c r="AF294" i="5"/>
  <c r="AE294" i="5"/>
  <c r="AD294" i="5"/>
  <c r="AC294" i="5"/>
  <c r="N294" i="5"/>
  <c r="M294" i="5"/>
  <c r="L294" i="5"/>
  <c r="K294" i="5"/>
  <c r="J294" i="5"/>
  <c r="I294" i="5"/>
  <c r="AX293" i="5" a="1"/>
  <c r="AX293" i="5" s="1"/>
  <c r="AW293" i="5"/>
  <c r="AH293" i="5"/>
  <c r="AG293" i="5"/>
  <c r="AF293" i="5"/>
  <c r="AE293" i="5"/>
  <c r="AD293" i="5"/>
  <c r="AC293" i="5"/>
  <c r="N293" i="5"/>
  <c r="M293" i="5"/>
  <c r="L293" i="5"/>
  <c r="K293" i="5"/>
  <c r="J293" i="5"/>
  <c r="I293" i="5"/>
  <c r="AW292" i="5"/>
  <c r="AH292" i="5"/>
  <c r="AG292" i="5"/>
  <c r="AF292" i="5"/>
  <c r="AE292" i="5"/>
  <c r="AD292" i="5"/>
  <c r="AC292" i="5"/>
  <c r="N292" i="5"/>
  <c r="M292" i="5"/>
  <c r="L292" i="5"/>
  <c r="K292" i="5"/>
  <c r="J292" i="5"/>
  <c r="I292" i="5"/>
  <c r="AW291" i="5"/>
  <c r="AH291" i="5"/>
  <c r="AG291" i="5"/>
  <c r="AF291" i="5"/>
  <c r="AE291" i="5"/>
  <c r="AD291" i="5"/>
  <c r="AC291" i="5"/>
  <c r="N291" i="5"/>
  <c r="M291" i="5"/>
  <c r="L291" i="5"/>
  <c r="K291" i="5"/>
  <c r="J291" i="5"/>
  <c r="I291" i="5"/>
  <c r="AW290" i="5"/>
  <c r="AH290" i="5"/>
  <c r="AG290" i="5"/>
  <c r="AF290" i="5"/>
  <c r="AE290" i="5"/>
  <c r="AD290" i="5"/>
  <c r="AC290" i="5"/>
  <c r="N290" i="5"/>
  <c r="M290" i="5"/>
  <c r="L290" i="5"/>
  <c r="K290" i="5"/>
  <c r="J290" i="5"/>
  <c r="I290" i="5"/>
  <c r="AW289" i="5"/>
  <c r="AH289" i="5"/>
  <c r="AG289" i="5"/>
  <c r="AF289" i="5"/>
  <c r="AE289" i="5"/>
  <c r="AD289" i="5"/>
  <c r="AC289" i="5"/>
  <c r="N289" i="5"/>
  <c r="M289" i="5"/>
  <c r="L289" i="5"/>
  <c r="K289" i="5"/>
  <c r="J289" i="5"/>
  <c r="I289" i="5"/>
  <c r="AW288" i="5"/>
  <c r="AH288" i="5"/>
  <c r="AG288" i="5"/>
  <c r="AF288" i="5"/>
  <c r="AE288" i="5"/>
  <c r="AD288" i="5"/>
  <c r="AC288" i="5"/>
  <c r="N288" i="5"/>
  <c r="M288" i="5"/>
  <c r="L288" i="5"/>
  <c r="K288" i="5"/>
  <c r="J288" i="5"/>
  <c r="I288" i="5"/>
  <c r="AX287" i="5" a="1"/>
  <c r="AX287" i="5" s="1"/>
  <c r="AW287" i="5"/>
  <c r="AH287" i="5"/>
  <c r="AG287" i="5"/>
  <c r="AF287" i="5"/>
  <c r="AE287" i="5"/>
  <c r="AD287" i="5"/>
  <c r="AC287" i="5"/>
  <c r="N287" i="5"/>
  <c r="M287" i="5"/>
  <c r="L287" i="5"/>
  <c r="K287" i="5"/>
  <c r="J287" i="5"/>
  <c r="I287" i="5"/>
  <c r="AW286" i="5"/>
  <c r="AH286" i="5"/>
  <c r="AG286" i="5"/>
  <c r="AF286" i="5"/>
  <c r="AE286" i="5"/>
  <c r="AD286" i="5"/>
  <c r="AC286" i="5"/>
  <c r="N286" i="5"/>
  <c r="M286" i="5"/>
  <c r="L286" i="5"/>
  <c r="K286" i="5"/>
  <c r="J286" i="5"/>
  <c r="I286" i="5"/>
  <c r="AW285" i="5"/>
  <c r="AH285" i="5"/>
  <c r="AG285" i="5"/>
  <c r="AF285" i="5"/>
  <c r="AE285" i="5"/>
  <c r="AD285" i="5"/>
  <c r="AC285" i="5"/>
  <c r="N285" i="5"/>
  <c r="M285" i="5"/>
  <c r="L285" i="5"/>
  <c r="K285" i="5"/>
  <c r="J285" i="5"/>
  <c r="I285" i="5"/>
  <c r="AW284" i="5"/>
  <c r="AH284" i="5"/>
  <c r="AG284" i="5"/>
  <c r="AF284" i="5"/>
  <c r="AE284" i="5"/>
  <c r="AD284" i="5"/>
  <c r="AC284" i="5"/>
  <c r="N284" i="5"/>
  <c r="M284" i="5"/>
  <c r="L284" i="5"/>
  <c r="K284" i="5"/>
  <c r="J284" i="5"/>
  <c r="I284" i="5"/>
  <c r="AW283" i="5"/>
  <c r="AH283" i="5"/>
  <c r="AG283" i="5"/>
  <c r="AF283" i="5"/>
  <c r="AE283" i="5"/>
  <c r="AD283" i="5"/>
  <c r="AC283" i="5"/>
  <c r="N283" i="5"/>
  <c r="M283" i="5"/>
  <c r="L283" i="5"/>
  <c r="K283" i="5"/>
  <c r="J283" i="5"/>
  <c r="I283" i="5"/>
  <c r="AW282" i="5"/>
  <c r="AH282" i="5"/>
  <c r="AG282" i="5"/>
  <c r="AF282" i="5"/>
  <c r="AE282" i="5"/>
  <c r="AD282" i="5"/>
  <c r="AC282" i="5"/>
  <c r="N282" i="5"/>
  <c r="M282" i="5"/>
  <c r="L282" i="5"/>
  <c r="K282" i="5"/>
  <c r="J282" i="5"/>
  <c r="I282" i="5"/>
  <c r="AX281" i="5" a="1"/>
  <c r="AX281" i="5" s="1"/>
  <c r="AW281" i="5"/>
  <c r="AH281" i="5"/>
  <c r="AG281" i="5"/>
  <c r="AF281" i="5"/>
  <c r="AE281" i="5"/>
  <c r="AD281" i="5"/>
  <c r="AC281" i="5"/>
  <c r="N281" i="5"/>
  <c r="M281" i="5"/>
  <c r="L281" i="5"/>
  <c r="K281" i="5"/>
  <c r="J281" i="5"/>
  <c r="I281" i="5"/>
  <c r="AW280" i="5"/>
  <c r="AH280" i="5"/>
  <c r="AF280" i="5"/>
  <c r="AE280" i="5"/>
  <c r="AD280" i="5"/>
  <c r="AC280" i="5"/>
  <c r="N280" i="5"/>
  <c r="L280" i="5"/>
  <c r="K280" i="5"/>
  <c r="J280" i="5"/>
  <c r="I280" i="5"/>
  <c r="AW279" i="5"/>
  <c r="AH279" i="5"/>
  <c r="AF279" i="5"/>
  <c r="AE279" i="5"/>
  <c r="AD279" i="5"/>
  <c r="AC279" i="5"/>
  <c r="N279" i="5"/>
  <c r="L279" i="5"/>
  <c r="K279" i="5"/>
  <c r="J279" i="5"/>
  <c r="I279" i="5"/>
  <c r="AW278" i="5"/>
  <c r="AH278" i="5"/>
  <c r="AF278" i="5"/>
  <c r="AE278" i="5"/>
  <c r="AD278" i="5"/>
  <c r="AC278" i="5"/>
  <c r="N278" i="5"/>
  <c r="L278" i="5"/>
  <c r="K278" i="5"/>
  <c r="J278" i="5"/>
  <c r="I278" i="5"/>
  <c r="AW277" i="5"/>
  <c r="AH277" i="5"/>
  <c r="AF277" i="5"/>
  <c r="AE277" i="5"/>
  <c r="AD277" i="5"/>
  <c r="AC277" i="5"/>
  <c r="N277" i="5"/>
  <c r="L277" i="5"/>
  <c r="K277" i="5"/>
  <c r="J277" i="5"/>
  <c r="I277" i="5"/>
  <c r="AW276" i="5"/>
  <c r="AH276" i="5"/>
  <c r="AF276" i="5"/>
  <c r="AE276" i="5"/>
  <c r="AD276" i="5"/>
  <c r="AC276" i="5"/>
  <c r="N276" i="5"/>
  <c r="L276" i="5"/>
  <c r="K276" i="5"/>
  <c r="J276" i="5"/>
  <c r="I276" i="5"/>
  <c r="AX275" i="5" a="1"/>
  <c r="AX275" i="5" s="1"/>
  <c r="AW275" i="5"/>
  <c r="AH275" i="5"/>
  <c r="AF275" i="5"/>
  <c r="AE275" i="5"/>
  <c r="AD275" i="5"/>
  <c r="AC275" i="5"/>
  <c r="N275" i="5"/>
  <c r="L275" i="5"/>
  <c r="K275" i="5"/>
  <c r="J275" i="5"/>
  <c r="I275" i="5"/>
  <c r="AW274" i="5"/>
  <c r="AH274" i="5"/>
  <c r="AF274" i="5"/>
  <c r="AE274" i="5"/>
  <c r="AD274" i="5"/>
  <c r="AC274" i="5"/>
  <c r="N274" i="5"/>
  <c r="L274" i="5"/>
  <c r="K274" i="5"/>
  <c r="J274" i="5"/>
  <c r="I274" i="5"/>
  <c r="AW273" i="5"/>
  <c r="AH273" i="5"/>
  <c r="AF273" i="5"/>
  <c r="AE273" i="5"/>
  <c r="AD273" i="5"/>
  <c r="AC273" i="5"/>
  <c r="N273" i="5"/>
  <c r="L273" i="5"/>
  <c r="K273" i="5"/>
  <c r="J273" i="5"/>
  <c r="I273" i="5"/>
  <c r="AW272" i="5"/>
  <c r="AH272" i="5"/>
  <c r="AF272" i="5"/>
  <c r="AE272" i="5"/>
  <c r="AD272" i="5"/>
  <c r="AC272" i="5"/>
  <c r="N272" i="5"/>
  <c r="L272" i="5"/>
  <c r="K272" i="5"/>
  <c r="J272" i="5"/>
  <c r="I272" i="5"/>
  <c r="AW271" i="5"/>
  <c r="AH271" i="5"/>
  <c r="AF271" i="5"/>
  <c r="AE271" i="5"/>
  <c r="AD271" i="5"/>
  <c r="AC271" i="5"/>
  <c r="N271" i="5"/>
  <c r="L271" i="5"/>
  <c r="K271" i="5"/>
  <c r="J271" i="5"/>
  <c r="I271" i="5"/>
  <c r="AW270" i="5"/>
  <c r="AH270" i="5"/>
  <c r="AF270" i="5"/>
  <c r="AE270" i="5"/>
  <c r="AD270" i="5"/>
  <c r="AC270" i="5"/>
  <c r="N270" i="5"/>
  <c r="L270" i="5"/>
  <c r="K270" i="5"/>
  <c r="J270" i="5"/>
  <c r="I270" i="5"/>
  <c r="AX269" i="5" a="1"/>
  <c r="AX269" i="5" s="1"/>
  <c r="AW269" i="5"/>
  <c r="AH269" i="5"/>
  <c r="AF269" i="5"/>
  <c r="AE269" i="5"/>
  <c r="AD269" i="5"/>
  <c r="AC269" i="5"/>
  <c r="N269" i="5"/>
  <c r="L269" i="5"/>
  <c r="K269" i="5"/>
  <c r="J269" i="5"/>
  <c r="I269" i="5"/>
  <c r="AW268" i="5"/>
  <c r="AH268" i="5"/>
  <c r="AF268" i="5"/>
  <c r="AE268" i="5"/>
  <c r="AD268" i="5"/>
  <c r="AC268" i="5"/>
  <c r="N268" i="5"/>
  <c r="L268" i="5"/>
  <c r="K268" i="5"/>
  <c r="J268" i="5"/>
  <c r="I268" i="5"/>
  <c r="AW267" i="5"/>
  <c r="AH267" i="5"/>
  <c r="AF267" i="5"/>
  <c r="AE267" i="5"/>
  <c r="AD267" i="5"/>
  <c r="AC267" i="5"/>
  <c r="N267" i="5"/>
  <c r="L267" i="5"/>
  <c r="K267" i="5"/>
  <c r="J267" i="5"/>
  <c r="I267" i="5"/>
  <c r="AW266" i="5"/>
  <c r="AH266" i="5"/>
  <c r="AF266" i="5"/>
  <c r="AE266" i="5"/>
  <c r="AD266" i="5"/>
  <c r="AC266" i="5"/>
  <c r="N266" i="5"/>
  <c r="L266" i="5"/>
  <c r="K266" i="5"/>
  <c r="J266" i="5"/>
  <c r="I266" i="5"/>
  <c r="AW265" i="5"/>
  <c r="AH265" i="5"/>
  <c r="AF265" i="5"/>
  <c r="AE265" i="5"/>
  <c r="AD265" i="5"/>
  <c r="AC265" i="5"/>
  <c r="N265" i="5"/>
  <c r="L265" i="5"/>
  <c r="K265" i="5"/>
  <c r="J265" i="5"/>
  <c r="I265" i="5"/>
  <c r="AW264" i="5"/>
  <c r="AH264" i="5"/>
  <c r="AF264" i="5"/>
  <c r="AE264" i="5"/>
  <c r="AD264" i="5"/>
  <c r="AC264" i="5"/>
  <c r="N264" i="5"/>
  <c r="L264" i="5"/>
  <c r="K264" i="5"/>
  <c r="J264" i="5"/>
  <c r="I264" i="5"/>
  <c r="AX263" i="5" a="1"/>
  <c r="AX263" i="5" s="1"/>
  <c r="AW263" i="5"/>
  <c r="AH263" i="5"/>
  <c r="AF263" i="5"/>
  <c r="AE263" i="5"/>
  <c r="AD263" i="5"/>
  <c r="AC263" i="5"/>
  <c r="N263" i="5"/>
  <c r="L263" i="5"/>
  <c r="K263" i="5"/>
  <c r="J263" i="5"/>
  <c r="I263" i="5"/>
  <c r="AW262" i="5"/>
  <c r="AH262" i="5"/>
  <c r="AF262" i="5"/>
  <c r="AE262" i="5"/>
  <c r="AD262" i="5"/>
  <c r="AC262" i="5"/>
  <c r="N262" i="5"/>
  <c r="L262" i="5"/>
  <c r="K262" i="5"/>
  <c r="J262" i="5"/>
  <c r="I262" i="5"/>
  <c r="AW261" i="5"/>
  <c r="AH261" i="5"/>
  <c r="AF261" i="5"/>
  <c r="AE261" i="5"/>
  <c r="AD261" i="5"/>
  <c r="AC261" i="5"/>
  <c r="N261" i="5"/>
  <c r="L261" i="5"/>
  <c r="K261" i="5"/>
  <c r="J261" i="5"/>
  <c r="I261" i="5"/>
  <c r="AW260" i="5"/>
  <c r="AH260" i="5"/>
  <c r="AF260" i="5"/>
  <c r="AE260" i="5"/>
  <c r="AD260" i="5"/>
  <c r="AC260" i="5"/>
  <c r="N260" i="5"/>
  <c r="L260" i="5"/>
  <c r="K260" i="5"/>
  <c r="J260" i="5"/>
  <c r="I260" i="5"/>
  <c r="AW259" i="5"/>
  <c r="AH259" i="5"/>
  <c r="AF259" i="5"/>
  <c r="AE259" i="5"/>
  <c r="AD259" i="5"/>
  <c r="AC259" i="5"/>
  <c r="N259" i="5"/>
  <c r="L259" i="5"/>
  <c r="K259" i="5"/>
  <c r="J259" i="5"/>
  <c r="I259" i="5"/>
  <c r="AW258" i="5"/>
  <c r="AH258" i="5"/>
  <c r="AF258" i="5"/>
  <c r="AE258" i="5"/>
  <c r="AD258" i="5"/>
  <c r="AC258" i="5"/>
  <c r="N258" i="5"/>
  <c r="L258" i="5"/>
  <c r="K258" i="5"/>
  <c r="J258" i="5"/>
  <c r="I258" i="5"/>
  <c r="AX257" i="5" a="1"/>
  <c r="AX257" i="5" s="1"/>
  <c r="AW257" i="5"/>
  <c r="AH257" i="5"/>
  <c r="AF257" i="5"/>
  <c r="AE257" i="5"/>
  <c r="AD257" i="5"/>
  <c r="AC257" i="5"/>
  <c r="N257" i="5"/>
  <c r="L257" i="5"/>
  <c r="K257" i="5"/>
  <c r="J257" i="5"/>
  <c r="I257" i="5"/>
  <c r="AW256" i="5"/>
  <c r="AH256" i="5"/>
  <c r="AF256" i="5"/>
  <c r="AE256" i="5"/>
  <c r="AD256" i="5"/>
  <c r="AC256" i="5"/>
  <c r="N256" i="5"/>
  <c r="L256" i="5"/>
  <c r="K256" i="5"/>
  <c r="J256" i="5"/>
  <c r="I256" i="5"/>
  <c r="AW255" i="5"/>
  <c r="AH255" i="5"/>
  <c r="AF255" i="5"/>
  <c r="AE255" i="5"/>
  <c r="AD255" i="5"/>
  <c r="AC255" i="5"/>
  <c r="N255" i="5"/>
  <c r="L255" i="5"/>
  <c r="K255" i="5"/>
  <c r="J255" i="5"/>
  <c r="I255" i="5"/>
  <c r="AW254" i="5"/>
  <c r="AH254" i="5"/>
  <c r="AF254" i="5"/>
  <c r="AE254" i="5"/>
  <c r="AD254" i="5"/>
  <c r="AC254" i="5"/>
  <c r="N254" i="5"/>
  <c r="L254" i="5"/>
  <c r="K254" i="5"/>
  <c r="J254" i="5"/>
  <c r="I254" i="5"/>
  <c r="AW253" i="5"/>
  <c r="AH253" i="5"/>
  <c r="AF253" i="5"/>
  <c r="AE253" i="5"/>
  <c r="AD253" i="5"/>
  <c r="AC253" i="5"/>
  <c r="N253" i="5"/>
  <c r="L253" i="5"/>
  <c r="K253" i="5"/>
  <c r="J253" i="5"/>
  <c r="I253" i="5"/>
  <c r="AW252" i="5"/>
  <c r="AH252" i="5"/>
  <c r="AF252" i="5"/>
  <c r="AE252" i="5"/>
  <c r="AD252" i="5"/>
  <c r="AC252" i="5"/>
  <c r="N252" i="5"/>
  <c r="L252" i="5"/>
  <c r="K252" i="5"/>
  <c r="J252" i="5"/>
  <c r="I252" i="5"/>
  <c r="AX251" i="5" a="1"/>
  <c r="AX251" i="5" s="1"/>
  <c r="AW251" i="5"/>
  <c r="AH251" i="5"/>
  <c r="AF251" i="5"/>
  <c r="AE251" i="5"/>
  <c r="AD251" i="5"/>
  <c r="AC251" i="5"/>
  <c r="N251" i="5"/>
  <c r="L251" i="5"/>
  <c r="K251" i="5"/>
  <c r="J251" i="5"/>
  <c r="I251" i="5"/>
  <c r="AW250" i="5"/>
  <c r="AH250" i="5"/>
  <c r="AF250" i="5"/>
  <c r="AE250" i="5"/>
  <c r="AD250" i="5"/>
  <c r="AC250" i="5"/>
  <c r="N250" i="5"/>
  <c r="L250" i="5"/>
  <c r="K250" i="5"/>
  <c r="J250" i="5"/>
  <c r="I250" i="5"/>
  <c r="AW249" i="5"/>
  <c r="AH249" i="5"/>
  <c r="AF249" i="5"/>
  <c r="AE249" i="5"/>
  <c r="AD249" i="5"/>
  <c r="AC249" i="5"/>
  <c r="N249" i="5"/>
  <c r="L249" i="5"/>
  <c r="K249" i="5"/>
  <c r="J249" i="5"/>
  <c r="I249" i="5"/>
  <c r="AW248" i="5"/>
  <c r="AH248" i="5"/>
  <c r="AF248" i="5"/>
  <c r="AE248" i="5"/>
  <c r="AD248" i="5"/>
  <c r="AC248" i="5"/>
  <c r="N248" i="5"/>
  <c r="L248" i="5"/>
  <c r="K248" i="5"/>
  <c r="J248" i="5"/>
  <c r="I248" i="5"/>
  <c r="AW247" i="5"/>
  <c r="AH247" i="5"/>
  <c r="AF247" i="5"/>
  <c r="AE247" i="5"/>
  <c r="AD247" i="5"/>
  <c r="AC247" i="5"/>
  <c r="N247" i="5"/>
  <c r="L247" i="5"/>
  <c r="K247" i="5"/>
  <c r="J247" i="5"/>
  <c r="I247" i="5"/>
  <c r="AW246" i="5"/>
  <c r="AH246" i="5"/>
  <c r="AF246" i="5"/>
  <c r="AE246" i="5"/>
  <c r="AD246" i="5"/>
  <c r="AC246" i="5"/>
  <c r="N246" i="5"/>
  <c r="L246" i="5"/>
  <c r="K246" i="5"/>
  <c r="J246" i="5"/>
  <c r="I246" i="5"/>
  <c r="AX245" i="5" a="1"/>
  <c r="AX245" i="5" s="1"/>
  <c r="AW245" i="5"/>
  <c r="AH245" i="5"/>
  <c r="AF245" i="5"/>
  <c r="AE245" i="5"/>
  <c r="AD245" i="5"/>
  <c r="AC245" i="5"/>
  <c r="N245" i="5"/>
  <c r="L245" i="5"/>
  <c r="K245" i="5"/>
  <c r="J245" i="5"/>
  <c r="I245" i="5"/>
  <c r="AW244" i="5"/>
  <c r="AH244" i="5"/>
  <c r="AF244" i="5"/>
  <c r="AE244" i="5"/>
  <c r="AD244" i="5"/>
  <c r="AC244" i="5"/>
  <c r="N244" i="5"/>
  <c r="L244" i="5"/>
  <c r="K244" i="5"/>
  <c r="J244" i="5"/>
  <c r="I244" i="5"/>
  <c r="AW243" i="5"/>
  <c r="AH243" i="5"/>
  <c r="AF243" i="5"/>
  <c r="AE243" i="5"/>
  <c r="AD243" i="5"/>
  <c r="AC243" i="5"/>
  <c r="N243" i="5"/>
  <c r="L243" i="5"/>
  <c r="K243" i="5"/>
  <c r="J243" i="5"/>
  <c r="I243" i="5"/>
  <c r="AW242" i="5"/>
  <c r="AH242" i="5"/>
  <c r="AF242" i="5"/>
  <c r="AE242" i="5"/>
  <c r="AD242" i="5"/>
  <c r="AC242" i="5"/>
  <c r="N242" i="5"/>
  <c r="L242" i="5"/>
  <c r="K242" i="5"/>
  <c r="J242" i="5"/>
  <c r="I242" i="5"/>
  <c r="AW241" i="5"/>
  <c r="AH241" i="5"/>
  <c r="AF241" i="5"/>
  <c r="AE241" i="5"/>
  <c r="AD241" i="5"/>
  <c r="AC241" i="5"/>
  <c r="N241" i="5"/>
  <c r="L241" i="5"/>
  <c r="K241" i="5"/>
  <c r="J241" i="5"/>
  <c r="I241" i="5"/>
  <c r="AW240" i="5"/>
  <c r="AH240" i="5"/>
  <c r="AF240" i="5"/>
  <c r="AE240" i="5"/>
  <c r="AD240" i="5"/>
  <c r="AC240" i="5"/>
  <c r="N240" i="5"/>
  <c r="L240" i="5"/>
  <c r="K240" i="5"/>
  <c r="J240" i="5"/>
  <c r="I240" i="5"/>
  <c r="AX239" i="5" a="1"/>
  <c r="AX239" i="5" s="1"/>
  <c r="AW239" i="5"/>
  <c r="AH239" i="5"/>
  <c r="AF239" i="5"/>
  <c r="AE239" i="5"/>
  <c r="AD239" i="5"/>
  <c r="AC239" i="5"/>
  <c r="N239" i="5"/>
  <c r="L239" i="5"/>
  <c r="K239" i="5"/>
  <c r="J239" i="5"/>
  <c r="I239" i="5"/>
  <c r="AW238" i="5"/>
  <c r="AH238" i="5"/>
  <c r="AF238" i="5"/>
  <c r="AE238" i="5"/>
  <c r="AD238" i="5"/>
  <c r="AC238" i="5"/>
  <c r="N238" i="5"/>
  <c r="L238" i="5"/>
  <c r="K238" i="5"/>
  <c r="J238" i="5"/>
  <c r="I238" i="5"/>
  <c r="AW237" i="5"/>
  <c r="AH237" i="5"/>
  <c r="AF237" i="5"/>
  <c r="AE237" i="5"/>
  <c r="AD237" i="5"/>
  <c r="AC237" i="5"/>
  <c r="N237" i="5"/>
  <c r="L237" i="5"/>
  <c r="K237" i="5"/>
  <c r="J237" i="5"/>
  <c r="I237" i="5"/>
  <c r="AW236" i="5"/>
  <c r="AH236" i="5"/>
  <c r="AF236" i="5"/>
  <c r="AE236" i="5"/>
  <c r="AD236" i="5"/>
  <c r="AC236" i="5"/>
  <c r="N236" i="5"/>
  <c r="L236" i="5"/>
  <c r="K236" i="5"/>
  <c r="J236" i="5"/>
  <c r="I236" i="5"/>
  <c r="AW235" i="5"/>
  <c r="AH235" i="5"/>
  <c r="AF235" i="5"/>
  <c r="AE235" i="5"/>
  <c r="AD235" i="5"/>
  <c r="AC235" i="5"/>
  <c r="N235" i="5"/>
  <c r="L235" i="5"/>
  <c r="K235" i="5"/>
  <c r="J235" i="5"/>
  <c r="I235" i="5"/>
  <c r="AW234" i="5"/>
  <c r="AH234" i="5"/>
  <c r="AF234" i="5"/>
  <c r="AE234" i="5"/>
  <c r="AD234" i="5"/>
  <c r="AC234" i="5"/>
  <c r="N234" i="5"/>
  <c r="L234" i="5"/>
  <c r="K234" i="5"/>
  <c r="J234" i="5"/>
  <c r="I234" i="5"/>
  <c r="AX233" i="5" a="1"/>
  <c r="AX233" i="5" s="1"/>
  <c r="AW233" i="5"/>
  <c r="AH233" i="5"/>
  <c r="AF233" i="5"/>
  <c r="AE233" i="5"/>
  <c r="AD233" i="5"/>
  <c r="AC233" i="5"/>
  <c r="N233" i="5"/>
  <c r="L233" i="5"/>
  <c r="K233" i="5"/>
  <c r="J233" i="5"/>
  <c r="I233" i="5"/>
  <c r="AW232" i="5"/>
  <c r="AH232" i="5"/>
  <c r="AF232" i="5"/>
  <c r="AE232" i="5"/>
  <c r="AD232" i="5"/>
  <c r="AC232" i="5"/>
  <c r="N232" i="5"/>
  <c r="L232" i="5"/>
  <c r="K232" i="5"/>
  <c r="J232" i="5"/>
  <c r="I232" i="5"/>
  <c r="AW231" i="5"/>
  <c r="AH231" i="5"/>
  <c r="AF231" i="5"/>
  <c r="AE231" i="5"/>
  <c r="AD231" i="5"/>
  <c r="AC231" i="5"/>
  <c r="N231" i="5"/>
  <c r="L231" i="5"/>
  <c r="K231" i="5"/>
  <c r="J231" i="5"/>
  <c r="I231" i="5"/>
  <c r="AW230" i="5"/>
  <c r="AH230" i="5"/>
  <c r="AF230" i="5"/>
  <c r="AE230" i="5"/>
  <c r="AD230" i="5"/>
  <c r="AC230" i="5"/>
  <c r="N230" i="5"/>
  <c r="L230" i="5"/>
  <c r="K230" i="5"/>
  <c r="J230" i="5"/>
  <c r="I230" i="5"/>
  <c r="AW229" i="5"/>
  <c r="AH229" i="5"/>
  <c r="AF229" i="5"/>
  <c r="AE229" i="5"/>
  <c r="AD229" i="5"/>
  <c r="AC229" i="5"/>
  <c r="N229" i="5"/>
  <c r="L229" i="5"/>
  <c r="K229" i="5"/>
  <c r="J229" i="5"/>
  <c r="I229" i="5"/>
  <c r="AW228" i="5"/>
  <c r="AH228" i="5"/>
  <c r="AF228" i="5"/>
  <c r="AE228" i="5"/>
  <c r="AD228" i="5"/>
  <c r="AC228" i="5"/>
  <c r="N228" i="5"/>
  <c r="L228" i="5"/>
  <c r="K228" i="5"/>
  <c r="J228" i="5"/>
  <c r="I228" i="5"/>
  <c r="AX227" i="5" a="1"/>
  <c r="AX227" i="5" s="1"/>
  <c r="AW227" i="5"/>
  <c r="AH227" i="5"/>
  <c r="AF227" i="5"/>
  <c r="AE227" i="5"/>
  <c r="AD227" i="5"/>
  <c r="AC227" i="5"/>
  <c r="N227" i="5"/>
  <c r="L227" i="5"/>
  <c r="K227" i="5"/>
  <c r="J227" i="5"/>
  <c r="I227" i="5"/>
  <c r="AW226" i="5"/>
  <c r="AH226" i="5"/>
  <c r="AF226" i="5"/>
  <c r="AE226" i="5"/>
  <c r="AD226" i="5"/>
  <c r="AC226" i="5"/>
  <c r="N226" i="5"/>
  <c r="L226" i="5"/>
  <c r="K226" i="5"/>
  <c r="J226" i="5"/>
  <c r="I226" i="5"/>
  <c r="AW225" i="5"/>
  <c r="AH225" i="5"/>
  <c r="AF225" i="5"/>
  <c r="AE225" i="5"/>
  <c r="AD225" i="5"/>
  <c r="AC225" i="5"/>
  <c r="N225" i="5"/>
  <c r="L225" i="5"/>
  <c r="K225" i="5"/>
  <c r="J225" i="5"/>
  <c r="I225" i="5"/>
  <c r="AW224" i="5"/>
  <c r="AH224" i="5"/>
  <c r="AF224" i="5"/>
  <c r="AE224" i="5"/>
  <c r="AD224" i="5"/>
  <c r="AC224" i="5"/>
  <c r="N224" i="5"/>
  <c r="L224" i="5"/>
  <c r="K224" i="5"/>
  <c r="J224" i="5"/>
  <c r="I224" i="5"/>
  <c r="AW223" i="5"/>
  <c r="AH223" i="5"/>
  <c r="AF223" i="5"/>
  <c r="AE223" i="5"/>
  <c r="AD223" i="5"/>
  <c r="AC223" i="5"/>
  <c r="N223" i="5"/>
  <c r="L223" i="5"/>
  <c r="K223" i="5"/>
  <c r="J223" i="5"/>
  <c r="I223" i="5"/>
  <c r="AW222" i="5"/>
  <c r="AH222" i="5"/>
  <c r="AF222" i="5"/>
  <c r="AE222" i="5"/>
  <c r="AD222" i="5"/>
  <c r="AC222" i="5"/>
  <c r="N222" i="5"/>
  <c r="L222" i="5"/>
  <c r="K222" i="5"/>
  <c r="J222" i="5"/>
  <c r="I222" i="5"/>
  <c r="AX221" i="5" a="1"/>
  <c r="AX221" i="5" s="1"/>
  <c r="AW221" i="5"/>
  <c r="AH221" i="5"/>
  <c r="AF221" i="5"/>
  <c r="AE221" i="5"/>
  <c r="AD221" i="5"/>
  <c r="AC221" i="5"/>
  <c r="N221" i="5"/>
  <c r="L221" i="5"/>
  <c r="K221" i="5"/>
  <c r="J221" i="5"/>
  <c r="I221" i="5"/>
  <c r="AW220" i="5"/>
  <c r="AH220" i="5"/>
  <c r="AF220" i="5"/>
  <c r="AE220" i="5"/>
  <c r="AD220" i="5"/>
  <c r="AC220" i="5"/>
  <c r="N220" i="5"/>
  <c r="L220" i="5"/>
  <c r="K220" i="5"/>
  <c r="J220" i="5"/>
  <c r="I220" i="5"/>
  <c r="AW219" i="5"/>
  <c r="AH219" i="5"/>
  <c r="AF219" i="5"/>
  <c r="AE219" i="5"/>
  <c r="AD219" i="5"/>
  <c r="AC219" i="5"/>
  <c r="N219" i="5"/>
  <c r="L219" i="5"/>
  <c r="K219" i="5"/>
  <c r="J219" i="5"/>
  <c r="I219" i="5"/>
  <c r="AW218" i="5"/>
  <c r="AH218" i="5"/>
  <c r="AF218" i="5"/>
  <c r="AE218" i="5"/>
  <c r="AD218" i="5"/>
  <c r="AC218" i="5"/>
  <c r="N218" i="5"/>
  <c r="L218" i="5"/>
  <c r="K218" i="5"/>
  <c r="J218" i="5"/>
  <c r="I218" i="5"/>
  <c r="AW217" i="5"/>
  <c r="AH217" i="5"/>
  <c r="AF217" i="5"/>
  <c r="AE217" i="5"/>
  <c r="AD217" i="5"/>
  <c r="AC217" i="5"/>
  <c r="N217" i="5"/>
  <c r="L217" i="5"/>
  <c r="K217" i="5"/>
  <c r="J217" i="5"/>
  <c r="I217" i="5"/>
  <c r="AW216" i="5"/>
  <c r="AH216" i="5"/>
  <c r="AF216" i="5"/>
  <c r="AE216" i="5"/>
  <c r="AD216" i="5"/>
  <c r="AC216" i="5"/>
  <c r="N216" i="5"/>
  <c r="L216" i="5"/>
  <c r="K216" i="5"/>
  <c r="J216" i="5"/>
  <c r="I216" i="5"/>
  <c r="AX215" i="5" a="1"/>
  <c r="AX215" i="5" s="1"/>
  <c r="AW215" i="5"/>
  <c r="AH215" i="5"/>
  <c r="AF215" i="5"/>
  <c r="AE215" i="5"/>
  <c r="AD215" i="5"/>
  <c r="AC215" i="5"/>
  <c r="N215" i="5"/>
  <c r="L215" i="5"/>
  <c r="K215" i="5"/>
  <c r="J215" i="5"/>
  <c r="I215" i="5"/>
  <c r="AW214" i="5"/>
  <c r="AH214" i="5"/>
  <c r="AF214" i="5"/>
  <c r="AE214" i="5"/>
  <c r="AD214" i="5"/>
  <c r="AC214" i="5"/>
  <c r="N214" i="5"/>
  <c r="L214" i="5"/>
  <c r="K214" i="5"/>
  <c r="J214" i="5"/>
  <c r="I214" i="5"/>
  <c r="AW213" i="5"/>
  <c r="AH213" i="5"/>
  <c r="AF213" i="5"/>
  <c r="AE213" i="5"/>
  <c r="AD213" i="5"/>
  <c r="AC213" i="5"/>
  <c r="N213" i="5"/>
  <c r="L213" i="5"/>
  <c r="K213" i="5"/>
  <c r="J213" i="5"/>
  <c r="I213" i="5"/>
  <c r="AW212" i="5"/>
  <c r="AH212" i="5"/>
  <c r="AF212" i="5"/>
  <c r="AE212" i="5"/>
  <c r="AD212" i="5"/>
  <c r="AC212" i="5"/>
  <c r="N212" i="5"/>
  <c r="L212" i="5"/>
  <c r="K212" i="5"/>
  <c r="J212" i="5"/>
  <c r="I212" i="5"/>
  <c r="AW211" i="5"/>
  <c r="AH211" i="5"/>
  <c r="AF211" i="5"/>
  <c r="AE211" i="5"/>
  <c r="AD211" i="5"/>
  <c r="AC211" i="5"/>
  <c r="N211" i="5"/>
  <c r="L211" i="5"/>
  <c r="K211" i="5"/>
  <c r="J211" i="5"/>
  <c r="I211" i="5"/>
  <c r="AW210" i="5"/>
  <c r="AH210" i="5"/>
  <c r="AF210" i="5"/>
  <c r="AE210" i="5"/>
  <c r="AD210" i="5"/>
  <c r="AC210" i="5"/>
  <c r="N210" i="5"/>
  <c r="L210" i="5"/>
  <c r="K210" i="5"/>
  <c r="J210" i="5"/>
  <c r="I210" i="5"/>
  <c r="AX209" i="5" a="1"/>
  <c r="AX209" i="5" s="1"/>
  <c r="AW209" i="5"/>
  <c r="AH209" i="5"/>
  <c r="AF209" i="5"/>
  <c r="AE209" i="5"/>
  <c r="AD209" i="5"/>
  <c r="AC209" i="5"/>
  <c r="N209" i="5"/>
  <c r="L209" i="5"/>
  <c r="K209" i="5"/>
  <c r="J209" i="5"/>
  <c r="I209" i="5"/>
  <c r="AW208" i="5"/>
  <c r="AH208" i="5"/>
  <c r="AF208" i="5"/>
  <c r="AE208" i="5"/>
  <c r="AD208" i="5"/>
  <c r="AC208" i="5"/>
  <c r="N208" i="5"/>
  <c r="L208" i="5"/>
  <c r="K208" i="5"/>
  <c r="J208" i="5"/>
  <c r="I208" i="5"/>
  <c r="AW207" i="5"/>
  <c r="AH207" i="5"/>
  <c r="AF207" i="5"/>
  <c r="AE207" i="5"/>
  <c r="AD207" i="5"/>
  <c r="AC207" i="5"/>
  <c r="N207" i="5"/>
  <c r="L207" i="5"/>
  <c r="K207" i="5"/>
  <c r="J207" i="5"/>
  <c r="I207" i="5"/>
  <c r="AW206" i="5"/>
  <c r="AH206" i="5"/>
  <c r="AF206" i="5"/>
  <c r="AE206" i="5"/>
  <c r="AD206" i="5"/>
  <c r="AC206" i="5"/>
  <c r="N206" i="5"/>
  <c r="L206" i="5"/>
  <c r="K206" i="5"/>
  <c r="J206" i="5"/>
  <c r="I206" i="5"/>
  <c r="AW205" i="5"/>
  <c r="AH205" i="5"/>
  <c r="AF205" i="5"/>
  <c r="AE205" i="5"/>
  <c r="AD205" i="5"/>
  <c r="AC205" i="5"/>
  <c r="N205" i="5"/>
  <c r="L205" i="5"/>
  <c r="K205" i="5"/>
  <c r="J205" i="5"/>
  <c r="I205" i="5"/>
  <c r="AW204" i="5"/>
  <c r="AH204" i="5"/>
  <c r="AF204" i="5"/>
  <c r="AE204" i="5"/>
  <c r="AD204" i="5"/>
  <c r="AC204" i="5"/>
  <c r="N204" i="5"/>
  <c r="L204" i="5"/>
  <c r="K204" i="5"/>
  <c r="J204" i="5"/>
  <c r="I204" i="5"/>
  <c r="AX203" i="5" a="1"/>
  <c r="AX203" i="5" s="1"/>
  <c r="AW203" i="5"/>
  <c r="AH203" i="5"/>
  <c r="AF203" i="5"/>
  <c r="AE203" i="5"/>
  <c r="AD203" i="5"/>
  <c r="AC203" i="5"/>
  <c r="N203" i="5"/>
  <c r="L203" i="5"/>
  <c r="K203" i="5"/>
  <c r="J203" i="5"/>
  <c r="I203" i="5"/>
  <c r="AW202" i="5"/>
  <c r="AH202" i="5"/>
  <c r="AF202" i="5"/>
  <c r="AE202" i="5"/>
  <c r="AD202" i="5"/>
  <c r="AC202" i="5"/>
  <c r="N202" i="5"/>
  <c r="L202" i="5"/>
  <c r="K202" i="5"/>
  <c r="J202" i="5"/>
  <c r="I202" i="5"/>
  <c r="AW201" i="5"/>
  <c r="AH201" i="5"/>
  <c r="AF201" i="5"/>
  <c r="AE201" i="5"/>
  <c r="AD201" i="5"/>
  <c r="AC201" i="5"/>
  <c r="N201" i="5"/>
  <c r="L201" i="5"/>
  <c r="K201" i="5"/>
  <c r="J201" i="5"/>
  <c r="I201" i="5"/>
  <c r="AW200" i="5"/>
  <c r="AH200" i="5"/>
  <c r="AF200" i="5"/>
  <c r="AE200" i="5"/>
  <c r="AD200" i="5"/>
  <c r="AC200" i="5"/>
  <c r="N200" i="5"/>
  <c r="L200" i="5"/>
  <c r="K200" i="5"/>
  <c r="J200" i="5"/>
  <c r="I200" i="5"/>
  <c r="AW199" i="5"/>
  <c r="AH199" i="5"/>
  <c r="AF199" i="5"/>
  <c r="AE199" i="5"/>
  <c r="AD199" i="5"/>
  <c r="AC199" i="5"/>
  <c r="N199" i="5"/>
  <c r="L199" i="5"/>
  <c r="K199" i="5"/>
  <c r="J199" i="5"/>
  <c r="I199" i="5"/>
  <c r="AW198" i="5"/>
  <c r="AH198" i="5"/>
  <c r="AF198" i="5"/>
  <c r="AE198" i="5"/>
  <c r="AD198" i="5"/>
  <c r="AC198" i="5"/>
  <c r="N198" i="5"/>
  <c r="L198" i="5"/>
  <c r="K198" i="5"/>
  <c r="J198" i="5"/>
  <c r="I198" i="5"/>
  <c r="AX197" i="5" a="1"/>
  <c r="AX197" i="5" s="1"/>
  <c r="AW197" i="5"/>
  <c r="AH197" i="5"/>
  <c r="AF197" i="5"/>
  <c r="AE197" i="5"/>
  <c r="AD197" i="5"/>
  <c r="AC197" i="5"/>
  <c r="N197" i="5"/>
  <c r="L197" i="5"/>
  <c r="K197" i="5"/>
  <c r="J197" i="5"/>
  <c r="I197" i="5"/>
  <c r="AW196" i="5"/>
  <c r="AH196" i="5"/>
  <c r="AF196" i="5"/>
  <c r="AE196" i="5"/>
  <c r="AD196" i="5"/>
  <c r="AC196" i="5"/>
  <c r="N196" i="5"/>
  <c r="L196" i="5"/>
  <c r="K196" i="5"/>
  <c r="J196" i="5"/>
  <c r="I196" i="5"/>
  <c r="AW195" i="5"/>
  <c r="AH195" i="5"/>
  <c r="AF195" i="5"/>
  <c r="AE195" i="5"/>
  <c r="AD195" i="5"/>
  <c r="AC195" i="5"/>
  <c r="N195" i="5"/>
  <c r="L195" i="5"/>
  <c r="K195" i="5"/>
  <c r="J195" i="5"/>
  <c r="I195" i="5"/>
  <c r="AW194" i="5"/>
  <c r="AH194" i="5"/>
  <c r="AF194" i="5"/>
  <c r="AE194" i="5"/>
  <c r="AD194" i="5"/>
  <c r="AC194" i="5"/>
  <c r="N194" i="5"/>
  <c r="L194" i="5"/>
  <c r="K194" i="5"/>
  <c r="J194" i="5"/>
  <c r="I194" i="5"/>
  <c r="AW193" i="5"/>
  <c r="AH193" i="5"/>
  <c r="AF193" i="5"/>
  <c r="AE193" i="5"/>
  <c r="AD193" i="5"/>
  <c r="AC193" i="5"/>
  <c r="N193" i="5"/>
  <c r="L193" i="5"/>
  <c r="K193" i="5"/>
  <c r="J193" i="5"/>
  <c r="I193" i="5"/>
  <c r="AW192" i="5"/>
  <c r="AH192" i="5"/>
  <c r="AF192" i="5"/>
  <c r="AE192" i="5"/>
  <c r="AD192" i="5"/>
  <c r="AC192" i="5"/>
  <c r="N192" i="5"/>
  <c r="L192" i="5"/>
  <c r="K192" i="5"/>
  <c r="J192" i="5"/>
  <c r="I192" i="5"/>
  <c r="AX191" i="5" a="1"/>
  <c r="AX191" i="5" s="1"/>
  <c r="AW191" i="5"/>
  <c r="AH191" i="5"/>
  <c r="AF191" i="5"/>
  <c r="AE191" i="5"/>
  <c r="AD191" i="5"/>
  <c r="AC191" i="5"/>
  <c r="N191" i="5"/>
  <c r="L191" i="5"/>
  <c r="K191" i="5"/>
  <c r="J191" i="5"/>
  <c r="I191" i="5"/>
  <c r="AW190" i="5"/>
  <c r="AH190" i="5"/>
  <c r="AF190" i="5"/>
  <c r="AE190" i="5"/>
  <c r="AD190" i="5"/>
  <c r="AC190" i="5"/>
  <c r="N190" i="5"/>
  <c r="L190" i="5"/>
  <c r="K190" i="5"/>
  <c r="J190" i="5"/>
  <c r="I190" i="5"/>
  <c r="AW189" i="5"/>
  <c r="AH189" i="5"/>
  <c r="AF189" i="5"/>
  <c r="AE189" i="5"/>
  <c r="AD189" i="5"/>
  <c r="AC189" i="5"/>
  <c r="N189" i="5"/>
  <c r="L189" i="5"/>
  <c r="K189" i="5"/>
  <c r="J189" i="5"/>
  <c r="I189" i="5"/>
  <c r="AW188" i="5"/>
  <c r="AH188" i="5"/>
  <c r="AF188" i="5"/>
  <c r="AE188" i="5"/>
  <c r="AD188" i="5"/>
  <c r="AC188" i="5"/>
  <c r="N188" i="5"/>
  <c r="L188" i="5"/>
  <c r="K188" i="5"/>
  <c r="J188" i="5"/>
  <c r="I188" i="5"/>
  <c r="AW187" i="5"/>
  <c r="AH187" i="5"/>
  <c r="AF187" i="5"/>
  <c r="AE187" i="5"/>
  <c r="AD187" i="5"/>
  <c r="AC187" i="5"/>
  <c r="N187" i="5"/>
  <c r="L187" i="5"/>
  <c r="K187" i="5"/>
  <c r="J187" i="5"/>
  <c r="I187" i="5"/>
  <c r="AW186" i="5"/>
  <c r="AH186" i="5"/>
  <c r="AF186" i="5"/>
  <c r="AE186" i="5"/>
  <c r="AD186" i="5"/>
  <c r="AC186" i="5"/>
  <c r="N186" i="5"/>
  <c r="L186" i="5"/>
  <c r="K186" i="5"/>
  <c r="J186" i="5"/>
  <c r="I186" i="5"/>
  <c r="AX185" i="5" a="1"/>
  <c r="AX185" i="5" s="1"/>
  <c r="AW185" i="5"/>
  <c r="AH185" i="5"/>
  <c r="AF185" i="5"/>
  <c r="AE185" i="5"/>
  <c r="AD185" i="5"/>
  <c r="AC185" i="5"/>
  <c r="N185" i="5"/>
  <c r="L185" i="5"/>
  <c r="K185" i="5"/>
  <c r="J185" i="5"/>
  <c r="I185" i="5"/>
  <c r="AW184" i="5"/>
  <c r="AH184" i="5"/>
  <c r="AF184" i="5"/>
  <c r="AE184" i="5"/>
  <c r="AD184" i="5"/>
  <c r="AC184" i="5"/>
  <c r="N184" i="5"/>
  <c r="L184" i="5"/>
  <c r="K184" i="5"/>
  <c r="J184" i="5"/>
  <c r="I184" i="5"/>
  <c r="AW183" i="5"/>
  <c r="AH183" i="5"/>
  <c r="AF183" i="5"/>
  <c r="AE183" i="5"/>
  <c r="AD183" i="5"/>
  <c r="AC183" i="5"/>
  <c r="N183" i="5"/>
  <c r="L183" i="5"/>
  <c r="K183" i="5"/>
  <c r="J183" i="5"/>
  <c r="I183" i="5"/>
  <c r="AW182" i="5"/>
  <c r="AH182" i="5"/>
  <c r="AF182" i="5"/>
  <c r="AE182" i="5"/>
  <c r="AD182" i="5"/>
  <c r="AC182" i="5"/>
  <c r="N182" i="5"/>
  <c r="L182" i="5"/>
  <c r="K182" i="5"/>
  <c r="J182" i="5"/>
  <c r="I182" i="5"/>
  <c r="AW181" i="5"/>
  <c r="AH181" i="5"/>
  <c r="AF181" i="5"/>
  <c r="AE181" i="5"/>
  <c r="AD181" i="5"/>
  <c r="AC181" i="5"/>
  <c r="N181" i="5"/>
  <c r="L181" i="5"/>
  <c r="K181" i="5"/>
  <c r="J181" i="5"/>
  <c r="I181" i="5"/>
  <c r="AW180" i="5"/>
  <c r="AH180" i="5"/>
  <c r="AF180" i="5"/>
  <c r="AE180" i="5"/>
  <c r="AD180" i="5"/>
  <c r="AC180" i="5"/>
  <c r="N180" i="5"/>
  <c r="L180" i="5"/>
  <c r="K180" i="5"/>
  <c r="J180" i="5"/>
  <c r="I180" i="5"/>
  <c r="AX179" i="5" a="1"/>
  <c r="AX179" i="5" s="1"/>
  <c r="AW179" i="5"/>
  <c r="AH179" i="5"/>
  <c r="AF179" i="5"/>
  <c r="AE179" i="5"/>
  <c r="AD179" i="5"/>
  <c r="AC179" i="5"/>
  <c r="N179" i="5"/>
  <c r="L179" i="5"/>
  <c r="K179" i="5"/>
  <c r="J179" i="5"/>
  <c r="I179" i="5"/>
  <c r="AW178" i="5"/>
  <c r="AH178" i="5"/>
  <c r="AF178" i="5"/>
  <c r="AE178" i="5"/>
  <c r="AD178" i="5"/>
  <c r="AC178" i="5"/>
  <c r="N178" i="5"/>
  <c r="L178" i="5"/>
  <c r="K178" i="5"/>
  <c r="J178" i="5"/>
  <c r="I178" i="5"/>
  <c r="AW177" i="5"/>
  <c r="AH177" i="5"/>
  <c r="AF177" i="5"/>
  <c r="AE177" i="5"/>
  <c r="AD177" i="5"/>
  <c r="AC177" i="5"/>
  <c r="N177" i="5"/>
  <c r="L177" i="5"/>
  <c r="K177" i="5"/>
  <c r="J177" i="5"/>
  <c r="I177" i="5"/>
  <c r="AW176" i="5"/>
  <c r="AH176" i="5"/>
  <c r="AF176" i="5"/>
  <c r="AE176" i="5"/>
  <c r="AD176" i="5"/>
  <c r="AC176" i="5"/>
  <c r="N176" i="5"/>
  <c r="L176" i="5"/>
  <c r="K176" i="5"/>
  <c r="J176" i="5"/>
  <c r="I176" i="5"/>
  <c r="AW175" i="5"/>
  <c r="AH175" i="5"/>
  <c r="AF175" i="5"/>
  <c r="AE175" i="5"/>
  <c r="AD175" i="5"/>
  <c r="AC175" i="5"/>
  <c r="N175" i="5"/>
  <c r="L175" i="5"/>
  <c r="K175" i="5"/>
  <c r="J175" i="5"/>
  <c r="I175" i="5"/>
  <c r="AW174" i="5"/>
  <c r="AH174" i="5"/>
  <c r="AF174" i="5"/>
  <c r="AE174" i="5"/>
  <c r="AD174" i="5"/>
  <c r="AC174" i="5"/>
  <c r="N174" i="5"/>
  <c r="L174" i="5"/>
  <c r="K174" i="5"/>
  <c r="J174" i="5"/>
  <c r="I174" i="5"/>
  <c r="AX173" i="5" a="1"/>
  <c r="AX173" i="5" s="1"/>
  <c r="AW173" i="5"/>
  <c r="AH173" i="5"/>
  <c r="AF173" i="5"/>
  <c r="AE173" i="5"/>
  <c r="AD173" i="5"/>
  <c r="AC173" i="5"/>
  <c r="N173" i="5"/>
  <c r="L173" i="5"/>
  <c r="K173" i="5"/>
  <c r="J173" i="5"/>
  <c r="I173" i="5"/>
  <c r="AW172" i="5"/>
  <c r="AH172" i="5"/>
  <c r="AF172" i="5"/>
  <c r="AE172" i="5"/>
  <c r="AD172" i="5"/>
  <c r="AC172" i="5"/>
  <c r="N172" i="5"/>
  <c r="L172" i="5"/>
  <c r="K172" i="5"/>
  <c r="J172" i="5"/>
  <c r="I172" i="5"/>
  <c r="AW171" i="5"/>
  <c r="AH171" i="5"/>
  <c r="AF171" i="5"/>
  <c r="AE171" i="5"/>
  <c r="AD171" i="5"/>
  <c r="AC171" i="5"/>
  <c r="N171" i="5"/>
  <c r="L171" i="5"/>
  <c r="K171" i="5"/>
  <c r="J171" i="5"/>
  <c r="I171" i="5"/>
  <c r="AW170" i="5"/>
  <c r="AH170" i="5"/>
  <c r="AF170" i="5"/>
  <c r="AE170" i="5"/>
  <c r="AD170" i="5"/>
  <c r="AC170" i="5"/>
  <c r="N170" i="5"/>
  <c r="L170" i="5"/>
  <c r="K170" i="5"/>
  <c r="J170" i="5"/>
  <c r="I170" i="5"/>
  <c r="AW169" i="5"/>
  <c r="AH169" i="5"/>
  <c r="AF169" i="5"/>
  <c r="AE169" i="5"/>
  <c r="AD169" i="5"/>
  <c r="AC169" i="5"/>
  <c r="N169" i="5"/>
  <c r="L169" i="5"/>
  <c r="K169" i="5"/>
  <c r="J169" i="5"/>
  <c r="I169" i="5"/>
  <c r="AW168" i="5"/>
  <c r="AH168" i="5"/>
  <c r="AF168" i="5"/>
  <c r="AE168" i="5"/>
  <c r="AD168" i="5"/>
  <c r="AC168" i="5"/>
  <c r="N168" i="5"/>
  <c r="L168" i="5"/>
  <c r="K168" i="5"/>
  <c r="J168" i="5"/>
  <c r="I168" i="5"/>
  <c r="AX167" i="5" a="1"/>
  <c r="AX167" i="5" s="1"/>
  <c r="AW167" i="5"/>
  <c r="AH167" i="5"/>
  <c r="AF167" i="5"/>
  <c r="AE167" i="5"/>
  <c r="AD167" i="5"/>
  <c r="AC167" i="5"/>
  <c r="N167" i="5"/>
  <c r="L167" i="5"/>
  <c r="K167" i="5"/>
  <c r="J167" i="5"/>
  <c r="I167" i="5"/>
  <c r="AW166" i="5"/>
  <c r="AH166" i="5"/>
  <c r="AF166" i="5"/>
  <c r="AE166" i="5"/>
  <c r="AD166" i="5"/>
  <c r="AC166" i="5"/>
  <c r="N166" i="5"/>
  <c r="L166" i="5"/>
  <c r="K166" i="5"/>
  <c r="J166" i="5"/>
  <c r="I166" i="5"/>
  <c r="AW165" i="5"/>
  <c r="AH165" i="5"/>
  <c r="AF165" i="5"/>
  <c r="AE165" i="5"/>
  <c r="AD165" i="5"/>
  <c r="AC165" i="5"/>
  <c r="N165" i="5"/>
  <c r="L165" i="5"/>
  <c r="K165" i="5"/>
  <c r="J165" i="5"/>
  <c r="I165" i="5"/>
  <c r="AW164" i="5"/>
  <c r="AH164" i="5"/>
  <c r="AF164" i="5"/>
  <c r="AE164" i="5"/>
  <c r="AD164" i="5"/>
  <c r="AC164" i="5"/>
  <c r="N164" i="5"/>
  <c r="L164" i="5"/>
  <c r="K164" i="5"/>
  <c r="J164" i="5"/>
  <c r="I164" i="5"/>
  <c r="AW163" i="5"/>
  <c r="AH163" i="5"/>
  <c r="AF163" i="5"/>
  <c r="AE163" i="5"/>
  <c r="AD163" i="5"/>
  <c r="AC163" i="5"/>
  <c r="N163" i="5"/>
  <c r="L163" i="5"/>
  <c r="K163" i="5"/>
  <c r="J163" i="5"/>
  <c r="I163" i="5"/>
  <c r="AW162" i="5"/>
  <c r="AH162" i="5"/>
  <c r="AF162" i="5"/>
  <c r="AE162" i="5"/>
  <c r="AD162" i="5"/>
  <c r="AC162" i="5"/>
  <c r="N162" i="5"/>
  <c r="L162" i="5"/>
  <c r="K162" i="5"/>
  <c r="J162" i="5"/>
  <c r="I162" i="5"/>
  <c r="AX161" i="5" a="1"/>
  <c r="AX161" i="5" s="1"/>
  <c r="AW161" i="5"/>
  <c r="AH161" i="5"/>
  <c r="AF161" i="5"/>
  <c r="AE161" i="5"/>
  <c r="AD161" i="5"/>
  <c r="AC161" i="5"/>
  <c r="N161" i="5"/>
  <c r="L161" i="5"/>
  <c r="K161" i="5"/>
  <c r="J161" i="5"/>
  <c r="I161" i="5"/>
  <c r="AW160" i="5"/>
  <c r="AH160" i="5"/>
  <c r="AF160" i="5"/>
  <c r="AE160" i="5"/>
  <c r="AD160" i="5"/>
  <c r="AC160" i="5"/>
  <c r="N160" i="5"/>
  <c r="L160" i="5"/>
  <c r="K160" i="5"/>
  <c r="J160" i="5"/>
  <c r="I160" i="5"/>
  <c r="AW159" i="5"/>
  <c r="AH159" i="5"/>
  <c r="AF159" i="5"/>
  <c r="AE159" i="5"/>
  <c r="AD159" i="5"/>
  <c r="AC159" i="5"/>
  <c r="N159" i="5"/>
  <c r="L159" i="5"/>
  <c r="K159" i="5"/>
  <c r="J159" i="5"/>
  <c r="I159" i="5"/>
  <c r="AW158" i="5"/>
  <c r="AH158" i="5"/>
  <c r="AF158" i="5"/>
  <c r="AE158" i="5"/>
  <c r="AD158" i="5"/>
  <c r="AC158" i="5"/>
  <c r="N158" i="5"/>
  <c r="L158" i="5"/>
  <c r="K158" i="5"/>
  <c r="J158" i="5"/>
  <c r="I158" i="5"/>
  <c r="AW157" i="5"/>
  <c r="AH157" i="5"/>
  <c r="AF157" i="5"/>
  <c r="AE157" i="5"/>
  <c r="AD157" i="5"/>
  <c r="AC157" i="5"/>
  <c r="N157" i="5"/>
  <c r="L157" i="5"/>
  <c r="K157" i="5"/>
  <c r="J157" i="5"/>
  <c r="I157" i="5"/>
  <c r="AW156" i="5"/>
  <c r="AH156" i="5"/>
  <c r="AF156" i="5"/>
  <c r="AE156" i="5"/>
  <c r="AD156" i="5"/>
  <c r="AC156" i="5"/>
  <c r="N156" i="5"/>
  <c r="L156" i="5"/>
  <c r="K156" i="5"/>
  <c r="J156" i="5"/>
  <c r="I156" i="5"/>
  <c r="AX155" i="5" a="1"/>
  <c r="AX155" i="5" s="1"/>
  <c r="AW155" i="5"/>
  <c r="AH155" i="5"/>
  <c r="AF155" i="5"/>
  <c r="AE155" i="5"/>
  <c r="AD155" i="5"/>
  <c r="AC155" i="5"/>
  <c r="N155" i="5"/>
  <c r="L155" i="5"/>
  <c r="K155" i="5"/>
  <c r="J155" i="5"/>
  <c r="I155" i="5"/>
  <c r="AW154" i="5"/>
  <c r="AH154" i="5"/>
  <c r="AF154" i="5"/>
  <c r="AE154" i="5"/>
  <c r="AD154" i="5"/>
  <c r="AC154" i="5"/>
  <c r="N154" i="5"/>
  <c r="L154" i="5"/>
  <c r="K154" i="5"/>
  <c r="J154" i="5"/>
  <c r="I154" i="5"/>
  <c r="AW153" i="5"/>
  <c r="AH153" i="5"/>
  <c r="AF153" i="5"/>
  <c r="AE153" i="5"/>
  <c r="AD153" i="5"/>
  <c r="AC153" i="5"/>
  <c r="N153" i="5"/>
  <c r="L153" i="5"/>
  <c r="K153" i="5"/>
  <c r="J153" i="5"/>
  <c r="I153" i="5"/>
  <c r="AW152" i="5"/>
  <c r="AH152" i="5"/>
  <c r="AF152" i="5"/>
  <c r="AE152" i="5"/>
  <c r="AD152" i="5"/>
  <c r="AC152" i="5"/>
  <c r="N152" i="5"/>
  <c r="L152" i="5"/>
  <c r="K152" i="5"/>
  <c r="J152" i="5"/>
  <c r="I152" i="5"/>
  <c r="AW151" i="5"/>
  <c r="AH151" i="5"/>
  <c r="AF151" i="5"/>
  <c r="AE151" i="5"/>
  <c r="AD151" i="5"/>
  <c r="AC151" i="5"/>
  <c r="N151" i="5"/>
  <c r="L151" i="5"/>
  <c r="K151" i="5"/>
  <c r="J151" i="5"/>
  <c r="I151" i="5"/>
  <c r="AW150" i="5"/>
  <c r="AH150" i="5"/>
  <c r="AF150" i="5"/>
  <c r="AE150" i="5"/>
  <c r="AD150" i="5"/>
  <c r="AC150" i="5"/>
  <c r="N150" i="5"/>
  <c r="L150" i="5"/>
  <c r="K150" i="5"/>
  <c r="J150" i="5"/>
  <c r="I150" i="5"/>
  <c r="AX149" i="5" a="1"/>
  <c r="AX149" i="5" s="1"/>
  <c r="AW149" i="5"/>
  <c r="AH149" i="5"/>
  <c r="AF149" i="5"/>
  <c r="AE149" i="5"/>
  <c r="AD149" i="5"/>
  <c r="AC149" i="5"/>
  <c r="N149" i="5"/>
  <c r="L149" i="5"/>
  <c r="K149" i="5"/>
  <c r="J149" i="5"/>
  <c r="I149" i="5"/>
  <c r="AW148" i="5"/>
  <c r="AH148" i="5"/>
  <c r="AF148" i="5"/>
  <c r="AE148" i="5"/>
  <c r="AD148" i="5"/>
  <c r="AC148" i="5"/>
  <c r="N148" i="5"/>
  <c r="L148" i="5"/>
  <c r="K148" i="5"/>
  <c r="J148" i="5"/>
  <c r="I148" i="5"/>
  <c r="AW147" i="5"/>
  <c r="AH147" i="5"/>
  <c r="AF147" i="5"/>
  <c r="AE147" i="5"/>
  <c r="AD147" i="5"/>
  <c r="AC147" i="5"/>
  <c r="N147" i="5"/>
  <c r="L147" i="5"/>
  <c r="K147" i="5"/>
  <c r="J147" i="5"/>
  <c r="I147" i="5"/>
  <c r="AW146" i="5"/>
  <c r="AH146" i="5"/>
  <c r="AF146" i="5"/>
  <c r="AE146" i="5"/>
  <c r="AD146" i="5"/>
  <c r="AC146" i="5"/>
  <c r="N146" i="5"/>
  <c r="L146" i="5"/>
  <c r="K146" i="5"/>
  <c r="J146" i="5"/>
  <c r="I146" i="5"/>
  <c r="AW145" i="5"/>
  <c r="AH145" i="5"/>
  <c r="AF145" i="5"/>
  <c r="AE145" i="5"/>
  <c r="AD145" i="5"/>
  <c r="AC145" i="5"/>
  <c r="N145" i="5"/>
  <c r="L145" i="5"/>
  <c r="K145" i="5"/>
  <c r="J145" i="5"/>
  <c r="I145" i="5"/>
  <c r="AW144" i="5"/>
  <c r="AH144" i="5"/>
  <c r="AF144" i="5"/>
  <c r="AE144" i="5"/>
  <c r="AD144" i="5"/>
  <c r="AC144" i="5"/>
  <c r="N144" i="5"/>
  <c r="L144" i="5"/>
  <c r="K144" i="5"/>
  <c r="J144" i="5"/>
  <c r="I144" i="5"/>
  <c r="AX143" i="5" a="1"/>
  <c r="AX143" i="5" s="1"/>
  <c r="AW143" i="5"/>
  <c r="AH143" i="5"/>
  <c r="AF143" i="5"/>
  <c r="AE143" i="5"/>
  <c r="AD143" i="5"/>
  <c r="AC143" i="5"/>
  <c r="N143" i="5"/>
  <c r="L143" i="5"/>
  <c r="K143" i="5"/>
  <c r="J143" i="5"/>
  <c r="I143" i="5"/>
  <c r="AW142" i="5"/>
  <c r="AH142" i="5"/>
  <c r="AF142" i="5"/>
  <c r="AE142" i="5"/>
  <c r="AD142" i="5"/>
  <c r="AC142" i="5"/>
  <c r="N142" i="5"/>
  <c r="L142" i="5"/>
  <c r="K142" i="5"/>
  <c r="J142" i="5"/>
  <c r="I142" i="5"/>
  <c r="AW141" i="5"/>
  <c r="AH141" i="5"/>
  <c r="AF141" i="5"/>
  <c r="AE141" i="5"/>
  <c r="AD141" i="5"/>
  <c r="AC141" i="5"/>
  <c r="N141" i="5"/>
  <c r="L141" i="5"/>
  <c r="K141" i="5"/>
  <c r="J141" i="5"/>
  <c r="I141" i="5"/>
  <c r="AW140" i="5"/>
  <c r="AH140" i="5"/>
  <c r="AF140" i="5"/>
  <c r="AE140" i="5"/>
  <c r="AD140" i="5"/>
  <c r="AC140" i="5"/>
  <c r="N140" i="5"/>
  <c r="L140" i="5"/>
  <c r="K140" i="5"/>
  <c r="J140" i="5"/>
  <c r="I140" i="5"/>
  <c r="AW139" i="5"/>
  <c r="AH139" i="5"/>
  <c r="AF139" i="5"/>
  <c r="AE139" i="5"/>
  <c r="AD139" i="5"/>
  <c r="AC139" i="5"/>
  <c r="N139" i="5"/>
  <c r="L139" i="5"/>
  <c r="K139" i="5"/>
  <c r="J139" i="5"/>
  <c r="I139" i="5"/>
  <c r="AW138" i="5"/>
  <c r="AH138" i="5"/>
  <c r="AF138" i="5"/>
  <c r="AE138" i="5"/>
  <c r="AD138" i="5"/>
  <c r="AC138" i="5"/>
  <c r="N138" i="5"/>
  <c r="L138" i="5"/>
  <c r="K138" i="5"/>
  <c r="J138" i="5"/>
  <c r="I138" i="5"/>
  <c r="AX137" i="5" a="1"/>
  <c r="AX137" i="5" s="1"/>
  <c r="AW137" i="5"/>
  <c r="AH137" i="5"/>
  <c r="AF137" i="5"/>
  <c r="AE137" i="5"/>
  <c r="AD137" i="5"/>
  <c r="AC137" i="5"/>
  <c r="N137" i="5"/>
  <c r="L137" i="5"/>
  <c r="K137" i="5"/>
  <c r="J137" i="5"/>
  <c r="I137" i="5"/>
  <c r="AW136" i="5"/>
  <c r="AH136" i="5"/>
  <c r="AF136" i="5"/>
  <c r="AE136" i="5"/>
  <c r="AD136" i="5"/>
  <c r="AC136" i="5"/>
  <c r="N136" i="5"/>
  <c r="L136" i="5"/>
  <c r="K136" i="5"/>
  <c r="J136" i="5"/>
  <c r="I136" i="5"/>
  <c r="AW135" i="5"/>
  <c r="AH135" i="5"/>
  <c r="AF135" i="5"/>
  <c r="AE135" i="5"/>
  <c r="AD135" i="5"/>
  <c r="AC135" i="5"/>
  <c r="N135" i="5"/>
  <c r="L135" i="5"/>
  <c r="K135" i="5"/>
  <c r="J135" i="5"/>
  <c r="I135" i="5"/>
  <c r="AW134" i="5"/>
  <c r="AH134" i="5"/>
  <c r="AF134" i="5"/>
  <c r="AE134" i="5"/>
  <c r="AD134" i="5"/>
  <c r="AC134" i="5"/>
  <c r="N134" i="5"/>
  <c r="L134" i="5"/>
  <c r="K134" i="5"/>
  <c r="J134" i="5"/>
  <c r="I134" i="5"/>
  <c r="AW133" i="5"/>
  <c r="AH133" i="5"/>
  <c r="AF133" i="5"/>
  <c r="AE133" i="5"/>
  <c r="AD133" i="5"/>
  <c r="AC133" i="5"/>
  <c r="N133" i="5"/>
  <c r="L133" i="5"/>
  <c r="K133" i="5"/>
  <c r="J133" i="5"/>
  <c r="I133" i="5"/>
  <c r="AW132" i="5"/>
  <c r="AH132" i="5"/>
  <c r="AF132" i="5"/>
  <c r="AE132" i="5"/>
  <c r="AD132" i="5"/>
  <c r="AC132" i="5"/>
  <c r="N132" i="5"/>
  <c r="L132" i="5"/>
  <c r="K132" i="5"/>
  <c r="J132" i="5"/>
  <c r="I132" i="5"/>
  <c r="AX131" i="5" a="1"/>
  <c r="AX131" i="5" s="1"/>
  <c r="AW131" i="5"/>
  <c r="AH131" i="5"/>
  <c r="AF131" i="5"/>
  <c r="AE131" i="5"/>
  <c r="AD131" i="5"/>
  <c r="AC131" i="5"/>
  <c r="N131" i="5"/>
  <c r="L131" i="5"/>
  <c r="K131" i="5"/>
  <c r="J131" i="5"/>
  <c r="I131" i="5"/>
  <c r="AW130" i="5"/>
  <c r="AH130" i="5"/>
  <c r="AF130" i="5"/>
  <c r="AE130" i="5"/>
  <c r="AD130" i="5"/>
  <c r="AC130" i="5"/>
  <c r="N130" i="5"/>
  <c r="L130" i="5"/>
  <c r="K130" i="5"/>
  <c r="J130" i="5"/>
  <c r="I130" i="5"/>
  <c r="AW129" i="5"/>
  <c r="AH129" i="5"/>
  <c r="AF129" i="5"/>
  <c r="AE129" i="5"/>
  <c r="AD129" i="5"/>
  <c r="AC129" i="5"/>
  <c r="N129" i="5"/>
  <c r="L129" i="5"/>
  <c r="K129" i="5"/>
  <c r="J129" i="5"/>
  <c r="I129" i="5"/>
  <c r="AW128" i="5"/>
  <c r="AH128" i="5"/>
  <c r="AF128" i="5"/>
  <c r="AE128" i="5"/>
  <c r="AD128" i="5"/>
  <c r="AC128" i="5"/>
  <c r="N128" i="5"/>
  <c r="L128" i="5"/>
  <c r="K128" i="5"/>
  <c r="J128" i="5"/>
  <c r="I128" i="5"/>
  <c r="AW127" i="5"/>
  <c r="AH127" i="5"/>
  <c r="AF127" i="5"/>
  <c r="AE127" i="5"/>
  <c r="AD127" i="5"/>
  <c r="AC127" i="5"/>
  <c r="N127" i="5"/>
  <c r="L127" i="5"/>
  <c r="K127" i="5"/>
  <c r="J127" i="5"/>
  <c r="I127" i="5"/>
  <c r="AW126" i="5"/>
  <c r="AH126" i="5"/>
  <c r="AF126" i="5"/>
  <c r="AE126" i="5"/>
  <c r="AD126" i="5"/>
  <c r="AC126" i="5"/>
  <c r="N126" i="5"/>
  <c r="L126" i="5"/>
  <c r="K126" i="5"/>
  <c r="J126" i="5"/>
  <c r="I126" i="5"/>
  <c r="AX125" i="5" a="1"/>
  <c r="AX125" i="5" s="1"/>
  <c r="AW125" i="5"/>
  <c r="AH125" i="5"/>
  <c r="AF125" i="5"/>
  <c r="AE125" i="5"/>
  <c r="AD125" i="5"/>
  <c r="AC125" i="5"/>
  <c r="N125" i="5"/>
  <c r="L125" i="5"/>
  <c r="K125" i="5"/>
  <c r="J125" i="5"/>
  <c r="I125" i="5"/>
  <c r="AW124" i="5"/>
  <c r="AH124" i="5"/>
  <c r="AF124" i="5"/>
  <c r="AE124" i="5"/>
  <c r="AD124" i="5"/>
  <c r="AC124" i="5"/>
  <c r="N124" i="5"/>
  <c r="L124" i="5"/>
  <c r="K124" i="5"/>
  <c r="J124" i="5"/>
  <c r="I124" i="5"/>
  <c r="AW123" i="5"/>
  <c r="AH123" i="5"/>
  <c r="AF123" i="5"/>
  <c r="AE123" i="5"/>
  <c r="AD123" i="5"/>
  <c r="AC123" i="5"/>
  <c r="N123" i="5"/>
  <c r="L123" i="5"/>
  <c r="K123" i="5"/>
  <c r="J123" i="5"/>
  <c r="I123" i="5"/>
  <c r="AW122" i="5"/>
  <c r="AH122" i="5"/>
  <c r="AF122" i="5"/>
  <c r="AE122" i="5"/>
  <c r="AD122" i="5"/>
  <c r="AC122" i="5"/>
  <c r="N122" i="5"/>
  <c r="L122" i="5"/>
  <c r="K122" i="5"/>
  <c r="J122" i="5"/>
  <c r="I122" i="5"/>
  <c r="AW121" i="5"/>
  <c r="AH121" i="5"/>
  <c r="AF121" i="5"/>
  <c r="AE121" i="5"/>
  <c r="AD121" i="5"/>
  <c r="AC121" i="5"/>
  <c r="N121" i="5"/>
  <c r="L121" i="5"/>
  <c r="K121" i="5"/>
  <c r="J121" i="5"/>
  <c r="I121" i="5"/>
  <c r="AW120" i="5"/>
  <c r="AH120" i="5"/>
  <c r="AF120" i="5"/>
  <c r="AE120" i="5"/>
  <c r="AD120" i="5"/>
  <c r="AC120" i="5"/>
  <c r="N120" i="5"/>
  <c r="L120" i="5"/>
  <c r="K120" i="5"/>
  <c r="J120" i="5"/>
  <c r="I120" i="5"/>
  <c r="AX119" i="5" a="1"/>
  <c r="AX119" i="5" s="1"/>
  <c r="AW119" i="5"/>
  <c r="AH119" i="5"/>
  <c r="AF119" i="5"/>
  <c r="AE119" i="5"/>
  <c r="AD119" i="5"/>
  <c r="AC119" i="5"/>
  <c r="N119" i="5"/>
  <c r="L119" i="5"/>
  <c r="K119" i="5"/>
  <c r="J119" i="5"/>
  <c r="I119" i="5"/>
  <c r="AW118" i="5"/>
  <c r="AH118" i="5"/>
  <c r="AF118" i="5"/>
  <c r="AE118" i="5"/>
  <c r="AD118" i="5"/>
  <c r="AC118" i="5"/>
  <c r="N118" i="5"/>
  <c r="L118" i="5"/>
  <c r="K118" i="5"/>
  <c r="J118" i="5"/>
  <c r="I118" i="5"/>
  <c r="AW117" i="5"/>
  <c r="AH117" i="5"/>
  <c r="AF117" i="5"/>
  <c r="AE117" i="5"/>
  <c r="AD117" i="5"/>
  <c r="AC117" i="5"/>
  <c r="N117" i="5"/>
  <c r="L117" i="5"/>
  <c r="K117" i="5"/>
  <c r="J117" i="5"/>
  <c r="I117" i="5"/>
  <c r="AW116" i="5"/>
  <c r="AH116" i="5"/>
  <c r="AF116" i="5"/>
  <c r="AE116" i="5"/>
  <c r="AD116" i="5"/>
  <c r="AC116" i="5"/>
  <c r="N116" i="5"/>
  <c r="L116" i="5"/>
  <c r="K116" i="5"/>
  <c r="J116" i="5"/>
  <c r="I116" i="5"/>
  <c r="AW115" i="5"/>
  <c r="AH115" i="5"/>
  <c r="AF115" i="5"/>
  <c r="AE115" i="5"/>
  <c r="AD115" i="5"/>
  <c r="AC115" i="5"/>
  <c r="N115" i="5"/>
  <c r="L115" i="5"/>
  <c r="K115" i="5"/>
  <c r="J115" i="5"/>
  <c r="I115" i="5"/>
  <c r="AW114" i="5"/>
  <c r="AH114" i="5"/>
  <c r="AF114" i="5"/>
  <c r="AE114" i="5"/>
  <c r="AD114" i="5"/>
  <c r="AC114" i="5"/>
  <c r="N114" i="5"/>
  <c r="L114" i="5"/>
  <c r="K114" i="5"/>
  <c r="J114" i="5"/>
  <c r="I114" i="5"/>
  <c r="AX113" i="5" a="1"/>
  <c r="AX113" i="5" s="1"/>
  <c r="AW113" i="5"/>
  <c r="AH113" i="5"/>
  <c r="AF113" i="5"/>
  <c r="AE113" i="5"/>
  <c r="AD113" i="5"/>
  <c r="AC113" i="5"/>
  <c r="N113" i="5"/>
  <c r="L113" i="5"/>
  <c r="K113" i="5"/>
  <c r="J113" i="5"/>
  <c r="I113" i="5"/>
  <c r="AW112" i="5"/>
  <c r="AH112" i="5"/>
  <c r="AF112" i="5"/>
  <c r="AE112" i="5"/>
  <c r="AD112" i="5"/>
  <c r="AC112" i="5"/>
  <c r="N112" i="5"/>
  <c r="L112" i="5"/>
  <c r="K112" i="5"/>
  <c r="J112" i="5"/>
  <c r="I112" i="5"/>
  <c r="AW111" i="5"/>
  <c r="AH111" i="5"/>
  <c r="AF111" i="5"/>
  <c r="AE111" i="5"/>
  <c r="AD111" i="5"/>
  <c r="AC111" i="5"/>
  <c r="N111" i="5"/>
  <c r="L111" i="5"/>
  <c r="K111" i="5"/>
  <c r="J111" i="5"/>
  <c r="I111" i="5"/>
  <c r="AW110" i="5"/>
  <c r="AH110" i="5"/>
  <c r="AF110" i="5"/>
  <c r="AE110" i="5"/>
  <c r="AD110" i="5"/>
  <c r="AC110" i="5"/>
  <c r="N110" i="5"/>
  <c r="L110" i="5"/>
  <c r="K110" i="5"/>
  <c r="J110" i="5"/>
  <c r="I110" i="5"/>
  <c r="AW109" i="5"/>
  <c r="AH109" i="5"/>
  <c r="AF109" i="5"/>
  <c r="AE109" i="5"/>
  <c r="AD109" i="5"/>
  <c r="AC109" i="5"/>
  <c r="N109" i="5"/>
  <c r="L109" i="5"/>
  <c r="K109" i="5"/>
  <c r="J109" i="5"/>
  <c r="I109" i="5"/>
  <c r="AW108" i="5"/>
  <c r="AH108" i="5"/>
  <c r="AF108" i="5"/>
  <c r="AE108" i="5"/>
  <c r="AD108" i="5"/>
  <c r="AC108" i="5"/>
  <c r="N108" i="5"/>
  <c r="L108" i="5"/>
  <c r="K108" i="5"/>
  <c r="J108" i="5"/>
  <c r="I108" i="5"/>
  <c r="AX107" i="5" a="1"/>
  <c r="AX107" i="5" s="1"/>
  <c r="AW107" i="5"/>
  <c r="AH107" i="5"/>
  <c r="AF107" i="5"/>
  <c r="AE107" i="5"/>
  <c r="AD107" i="5"/>
  <c r="AC107" i="5"/>
  <c r="N107" i="5"/>
  <c r="L107" i="5"/>
  <c r="K107" i="5"/>
  <c r="J107" i="5"/>
  <c r="I107" i="5"/>
  <c r="AW106" i="5"/>
  <c r="AH106" i="5"/>
  <c r="AF106" i="5"/>
  <c r="AE106" i="5"/>
  <c r="AD106" i="5"/>
  <c r="AC106" i="5"/>
  <c r="N106" i="5"/>
  <c r="L106" i="5"/>
  <c r="K106" i="5"/>
  <c r="J106" i="5"/>
  <c r="I106" i="5"/>
  <c r="AW105" i="5"/>
  <c r="AH105" i="5"/>
  <c r="AF105" i="5"/>
  <c r="AE105" i="5"/>
  <c r="AD105" i="5"/>
  <c r="AC105" i="5"/>
  <c r="N105" i="5"/>
  <c r="L105" i="5"/>
  <c r="K105" i="5"/>
  <c r="J105" i="5"/>
  <c r="I105" i="5"/>
  <c r="AW104" i="5"/>
  <c r="AH104" i="5"/>
  <c r="AF104" i="5"/>
  <c r="AE104" i="5"/>
  <c r="AD104" i="5"/>
  <c r="AC104" i="5"/>
  <c r="N104" i="5"/>
  <c r="L104" i="5"/>
  <c r="K104" i="5"/>
  <c r="J104" i="5"/>
  <c r="I104" i="5"/>
  <c r="AW103" i="5"/>
  <c r="AH103" i="5"/>
  <c r="AF103" i="5"/>
  <c r="AE103" i="5"/>
  <c r="AD103" i="5"/>
  <c r="AC103" i="5"/>
  <c r="N103" i="5"/>
  <c r="L103" i="5"/>
  <c r="K103" i="5"/>
  <c r="J103" i="5"/>
  <c r="I103" i="5"/>
  <c r="AW102" i="5"/>
  <c r="AH102" i="5"/>
  <c r="AF102" i="5"/>
  <c r="AE102" i="5"/>
  <c r="AD102" i="5"/>
  <c r="AC102" i="5"/>
  <c r="N102" i="5"/>
  <c r="L102" i="5"/>
  <c r="K102" i="5"/>
  <c r="J102" i="5"/>
  <c r="I102" i="5"/>
  <c r="AX101" i="5" a="1"/>
  <c r="AX101" i="5" s="1"/>
  <c r="AW101" i="5"/>
  <c r="AH101" i="5"/>
  <c r="AF101" i="5"/>
  <c r="AE101" i="5"/>
  <c r="AD101" i="5"/>
  <c r="AC101" i="5"/>
  <c r="N101" i="5"/>
  <c r="L101" i="5"/>
  <c r="K101" i="5"/>
  <c r="J101" i="5"/>
  <c r="I101" i="5"/>
  <c r="AW100" i="5"/>
  <c r="AH100" i="5"/>
  <c r="AF100" i="5"/>
  <c r="AE100" i="5"/>
  <c r="AD100" i="5"/>
  <c r="AC100" i="5"/>
  <c r="N100" i="5"/>
  <c r="L100" i="5"/>
  <c r="K100" i="5"/>
  <c r="J100" i="5"/>
  <c r="I100" i="5"/>
  <c r="AW99" i="5"/>
  <c r="AH99" i="5"/>
  <c r="AF99" i="5"/>
  <c r="AE99" i="5"/>
  <c r="AD99" i="5"/>
  <c r="AC99" i="5"/>
  <c r="N99" i="5"/>
  <c r="L99" i="5"/>
  <c r="K99" i="5"/>
  <c r="J99" i="5"/>
  <c r="I99" i="5"/>
  <c r="AW98" i="5"/>
  <c r="AH98" i="5"/>
  <c r="AF98" i="5"/>
  <c r="AE98" i="5"/>
  <c r="AD98" i="5"/>
  <c r="AC98" i="5"/>
  <c r="N98" i="5"/>
  <c r="L98" i="5"/>
  <c r="K98" i="5"/>
  <c r="J98" i="5"/>
  <c r="I98" i="5"/>
  <c r="AW97" i="5"/>
  <c r="AH97" i="5"/>
  <c r="AF97" i="5"/>
  <c r="AE97" i="5"/>
  <c r="AD97" i="5"/>
  <c r="AC97" i="5"/>
  <c r="N97" i="5"/>
  <c r="L97" i="5"/>
  <c r="K97" i="5"/>
  <c r="J97" i="5"/>
  <c r="I97" i="5"/>
  <c r="AW96" i="5"/>
  <c r="AH96" i="5"/>
  <c r="AF96" i="5"/>
  <c r="AE96" i="5"/>
  <c r="AD96" i="5"/>
  <c r="AC96" i="5"/>
  <c r="N96" i="5"/>
  <c r="L96" i="5"/>
  <c r="K96" i="5"/>
  <c r="J96" i="5"/>
  <c r="I96" i="5"/>
  <c r="AX95" i="5" a="1"/>
  <c r="AX95" i="5" s="1"/>
  <c r="AW95" i="5"/>
  <c r="AH95" i="5"/>
  <c r="AF95" i="5"/>
  <c r="AE95" i="5"/>
  <c r="AD95" i="5"/>
  <c r="AC95" i="5"/>
  <c r="N95" i="5"/>
  <c r="L95" i="5"/>
  <c r="K95" i="5"/>
  <c r="J95" i="5"/>
  <c r="I95" i="5"/>
  <c r="AW94" i="5"/>
  <c r="AH94" i="5"/>
  <c r="AF94" i="5"/>
  <c r="AE94" i="5"/>
  <c r="AD94" i="5"/>
  <c r="AC94" i="5"/>
  <c r="N94" i="5"/>
  <c r="L94" i="5"/>
  <c r="K94" i="5"/>
  <c r="J94" i="5"/>
  <c r="I94" i="5"/>
  <c r="AW93" i="5"/>
  <c r="AH93" i="5"/>
  <c r="AF93" i="5"/>
  <c r="AE93" i="5"/>
  <c r="AD93" i="5"/>
  <c r="AC93" i="5"/>
  <c r="N93" i="5"/>
  <c r="L93" i="5"/>
  <c r="K93" i="5"/>
  <c r="J93" i="5"/>
  <c r="I93" i="5"/>
  <c r="AW92" i="5"/>
  <c r="AH92" i="5"/>
  <c r="AF92" i="5"/>
  <c r="AE92" i="5"/>
  <c r="AD92" i="5"/>
  <c r="AC92" i="5"/>
  <c r="N92" i="5"/>
  <c r="L92" i="5"/>
  <c r="K92" i="5"/>
  <c r="J92" i="5"/>
  <c r="I92" i="5"/>
  <c r="AW91" i="5"/>
  <c r="AH91" i="5"/>
  <c r="AF91" i="5"/>
  <c r="AE91" i="5"/>
  <c r="AD91" i="5"/>
  <c r="AC91" i="5"/>
  <c r="N91" i="5"/>
  <c r="L91" i="5"/>
  <c r="K91" i="5"/>
  <c r="J91" i="5"/>
  <c r="I91" i="5"/>
  <c r="AW90" i="5"/>
  <c r="AH90" i="5"/>
  <c r="AF90" i="5"/>
  <c r="AE90" i="5"/>
  <c r="AD90" i="5"/>
  <c r="AC90" i="5"/>
  <c r="N90" i="5"/>
  <c r="L90" i="5"/>
  <c r="K90" i="5"/>
  <c r="J90" i="5"/>
  <c r="I90" i="5"/>
  <c r="AX89" i="5" a="1"/>
  <c r="AX89" i="5" s="1"/>
  <c r="AW89" i="5"/>
  <c r="AH89" i="5"/>
  <c r="AF89" i="5"/>
  <c r="AE89" i="5"/>
  <c r="AD89" i="5"/>
  <c r="AC89" i="5"/>
  <c r="N89" i="5"/>
  <c r="L89" i="5"/>
  <c r="K89" i="5"/>
  <c r="J89" i="5"/>
  <c r="I89" i="5"/>
  <c r="AW88" i="5"/>
  <c r="AH88" i="5"/>
  <c r="AF88" i="5"/>
  <c r="AE88" i="5"/>
  <c r="N88" i="5"/>
  <c r="L88" i="5"/>
  <c r="K88" i="5"/>
  <c r="J88" i="5"/>
  <c r="I88" i="5"/>
  <c r="AW87" i="5"/>
  <c r="AH87" i="5"/>
  <c r="AF87" i="5"/>
  <c r="AE87" i="5"/>
  <c r="N87" i="5"/>
  <c r="L87" i="5"/>
  <c r="K87" i="5"/>
  <c r="J87" i="5"/>
  <c r="I87" i="5"/>
  <c r="AW86" i="5"/>
  <c r="AH86" i="5"/>
  <c r="AF86" i="5"/>
  <c r="AE86" i="5"/>
  <c r="N86" i="5"/>
  <c r="L86" i="5"/>
  <c r="K86" i="5"/>
  <c r="J86" i="5"/>
  <c r="I86" i="5"/>
  <c r="AW85" i="5"/>
  <c r="AH85" i="5"/>
  <c r="AF85" i="5"/>
  <c r="AE85" i="5"/>
  <c r="N85" i="5"/>
  <c r="L85" i="5"/>
  <c r="K85" i="5"/>
  <c r="J85" i="5"/>
  <c r="I85" i="5"/>
  <c r="AW84" i="5"/>
  <c r="AH84" i="5"/>
  <c r="AF84" i="5"/>
  <c r="AE84" i="5"/>
  <c r="N84" i="5"/>
  <c r="L84" i="5"/>
  <c r="K84" i="5"/>
  <c r="J84" i="5"/>
  <c r="I84" i="5"/>
  <c r="AX83" i="5" a="1"/>
  <c r="AX83" i="5" s="1"/>
  <c r="AW83" i="5"/>
  <c r="AH83" i="5"/>
  <c r="AF83" i="5"/>
  <c r="AE83" i="5"/>
  <c r="N83" i="5"/>
  <c r="L83" i="5"/>
  <c r="K83" i="5"/>
  <c r="J83" i="5"/>
  <c r="I83" i="5"/>
  <c r="AW82" i="5"/>
  <c r="AH82" i="5"/>
  <c r="AF82" i="5"/>
  <c r="AE82" i="5"/>
  <c r="AD82" i="5"/>
  <c r="AC82" i="5"/>
  <c r="N82" i="5"/>
  <c r="L82" i="5"/>
  <c r="K82" i="5"/>
  <c r="J82" i="5"/>
  <c r="I82" i="5"/>
  <c r="AW81" i="5"/>
  <c r="AH81" i="5"/>
  <c r="AF81" i="5"/>
  <c r="AE81" i="5"/>
  <c r="AD81" i="5"/>
  <c r="AC81" i="5"/>
  <c r="N81" i="5"/>
  <c r="L81" i="5"/>
  <c r="K81" i="5"/>
  <c r="J81" i="5"/>
  <c r="I81" i="5"/>
  <c r="AW80" i="5"/>
  <c r="AH80" i="5"/>
  <c r="AF80" i="5"/>
  <c r="AE80" i="5"/>
  <c r="AD80" i="5"/>
  <c r="AC80" i="5"/>
  <c r="N80" i="5"/>
  <c r="L80" i="5"/>
  <c r="K80" i="5"/>
  <c r="J80" i="5"/>
  <c r="I80" i="5"/>
  <c r="AW79" i="5"/>
  <c r="AH79" i="5"/>
  <c r="AF79" i="5"/>
  <c r="AE79" i="5"/>
  <c r="AD79" i="5"/>
  <c r="AC79" i="5"/>
  <c r="N79" i="5"/>
  <c r="L79" i="5"/>
  <c r="K79" i="5"/>
  <c r="J79" i="5"/>
  <c r="I79" i="5"/>
  <c r="AW78" i="5"/>
  <c r="AH78" i="5"/>
  <c r="AF78" i="5"/>
  <c r="AE78" i="5"/>
  <c r="AD78" i="5"/>
  <c r="AC78" i="5"/>
  <c r="N78" i="5"/>
  <c r="L78" i="5"/>
  <c r="K78" i="5"/>
  <c r="J78" i="5"/>
  <c r="I78" i="5"/>
  <c r="AX77" i="5" a="1"/>
  <c r="AX77" i="5" s="1"/>
  <c r="AW77" i="5"/>
  <c r="AH77" i="5"/>
  <c r="AF77" i="5"/>
  <c r="AE77" i="5"/>
  <c r="AD77" i="5"/>
  <c r="AC77" i="5"/>
  <c r="N77" i="5"/>
  <c r="L77" i="5"/>
  <c r="K77" i="5"/>
  <c r="J77" i="5"/>
  <c r="I77" i="5"/>
  <c r="AW76" i="5"/>
  <c r="AH76" i="5"/>
  <c r="AF76" i="5"/>
  <c r="AE76" i="5"/>
  <c r="AD76" i="5"/>
  <c r="AC76" i="5"/>
  <c r="N76" i="5"/>
  <c r="L76" i="5"/>
  <c r="K76" i="5"/>
  <c r="J76" i="5"/>
  <c r="I76" i="5"/>
  <c r="AW75" i="5"/>
  <c r="AH75" i="5"/>
  <c r="AF75" i="5"/>
  <c r="AE75" i="5"/>
  <c r="AD75" i="5"/>
  <c r="AC75" i="5"/>
  <c r="N75" i="5"/>
  <c r="L75" i="5"/>
  <c r="K75" i="5"/>
  <c r="J75" i="5"/>
  <c r="I75" i="5"/>
  <c r="AW74" i="5"/>
  <c r="AH74" i="5"/>
  <c r="AF74" i="5"/>
  <c r="AE74" i="5"/>
  <c r="AD74" i="5"/>
  <c r="AC74" i="5"/>
  <c r="N74" i="5"/>
  <c r="L74" i="5"/>
  <c r="K74" i="5"/>
  <c r="J74" i="5"/>
  <c r="I74" i="5"/>
  <c r="AW73" i="5"/>
  <c r="AH73" i="5"/>
  <c r="AF73" i="5"/>
  <c r="AE73" i="5"/>
  <c r="AD73" i="5"/>
  <c r="AC73" i="5"/>
  <c r="N73" i="5"/>
  <c r="L73" i="5"/>
  <c r="K73" i="5"/>
  <c r="J73" i="5"/>
  <c r="I73" i="5"/>
  <c r="AW72" i="5"/>
  <c r="AH72" i="5"/>
  <c r="AF72" i="5"/>
  <c r="AE72" i="5"/>
  <c r="AD72" i="5"/>
  <c r="AC72" i="5"/>
  <c r="N72" i="5"/>
  <c r="L72" i="5"/>
  <c r="K72" i="5"/>
  <c r="J72" i="5"/>
  <c r="I72" i="5"/>
  <c r="AX71" i="5" a="1"/>
  <c r="AX71" i="5" s="1"/>
  <c r="AW71" i="5"/>
  <c r="AH71" i="5"/>
  <c r="AF71" i="5"/>
  <c r="AE71" i="5"/>
  <c r="AD71" i="5"/>
  <c r="AC71" i="5"/>
  <c r="N71" i="5"/>
  <c r="L71" i="5"/>
  <c r="K71" i="5"/>
  <c r="J71" i="5"/>
  <c r="I71" i="5"/>
  <c r="AW70" i="5"/>
  <c r="AH70" i="5"/>
  <c r="AF70" i="5"/>
  <c r="AE70" i="5"/>
  <c r="AD70" i="5"/>
  <c r="AC70" i="5"/>
  <c r="N70" i="5"/>
  <c r="L70" i="5"/>
  <c r="K70" i="5"/>
  <c r="J70" i="5"/>
  <c r="I70" i="5"/>
  <c r="AW69" i="5"/>
  <c r="AH69" i="5"/>
  <c r="AF69" i="5"/>
  <c r="AE69" i="5"/>
  <c r="AD69" i="5"/>
  <c r="AC69" i="5"/>
  <c r="N69" i="5"/>
  <c r="L69" i="5"/>
  <c r="K69" i="5"/>
  <c r="J69" i="5"/>
  <c r="I69" i="5"/>
  <c r="AW68" i="5"/>
  <c r="AH68" i="5"/>
  <c r="AF68" i="5"/>
  <c r="AE68" i="5"/>
  <c r="AD68" i="5"/>
  <c r="AC68" i="5"/>
  <c r="N68" i="5"/>
  <c r="L68" i="5"/>
  <c r="K68" i="5"/>
  <c r="J68" i="5"/>
  <c r="I68" i="5"/>
  <c r="AW67" i="5"/>
  <c r="AH67" i="5"/>
  <c r="AF67" i="5"/>
  <c r="AE67" i="5"/>
  <c r="AD67" i="5"/>
  <c r="AC67" i="5"/>
  <c r="N67" i="5"/>
  <c r="L67" i="5"/>
  <c r="K67" i="5"/>
  <c r="J67" i="5"/>
  <c r="I67" i="5"/>
  <c r="AW66" i="5"/>
  <c r="AH66" i="5"/>
  <c r="AF66" i="5"/>
  <c r="AE66" i="5"/>
  <c r="AD66" i="5"/>
  <c r="AC66" i="5"/>
  <c r="N66" i="5"/>
  <c r="L66" i="5"/>
  <c r="K66" i="5"/>
  <c r="J66" i="5"/>
  <c r="I66" i="5"/>
  <c r="AX65" i="5" a="1"/>
  <c r="AX65" i="5" s="1"/>
  <c r="AW65" i="5"/>
  <c r="AH65" i="5"/>
  <c r="AF65" i="5"/>
  <c r="AE65" i="5"/>
  <c r="AD65" i="5"/>
  <c r="AC65" i="5"/>
  <c r="N65" i="5"/>
  <c r="L65" i="5"/>
  <c r="K65" i="5"/>
  <c r="J65" i="5"/>
  <c r="I65" i="5"/>
  <c r="AW64" i="5"/>
  <c r="AH64" i="5"/>
  <c r="AF64" i="5"/>
  <c r="AE64" i="5"/>
  <c r="AD64" i="5"/>
  <c r="AC64" i="5"/>
  <c r="N64" i="5"/>
  <c r="L64" i="5"/>
  <c r="K64" i="5"/>
  <c r="J64" i="5"/>
  <c r="I64" i="5"/>
  <c r="AW63" i="5"/>
  <c r="AH63" i="5"/>
  <c r="AF63" i="5"/>
  <c r="AE63" i="5"/>
  <c r="AD63" i="5"/>
  <c r="AC63" i="5"/>
  <c r="N63" i="5"/>
  <c r="L63" i="5"/>
  <c r="K63" i="5"/>
  <c r="J63" i="5"/>
  <c r="I63" i="5"/>
  <c r="AW62" i="5"/>
  <c r="AH62" i="5"/>
  <c r="AF62" i="5"/>
  <c r="AE62" i="5"/>
  <c r="AD62" i="5"/>
  <c r="AC62" i="5"/>
  <c r="N62" i="5"/>
  <c r="L62" i="5"/>
  <c r="K62" i="5"/>
  <c r="J62" i="5"/>
  <c r="I62" i="5"/>
  <c r="AW61" i="5"/>
  <c r="AH61" i="5"/>
  <c r="AF61" i="5"/>
  <c r="AE61" i="5"/>
  <c r="AD61" i="5"/>
  <c r="AC61" i="5"/>
  <c r="N61" i="5"/>
  <c r="L61" i="5"/>
  <c r="K61" i="5"/>
  <c r="J61" i="5"/>
  <c r="I61" i="5"/>
  <c r="AW60" i="5"/>
  <c r="AH60" i="5"/>
  <c r="AF60" i="5"/>
  <c r="AE60" i="5"/>
  <c r="AD60" i="5"/>
  <c r="AC60" i="5"/>
  <c r="N60" i="5"/>
  <c r="L60" i="5"/>
  <c r="K60" i="5"/>
  <c r="J60" i="5"/>
  <c r="I60" i="5"/>
  <c r="AX59" i="5" a="1"/>
  <c r="AX59" i="5" s="1"/>
  <c r="AW59" i="5"/>
  <c r="AH59" i="5"/>
  <c r="AF59" i="5"/>
  <c r="AE59" i="5"/>
  <c r="AD59" i="5"/>
  <c r="AC59" i="5"/>
  <c r="N59" i="5"/>
  <c r="L59" i="5"/>
  <c r="K59" i="5"/>
  <c r="J59" i="5"/>
  <c r="I59" i="5"/>
  <c r="AW58" i="5"/>
  <c r="AH58" i="5"/>
  <c r="AF58" i="5"/>
  <c r="AE58" i="5"/>
  <c r="AD58" i="5"/>
  <c r="AC58" i="5"/>
  <c r="N58" i="5"/>
  <c r="L58" i="5"/>
  <c r="K58" i="5"/>
  <c r="J58" i="5"/>
  <c r="I58" i="5"/>
  <c r="AW57" i="5"/>
  <c r="AH57" i="5"/>
  <c r="AF57" i="5"/>
  <c r="AE57" i="5"/>
  <c r="AD57" i="5"/>
  <c r="AC57" i="5"/>
  <c r="N57" i="5"/>
  <c r="L57" i="5"/>
  <c r="K57" i="5"/>
  <c r="J57" i="5"/>
  <c r="I57" i="5"/>
  <c r="AW56" i="5"/>
  <c r="AH56" i="5"/>
  <c r="AF56" i="5"/>
  <c r="AE56" i="5"/>
  <c r="AD56" i="5"/>
  <c r="AC56" i="5"/>
  <c r="N56" i="5"/>
  <c r="L56" i="5"/>
  <c r="K56" i="5"/>
  <c r="J56" i="5"/>
  <c r="I56" i="5"/>
  <c r="AW55" i="5"/>
  <c r="AH55" i="5"/>
  <c r="AF55" i="5"/>
  <c r="AE55" i="5"/>
  <c r="AD55" i="5"/>
  <c r="AC55" i="5"/>
  <c r="N55" i="5"/>
  <c r="L55" i="5"/>
  <c r="K55" i="5"/>
  <c r="J55" i="5"/>
  <c r="I55" i="5"/>
  <c r="AW54" i="5"/>
  <c r="AH54" i="5"/>
  <c r="AF54" i="5"/>
  <c r="AE54" i="5"/>
  <c r="AD54" i="5"/>
  <c r="AC54" i="5"/>
  <c r="N54" i="5"/>
  <c r="L54" i="5"/>
  <c r="K54" i="5"/>
  <c r="J54" i="5"/>
  <c r="I54" i="5"/>
  <c r="AX53" i="5" a="1"/>
  <c r="AX53" i="5" s="1"/>
  <c r="AW53" i="5"/>
  <c r="AH53" i="5"/>
  <c r="AF53" i="5"/>
  <c r="AE53" i="5"/>
  <c r="AD53" i="5"/>
  <c r="AC53" i="5"/>
  <c r="N53" i="5"/>
  <c r="L53" i="5"/>
  <c r="K53" i="5"/>
  <c r="J53" i="5"/>
  <c r="I53" i="5"/>
  <c r="AW52" i="5"/>
  <c r="AH52" i="5"/>
  <c r="AF52" i="5"/>
  <c r="AE52" i="5"/>
  <c r="AD52" i="5"/>
  <c r="AC52" i="5"/>
  <c r="N52" i="5"/>
  <c r="L52" i="5"/>
  <c r="K52" i="5"/>
  <c r="J52" i="5"/>
  <c r="I52" i="5"/>
  <c r="AW51" i="5"/>
  <c r="AH51" i="5"/>
  <c r="AF51" i="5"/>
  <c r="AE51" i="5"/>
  <c r="AD51" i="5"/>
  <c r="AC51" i="5"/>
  <c r="N51" i="5"/>
  <c r="L51" i="5"/>
  <c r="K51" i="5"/>
  <c r="J51" i="5"/>
  <c r="I51" i="5"/>
  <c r="AW50" i="5"/>
  <c r="AH50" i="5"/>
  <c r="AF50" i="5"/>
  <c r="AE50" i="5"/>
  <c r="AD50" i="5"/>
  <c r="AC50" i="5"/>
  <c r="N50" i="5"/>
  <c r="L50" i="5"/>
  <c r="K50" i="5"/>
  <c r="J50" i="5"/>
  <c r="I50" i="5"/>
  <c r="AW49" i="5"/>
  <c r="AH49" i="5"/>
  <c r="AF49" i="5"/>
  <c r="AE49" i="5"/>
  <c r="AD49" i="5"/>
  <c r="AC49" i="5"/>
  <c r="N49" i="5"/>
  <c r="L49" i="5"/>
  <c r="K49" i="5"/>
  <c r="J49" i="5"/>
  <c r="I49" i="5"/>
  <c r="AW48" i="5"/>
  <c r="AH48" i="5"/>
  <c r="AF48" i="5"/>
  <c r="AE48" i="5"/>
  <c r="AD48" i="5"/>
  <c r="AC48" i="5"/>
  <c r="N48" i="5"/>
  <c r="L48" i="5"/>
  <c r="K48" i="5"/>
  <c r="J48" i="5"/>
  <c r="I48" i="5"/>
  <c r="AX47" i="5" a="1"/>
  <c r="AX47" i="5" s="1"/>
  <c r="AW47" i="5"/>
  <c r="AH47" i="5"/>
  <c r="AF47" i="5"/>
  <c r="AE47" i="5"/>
  <c r="AD47" i="5"/>
  <c r="AC47" i="5"/>
  <c r="N47" i="5"/>
  <c r="L47" i="5"/>
  <c r="K47" i="5"/>
  <c r="J47" i="5"/>
  <c r="I47" i="5"/>
  <c r="AW46" i="5"/>
  <c r="AH46" i="5"/>
  <c r="AF46" i="5"/>
  <c r="AE46" i="5"/>
  <c r="AD46" i="5"/>
  <c r="AC46" i="5"/>
  <c r="N46" i="5"/>
  <c r="L46" i="5"/>
  <c r="K46" i="5"/>
  <c r="J46" i="5"/>
  <c r="I46" i="5"/>
  <c r="AW45" i="5"/>
  <c r="AH45" i="5"/>
  <c r="AF45" i="5"/>
  <c r="AE45" i="5"/>
  <c r="AD45" i="5"/>
  <c r="AC45" i="5"/>
  <c r="N45" i="5"/>
  <c r="L45" i="5"/>
  <c r="K45" i="5"/>
  <c r="J45" i="5"/>
  <c r="I45" i="5"/>
  <c r="AW44" i="5"/>
  <c r="AH44" i="5"/>
  <c r="AF44" i="5"/>
  <c r="AE44" i="5"/>
  <c r="AD44" i="5"/>
  <c r="AC44" i="5"/>
  <c r="N44" i="5"/>
  <c r="L44" i="5"/>
  <c r="K44" i="5"/>
  <c r="J44" i="5"/>
  <c r="I44" i="5"/>
  <c r="AW43" i="5"/>
  <c r="AH43" i="5"/>
  <c r="AF43" i="5"/>
  <c r="AE43" i="5"/>
  <c r="AD43" i="5"/>
  <c r="AC43" i="5"/>
  <c r="N43" i="5"/>
  <c r="L43" i="5"/>
  <c r="K43" i="5"/>
  <c r="J43" i="5"/>
  <c r="I43" i="5"/>
  <c r="AW42" i="5"/>
  <c r="AH42" i="5"/>
  <c r="AF42" i="5"/>
  <c r="AE42" i="5"/>
  <c r="AD42" i="5"/>
  <c r="AC42" i="5"/>
  <c r="N42" i="5"/>
  <c r="L42" i="5"/>
  <c r="K42" i="5"/>
  <c r="J42" i="5"/>
  <c r="I42" i="5"/>
  <c r="AX41" i="5" a="1"/>
  <c r="AX41" i="5" s="1"/>
  <c r="AW41" i="5"/>
  <c r="AH41" i="5"/>
  <c r="AF41" i="5"/>
  <c r="AE41" i="5"/>
  <c r="AD41" i="5"/>
  <c r="AC41" i="5"/>
  <c r="N41" i="5"/>
  <c r="L41" i="5"/>
  <c r="K41" i="5"/>
  <c r="J41" i="5"/>
  <c r="I41" i="5"/>
  <c r="AW40" i="5"/>
  <c r="AH40" i="5"/>
  <c r="AF40" i="5"/>
  <c r="AE40" i="5"/>
  <c r="AD40" i="5"/>
  <c r="AC40" i="5"/>
  <c r="N40" i="5"/>
  <c r="L40" i="5"/>
  <c r="K40" i="5"/>
  <c r="J40" i="5"/>
  <c r="I40" i="5"/>
  <c r="AW39" i="5"/>
  <c r="AH39" i="5"/>
  <c r="AF39" i="5"/>
  <c r="AE39" i="5"/>
  <c r="AD39" i="5"/>
  <c r="AC39" i="5"/>
  <c r="N39" i="5"/>
  <c r="L39" i="5"/>
  <c r="K39" i="5"/>
  <c r="J39" i="5"/>
  <c r="I39" i="5"/>
  <c r="AW38" i="5"/>
  <c r="AH38" i="5"/>
  <c r="AF38" i="5"/>
  <c r="AE38" i="5"/>
  <c r="AD38" i="5"/>
  <c r="AC38" i="5"/>
  <c r="N38" i="5"/>
  <c r="L38" i="5"/>
  <c r="K38" i="5"/>
  <c r="J38" i="5"/>
  <c r="I38" i="5"/>
  <c r="AW37" i="5"/>
  <c r="AH37" i="5"/>
  <c r="AF37" i="5"/>
  <c r="AE37" i="5"/>
  <c r="AD37" i="5"/>
  <c r="AC37" i="5"/>
  <c r="N37" i="5"/>
  <c r="L37" i="5"/>
  <c r="K37" i="5"/>
  <c r="J37" i="5"/>
  <c r="I37" i="5"/>
  <c r="AW36" i="5"/>
  <c r="AH36" i="5"/>
  <c r="AF36" i="5"/>
  <c r="AE36" i="5"/>
  <c r="AD36" i="5"/>
  <c r="AC36" i="5"/>
  <c r="N36" i="5"/>
  <c r="L36" i="5"/>
  <c r="K36" i="5"/>
  <c r="J36" i="5"/>
  <c r="I36" i="5"/>
  <c r="AX35" i="5" a="1"/>
  <c r="AX35" i="5" s="1"/>
  <c r="AW35" i="5"/>
  <c r="AH35" i="5"/>
  <c r="AF35" i="5"/>
  <c r="AE35" i="5"/>
  <c r="AD35" i="5"/>
  <c r="AC35" i="5"/>
  <c r="N35" i="5"/>
  <c r="L35" i="5"/>
  <c r="K35" i="5"/>
  <c r="J35" i="5"/>
  <c r="I35" i="5"/>
  <c r="AW34" i="5"/>
  <c r="AH34" i="5"/>
  <c r="AF34" i="5"/>
  <c r="AE34" i="5"/>
  <c r="AD34" i="5"/>
  <c r="AC34" i="5"/>
  <c r="N34" i="5"/>
  <c r="L34" i="5"/>
  <c r="K34" i="5"/>
  <c r="J34" i="5"/>
  <c r="I34" i="5"/>
  <c r="AW33" i="5"/>
  <c r="AH33" i="5"/>
  <c r="AF33" i="5"/>
  <c r="AE33" i="5"/>
  <c r="AD33" i="5"/>
  <c r="AC33" i="5"/>
  <c r="N33" i="5"/>
  <c r="L33" i="5"/>
  <c r="K33" i="5"/>
  <c r="J33" i="5"/>
  <c r="I33" i="5"/>
  <c r="AW32" i="5"/>
  <c r="AH32" i="5"/>
  <c r="AF32" i="5"/>
  <c r="AE32" i="5"/>
  <c r="AD32" i="5"/>
  <c r="AC32" i="5"/>
  <c r="N32" i="5"/>
  <c r="L32" i="5"/>
  <c r="K32" i="5"/>
  <c r="J32" i="5"/>
  <c r="I32" i="5"/>
  <c r="AW31" i="5"/>
  <c r="AH31" i="5"/>
  <c r="AF31" i="5"/>
  <c r="AE31" i="5"/>
  <c r="AD31" i="5"/>
  <c r="AC31" i="5"/>
  <c r="N31" i="5"/>
  <c r="L31" i="5"/>
  <c r="K31" i="5"/>
  <c r="J31" i="5"/>
  <c r="I31" i="5"/>
  <c r="AW30" i="5"/>
  <c r="AH30" i="5"/>
  <c r="AF30" i="5"/>
  <c r="AE30" i="5"/>
  <c r="AD30" i="5"/>
  <c r="AC30" i="5"/>
  <c r="N30" i="5"/>
  <c r="L30" i="5"/>
  <c r="K30" i="5"/>
  <c r="J30" i="5"/>
  <c r="I30" i="5"/>
  <c r="AX29" i="5" a="1"/>
  <c r="AX29" i="5" s="1"/>
  <c r="AW29" i="5"/>
  <c r="AH29" i="5"/>
  <c r="AF29" i="5"/>
  <c r="AE29" i="5"/>
  <c r="AD29" i="5"/>
  <c r="AC29" i="5"/>
  <c r="N29" i="5"/>
  <c r="L29" i="5"/>
  <c r="K29" i="5"/>
  <c r="J29" i="5"/>
  <c r="I29" i="5"/>
  <c r="AW28" i="5"/>
  <c r="AH28" i="5"/>
  <c r="AF28" i="5"/>
  <c r="AE28" i="5"/>
  <c r="AD28" i="5"/>
  <c r="AC28" i="5"/>
  <c r="N28" i="5"/>
  <c r="L28" i="5"/>
  <c r="K28" i="5"/>
  <c r="J28" i="5"/>
  <c r="I28" i="5"/>
  <c r="AW27" i="5"/>
  <c r="AH27" i="5"/>
  <c r="AF27" i="5"/>
  <c r="AE27" i="5"/>
  <c r="AD27" i="5"/>
  <c r="AC27" i="5"/>
  <c r="N27" i="5"/>
  <c r="L27" i="5"/>
  <c r="K27" i="5"/>
  <c r="J27" i="5"/>
  <c r="I27" i="5"/>
  <c r="AW26" i="5"/>
  <c r="AH26" i="5"/>
  <c r="AF26" i="5"/>
  <c r="AE26" i="5"/>
  <c r="AD26" i="5"/>
  <c r="AC26" i="5"/>
  <c r="N26" i="5"/>
  <c r="L26" i="5"/>
  <c r="K26" i="5"/>
  <c r="J26" i="5"/>
  <c r="I26" i="5"/>
  <c r="AW25" i="5"/>
  <c r="AH25" i="5"/>
  <c r="AF25" i="5"/>
  <c r="AE25" i="5"/>
  <c r="AD25" i="5"/>
  <c r="AC25" i="5"/>
  <c r="N25" i="5"/>
  <c r="L25" i="5"/>
  <c r="K25" i="5"/>
  <c r="J25" i="5"/>
  <c r="I25" i="5"/>
  <c r="AW24" i="5"/>
  <c r="AH24" i="5"/>
  <c r="AF24" i="5"/>
  <c r="AE24" i="5"/>
  <c r="AD24" i="5"/>
  <c r="AC24" i="5"/>
  <c r="N24" i="5"/>
  <c r="L24" i="5"/>
  <c r="K24" i="5"/>
  <c r="J24" i="5"/>
  <c r="I24" i="5"/>
  <c r="AX23" i="5" a="1"/>
  <c r="AX23" i="5" s="1"/>
  <c r="AW23" i="5"/>
  <c r="AH23" i="5"/>
  <c r="AF23" i="5"/>
  <c r="AE23" i="5"/>
  <c r="AD23" i="5"/>
  <c r="AC23" i="5"/>
  <c r="N23" i="5"/>
  <c r="L23" i="5"/>
  <c r="K23" i="5"/>
  <c r="J23" i="5"/>
  <c r="I23" i="5"/>
  <c r="AW22" i="5"/>
  <c r="AH22" i="5"/>
  <c r="AF22" i="5"/>
  <c r="AE22" i="5"/>
  <c r="AD22" i="5"/>
  <c r="AC22" i="5"/>
  <c r="N22" i="5"/>
  <c r="L22" i="5"/>
  <c r="K22" i="5"/>
  <c r="J22" i="5"/>
  <c r="I22" i="5"/>
  <c r="AW21" i="5"/>
  <c r="AH21" i="5"/>
  <c r="AF21" i="5"/>
  <c r="AE21" i="5"/>
  <c r="AD21" i="5"/>
  <c r="AC21" i="5"/>
  <c r="N21" i="5"/>
  <c r="L21" i="5"/>
  <c r="K21" i="5"/>
  <c r="J21" i="5"/>
  <c r="I21" i="5"/>
  <c r="AW20" i="5"/>
  <c r="AH20" i="5"/>
  <c r="AF20" i="5"/>
  <c r="AE20" i="5"/>
  <c r="AD20" i="5"/>
  <c r="AC20" i="5"/>
  <c r="N20" i="5"/>
  <c r="L20" i="5"/>
  <c r="K20" i="5"/>
  <c r="J20" i="5"/>
  <c r="I20" i="5"/>
  <c r="AW19" i="5"/>
  <c r="AH19" i="5"/>
  <c r="AF19" i="5"/>
  <c r="AE19" i="5"/>
  <c r="AD19" i="5"/>
  <c r="AC19" i="5"/>
  <c r="N19" i="5"/>
  <c r="L19" i="5"/>
  <c r="K19" i="5"/>
  <c r="J19" i="5"/>
  <c r="I19" i="5"/>
  <c r="AW18" i="5"/>
  <c r="AH18" i="5"/>
  <c r="AF18" i="5"/>
  <c r="AE18" i="5"/>
  <c r="AD18" i="5"/>
  <c r="AC18" i="5"/>
  <c r="N18" i="5"/>
  <c r="L18" i="5"/>
  <c r="K18" i="5"/>
  <c r="J18" i="5"/>
  <c r="I18" i="5"/>
  <c r="AX17" i="5" a="1"/>
  <c r="AX17" i="5" s="1"/>
  <c r="AW17" i="5"/>
  <c r="AH17" i="5"/>
  <c r="AF17" i="5"/>
  <c r="AE17" i="5"/>
  <c r="AD17" i="5"/>
  <c r="AC17" i="5"/>
  <c r="N17" i="5"/>
  <c r="L17" i="5"/>
  <c r="K17" i="5"/>
  <c r="J17" i="5"/>
  <c r="I17" i="5"/>
  <c r="AW16" i="5"/>
  <c r="AH16" i="5"/>
  <c r="AF16" i="5"/>
  <c r="AE16" i="5"/>
  <c r="AD16" i="5"/>
  <c r="AC16" i="5"/>
  <c r="N16" i="5"/>
  <c r="L16" i="5"/>
  <c r="K16" i="5"/>
  <c r="J16" i="5"/>
  <c r="I16" i="5"/>
  <c r="AW15" i="5"/>
  <c r="AH15" i="5"/>
  <c r="AF15" i="5"/>
  <c r="AE15" i="5"/>
  <c r="AD15" i="5"/>
  <c r="AC15" i="5"/>
  <c r="N15" i="5"/>
  <c r="L15" i="5"/>
  <c r="K15" i="5"/>
  <c r="J15" i="5"/>
  <c r="I15" i="5"/>
  <c r="AW14" i="5"/>
  <c r="AH14" i="5"/>
  <c r="AF14" i="5"/>
  <c r="AE14" i="5"/>
  <c r="AD14" i="5"/>
  <c r="AC14" i="5"/>
  <c r="N14" i="5"/>
  <c r="L14" i="5"/>
  <c r="K14" i="5"/>
  <c r="J14" i="5"/>
  <c r="I14" i="5"/>
  <c r="AW13" i="5"/>
  <c r="AH13" i="5"/>
  <c r="AF13" i="5"/>
  <c r="AE13" i="5"/>
  <c r="AD13" i="5"/>
  <c r="AC13" i="5"/>
  <c r="N13" i="5"/>
  <c r="L13" i="5"/>
  <c r="K13" i="5"/>
  <c r="J13" i="5"/>
  <c r="I13" i="5"/>
  <c r="AW12" i="5"/>
  <c r="AH12" i="5"/>
  <c r="AF12" i="5"/>
  <c r="AE12" i="5"/>
  <c r="AD12" i="5"/>
  <c r="AC12" i="5"/>
  <c r="N12" i="5"/>
  <c r="L12" i="5"/>
  <c r="K12" i="5"/>
  <c r="J12" i="5"/>
  <c r="I12" i="5"/>
  <c r="AX11" i="5" a="1"/>
  <c r="AX11" i="5" s="1"/>
  <c r="AW11" i="5"/>
  <c r="AH11" i="5"/>
  <c r="AF11" i="5"/>
  <c r="AE11" i="5"/>
  <c r="AD11" i="5"/>
  <c r="AC11" i="5"/>
  <c r="N11" i="5"/>
  <c r="L11" i="5"/>
  <c r="K11" i="5"/>
  <c r="J11" i="5"/>
  <c r="I11" i="5"/>
  <c r="AW10" i="5"/>
  <c r="AH10" i="5"/>
  <c r="AF10" i="5"/>
  <c r="AE10" i="5"/>
  <c r="AD10" i="5"/>
  <c r="AC10" i="5"/>
  <c r="N10" i="5"/>
  <c r="L10" i="5"/>
  <c r="K10" i="5"/>
  <c r="J10" i="5"/>
  <c r="I10" i="5"/>
  <c r="AW9" i="5"/>
  <c r="AH9" i="5"/>
  <c r="AF9" i="5"/>
  <c r="AE9" i="5"/>
  <c r="AD9" i="5"/>
  <c r="AC9" i="5"/>
  <c r="N9" i="5"/>
  <c r="L9" i="5"/>
  <c r="K9" i="5"/>
  <c r="J9" i="5"/>
  <c r="I9" i="5"/>
  <c r="AW8" i="5"/>
  <c r="AH8" i="5"/>
  <c r="AF8" i="5"/>
  <c r="AE8" i="5"/>
  <c r="AD8" i="5"/>
  <c r="AC8" i="5"/>
  <c r="N8" i="5"/>
  <c r="L8" i="5"/>
  <c r="K8" i="5"/>
  <c r="J8" i="5"/>
  <c r="I8" i="5"/>
  <c r="AW7" i="5"/>
  <c r="AH7" i="5"/>
  <c r="AF7" i="5"/>
  <c r="AE7" i="5"/>
  <c r="AD7" i="5"/>
  <c r="AC7" i="5"/>
  <c r="N7" i="5"/>
  <c r="L7" i="5"/>
  <c r="K7" i="5"/>
  <c r="J7" i="5"/>
  <c r="I7" i="5"/>
  <c r="AW6" i="5"/>
  <c r="AH6" i="5"/>
  <c r="AF6" i="5"/>
  <c r="AE6" i="5"/>
  <c r="AD6" i="5"/>
  <c r="AC6" i="5"/>
  <c r="N6" i="5"/>
  <c r="L6" i="5"/>
  <c r="K6" i="5"/>
  <c r="J6" i="5"/>
  <c r="I6" i="5"/>
  <c r="AX5" i="5" a="1"/>
  <c r="AX5" i="5" s="1"/>
  <c r="AW5" i="5"/>
  <c r="AH5" i="5"/>
  <c r="AF5" i="5"/>
  <c r="AE5" i="5"/>
  <c r="AD5" i="5"/>
  <c r="AC5" i="5"/>
  <c r="N5" i="5"/>
  <c r="L5" i="5"/>
  <c r="K5" i="5"/>
  <c r="J5" i="5"/>
  <c r="I5" i="5"/>
  <c r="AQ348" i="3"/>
  <c r="AP348" i="3"/>
  <c r="Y348" i="3"/>
  <c r="X348" i="3"/>
  <c r="AQ346" i="3"/>
  <c r="AP346" i="3"/>
  <c r="Y346" i="3"/>
  <c r="X346" i="3"/>
  <c r="AS340" i="3"/>
  <c r="AF340" i="3"/>
  <c r="AE340" i="3"/>
  <c r="AC340" i="3"/>
  <c r="AB340" i="3"/>
  <c r="AA340" i="3"/>
  <c r="N340" i="3"/>
  <c r="M340" i="3"/>
  <c r="K340" i="3"/>
  <c r="J340" i="3"/>
  <c r="I340" i="3"/>
  <c r="AS339" i="3"/>
  <c r="AF339" i="3"/>
  <c r="AE339" i="3"/>
  <c r="AC339" i="3"/>
  <c r="AB339" i="3"/>
  <c r="AA339" i="3"/>
  <c r="N339" i="3"/>
  <c r="M339" i="3"/>
  <c r="K339" i="3"/>
  <c r="J339" i="3"/>
  <c r="I339" i="3"/>
  <c r="AS338" i="3"/>
  <c r="AF338" i="3"/>
  <c r="AE338" i="3"/>
  <c r="AC338" i="3"/>
  <c r="AB338" i="3"/>
  <c r="AA338" i="3"/>
  <c r="N338" i="3"/>
  <c r="M338" i="3"/>
  <c r="K338" i="3"/>
  <c r="J338" i="3"/>
  <c r="I338" i="3"/>
  <c r="AS337" i="3"/>
  <c r="AF337" i="3"/>
  <c r="AE337" i="3"/>
  <c r="AC337" i="3"/>
  <c r="AB337" i="3"/>
  <c r="AA337" i="3"/>
  <c r="N337" i="3"/>
  <c r="M337" i="3"/>
  <c r="K337" i="3"/>
  <c r="J337" i="3"/>
  <c r="I337" i="3"/>
  <c r="AS336" i="3"/>
  <c r="AF336" i="3"/>
  <c r="AE336" i="3"/>
  <c r="AC336" i="3"/>
  <c r="AB336" i="3"/>
  <c r="AA336" i="3"/>
  <c r="N336" i="3"/>
  <c r="M336" i="3"/>
  <c r="K336" i="3"/>
  <c r="J336" i="3"/>
  <c r="I336" i="3"/>
  <c r="AT335" i="3" a="1"/>
  <c r="AT335" i="3"/>
  <c r="AS335" i="3"/>
  <c r="AF335" i="3"/>
  <c r="AE335" i="3"/>
  <c r="AC335" i="3"/>
  <c r="AB335" i="3"/>
  <c r="AA335" i="3"/>
  <c r="N335" i="3"/>
  <c r="M335" i="3"/>
  <c r="K335" i="3"/>
  <c r="J335" i="3"/>
  <c r="I335" i="3"/>
  <c r="AS334" i="3"/>
  <c r="AF334" i="3"/>
  <c r="AE334" i="3"/>
  <c r="AC334" i="3"/>
  <c r="AB334" i="3"/>
  <c r="AA334" i="3"/>
  <c r="N334" i="3"/>
  <c r="M334" i="3"/>
  <c r="K334" i="3"/>
  <c r="J334" i="3"/>
  <c r="I334" i="3"/>
  <c r="AS333" i="3"/>
  <c r="AF333" i="3"/>
  <c r="AE333" i="3"/>
  <c r="AC333" i="3"/>
  <c r="AB333" i="3"/>
  <c r="AA333" i="3"/>
  <c r="N333" i="3"/>
  <c r="M333" i="3"/>
  <c r="K333" i="3"/>
  <c r="J333" i="3"/>
  <c r="I333" i="3"/>
  <c r="AS332" i="3"/>
  <c r="AF332" i="3"/>
  <c r="AE332" i="3"/>
  <c r="AC332" i="3"/>
  <c r="AB332" i="3"/>
  <c r="AA332" i="3"/>
  <c r="N332" i="3"/>
  <c r="M332" i="3"/>
  <c r="K332" i="3"/>
  <c r="J332" i="3"/>
  <c r="I332" i="3"/>
  <c r="AS331" i="3"/>
  <c r="AF331" i="3"/>
  <c r="AE331" i="3"/>
  <c r="AC331" i="3"/>
  <c r="AB331" i="3"/>
  <c r="AA331" i="3"/>
  <c r="N331" i="3"/>
  <c r="M331" i="3"/>
  <c r="K331" i="3"/>
  <c r="J331" i="3"/>
  <c r="I331" i="3"/>
  <c r="AS330" i="3"/>
  <c r="AF330" i="3"/>
  <c r="AE330" i="3"/>
  <c r="AC330" i="3"/>
  <c r="AB330" i="3"/>
  <c r="AA330" i="3"/>
  <c r="N330" i="3"/>
  <c r="M330" i="3"/>
  <c r="K330" i="3"/>
  <c r="J330" i="3"/>
  <c r="I330" i="3"/>
  <c r="AT329" i="3" a="1"/>
  <c r="AT329" i="3" s="1"/>
  <c r="AS329" i="3"/>
  <c r="AF329" i="3"/>
  <c r="AE329" i="3"/>
  <c r="AC329" i="3"/>
  <c r="AB329" i="3"/>
  <c r="AA329" i="3"/>
  <c r="N329" i="3"/>
  <c r="M329" i="3"/>
  <c r="K329" i="3"/>
  <c r="J329" i="3"/>
  <c r="I329" i="3"/>
  <c r="AS328" i="3"/>
  <c r="AF328" i="3"/>
  <c r="AE328" i="3"/>
  <c r="AC328" i="3"/>
  <c r="AB328" i="3"/>
  <c r="AA328" i="3"/>
  <c r="N328" i="3"/>
  <c r="M328" i="3"/>
  <c r="K328" i="3"/>
  <c r="J328" i="3"/>
  <c r="I328" i="3"/>
  <c r="AS327" i="3"/>
  <c r="AF327" i="3"/>
  <c r="AE327" i="3"/>
  <c r="AC327" i="3"/>
  <c r="AB327" i="3"/>
  <c r="AA327" i="3"/>
  <c r="N327" i="3"/>
  <c r="M327" i="3"/>
  <c r="K327" i="3"/>
  <c r="J327" i="3"/>
  <c r="I327" i="3"/>
  <c r="AS326" i="3"/>
  <c r="AF326" i="3"/>
  <c r="AE326" i="3"/>
  <c r="AC326" i="3"/>
  <c r="AB326" i="3"/>
  <c r="AA326" i="3"/>
  <c r="N326" i="3"/>
  <c r="M326" i="3"/>
  <c r="K326" i="3"/>
  <c r="J326" i="3"/>
  <c r="I326" i="3"/>
  <c r="AS325" i="3"/>
  <c r="AF325" i="3"/>
  <c r="AE325" i="3"/>
  <c r="AC325" i="3"/>
  <c r="AB325" i="3"/>
  <c r="AA325" i="3"/>
  <c r="N325" i="3"/>
  <c r="M325" i="3"/>
  <c r="K325" i="3"/>
  <c r="J325" i="3"/>
  <c r="I325" i="3"/>
  <c r="AS324" i="3"/>
  <c r="AF324" i="3"/>
  <c r="AE324" i="3"/>
  <c r="AC324" i="3"/>
  <c r="AB324" i="3"/>
  <c r="AA324" i="3"/>
  <c r="N324" i="3"/>
  <c r="M324" i="3"/>
  <c r="K324" i="3"/>
  <c r="J324" i="3"/>
  <c r="I324" i="3"/>
  <c r="AT323" i="3" a="1"/>
  <c r="AT323" i="3"/>
  <c r="AS323" i="3"/>
  <c r="AF323" i="3"/>
  <c r="AE323" i="3"/>
  <c r="AC323" i="3"/>
  <c r="AB323" i="3"/>
  <c r="AA323" i="3"/>
  <c r="N323" i="3"/>
  <c r="M323" i="3"/>
  <c r="K323" i="3"/>
  <c r="J323" i="3"/>
  <c r="I323" i="3"/>
  <c r="AS322" i="3"/>
  <c r="AF322" i="3"/>
  <c r="AE322" i="3"/>
  <c r="AC322" i="3"/>
  <c r="AB322" i="3"/>
  <c r="AA322" i="3"/>
  <c r="N322" i="3"/>
  <c r="M322" i="3"/>
  <c r="K322" i="3"/>
  <c r="J322" i="3"/>
  <c r="I322" i="3"/>
  <c r="AS321" i="3"/>
  <c r="AF321" i="3"/>
  <c r="AE321" i="3"/>
  <c r="AC321" i="3"/>
  <c r="AB321" i="3"/>
  <c r="AA321" i="3"/>
  <c r="N321" i="3"/>
  <c r="M321" i="3"/>
  <c r="K321" i="3"/>
  <c r="J321" i="3"/>
  <c r="I321" i="3"/>
  <c r="AS320" i="3"/>
  <c r="AF320" i="3"/>
  <c r="AE320" i="3"/>
  <c r="AC320" i="3"/>
  <c r="AB320" i="3"/>
  <c r="AA320" i="3"/>
  <c r="N320" i="3"/>
  <c r="M320" i="3"/>
  <c r="K320" i="3"/>
  <c r="J320" i="3"/>
  <c r="I320" i="3"/>
  <c r="AS319" i="3"/>
  <c r="AF319" i="3"/>
  <c r="AE319" i="3"/>
  <c r="AC319" i="3"/>
  <c r="AB319" i="3"/>
  <c r="AA319" i="3"/>
  <c r="N319" i="3"/>
  <c r="M319" i="3"/>
  <c r="K319" i="3"/>
  <c r="J319" i="3"/>
  <c r="I319" i="3"/>
  <c r="AS318" i="3"/>
  <c r="AF318" i="3"/>
  <c r="AE318" i="3"/>
  <c r="AC318" i="3"/>
  <c r="AB318" i="3"/>
  <c r="AA318" i="3"/>
  <c r="N318" i="3"/>
  <c r="M318" i="3"/>
  <c r="K318" i="3"/>
  <c r="J318" i="3"/>
  <c r="I318" i="3"/>
  <c r="AT317" i="3" a="1"/>
  <c r="AT317" i="3" s="1"/>
  <c r="AS317" i="3"/>
  <c r="AF317" i="3"/>
  <c r="AE317" i="3"/>
  <c r="AC317" i="3"/>
  <c r="AB317" i="3"/>
  <c r="AA317" i="3"/>
  <c r="N317" i="3"/>
  <c r="M317" i="3"/>
  <c r="K317" i="3"/>
  <c r="J317" i="3"/>
  <c r="I317" i="3"/>
  <c r="AS316" i="3"/>
  <c r="AF316" i="3"/>
  <c r="AE316" i="3"/>
  <c r="AC316" i="3"/>
  <c r="AB316" i="3"/>
  <c r="AA316" i="3"/>
  <c r="N316" i="3"/>
  <c r="M316" i="3"/>
  <c r="K316" i="3"/>
  <c r="J316" i="3"/>
  <c r="I316" i="3"/>
  <c r="AS315" i="3"/>
  <c r="AF315" i="3"/>
  <c r="AE315" i="3"/>
  <c r="AC315" i="3"/>
  <c r="AB315" i="3"/>
  <c r="AA315" i="3"/>
  <c r="N315" i="3"/>
  <c r="M315" i="3"/>
  <c r="K315" i="3"/>
  <c r="J315" i="3"/>
  <c r="I315" i="3"/>
  <c r="AS314" i="3"/>
  <c r="AF314" i="3"/>
  <c r="AE314" i="3"/>
  <c r="AC314" i="3"/>
  <c r="AB314" i="3"/>
  <c r="AA314" i="3"/>
  <c r="N314" i="3"/>
  <c r="M314" i="3"/>
  <c r="K314" i="3"/>
  <c r="J314" i="3"/>
  <c r="I314" i="3"/>
  <c r="AS313" i="3"/>
  <c r="AF313" i="3"/>
  <c r="AE313" i="3"/>
  <c r="AC313" i="3"/>
  <c r="AB313" i="3"/>
  <c r="AA313" i="3"/>
  <c r="N313" i="3"/>
  <c r="M313" i="3"/>
  <c r="K313" i="3"/>
  <c r="J313" i="3"/>
  <c r="I313" i="3"/>
  <c r="AS312" i="3"/>
  <c r="AF312" i="3"/>
  <c r="AE312" i="3"/>
  <c r="AC312" i="3"/>
  <c r="AB312" i="3"/>
  <c r="AA312" i="3"/>
  <c r="N312" i="3"/>
  <c r="M312" i="3"/>
  <c r="K312" i="3"/>
  <c r="J312" i="3"/>
  <c r="I312" i="3"/>
  <c r="AT311" i="3" a="1"/>
  <c r="AT311" i="3" s="1"/>
  <c r="AS311" i="3"/>
  <c r="AF311" i="3"/>
  <c r="AE311" i="3"/>
  <c r="AC311" i="3"/>
  <c r="AB311" i="3"/>
  <c r="AA311" i="3"/>
  <c r="N311" i="3"/>
  <c r="M311" i="3"/>
  <c r="K311" i="3"/>
  <c r="J311" i="3"/>
  <c r="I311" i="3"/>
  <c r="AS310" i="3"/>
  <c r="AF310" i="3"/>
  <c r="AE310" i="3"/>
  <c r="AC310" i="3"/>
  <c r="AB310" i="3"/>
  <c r="AA310" i="3"/>
  <c r="N310" i="3"/>
  <c r="M310" i="3"/>
  <c r="K310" i="3"/>
  <c r="J310" i="3"/>
  <c r="I310" i="3"/>
  <c r="AS309" i="3"/>
  <c r="AF309" i="3"/>
  <c r="AE309" i="3"/>
  <c r="AC309" i="3"/>
  <c r="AB309" i="3"/>
  <c r="AA309" i="3"/>
  <c r="N309" i="3"/>
  <c r="M309" i="3"/>
  <c r="K309" i="3"/>
  <c r="J309" i="3"/>
  <c r="I309" i="3"/>
  <c r="AS308" i="3"/>
  <c r="AF308" i="3"/>
  <c r="AE308" i="3"/>
  <c r="AC308" i="3"/>
  <c r="AB308" i="3"/>
  <c r="AA308" i="3"/>
  <c r="N308" i="3"/>
  <c r="M308" i="3"/>
  <c r="K308" i="3"/>
  <c r="J308" i="3"/>
  <c r="I308" i="3"/>
  <c r="AS307" i="3"/>
  <c r="AF307" i="3"/>
  <c r="AE307" i="3"/>
  <c r="AC307" i="3"/>
  <c r="AB307" i="3"/>
  <c r="AA307" i="3"/>
  <c r="N307" i="3"/>
  <c r="M307" i="3"/>
  <c r="K307" i="3"/>
  <c r="J307" i="3"/>
  <c r="I307" i="3"/>
  <c r="AS306" i="3"/>
  <c r="AF306" i="3"/>
  <c r="AE306" i="3"/>
  <c r="AC306" i="3"/>
  <c r="AB306" i="3"/>
  <c r="AA306" i="3"/>
  <c r="N306" i="3"/>
  <c r="M306" i="3"/>
  <c r="K306" i="3"/>
  <c r="J306" i="3"/>
  <c r="I306" i="3"/>
  <c r="AT305" i="3" a="1"/>
  <c r="AT305" i="3" s="1"/>
  <c r="AS305" i="3"/>
  <c r="AF305" i="3"/>
  <c r="AE305" i="3"/>
  <c r="AC305" i="3"/>
  <c r="AB305" i="3"/>
  <c r="AA305" i="3"/>
  <c r="N305" i="3"/>
  <c r="M305" i="3"/>
  <c r="K305" i="3"/>
  <c r="J305" i="3"/>
  <c r="I305" i="3"/>
  <c r="AS304" i="3"/>
  <c r="AF304" i="3"/>
  <c r="AE304" i="3"/>
  <c r="AC304" i="3"/>
  <c r="AB304" i="3"/>
  <c r="AA304" i="3"/>
  <c r="N304" i="3"/>
  <c r="M304" i="3"/>
  <c r="K304" i="3"/>
  <c r="J304" i="3"/>
  <c r="I304" i="3"/>
  <c r="AS303" i="3"/>
  <c r="AF303" i="3"/>
  <c r="AE303" i="3"/>
  <c r="AC303" i="3"/>
  <c r="AB303" i="3"/>
  <c r="AA303" i="3"/>
  <c r="N303" i="3"/>
  <c r="M303" i="3"/>
  <c r="K303" i="3"/>
  <c r="J303" i="3"/>
  <c r="I303" i="3"/>
  <c r="AS302" i="3"/>
  <c r="AF302" i="3"/>
  <c r="AE302" i="3"/>
  <c r="AC302" i="3"/>
  <c r="AB302" i="3"/>
  <c r="AA302" i="3"/>
  <c r="N302" i="3"/>
  <c r="M302" i="3"/>
  <c r="K302" i="3"/>
  <c r="J302" i="3"/>
  <c r="I302" i="3"/>
  <c r="AS301" i="3"/>
  <c r="AF301" i="3"/>
  <c r="AE301" i="3"/>
  <c r="AC301" i="3"/>
  <c r="AB301" i="3"/>
  <c r="AA301" i="3"/>
  <c r="N301" i="3"/>
  <c r="M301" i="3"/>
  <c r="K301" i="3"/>
  <c r="J301" i="3"/>
  <c r="I301" i="3"/>
  <c r="AS300" i="3"/>
  <c r="AF300" i="3"/>
  <c r="AE300" i="3"/>
  <c r="AC300" i="3"/>
  <c r="AB300" i="3"/>
  <c r="AA300" i="3"/>
  <c r="N300" i="3"/>
  <c r="M300" i="3"/>
  <c r="K300" i="3"/>
  <c r="J300" i="3"/>
  <c r="I300" i="3"/>
  <c r="AT299" i="3" a="1"/>
  <c r="AT299" i="3" s="1"/>
  <c r="AS299" i="3"/>
  <c r="AF299" i="3"/>
  <c r="AE299" i="3"/>
  <c r="AC299" i="3"/>
  <c r="AB299" i="3"/>
  <c r="AA299" i="3"/>
  <c r="N299" i="3"/>
  <c r="M299" i="3"/>
  <c r="K299" i="3"/>
  <c r="J299" i="3"/>
  <c r="I299" i="3"/>
  <c r="AS298" i="3"/>
  <c r="AF298" i="3"/>
  <c r="AE298" i="3"/>
  <c r="AD298" i="3"/>
  <c r="AC298" i="3"/>
  <c r="AB298" i="3"/>
  <c r="AA298" i="3"/>
  <c r="N298" i="3"/>
  <c r="M298" i="3"/>
  <c r="L298" i="3"/>
  <c r="K298" i="3"/>
  <c r="J298" i="3"/>
  <c r="I298" i="3"/>
  <c r="AS297" i="3"/>
  <c r="AF297" i="3"/>
  <c r="AE297" i="3"/>
  <c r="AD297" i="3"/>
  <c r="AC297" i="3"/>
  <c r="AB297" i="3"/>
  <c r="AA297" i="3"/>
  <c r="N297" i="3"/>
  <c r="M297" i="3"/>
  <c r="L297" i="3"/>
  <c r="K297" i="3"/>
  <c r="J297" i="3"/>
  <c r="I297" i="3"/>
  <c r="AS296" i="3"/>
  <c r="AF296" i="3"/>
  <c r="AE296" i="3"/>
  <c r="AD296" i="3"/>
  <c r="AC296" i="3"/>
  <c r="AB296" i="3"/>
  <c r="AA296" i="3"/>
  <c r="N296" i="3"/>
  <c r="M296" i="3"/>
  <c r="L296" i="3"/>
  <c r="K296" i="3"/>
  <c r="J296" i="3"/>
  <c r="I296" i="3"/>
  <c r="AS295" i="3"/>
  <c r="AF295" i="3"/>
  <c r="AE295" i="3"/>
  <c r="AD295" i="3"/>
  <c r="AC295" i="3"/>
  <c r="AB295" i="3"/>
  <c r="AA295" i="3"/>
  <c r="N295" i="3"/>
  <c r="M295" i="3"/>
  <c r="L295" i="3"/>
  <c r="K295" i="3"/>
  <c r="J295" i="3"/>
  <c r="I295" i="3"/>
  <c r="AS294" i="3"/>
  <c r="AF294" i="3"/>
  <c r="AE294" i="3"/>
  <c r="AD294" i="3"/>
  <c r="AC294" i="3"/>
  <c r="AB294" i="3"/>
  <c r="AA294" i="3"/>
  <c r="N294" i="3"/>
  <c r="M294" i="3"/>
  <c r="L294" i="3"/>
  <c r="K294" i="3"/>
  <c r="J294" i="3"/>
  <c r="I294" i="3"/>
  <c r="AT293" i="3" a="1"/>
  <c r="AT293" i="3" s="1"/>
  <c r="AS293" i="3"/>
  <c r="AF293" i="3"/>
  <c r="AE293" i="3"/>
  <c r="AD293" i="3"/>
  <c r="AC293" i="3"/>
  <c r="AB293" i="3"/>
  <c r="AA293" i="3"/>
  <c r="N293" i="3"/>
  <c r="M293" i="3"/>
  <c r="L293" i="3"/>
  <c r="K293" i="3"/>
  <c r="J293" i="3"/>
  <c r="I293" i="3"/>
  <c r="AS292" i="3"/>
  <c r="AF292" i="3"/>
  <c r="AE292" i="3"/>
  <c r="AD292" i="3"/>
  <c r="AC292" i="3"/>
  <c r="AB292" i="3"/>
  <c r="AA292" i="3"/>
  <c r="N292" i="3"/>
  <c r="M292" i="3"/>
  <c r="L292" i="3"/>
  <c r="K292" i="3"/>
  <c r="J292" i="3"/>
  <c r="I292" i="3"/>
  <c r="AS291" i="3"/>
  <c r="AF291" i="3"/>
  <c r="AE291" i="3"/>
  <c r="AD291" i="3"/>
  <c r="AC291" i="3"/>
  <c r="AB291" i="3"/>
  <c r="AA291" i="3"/>
  <c r="N291" i="3"/>
  <c r="M291" i="3"/>
  <c r="L291" i="3"/>
  <c r="K291" i="3"/>
  <c r="J291" i="3"/>
  <c r="I291" i="3"/>
  <c r="AS290" i="3"/>
  <c r="AF290" i="3"/>
  <c r="AE290" i="3"/>
  <c r="AD290" i="3"/>
  <c r="AC290" i="3"/>
  <c r="AB290" i="3"/>
  <c r="AA290" i="3"/>
  <c r="N290" i="3"/>
  <c r="M290" i="3"/>
  <c r="L290" i="3"/>
  <c r="K290" i="3"/>
  <c r="J290" i="3"/>
  <c r="I290" i="3"/>
  <c r="AS289" i="3"/>
  <c r="AF289" i="3"/>
  <c r="AE289" i="3"/>
  <c r="AD289" i="3"/>
  <c r="AC289" i="3"/>
  <c r="AB289" i="3"/>
  <c r="AA289" i="3"/>
  <c r="N289" i="3"/>
  <c r="M289" i="3"/>
  <c r="L289" i="3"/>
  <c r="K289" i="3"/>
  <c r="J289" i="3"/>
  <c r="I289" i="3"/>
  <c r="AS288" i="3"/>
  <c r="AF288" i="3"/>
  <c r="AE288" i="3"/>
  <c r="AD288" i="3"/>
  <c r="AC288" i="3"/>
  <c r="AB288" i="3"/>
  <c r="AA288" i="3"/>
  <c r="N288" i="3"/>
  <c r="M288" i="3"/>
  <c r="L288" i="3"/>
  <c r="K288" i="3"/>
  <c r="J288" i="3"/>
  <c r="I288" i="3"/>
  <c r="AT287" i="3" a="1"/>
  <c r="AT287" i="3" s="1"/>
  <c r="AS287" i="3"/>
  <c r="AF287" i="3"/>
  <c r="AE287" i="3"/>
  <c r="AD287" i="3"/>
  <c r="AC287" i="3"/>
  <c r="AB287" i="3"/>
  <c r="AA287" i="3"/>
  <c r="N287" i="3"/>
  <c r="M287" i="3"/>
  <c r="L287" i="3"/>
  <c r="K287" i="3"/>
  <c r="J287" i="3"/>
  <c r="I287" i="3"/>
  <c r="AS286" i="3"/>
  <c r="AF286" i="3"/>
  <c r="AE286" i="3"/>
  <c r="AD286" i="3"/>
  <c r="AC286" i="3"/>
  <c r="AB286" i="3"/>
  <c r="AA286" i="3"/>
  <c r="N286" i="3"/>
  <c r="M286" i="3"/>
  <c r="L286" i="3"/>
  <c r="K286" i="3"/>
  <c r="J286" i="3"/>
  <c r="I286" i="3"/>
  <c r="AS285" i="3"/>
  <c r="AF285" i="3"/>
  <c r="AE285" i="3"/>
  <c r="AD285" i="3"/>
  <c r="AC285" i="3"/>
  <c r="AB285" i="3"/>
  <c r="AA285" i="3"/>
  <c r="N285" i="3"/>
  <c r="M285" i="3"/>
  <c r="L285" i="3"/>
  <c r="K285" i="3"/>
  <c r="J285" i="3"/>
  <c r="I285" i="3"/>
  <c r="AS284" i="3"/>
  <c r="AF284" i="3"/>
  <c r="AE284" i="3"/>
  <c r="AD284" i="3"/>
  <c r="AC284" i="3"/>
  <c r="AB284" i="3"/>
  <c r="AA284" i="3"/>
  <c r="N284" i="3"/>
  <c r="M284" i="3"/>
  <c r="L284" i="3"/>
  <c r="K284" i="3"/>
  <c r="J284" i="3"/>
  <c r="I284" i="3"/>
  <c r="AS283" i="3"/>
  <c r="AF283" i="3"/>
  <c r="AE283" i="3"/>
  <c r="AD283" i="3"/>
  <c r="AC283" i="3"/>
  <c r="AB283" i="3"/>
  <c r="AA283" i="3"/>
  <c r="N283" i="3"/>
  <c r="M283" i="3"/>
  <c r="L283" i="3"/>
  <c r="K283" i="3"/>
  <c r="J283" i="3"/>
  <c r="I283" i="3"/>
  <c r="AS282" i="3"/>
  <c r="AF282" i="3"/>
  <c r="AE282" i="3"/>
  <c r="AD282" i="3"/>
  <c r="AC282" i="3"/>
  <c r="AB282" i="3"/>
  <c r="AA282" i="3"/>
  <c r="N282" i="3"/>
  <c r="M282" i="3"/>
  <c r="L282" i="3"/>
  <c r="K282" i="3"/>
  <c r="J282" i="3"/>
  <c r="I282" i="3"/>
  <c r="AT281" i="3" a="1"/>
  <c r="AT281" i="3" s="1"/>
  <c r="AS281" i="3"/>
  <c r="AF281" i="3"/>
  <c r="AE281" i="3"/>
  <c r="AD281" i="3"/>
  <c r="AC281" i="3"/>
  <c r="AB281" i="3"/>
  <c r="AA281" i="3"/>
  <c r="N281" i="3"/>
  <c r="M281" i="3"/>
  <c r="L281" i="3"/>
  <c r="K281" i="3"/>
  <c r="J281" i="3"/>
  <c r="I281" i="3"/>
  <c r="AS280" i="3"/>
  <c r="AF280" i="3"/>
  <c r="AD280" i="3"/>
  <c r="AC280" i="3"/>
  <c r="AB280" i="3"/>
  <c r="AA280" i="3"/>
  <c r="N280" i="3"/>
  <c r="L280" i="3"/>
  <c r="K280" i="3"/>
  <c r="J280" i="3"/>
  <c r="I280" i="3"/>
  <c r="AS279" i="3"/>
  <c r="AF279" i="3"/>
  <c r="AD279" i="3"/>
  <c r="AC279" i="3"/>
  <c r="AB279" i="3"/>
  <c r="AA279" i="3"/>
  <c r="N279" i="3"/>
  <c r="L279" i="3"/>
  <c r="K279" i="3"/>
  <c r="J279" i="3"/>
  <c r="I279" i="3"/>
  <c r="AS278" i="3"/>
  <c r="AF278" i="3"/>
  <c r="AD278" i="3"/>
  <c r="AC278" i="3"/>
  <c r="AB278" i="3"/>
  <c r="AA278" i="3"/>
  <c r="N278" i="3"/>
  <c r="L278" i="3"/>
  <c r="K278" i="3"/>
  <c r="J278" i="3"/>
  <c r="I278" i="3"/>
  <c r="AS277" i="3"/>
  <c r="AF277" i="3"/>
  <c r="AD277" i="3"/>
  <c r="AC277" i="3"/>
  <c r="AB277" i="3"/>
  <c r="AA277" i="3"/>
  <c r="N277" i="3"/>
  <c r="L277" i="3"/>
  <c r="K277" i="3"/>
  <c r="J277" i="3"/>
  <c r="I277" i="3"/>
  <c r="AS276" i="3"/>
  <c r="AF276" i="3"/>
  <c r="AD276" i="3"/>
  <c r="AC276" i="3"/>
  <c r="AB276" i="3"/>
  <c r="AA276" i="3"/>
  <c r="N276" i="3"/>
  <c r="L276" i="3"/>
  <c r="K276" i="3"/>
  <c r="J276" i="3"/>
  <c r="I276" i="3"/>
  <c r="AT275" i="3" a="1"/>
  <c r="AT275" i="3" s="1"/>
  <c r="AS275" i="3"/>
  <c r="AF275" i="3"/>
  <c r="AD275" i="3"/>
  <c r="AC275" i="3"/>
  <c r="AB275" i="3"/>
  <c r="AA275" i="3"/>
  <c r="N275" i="3"/>
  <c r="L275" i="3"/>
  <c r="K275" i="3"/>
  <c r="J275" i="3"/>
  <c r="I275" i="3"/>
  <c r="AS274" i="3"/>
  <c r="AF274" i="3"/>
  <c r="AD274" i="3"/>
  <c r="AC274" i="3"/>
  <c r="AB274" i="3"/>
  <c r="AA274" i="3"/>
  <c r="N274" i="3"/>
  <c r="L274" i="3"/>
  <c r="K274" i="3"/>
  <c r="J274" i="3"/>
  <c r="I274" i="3"/>
  <c r="AS273" i="3"/>
  <c r="AF273" i="3"/>
  <c r="AD273" i="3"/>
  <c r="AC273" i="3"/>
  <c r="AB273" i="3"/>
  <c r="AA273" i="3"/>
  <c r="N273" i="3"/>
  <c r="L273" i="3"/>
  <c r="K273" i="3"/>
  <c r="J273" i="3"/>
  <c r="I273" i="3"/>
  <c r="AS272" i="3"/>
  <c r="AF272" i="3"/>
  <c r="AD272" i="3"/>
  <c r="AC272" i="3"/>
  <c r="AB272" i="3"/>
  <c r="AA272" i="3"/>
  <c r="N272" i="3"/>
  <c r="L272" i="3"/>
  <c r="K272" i="3"/>
  <c r="J272" i="3"/>
  <c r="I272" i="3"/>
  <c r="AS271" i="3"/>
  <c r="AF271" i="3"/>
  <c r="AD271" i="3"/>
  <c r="AC271" i="3"/>
  <c r="AB271" i="3"/>
  <c r="AA271" i="3"/>
  <c r="N271" i="3"/>
  <c r="L271" i="3"/>
  <c r="K271" i="3"/>
  <c r="J271" i="3"/>
  <c r="I271" i="3"/>
  <c r="AS270" i="3"/>
  <c r="AF270" i="3"/>
  <c r="AD270" i="3"/>
  <c r="AC270" i="3"/>
  <c r="AB270" i="3"/>
  <c r="AA270" i="3"/>
  <c r="N270" i="3"/>
  <c r="L270" i="3"/>
  <c r="K270" i="3"/>
  <c r="J270" i="3"/>
  <c r="I270" i="3"/>
  <c r="AT269" i="3" a="1"/>
  <c r="AT269" i="3" s="1"/>
  <c r="AS269" i="3"/>
  <c r="AF269" i="3"/>
  <c r="AD269" i="3"/>
  <c r="AC269" i="3"/>
  <c r="AB269" i="3"/>
  <c r="AA269" i="3"/>
  <c r="N269" i="3"/>
  <c r="L269" i="3"/>
  <c r="K269" i="3"/>
  <c r="J269" i="3"/>
  <c r="I269" i="3"/>
  <c r="AS268" i="3"/>
  <c r="AF268" i="3"/>
  <c r="AD268" i="3"/>
  <c r="AC268" i="3"/>
  <c r="AB268" i="3"/>
  <c r="AA268" i="3"/>
  <c r="N268" i="3"/>
  <c r="L268" i="3"/>
  <c r="K268" i="3"/>
  <c r="J268" i="3"/>
  <c r="I268" i="3"/>
  <c r="AS267" i="3"/>
  <c r="AF267" i="3"/>
  <c r="AD267" i="3"/>
  <c r="AC267" i="3"/>
  <c r="AB267" i="3"/>
  <c r="AA267" i="3"/>
  <c r="N267" i="3"/>
  <c r="L267" i="3"/>
  <c r="K267" i="3"/>
  <c r="J267" i="3"/>
  <c r="I267" i="3"/>
  <c r="AS266" i="3"/>
  <c r="AF266" i="3"/>
  <c r="AD266" i="3"/>
  <c r="AC266" i="3"/>
  <c r="AB266" i="3"/>
  <c r="AA266" i="3"/>
  <c r="N266" i="3"/>
  <c r="L266" i="3"/>
  <c r="K266" i="3"/>
  <c r="J266" i="3"/>
  <c r="I266" i="3"/>
  <c r="AS265" i="3"/>
  <c r="AF265" i="3"/>
  <c r="AD265" i="3"/>
  <c r="AC265" i="3"/>
  <c r="AB265" i="3"/>
  <c r="AA265" i="3"/>
  <c r="N265" i="3"/>
  <c r="L265" i="3"/>
  <c r="K265" i="3"/>
  <c r="J265" i="3"/>
  <c r="I265" i="3"/>
  <c r="AS264" i="3"/>
  <c r="AF264" i="3"/>
  <c r="AD264" i="3"/>
  <c r="AC264" i="3"/>
  <c r="AB264" i="3"/>
  <c r="AA264" i="3"/>
  <c r="N264" i="3"/>
  <c r="L264" i="3"/>
  <c r="K264" i="3"/>
  <c r="J264" i="3"/>
  <c r="I264" i="3"/>
  <c r="AT263" i="3" a="1"/>
  <c r="AT263" i="3" s="1"/>
  <c r="AS263" i="3"/>
  <c r="AF263" i="3"/>
  <c r="AD263" i="3"/>
  <c r="AC263" i="3"/>
  <c r="AB263" i="3"/>
  <c r="AA263" i="3"/>
  <c r="N263" i="3"/>
  <c r="L263" i="3"/>
  <c r="K263" i="3"/>
  <c r="J263" i="3"/>
  <c r="I263" i="3"/>
  <c r="AS262" i="3"/>
  <c r="AF262" i="3"/>
  <c r="AD262" i="3"/>
  <c r="AC262" i="3"/>
  <c r="AB262" i="3"/>
  <c r="AA262" i="3"/>
  <c r="N262" i="3"/>
  <c r="L262" i="3"/>
  <c r="K262" i="3"/>
  <c r="J262" i="3"/>
  <c r="I262" i="3"/>
  <c r="AS261" i="3"/>
  <c r="AF261" i="3"/>
  <c r="AD261" i="3"/>
  <c r="AC261" i="3"/>
  <c r="AB261" i="3"/>
  <c r="AA261" i="3"/>
  <c r="N261" i="3"/>
  <c r="L261" i="3"/>
  <c r="K261" i="3"/>
  <c r="J261" i="3"/>
  <c r="I261" i="3"/>
  <c r="AS260" i="3"/>
  <c r="AF260" i="3"/>
  <c r="AD260" i="3"/>
  <c r="AC260" i="3"/>
  <c r="AB260" i="3"/>
  <c r="AA260" i="3"/>
  <c r="N260" i="3"/>
  <c r="L260" i="3"/>
  <c r="K260" i="3"/>
  <c r="J260" i="3"/>
  <c r="I260" i="3"/>
  <c r="AS259" i="3"/>
  <c r="AF259" i="3"/>
  <c r="AD259" i="3"/>
  <c r="AC259" i="3"/>
  <c r="AB259" i="3"/>
  <c r="AA259" i="3"/>
  <c r="N259" i="3"/>
  <c r="L259" i="3"/>
  <c r="K259" i="3"/>
  <c r="J259" i="3"/>
  <c r="I259" i="3"/>
  <c r="AS258" i="3"/>
  <c r="AF258" i="3"/>
  <c r="AD258" i="3"/>
  <c r="AC258" i="3"/>
  <c r="AB258" i="3"/>
  <c r="AA258" i="3"/>
  <c r="N258" i="3"/>
  <c r="L258" i="3"/>
  <c r="K258" i="3"/>
  <c r="J258" i="3"/>
  <c r="I258" i="3"/>
  <c r="AT257" i="3" a="1"/>
  <c r="AT257" i="3" s="1"/>
  <c r="AS257" i="3"/>
  <c r="AF257" i="3"/>
  <c r="AD257" i="3"/>
  <c r="AC257" i="3"/>
  <c r="AB257" i="3"/>
  <c r="AA257" i="3"/>
  <c r="N257" i="3"/>
  <c r="L257" i="3"/>
  <c r="K257" i="3"/>
  <c r="J257" i="3"/>
  <c r="I257" i="3"/>
  <c r="AS256" i="3"/>
  <c r="AF256" i="3"/>
  <c r="AD256" i="3"/>
  <c r="AC256" i="3"/>
  <c r="AB256" i="3"/>
  <c r="AA256" i="3"/>
  <c r="N256" i="3"/>
  <c r="L256" i="3"/>
  <c r="K256" i="3"/>
  <c r="J256" i="3"/>
  <c r="I256" i="3"/>
  <c r="AS255" i="3"/>
  <c r="AF255" i="3"/>
  <c r="AD255" i="3"/>
  <c r="AC255" i="3"/>
  <c r="AB255" i="3"/>
  <c r="AA255" i="3"/>
  <c r="N255" i="3"/>
  <c r="L255" i="3"/>
  <c r="K255" i="3"/>
  <c r="J255" i="3"/>
  <c r="I255" i="3"/>
  <c r="AS254" i="3"/>
  <c r="AF254" i="3"/>
  <c r="AD254" i="3"/>
  <c r="AC254" i="3"/>
  <c r="AB254" i="3"/>
  <c r="AA254" i="3"/>
  <c r="N254" i="3"/>
  <c r="L254" i="3"/>
  <c r="K254" i="3"/>
  <c r="J254" i="3"/>
  <c r="I254" i="3"/>
  <c r="AS253" i="3"/>
  <c r="AF253" i="3"/>
  <c r="AD253" i="3"/>
  <c r="AC253" i="3"/>
  <c r="AB253" i="3"/>
  <c r="AA253" i="3"/>
  <c r="N253" i="3"/>
  <c r="L253" i="3"/>
  <c r="K253" i="3"/>
  <c r="J253" i="3"/>
  <c r="I253" i="3"/>
  <c r="AS252" i="3"/>
  <c r="AF252" i="3"/>
  <c r="AD252" i="3"/>
  <c r="AC252" i="3"/>
  <c r="AB252" i="3"/>
  <c r="AA252" i="3"/>
  <c r="N252" i="3"/>
  <c r="L252" i="3"/>
  <c r="K252" i="3"/>
  <c r="J252" i="3"/>
  <c r="I252" i="3"/>
  <c r="AT251" i="3" a="1"/>
  <c r="AT251" i="3" s="1"/>
  <c r="AS251" i="3"/>
  <c r="AF251" i="3"/>
  <c r="AD251" i="3"/>
  <c r="AC251" i="3"/>
  <c r="AB251" i="3"/>
  <c r="AA251" i="3"/>
  <c r="N251" i="3"/>
  <c r="L251" i="3"/>
  <c r="K251" i="3"/>
  <c r="J251" i="3"/>
  <c r="I251" i="3"/>
  <c r="AS250" i="3"/>
  <c r="AF250" i="3"/>
  <c r="AD250" i="3"/>
  <c r="AC250" i="3"/>
  <c r="AB250" i="3"/>
  <c r="AA250" i="3"/>
  <c r="N250" i="3"/>
  <c r="L250" i="3"/>
  <c r="K250" i="3"/>
  <c r="J250" i="3"/>
  <c r="I250" i="3"/>
  <c r="AS249" i="3"/>
  <c r="AF249" i="3"/>
  <c r="AD249" i="3"/>
  <c r="AC249" i="3"/>
  <c r="AB249" i="3"/>
  <c r="AA249" i="3"/>
  <c r="N249" i="3"/>
  <c r="L249" i="3"/>
  <c r="K249" i="3"/>
  <c r="J249" i="3"/>
  <c r="I249" i="3"/>
  <c r="AS248" i="3"/>
  <c r="AF248" i="3"/>
  <c r="AD248" i="3"/>
  <c r="AC248" i="3"/>
  <c r="AB248" i="3"/>
  <c r="AA248" i="3"/>
  <c r="N248" i="3"/>
  <c r="L248" i="3"/>
  <c r="K248" i="3"/>
  <c r="J248" i="3"/>
  <c r="I248" i="3"/>
  <c r="AS247" i="3"/>
  <c r="AF247" i="3"/>
  <c r="AD247" i="3"/>
  <c r="AC247" i="3"/>
  <c r="AB247" i="3"/>
  <c r="AA247" i="3"/>
  <c r="N247" i="3"/>
  <c r="L247" i="3"/>
  <c r="K247" i="3"/>
  <c r="J247" i="3"/>
  <c r="I247" i="3"/>
  <c r="AS246" i="3"/>
  <c r="AF246" i="3"/>
  <c r="AD246" i="3"/>
  <c r="AC246" i="3"/>
  <c r="AB246" i="3"/>
  <c r="AA246" i="3"/>
  <c r="N246" i="3"/>
  <c r="L246" i="3"/>
  <c r="K246" i="3"/>
  <c r="J246" i="3"/>
  <c r="I246" i="3"/>
  <c r="AT245" i="3" a="1"/>
  <c r="AT245" i="3" s="1"/>
  <c r="AS245" i="3"/>
  <c r="AF245" i="3"/>
  <c r="AD245" i="3"/>
  <c r="AC245" i="3"/>
  <c r="AB245" i="3"/>
  <c r="AA245" i="3"/>
  <c r="N245" i="3"/>
  <c r="L245" i="3"/>
  <c r="K245" i="3"/>
  <c r="J245" i="3"/>
  <c r="I245" i="3"/>
  <c r="AS244" i="3"/>
  <c r="AF244" i="3"/>
  <c r="AD244" i="3"/>
  <c r="AC244" i="3"/>
  <c r="AB244" i="3"/>
  <c r="AA244" i="3"/>
  <c r="N244" i="3"/>
  <c r="L244" i="3"/>
  <c r="K244" i="3"/>
  <c r="J244" i="3"/>
  <c r="I244" i="3"/>
  <c r="AS243" i="3"/>
  <c r="AF243" i="3"/>
  <c r="AD243" i="3"/>
  <c r="AC243" i="3"/>
  <c r="AB243" i="3"/>
  <c r="AA243" i="3"/>
  <c r="N243" i="3"/>
  <c r="L243" i="3"/>
  <c r="K243" i="3"/>
  <c r="J243" i="3"/>
  <c r="I243" i="3"/>
  <c r="AS242" i="3"/>
  <c r="AF242" i="3"/>
  <c r="AD242" i="3"/>
  <c r="AC242" i="3"/>
  <c r="AB242" i="3"/>
  <c r="AA242" i="3"/>
  <c r="N242" i="3"/>
  <c r="L242" i="3"/>
  <c r="K242" i="3"/>
  <c r="J242" i="3"/>
  <c r="I242" i="3"/>
  <c r="AS241" i="3"/>
  <c r="AF241" i="3"/>
  <c r="AD241" i="3"/>
  <c r="AC241" i="3"/>
  <c r="AB241" i="3"/>
  <c r="AA241" i="3"/>
  <c r="N241" i="3"/>
  <c r="L241" i="3"/>
  <c r="K241" i="3"/>
  <c r="J241" i="3"/>
  <c r="I241" i="3"/>
  <c r="AS240" i="3"/>
  <c r="AF240" i="3"/>
  <c r="AD240" i="3"/>
  <c r="AC240" i="3"/>
  <c r="AB240" i="3"/>
  <c r="AA240" i="3"/>
  <c r="N240" i="3"/>
  <c r="L240" i="3"/>
  <c r="K240" i="3"/>
  <c r="J240" i="3"/>
  <c r="I240" i="3"/>
  <c r="AT239" i="3" a="1"/>
  <c r="AT239" i="3" s="1"/>
  <c r="AS239" i="3"/>
  <c r="AF239" i="3"/>
  <c r="AD239" i="3"/>
  <c r="AC239" i="3"/>
  <c r="AB239" i="3"/>
  <c r="AA239" i="3"/>
  <c r="N239" i="3"/>
  <c r="L239" i="3"/>
  <c r="K239" i="3"/>
  <c r="J239" i="3"/>
  <c r="I239" i="3"/>
  <c r="AS238" i="3"/>
  <c r="AF238" i="3"/>
  <c r="AD238" i="3"/>
  <c r="AC238" i="3"/>
  <c r="AB238" i="3"/>
  <c r="AA238" i="3"/>
  <c r="N238" i="3"/>
  <c r="L238" i="3"/>
  <c r="K238" i="3"/>
  <c r="J238" i="3"/>
  <c r="I238" i="3"/>
  <c r="AS237" i="3"/>
  <c r="AF237" i="3"/>
  <c r="AD237" i="3"/>
  <c r="AC237" i="3"/>
  <c r="AB237" i="3"/>
  <c r="AA237" i="3"/>
  <c r="N237" i="3"/>
  <c r="L237" i="3"/>
  <c r="K237" i="3"/>
  <c r="J237" i="3"/>
  <c r="I237" i="3"/>
  <c r="AS236" i="3"/>
  <c r="AF236" i="3"/>
  <c r="AD236" i="3"/>
  <c r="AC236" i="3"/>
  <c r="AB236" i="3"/>
  <c r="AA236" i="3"/>
  <c r="N236" i="3"/>
  <c r="L236" i="3"/>
  <c r="K236" i="3"/>
  <c r="J236" i="3"/>
  <c r="I236" i="3"/>
  <c r="AS235" i="3"/>
  <c r="AF235" i="3"/>
  <c r="AD235" i="3"/>
  <c r="AC235" i="3"/>
  <c r="AB235" i="3"/>
  <c r="AA235" i="3"/>
  <c r="N235" i="3"/>
  <c r="L235" i="3"/>
  <c r="K235" i="3"/>
  <c r="J235" i="3"/>
  <c r="I235" i="3"/>
  <c r="AS234" i="3"/>
  <c r="AF234" i="3"/>
  <c r="AD234" i="3"/>
  <c r="AC234" i="3"/>
  <c r="AB234" i="3"/>
  <c r="AA234" i="3"/>
  <c r="N234" i="3"/>
  <c r="L234" i="3"/>
  <c r="K234" i="3"/>
  <c r="J234" i="3"/>
  <c r="I234" i="3"/>
  <c r="AT233" i="3" a="1"/>
  <c r="AT233" i="3" s="1"/>
  <c r="AS233" i="3"/>
  <c r="AF233" i="3"/>
  <c r="AD233" i="3"/>
  <c r="AC233" i="3"/>
  <c r="AB233" i="3"/>
  <c r="AA233" i="3"/>
  <c r="N233" i="3"/>
  <c r="L233" i="3"/>
  <c r="K233" i="3"/>
  <c r="J233" i="3"/>
  <c r="I233" i="3"/>
  <c r="AS232" i="3"/>
  <c r="AF232" i="3"/>
  <c r="AD232" i="3"/>
  <c r="AC232" i="3"/>
  <c r="AB232" i="3"/>
  <c r="AA232" i="3"/>
  <c r="N232" i="3"/>
  <c r="L232" i="3"/>
  <c r="K232" i="3"/>
  <c r="J232" i="3"/>
  <c r="I232" i="3"/>
  <c r="AS231" i="3"/>
  <c r="AF231" i="3"/>
  <c r="AD231" i="3"/>
  <c r="AC231" i="3"/>
  <c r="AB231" i="3"/>
  <c r="AA231" i="3"/>
  <c r="N231" i="3"/>
  <c r="L231" i="3"/>
  <c r="K231" i="3"/>
  <c r="J231" i="3"/>
  <c r="I231" i="3"/>
  <c r="AS230" i="3"/>
  <c r="AF230" i="3"/>
  <c r="AD230" i="3"/>
  <c r="AC230" i="3"/>
  <c r="AB230" i="3"/>
  <c r="AA230" i="3"/>
  <c r="N230" i="3"/>
  <c r="L230" i="3"/>
  <c r="K230" i="3"/>
  <c r="J230" i="3"/>
  <c r="I230" i="3"/>
  <c r="AS229" i="3"/>
  <c r="AF229" i="3"/>
  <c r="AD229" i="3"/>
  <c r="AC229" i="3"/>
  <c r="AB229" i="3"/>
  <c r="AA229" i="3"/>
  <c r="N229" i="3"/>
  <c r="L229" i="3"/>
  <c r="K229" i="3"/>
  <c r="J229" i="3"/>
  <c r="I229" i="3"/>
  <c r="AS228" i="3"/>
  <c r="AF228" i="3"/>
  <c r="AD228" i="3"/>
  <c r="AC228" i="3"/>
  <c r="AB228" i="3"/>
  <c r="AA228" i="3"/>
  <c r="N228" i="3"/>
  <c r="L228" i="3"/>
  <c r="K228" i="3"/>
  <c r="J228" i="3"/>
  <c r="I228" i="3"/>
  <c r="AT227" i="3" a="1"/>
  <c r="AT227" i="3" s="1"/>
  <c r="AS227" i="3"/>
  <c r="AF227" i="3"/>
  <c r="AD227" i="3"/>
  <c r="AC227" i="3"/>
  <c r="AB227" i="3"/>
  <c r="AA227" i="3"/>
  <c r="N227" i="3"/>
  <c r="L227" i="3"/>
  <c r="K227" i="3"/>
  <c r="J227" i="3"/>
  <c r="I227" i="3"/>
  <c r="AS226" i="3"/>
  <c r="AF226" i="3"/>
  <c r="AD226" i="3"/>
  <c r="AC226" i="3"/>
  <c r="AB226" i="3"/>
  <c r="AA226" i="3"/>
  <c r="N226" i="3"/>
  <c r="L226" i="3"/>
  <c r="K226" i="3"/>
  <c r="J226" i="3"/>
  <c r="I226" i="3"/>
  <c r="AS225" i="3"/>
  <c r="AF225" i="3"/>
  <c r="AD225" i="3"/>
  <c r="AC225" i="3"/>
  <c r="AB225" i="3"/>
  <c r="AA225" i="3"/>
  <c r="N225" i="3"/>
  <c r="L225" i="3"/>
  <c r="K225" i="3"/>
  <c r="J225" i="3"/>
  <c r="I225" i="3"/>
  <c r="AS224" i="3"/>
  <c r="AF224" i="3"/>
  <c r="AD224" i="3"/>
  <c r="AC224" i="3"/>
  <c r="AB224" i="3"/>
  <c r="AA224" i="3"/>
  <c r="N224" i="3"/>
  <c r="L224" i="3"/>
  <c r="K224" i="3"/>
  <c r="J224" i="3"/>
  <c r="I224" i="3"/>
  <c r="AS223" i="3"/>
  <c r="AF223" i="3"/>
  <c r="AD223" i="3"/>
  <c r="AC223" i="3"/>
  <c r="AB223" i="3"/>
  <c r="AA223" i="3"/>
  <c r="N223" i="3"/>
  <c r="L223" i="3"/>
  <c r="K223" i="3"/>
  <c r="J223" i="3"/>
  <c r="I223" i="3"/>
  <c r="AS222" i="3"/>
  <c r="AF222" i="3"/>
  <c r="AD222" i="3"/>
  <c r="AC222" i="3"/>
  <c r="AB222" i="3"/>
  <c r="AA222" i="3"/>
  <c r="N222" i="3"/>
  <c r="L222" i="3"/>
  <c r="K222" i="3"/>
  <c r="J222" i="3"/>
  <c r="I222" i="3"/>
  <c r="AT221" i="3" a="1"/>
  <c r="AT221" i="3" s="1"/>
  <c r="AS221" i="3"/>
  <c r="AF221" i="3"/>
  <c r="AD221" i="3"/>
  <c r="AC221" i="3"/>
  <c r="AB221" i="3"/>
  <c r="AA221" i="3"/>
  <c r="N221" i="3"/>
  <c r="L221" i="3"/>
  <c r="K221" i="3"/>
  <c r="J221" i="3"/>
  <c r="I221" i="3"/>
  <c r="AS220" i="3"/>
  <c r="AF220" i="3"/>
  <c r="AD220" i="3"/>
  <c r="AC220" i="3"/>
  <c r="AB220" i="3"/>
  <c r="AA220" i="3"/>
  <c r="N220" i="3"/>
  <c r="L220" i="3"/>
  <c r="K220" i="3"/>
  <c r="J220" i="3"/>
  <c r="I220" i="3"/>
  <c r="AS219" i="3"/>
  <c r="AF219" i="3"/>
  <c r="AD219" i="3"/>
  <c r="AC219" i="3"/>
  <c r="AB219" i="3"/>
  <c r="AA219" i="3"/>
  <c r="N219" i="3"/>
  <c r="L219" i="3"/>
  <c r="K219" i="3"/>
  <c r="J219" i="3"/>
  <c r="I219" i="3"/>
  <c r="AS218" i="3"/>
  <c r="AF218" i="3"/>
  <c r="AD218" i="3"/>
  <c r="AC218" i="3"/>
  <c r="AB218" i="3"/>
  <c r="AA218" i="3"/>
  <c r="N218" i="3"/>
  <c r="L218" i="3"/>
  <c r="K218" i="3"/>
  <c r="J218" i="3"/>
  <c r="I218" i="3"/>
  <c r="AS217" i="3"/>
  <c r="AF217" i="3"/>
  <c r="AD217" i="3"/>
  <c r="AC217" i="3"/>
  <c r="AB217" i="3"/>
  <c r="AA217" i="3"/>
  <c r="N217" i="3"/>
  <c r="L217" i="3"/>
  <c r="K217" i="3"/>
  <c r="J217" i="3"/>
  <c r="I217" i="3"/>
  <c r="AS216" i="3"/>
  <c r="AF216" i="3"/>
  <c r="AD216" i="3"/>
  <c r="AC216" i="3"/>
  <c r="AB216" i="3"/>
  <c r="AA216" i="3"/>
  <c r="N216" i="3"/>
  <c r="L216" i="3"/>
  <c r="K216" i="3"/>
  <c r="J216" i="3"/>
  <c r="I216" i="3"/>
  <c r="AT215" i="3" a="1"/>
  <c r="AT215" i="3" s="1"/>
  <c r="AS215" i="3"/>
  <c r="AF215" i="3"/>
  <c r="AD215" i="3"/>
  <c r="AC215" i="3"/>
  <c r="AB215" i="3"/>
  <c r="AA215" i="3"/>
  <c r="N215" i="3"/>
  <c r="L215" i="3"/>
  <c r="K215" i="3"/>
  <c r="J215" i="3"/>
  <c r="I215" i="3"/>
  <c r="AS214" i="3"/>
  <c r="AF214" i="3"/>
  <c r="AD214" i="3"/>
  <c r="AC214" i="3"/>
  <c r="AB214" i="3"/>
  <c r="AA214" i="3"/>
  <c r="N214" i="3"/>
  <c r="L214" i="3"/>
  <c r="K214" i="3"/>
  <c r="J214" i="3"/>
  <c r="I214" i="3"/>
  <c r="AS213" i="3"/>
  <c r="AF213" i="3"/>
  <c r="AD213" i="3"/>
  <c r="AC213" i="3"/>
  <c r="AB213" i="3"/>
  <c r="AA213" i="3"/>
  <c r="N213" i="3"/>
  <c r="L213" i="3"/>
  <c r="K213" i="3"/>
  <c r="J213" i="3"/>
  <c r="I213" i="3"/>
  <c r="AS212" i="3"/>
  <c r="AF212" i="3"/>
  <c r="AD212" i="3"/>
  <c r="AC212" i="3"/>
  <c r="AB212" i="3"/>
  <c r="AA212" i="3"/>
  <c r="N212" i="3"/>
  <c r="L212" i="3"/>
  <c r="K212" i="3"/>
  <c r="J212" i="3"/>
  <c r="I212" i="3"/>
  <c r="AS211" i="3"/>
  <c r="AF211" i="3"/>
  <c r="AD211" i="3"/>
  <c r="AC211" i="3"/>
  <c r="AB211" i="3"/>
  <c r="AA211" i="3"/>
  <c r="N211" i="3"/>
  <c r="L211" i="3"/>
  <c r="K211" i="3"/>
  <c r="J211" i="3"/>
  <c r="I211" i="3"/>
  <c r="AS210" i="3"/>
  <c r="AF210" i="3"/>
  <c r="AD210" i="3"/>
  <c r="AC210" i="3"/>
  <c r="AB210" i="3"/>
  <c r="AA210" i="3"/>
  <c r="N210" i="3"/>
  <c r="L210" i="3"/>
  <c r="K210" i="3"/>
  <c r="J210" i="3"/>
  <c r="I210" i="3"/>
  <c r="AT209" i="3" a="1"/>
  <c r="AT209" i="3" s="1"/>
  <c r="AS209" i="3"/>
  <c r="AF209" i="3"/>
  <c r="AD209" i="3"/>
  <c r="AC209" i="3"/>
  <c r="AB209" i="3"/>
  <c r="AA209" i="3"/>
  <c r="N209" i="3"/>
  <c r="L209" i="3"/>
  <c r="K209" i="3"/>
  <c r="J209" i="3"/>
  <c r="I209" i="3"/>
  <c r="AS208" i="3"/>
  <c r="AF208" i="3"/>
  <c r="AD208" i="3"/>
  <c r="AC208" i="3"/>
  <c r="AB208" i="3"/>
  <c r="AA208" i="3"/>
  <c r="N208" i="3"/>
  <c r="L208" i="3"/>
  <c r="K208" i="3"/>
  <c r="J208" i="3"/>
  <c r="I208" i="3"/>
  <c r="AS207" i="3"/>
  <c r="AF207" i="3"/>
  <c r="AD207" i="3"/>
  <c r="AC207" i="3"/>
  <c r="AB207" i="3"/>
  <c r="AA207" i="3"/>
  <c r="N207" i="3"/>
  <c r="L207" i="3"/>
  <c r="K207" i="3"/>
  <c r="J207" i="3"/>
  <c r="I207" i="3"/>
  <c r="AS206" i="3"/>
  <c r="AF206" i="3"/>
  <c r="AD206" i="3"/>
  <c r="AC206" i="3"/>
  <c r="AB206" i="3"/>
  <c r="AA206" i="3"/>
  <c r="N206" i="3"/>
  <c r="L206" i="3"/>
  <c r="K206" i="3"/>
  <c r="J206" i="3"/>
  <c r="I206" i="3"/>
  <c r="AS205" i="3"/>
  <c r="AF205" i="3"/>
  <c r="AD205" i="3"/>
  <c r="AC205" i="3"/>
  <c r="AB205" i="3"/>
  <c r="AA205" i="3"/>
  <c r="N205" i="3"/>
  <c r="L205" i="3"/>
  <c r="K205" i="3"/>
  <c r="J205" i="3"/>
  <c r="I205" i="3"/>
  <c r="AS204" i="3"/>
  <c r="AF204" i="3"/>
  <c r="AD204" i="3"/>
  <c r="AC204" i="3"/>
  <c r="AB204" i="3"/>
  <c r="AA204" i="3"/>
  <c r="N204" i="3"/>
  <c r="L204" i="3"/>
  <c r="K204" i="3"/>
  <c r="J204" i="3"/>
  <c r="I204" i="3"/>
  <c r="AT203" i="3" a="1"/>
  <c r="AT203" i="3" s="1"/>
  <c r="AS203" i="3"/>
  <c r="AF203" i="3"/>
  <c r="AD203" i="3"/>
  <c r="AC203" i="3"/>
  <c r="AB203" i="3"/>
  <c r="AA203" i="3"/>
  <c r="N203" i="3"/>
  <c r="L203" i="3"/>
  <c r="K203" i="3"/>
  <c r="J203" i="3"/>
  <c r="I203" i="3"/>
  <c r="AS202" i="3"/>
  <c r="AF202" i="3"/>
  <c r="AD202" i="3"/>
  <c r="AC202" i="3"/>
  <c r="AB202" i="3"/>
  <c r="AA202" i="3"/>
  <c r="N202" i="3"/>
  <c r="L202" i="3"/>
  <c r="K202" i="3"/>
  <c r="J202" i="3"/>
  <c r="I202" i="3"/>
  <c r="AS201" i="3"/>
  <c r="AF201" i="3"/>
  <c r="AD201" i="3"/>
  <c r="AC201" i="3"/>
  <c r="AB201" i="3"/>
  <c r="AA201" i="3"/>
  <c r="N201" i="3"/>
  <c r="L201" i="3"/>
  <c r="K201" i="3"/>
  <c r="J201" i="3"/>
  <c r="I201" i="3"/>
  <c r="AS200" i="3"/>
  <c r="AF200" i="3"/>
  <c r="AD200" i="3"/>
  <c r="AC200" i="3"/>
  <c r="AB200" i="3"/>
  <c r="AA200" i="3"/>
  <c r="N200" i="3"/>
  <c r="L200" i="3"/>
  <c r="K200" i="3"/>
  <c r="J200" i="3"/>
  <c r="I200" i="3"/>
  <c r="AS199" i="3"/>
  <c r="AF199" i="3"/>
  <c r="AD199" i="3"/>
  <c r="AC199" i="3"/>
  <c r="AB199" i="3"/>
  <c r="AA199" i="3"/>
  <c r="N199" i="3"/>
  <c r="L199" i="3"/>
  <c r="K199" i="3"/>
  <c r="J199" i="3"/>
  <c r="I199" i="3"/>
  <c r="AS198" i="3"/>
  <c r="AF198" i="3"/>
  <c r="AD198" i="3"/>
  <c r="AC198" i="3"/>
  <c r="AB198" i="3"/>
  <c r="AA198" i="3"/>
  <c r="N198" i="3"/>
  <c r="L198" i="3"/>
  <c r="K198" i="3"/>
  <c r="J198" i="3"/>
  <c r="I198" i="3"/>
  <c r="AT197" i="3" a="1"/>
  <c r="AT197" i="3" s="1"/>
  <c r="AS197" i="3"/>
  <c r="AF197" i="3"/>
  <c r="AD197" i="3"/>
  <c r="AC197" i="3"/>
  <c r="AB197" i="3"/>
  <c r="AA197" i="3"/>
  <c r="N197" i="3"/>
  <c r="L197" i="3"/>
  <c r="K197" i="3"/>
  <c r="J197" i="3"/>
  <c r="I197" i="3"/>
  <c r="AS196" i="3"/>
  <c r="AF196" i="3"/>
  <c r="AD196" i="3"/>
  <c r="AC196" i="3"/>
  <c r="AB196" i="3"/>
  <c r="AA196" i="3"/>
  <c r="N196" i="3"/>
  <c r="L196" i="3"/>
  <c r="K196" i="3"/>
  <c r="J196" i="3"/>
  <c r="I196" i="3"/>
  <c r="AS195" i="3"/>
  <c r="AF195" i="3"/>
  <c r="AD195" i="3"/>
  <c r="AC195" i="3"/>
  <c r="AB195" i="3"/>
  <c r="AA195" i="3"/>
  <c r="N195" i="3"/>
  <c r="L195" i="3"/>
  <c r="K195" i="3"/>
  <c r="J195" i="3"/>
  <c r="I195" i="3"/>
  <c r="AS194" i="3"/>
  <c r="AF194" i="3"/>
  <c r="AD194" i="3"/>
  <c r="AC194" i="3"/>
  <c r="AB194" i="3"/>
  <c r="AA194" i="3"/>
  <c r="N194" i="3"/>
  <c r="L194" i="3"/>
  <c r="K194" i="3"/>
  <c r="J194" i="3"/>
  <c r="I194" i="3"/>
  <c r="AS193" i="3"/>
  <c r="AF193" i="3"/>
  <c r="AD193" i="3"/>
  <c r="AC193" i="3"/>
  <c r="AB193" i="3"/>
  <c r="AA193" i="3"/>
  <c r="N193" i="3"/>
  <c r="L193" i="3"/>
  <c r="K193" i="3"/>
  <c r="J193" i="3"/>
  <c r="I193" i="3"/>
  <c r="AS192" i="3"/>
  <c r="AF192" i="3"/>
  <c r="AD192" i="3"/>
  <c r="AC192" i="3"/>
  <c r="AB192" i="3"/>
  <c r="AA192" i="3"/>
  <c r="N192" i="3"/>
  <c r="L192" i="3"/>
  <c r="K192" i="3"/>
  <c r="J192" i="3"/>
  <c r="I192" i="3"/>
  <c r="AT191" i="3" a="1"/>
  <c r="AT191" i="3" s="1"/>
  <c r="AS191" i="3"/>
  <c r="AF191" i="3"/>
  <c r="AD191" i="3"/>
  <c r="AC191" i="3"/>
  <c r="AB191" i="3"/>
  <c r="AA191" i="3"/>
  <c r="N191" i="3"/>
  <c r="L191" i="3"/>
  <c r="K191" i="3"/>
  <c r="J191" i="3"/>
  <c r="I191" i="3"/>
  <c r="AS190" i="3"/>
  <c r="AF190" i="3"/>
  <c r="AD190" i="3"/>
  <c r="AC190" i="3"/>
  <c r="AB190" i="3"/>
  <c r="AA190" i="3"/>
  <c r="N190" i="3"/>
  <c r="L190" i="3"/>
  <c r="K190" i="3"/>
  <c r="J190" i="3"/>
  <c r="I190" i="3"/>
  <c r="AS189" i="3"/>
  <c r="AF189" i="3"/>
  <c r="AD189" i="3"/>
  <c r="AC189" i="3"/>
  <c r="AB189" i="3"/>
  <c r="AA189" i="3"/>
  <c r="N189" i="3"/>
  <c r="L189" i="3"/>
  <c r="K189" i="3"/>
  <c r="J189" i="3"/>
  <c r="I189" i="3"/>
  <c r="AS188" i="3"/>
  <c r="AF188" i="3"/>
  <c r="AD188" i="3"/>
  <c r="AC188" i="3"/>
  <c r="AB188" i="3"/>
  <c r="AA188" i="3"/>
  <c r="N188" i="3"/>
  <c r="L188" i="3"/>
  <c r="K188" i="3"/>
  <c r="J188" i="3"/>
  <c r="I188" i="3"/>
  <c r="AS187" i="3"/>
  <c r="AF187" i="3"/>
  <c r="AD187" i="3"/>
  <c r="AC187" i="3"/>
  <c r="AB187" i="3"/>
  <c r="AA187" i="3"/>
  <c r="N187" i="3"/>
  <c r="L187" i="3"/>
  <c r="K187" i="3"/>
  <c r="J187" i="3"/>
  <c r="I187" i="3"/>
  <c r="AS186" i="3"/>
  <c r="AF186" i="3"/>
  <c r="AD186" i="3"/>
  <c r="AC186" i="3"/>
  <c r="AB186" i="3"/>
  <c r="AA186" i="3"/>
  <c r="N186" i="3"/>
  <c r="L186" i="3"/>
  <c r="K186" i="3"/>
  <c r="J186" i="3"/>
  <c r="I186" i="3"/>
  <c r="AT185" i="3" a="1"/>
  <c r="AT185" i="3" s="1"/>
  <c r="AS185" i="3"/>
  <c r="AF185" i="3"/>
  <c r="AD185" i="3"/>
  <c r="AC185" i="3"/>
  <c r="AB185" i="3"/>
  <c r="AA185" i="3"/>
  <c r="N185" i="3"/>
  <c r="L185" i="3"/>
  <c r="K185" i="3"/>
  <c r="J185" i="3"/>
  <c r="I185" i="3"/>
  <c r="AS184" i="3"/>
  <c r="AF184" i="3"/>
  <c r="AD184" i="3"/>
  <c r="AC184" i="3"/>
  <c r="AB184" i="3"/>
  <c r="AA184" i="3"/>
  <c r="N184" i="3"/>
  <c r="L184" i="3"/>
  <c r="K184" i="3"/>
  <c r="J184" i="3"/>
  <c r="I184" i="3"/>
  <c r="AS183" i="3"/>
  <c r="AF183" i="3"/>
  <c r="AD183" i="3"/>
  <c r="AC183" i="3"/>
  <c r="AB183" i="3"/>
  <c r="AA183" i="3"/>
  <c r="N183" i="3"/>
  <c r="L183" i="3"/>
  <c r="K183" i="3"/>
  <c r="J183" i="3"/>
  <c r="I183" i="3"/>
  <c r="AS182" i="3"/>
  <c r="AF182" i="3"/>
  <c r="AD182" i="3"/>
  <c r="AC182" i="3"/>
  <c r="AB182" i="3"/>
  <c r="AA182" i="3"/>
  <c r="N182" i="3"/>
  <c r="L182" i="3"/>
  <c r="K182" i="3"/>
  <c r="J182" i="3"/>
  <c r="I182" i="3"/>
  <c r="AS181" i="3"/>
  <c r="AF181" i="3"/>
  <c r="AD181" i="3"/>
  <c r="AC181" i="3"/>
  <c r="AB181" i="3"/>
  <c r="AA181" i="3"/>
  <c r="N181" i="3"/>
  <c r="L181" i="3"/>
  <c r="K181" i="3"/>
  <c r="J181" i="3"/>
  <c r="I181" i="3"/>
  <c r="AS180" i="3"/>
  <c r="AF180" i="3"/>
  <c r="AD180" i="3"/>
  <c r="AC180" i="3"/>
  <c r="AB180" i="3"/>
  <c r="AA180" i="3"/>
  <c r="N180" i="3"/>
  <c r="L180" i="3"/>
  <c r="K180" i="3"/>
  <c r="J180" i="3"/>
  <c r="I180" i="3"/>
  <c r="AT179" i="3" a="1"/>
  <c r="AT179" i="3" s="1"/>
  <c r="AS179" i="3"/>
  <c r="AF179" i="3"/>
  <c r="AD179" i="3"/>
  <c r="AC179" i="3"/>
  <c r="AB179" i="3"/>
  <c r="AA179" i="3"/>
  <c r="N179" i="3"/>
  <c r="L179" i="3"/>
  <c r="K179" i="3"/>
  <c r="J179" i="3"/>
  <c r="I179" i="3"/>
  <c r="AS178" i="3"/>
  <c r="AF178" i="3"/>
  <c r="AD178" i="3"/>
  <c r="AC178" i="3"/>
  <c r="AB178" i="3"/>
  <c r="AA178" i="3"/>
  <c r="N178" i="3"/>
  <c r="L178" i="3"/>
  <c r="K178" i="3"/>
  <c r="J178" i="3"/>
  <c r="I178" i="3"/>
  <c r="AS177" i="3"/>
  <c r="AF177" i="3"/>
  <c r="AD177" i="3"/>
  <c r="AC177" i="3"/>
  <c r="AB177" i="3"/>
  <c r="AA177" i="3"/>
  <c r="N177" i="3"/>
  <c r="L177" i="3"/>
  <c r="K177" i="3"/>
  <c r="J177" i="3"/>
  <c r="I177" i="3"/>
  <c r="AS176" i="3"/>
  <c r="AF176" i="3"/>
  <c r="AD176" i="3"/>
  <c r="AC176" i="3"/>
  <c r="AB176" i="3"/>
  <c r="AA176" i="3"/>
  <c r="N176" i="3"/>
  <c r="L176" i="3"/>
  <c r="K176" i="3"/>
  <c r="J176" i="3"/>
  <c r="I176" i="3"/>
  <c r="AS175" i="3"/>
  <c r="AF175" i="3"/>
  <c r="AD175" i="3"/>
  <c r="AC175" i="3"/>
  <c r="AB175" i="3"/>
  <c r="AA175" i="3"/>
  <c r="N175" i="3"/>
  <c r="L175" i="3"/>
  <c r="K175" i="3"/>
  <c r="J175" i="3"/>
  <c r="I175" i="3"/>
  <c r="AS174" i="3"/>
  <c r="AF174" i="3"/>
  <c r="AD174" i="3"/>
  <c r="AC174" i="3"/>
  <c r="AB174" i="3"/>
  <c r="AA174" i="3"/>
  <c r="N174" i="3"/>
  <c r="L174" i="3"/>
  <c r="K174" i="3"/>
  <c r="J174" i="3"/>
  <c r="I174" i="3"/>
  <c r="AT173" i="3" a="1"/>
  <c r="AT173" i="3" s="1"/>
  <c r="AS173" i="3"/>
  <c r="AF173" i="3"/>
  <c r="AD173" i="3"/>
  <c r="AC173" i="3"/>
  <c r="AB173" i="3"/>
  <c r="AA173" i="3"/>
  <c r="N173" i="3"/>
  <c r="L173" i="3"/>
  <c r="K173" i="3"/>
  <c r="J173" i="3"/>
  <c r="I173" i="3"/>
  <c r="AS172" i="3"/>
  <c r="AF172" i="3"/>
  <c r="AD172" i="3"/>
  <c r="AC172" i="3"/>
  <c r="AB172" i="3"/>
  <c r="AA172" i="3"/>
  <c r="N172" i="3"/>
  <c r="L172" i="3"/>
  <c r="K172" i="3"/>
  <c r="J172" i="3"/>
  <c r="I172" i="3"/>
  <c r="AS171" i="3"/>
  <c r="AF171" i="3"/>
  <c r="AD171" i="3"/>
  <c r="AC171" i="3"/>
  <c r="AB171" i="3"/>
  <c r="AA171" i="3"/>
  <c r="N171" i="3"/>
  <c r="L171" i="3"/>
  <c r="K171" i="3"/>
  <c r="J171" i="3"/>
  <c r="I171" i="3"/>
  <c r="AS170" i="3"/>
  <c r="AF170" i="3"/>
  <c r="AD170" i="3"/>
  <c r="AC170" i="3"/>
  <c r="AB170" i="3"/>
  <c r="AA170" i="3"/>
  <c r="N170" i="3"/>
  <c r="L170" i="3"/>
  <c r="K170" i="3"/>
  <c r="J170" i="3"/>
  <c r="I170" i="3"/>
  <c r="AS169" i="3"/>
  <c r="AF169" i="3"/>
  <c r="AD169" i="3"/>
  <c r="AC169" i="3"/>
  <c r="AB169" i="3"/>
  <c r="AA169" i="3"/>
  <c r="N169" i="3"/>
  <c r="L169" i="3"/>
  <c r="K169" i="3"/>
  <c r="J169" i="3"/>
  <c r="I169" i="3"/>
  <c r="AS168" i="3"/>
  <c r="AF168" i="3"/>
  <c r="AD168" i="3"/>
  <c r="AC168" i="3"/>
  <c r="AB168" i="3"/>
  <c r="AA168" i="3"/>
  <c r="N168" i="3"/>
  <c r="L168" i="3"/>
  <c r="K168" i="3"/>
  <c r="J168" i="3"/>
  <c r="I168" i="3"/>
  <c r="AT167" i="3" a="1"/>
  <c r="AT167" i="3" s="1"/>
  <c r="AS167" i="3"/>
  <c r="AF167" i="3"/>
  <c r="AD167" i="3"/>
  <c r="AC167" i="3"/>
  <c r="AB167" i="3"/>
  <c r="AA167" i="3"/>
  <c r="N167" i="3"/>
  <c r="L167" i="3"/>
  <c r="K167" i="3"/>
  <c r="J167" i="3"/>
  <c r="I167" i="3"/>
  <c r="AS166" i="3"/>
  <c r="AF166" i="3"/>
  <c r="AD166" i="3"/>
  <c r="AC166" i="3"/>
  <c r="AB166" i="3"/>
  <c r="AA166" i="3"/>
  <c r="N166" i="3"/>
  <c r="L166" i="3"/>
  <c r="K166" i="3"/>
  <c r="J166" i="3"/>
  <c r="I166" i="3"/>
  <c r="AS165" i="3"/>
  <c r="AF165" i="3"/>
  <c r="AD165" i="3"/>
  <c r="AC165" i="3"/>
  <c r="AB165" i="3"/>
  <c r="AA165" i="3"/>
  <c r="N165" i="3"/>
  <c r="L165" i="3"/>
  <c r="K165" i="3"/>
  <c r="J165" i="3"/>
  <c r="I165" i="3"/>
  <c r="AS164" i="3"/>
  <c r="AF164" i="3"/>
  <c r="AD164" i="3"/>
  <c r="AC164" i="3"/>
  <c r="AB164" i="3"/>
  <c r="AA164" i="3"/>
  <c r="N164" i="3"/>
  <c r="L164" i="3"/>
  <c r="K164" i="3"/>
  <c r="J164" i="3"/>
  <c r="I164" i="3"/>
  <c r="AS163" i="3"/>
  <c r="AF163" i="3"/>
  <c r="AD163" i="3"/>
  <c r="AC163" i="3"/>
  <c r="AB163" i="3"/>
  <c r="AA163" i="3"/>
  <c r="N163" i="3"/>
  <c r="L163" i="3"/>
  <c r="K163" i="3"/>
  <c r="J163" i="3"/>
  <c r="I163" i="3"/>
  <c r="AS162" i="3"/>
  <c r="AF162" i="3"/>
  <c r="AD162" i="3"/>
  <c r="AC162" i="3"/>
  <c r="AB162" i="3"/>
  <c r="AA162" i="3"/>
  <c r="N162" i="3"/>
  <c r="L162" i="3"/>
  <c r="K162" i="3"/>
  <c r="J162" i="3"/>
  <c r="I162" i="3"/>
  <c r="AT161" i="3" a="1"/>
  <c r="AT161" i="3" s="1"/>
  <c r="AS161" i="3"/>
  <c r="AF161" i="3"/>
  <c r="AD161" i="3"/>
  <c r="AC161" i="3"/>
  <c r="AB161" i="3"/>
  <c r="AA161" i="3"/>
  <c r="N161" i="3"/>
  <c r="L161" i="3"/>
  <c r="K161" i="3"/>
  <c r="J161" i="3"/>
  <c r="I161" i="3"/>
  <c r="AS160" i="3"/>
  <c r="AF160" i="3"/>
  <c r="AD160" i="3"/>
  <c r="AC160" i="3"/>
  <c r="AB160" i="3"/>
  <c r="AA160" i="3"/>
  <c r="N160" i="3"/>
  <c r="L160" i="3"/>
  <c r="K160" i="3"/>
  <c r="J160" i="3"/>
  <c r="I160" i="3"/>
  <c r="AS159" i="3"/>
  <c r="AF159" i="3"/>
  <c r="AD159" i="3"/>
  <c r="AC159" i="3"/>
  <c r="AB159" i="3"/>
  <c r="AA159" i="3"/>
  <c r="N159" i="3"/>
  <c r="L159" i="3"/>
  <c r="K159" i="3"/>
  <c r="J159" i="3"/>
  <c r="I159" i="3"/>
  <c r="AS158" i="3"/>
  <c r="AF158" i="3"/>
  <c r="AD158" i="3"/>
  <c r="AC158" i="3"/>
  <c r="AB158" i="3"/>
  <c r="AA158" i="3"/>
  <c r="N158" i="3"/>
  <c r="L158" i="3"/>
  <c r="K158" i="3"/>
  <c r="J158" i="3"/>
  <c r="I158" i="3"/>
  <c r="AS157" i="3"/>
  <c r="AF157" i="3"/>
  <c r="AD157" i="3"/>
  <c r="AC157" i="3"/>
  <c r="AB157" i="3"/>
  <c r="AA157" i="3"/>
  <c r="N157" i="3"/>
  <c r="L157" i="3"/>
  <c r="K157" i="3"/>
  <c r="J157" i="3"/>
  <c r="I157" i="3"/>
  <c r="AS156" i="3"/>
  <c r="AF156" i="3"/>
  <c r="AD156" i="3"/>
  <c r="AC156" i="3"/>
  <c r="AB156" i="3"/>
  <c r="AA156" i="3"/>
  <c r="N156" i="3"/>
  <c r="L156" i="3"/>
  <c r="K156" i="3"/>
  <c r="J156" i="3"/>
  <c r="I156" i="3"/>
  <c r="AT155" i="3" a="1"/>
  <c r="AT155" i="3" s="1"/>
  <c r="AS155" i="3"/>
  <c r="AF155" i="3"/>
  <c r="AD155" i="3"/>
  <c r="AC155" i="3"/>
  <c r="AB155" i="3"/>
  <c r="AA155" i="3"/>
  <c r="N155" i="3"/>
  <c r="L155" i="3"/>
  <c r="K155" i="3"/>
  <c r="J155" i="3"/>
  <c r="I155" i="3"/>
  <c r="AS154" i="3"/>
  <c r="AF154" i="3"/>
  <c r="AD154" i="3"/>
  <c r="AC154" i="3"/>
  <c r="AB154" i="3"/>
  <c r="AA154" i="3"/>
  <c r="N154" i="3"/>
  <c r="L154" i="3"/>
  <c r="K154" i="3"/>
  <c r="J154" i="3"/>
  <c r="I154" i="3"/>
  <c r="AS153" i="3"/>
  <c r="AF153" i="3"/>
  <c r="AD153" i="3"/>
  <c r="AC153" i="3"/>
  <c r="AB153" i="3"/>
  <c r="AA153" i="3"/>
  <c r="N153" i="3"/>
  <c r="L153" i="3"/>
  <c r="K153" i="3"/>
  <c r="J153" i="3"/>
  <c r="I153" i="3"/>
  <c r="AS152" i="3"/>
  <c r="AF152" i="3"/>
  <c r="AD152" i="3"/>
  <c r="AC152" i="3"/>
  <c r="AB152" i="3"/>
  <c r="AA152" i="3"/>
  <c r="N152" i="3"/>
  <c r="L152" i="3"/>
  <c r="K152" i="3"/>
  <c r="J152" i="3"/>
  <c r="I152" i="3"/>
  <c r="AS151" i="3"/>
  <c r="AF151" i="3"/>
  <c r="AD151" i="3"/>
  <c r="AC151" i="3"/>
  <c r="AB151" i="3"/>
  <c r="AA151" i="3"/>
  <c r="N151" i="3"/>
  <c r="L151" i="3"/>
  <c r="K151" i="3"/>
  <c r="J151" i="3"/>
  <c r="I151" i="3"/>
  <c r="AS150" i="3"/>
  <c r="AF150" i="3"/>
  <c r="AD150" i="3"/>
  <c r="AC150" i="3"/>
  <c r="AB150" i="3"/>
  <c r="AA150" i="3"/>
  <c r="N150" i="3"/>
  <c r="L150" i="3"/>
  <c r="K150" i="3"/>
  <c r="J150" i="3"/>
  <c r="I150" i="3"/>
  <c r="AT149" i="3" a="1"/>
  <c r="AT149" i="3" s="1"/>
  <c r="AS149" i="3"/>
  <c r="AF149" i="3"/>
  <c r="AD149" i="3"/>
  <c r="AC149" i="3"/>
  <c r="AB149" i="3"/>
  <c r="AA149" i="3"/>
  <c r="N149" i="3"/>
  <c r="L149" i="3"/>
  <c r="K149" i="3"/>
  <c r="J149" i="3"/>
  <c r="I149" i="3"/>
  <c r="AS148" i="3"/>
  <c r="AF148" i="3"/>
  <c r="AD148" i="3"/>
  <c r="AC148" i="3"/>
  <c r="AB148" i="3"/>
  <c r="AA148" i="3"/>
  <c r="N148" i="3"/>
  <c r="L148" i="3"/>
  <c r="K148" i="3"/>
  <c r="J148" i="3"/>
  <c r="I148" i="3"/>
  <c r="AS147" i="3"/>
  <c r="AF147" i="3"/>
  <c r="AD147" i="3"/>
  <c r="AC147" i="3"/>
  <c r="AB147" i="3"/>
  <c r="AA147" i="3"/>
  <c r="N147" i="3"/>
  <c r="L147" i="3"/>
  <c r="K147" i="3"/>
  <c r="J147" i="3"/>
  <c r="I147" i="3"/>
  <c r="AS146" i="3"/>
  <c r="AF146" i="3"/>
  <c r="AD146" i="3"/>
  <c r="AC146" i="3"/>
  <c r="AB146" i="3"/>
  <c r="AA146" i="3"/>
  <c r="N146" i="3"/>
  <c r="L146" i="3"/>
  <c r="K146" i="3"/>
  <c r="J146" i="3"/>
  <c r="I146" i="3"/>
  <c r="AS145" i="3"/>
  <c r="AF145" i="3"/>
  <c r="AD145" i="3"/>
  <c r="AC145" i="3"/>
  <c r="AB145" i="3"/>
  <c r="AA145" i="3"/>
  <c r="N145" i="3"/>
  <c r="L145" i="3"/>
  <c r="K145" i="3"/>
  <c r="J145" i="3"/>
  <c r="I145" i="3"/>
  <c r="AS144" i="3"/>
  <c r="AF144" i="3"/>
  <c r="AD144" i="3"/>
  <c r="AC144" i="3"/>
  <c r="AB144" i="3"/>
  <c r="AA144" i="3"/>
  <c r="N144" i="3"/>
  <c r="L144" i="3"/>
  <c r="K144" i="3"/>
  <c r="J144" i="3"/>
  <c r="I144" i="3"/>
  <c r="AT143" i="3" a="1"/>
  <c r="AT143" i="3" s="1"/>
  <c r="AS143" i="3"/>
  <c r="AF143" i="3"/>
  <c r="AD143" i="3"/>
  <c r="AC143" i="3"/>
  <c r="AB143" i="3"/>
  <c r="AA143" i="3"/>
  <c r="N143" i="3"/>
  <c r="L143" i="3"/>
  <c r="K143" i="3"/>
  <c r="J143" i="3"/>
  <c r="I143" i="3"/>
  <c r="AS142" i="3"/>
  <c r="AF142" i="3"/>
  <c r="AD142" i="3"/>
  <c r="AC142" i="3"/>
  <c r="AB142" i="3"/>
  <c r="AA142" i="3"/>
  <c r="N142" i="3"/>
  <c r="L142" i="3"/>
  <c r="K142" i="3"/>
  <c r="J142" i="3"/>
  <c r="I142" i="3"/>
  <c r="AS141" i="3"/>
  <c r="AF141" i="3"/>
  <c r="AD141" i="3"/>
  <c r="AC141" i="3"/>
  <c r="AB141" i="3"/>
  <c r="AA141" i="3"/>
  <c r="N141" i="3"/>
  <c r="L141" i="3"/>
  <c r="K141" i="3"/>
  <c r="J141" i="3"/>
  <c r="I141" i="3"/>
  <c r="AS140" i="3"/>
  <c r="AF140" i="3"/>
  <c r="AD140" i="3"/>
  <c r="AC140" i="3"/>
  <c r="AB140" i="3"/>
  <c r="AA140" i="3"/>
  <c r="N140" i="3"/>
  <c r="L140" i="3"/>
  <c r="K140" i="3"/>
  <c r="J140" i="3"/>
  <c r="I140" i="3"/>
  <c r="AS139" i="3"/>
  <c r="AF139" i="3"/>
  <c r="AD139" i="3"/>
  <c r="AC139" i="3"/>
  <c r="AB139" i="3"/>
  <c r="AA139" i="3"/>
  <c r="N139" i="3"/>
  <c r="L139" i="3"/>
  <c r="K139" i="3"/>
  <c r="J139" i="3"/>
  <c r="I139" i="3"/>
  <c r="AS138" i="3"/>
  <c r="AF138" i="3"/>
  <c r="AD138" i="3"/>
  <c r="AC138" i="3"/>
  <c r="AB138" i="3"/>
  <c r="AA138" i="3"/>
  <c r="N138" i="3"/>
  <c r="L138" i="3"/>
  <c r="K138" i="3"/>
  <c r="J138" i="3"/>
  <c r="I138" i="3"/>
  <c r="AT137" i="3" a="1"/>
  <c r="AT137" i="3" s="1"/>
  <c r="AS137" i="3"/>
  <c r="AF137" i="3"/>
  <c r="AD137" i="3"/>
  <c r="AC137" i="3"/>
  <c r="AB137" i="3"/>
  <c r="AA137" i="3"/>
  <c r="N137" i="3"/>
  <c r="L137" i="3"/>
  <c r="K137" i="3"/>
  <c r="J137" i="3"/>
  <c r="I137" i="3"/>
  <c r="AS136" i="3"/>
  <c r="AF136" i="3"/>
  <c r="AD136" i="3"/>
  <c r="AC136" i="3"/>
  <c r="AB136" i="3"/>
  <c r="AA136" i="3"/>
  <c r="N136" i="3"/>
  <c r="L136" i="3"/>
  <c r="K136" i="3"/>
  <c r="J136" i="3"/>
  <c r="I136" i="3"/>
  <c r="AS135" i="3"/>
  <c r="AF135" i="3"/>
  <c r="AD135" i="3"/>
  <c r="AC135" i="3"/>
  <c r="AB135" i="3"/>
  <c r="AA135" i="3"/>
  <c r="N135" i="3"/>
  <c r="L135" i="3"/>
  <c r="K135" i="3"/>
  <c r="J135" i="3"/>
  <c r="I135" i="3"/>
  <c r="AS134" i="3"/>
  <c r="AF134" i="3"/>
  <c r="AD134" i="3"/>
  <c r="AC134" i="3"/>
  <c r="AB134" i="3"/>
  <c r="AA134" i="3"/>
  <c r="N134" i="3"/>
  <c r="L134" i="3"/>
  <c r="K134" i="3"/>
  <c r="J134" i="3"/>
  <c r="I134" i="3"/>
  <c r="AS133" i="3"/>
  <c r="AF133" i="3"/>
  <c r="AD133" i="3"/>
  <c r="AC133" i="3"/>
  <c r="AB133" i="3"/>
  <c r="AA133" i="3"/>
  <c r="N133" i="3"/>
  <c r="L133" i="3"/>
  <c r="K133" i="3"/>
  <c r="J133" i="3"/>
  <c r="I133" i="3"/>
  <c r="AS132" i="3"/>
  <c r="AF132" i="3"/>
  <c r="AD132" i="3"/>
  <c r="AC132" i="3"/>
  <c r="AB132" i="3"/>
  <c r="AA132" i="3"/>
  <c r="N132" i="3"/>
  <c r="L132" i="3"/>
  <c r="K132" i="3"/>
  <c r="J132" i="3"/>
  <c r="I132" i="3"/>
  <c r="AT131" i="3" a="1"/>
  <c r="AT131" i="3" s="1"/>
  <c r="AS131" i="3"/>
  <c r="AF131" i="3"/>
  <c r="AD131" i="3"/>
  <c r="AC131" i="3"/>
  <c r="AB131" i="3"/>
  <c r="AA131" i="3"/>
  <c r="N131" i="3"/>
  <c r="L131" i="3"/>
  <c r="K131" i="3"/>
  <c r="J131" i="3"/>
  <c r="I131" i="3"/>
  <c r="AS130" i="3"/>
  <c r="AF130" i="3"/>
  <c r="AD130" i="3"/>
  <c r="AC130" i="3"/>
  <c r="AB130" i="3"/>
  <c r="AA130" i="3"/>
  <c r="N130" i="3"/>
  <c r="L130" i="3"/>
  <c r="K130" i="3"/>
  <c r="J130" i="3"/>
  <c r="I130" i="3"/>
  <c r="AS129" i="3"/>
  <c r="AF129" i="3"/>
  <c r="AD129" i="3"/>
  <c r="AC129" i="3"/>
  <c r="AB129" i="3"/>
  <c r="AA129" i="3"/>
  <c r="N129" i="3"/>
  <c r="L129" i="3"/>
  <c r="K129" i="3"/>
  <c r="J129" i="3"/>
  <c r="I129" i="3"/>
  <c r="AS128" i="3"/>
  <c r="AF128" i="3"/>
  <c r="AD128" i="3"/>
  <c r="AC128" i="3"/>
  <c r="AB128" i="3"/>
  <c r="AA128" i="3"/>
  <c r="N128" i="3"/>
  <c r="L128" i="3"/>
  <c r="K128" i="3"/>
  <c r="J128" i="3"/>
  <c r="I128" i="3"/>
  <c r="AS127" i="3"/>
  <c r="AF127" i="3"/>
  <c r="AD127" i="3"/>
  <c r="AC127" i="3"/>
  <c r="AB127" i="3"/>
  <c r="AA127" i="3"/>
  <c r="N127" i="3"/>
  <c r="L127" i="3"/>
  <c r="K127" i="3"/>
  <c r="J127" i="3"/>
  <c r="I127" i="3"/>
  <c r="AS126" i="3"/>
  <c r="AF126" i="3"/>
  <c r="AD126" i="3"/>
  <c r="AC126" i="3"/>
  <c r="AB126" i="3"/>
  <c r="AA126" i="3"/>
  <c r="N126" i="3"/>
  <c r="L126" i="3"/>
  <c r="K126" i="3"/>
  <c r="J126" i="3"/>
  <c r="I126" i="3"/>
  <c r="AT125" i="3" a="1"/>
  <c r="AT125" i="3" s="1"/>
  <c r="AS125" i="3"/>
  <c r="AF125" i="3"/>
  <c r="AD125" i="3"/>
  <c r="AC125" i="3"/>
  <c r="AB125" i="3"/>
  <c r="AA125" i="3"/>
  <c r="N125" i="3"/>
  <c r="L125" i="3"/>
  <c r="K125" i="3"/>
  <c r="J125" i="3"/>
  <c r="I125" i="3"/>
  <c r="AS124" i="3"/>
  <c r="AF124" i="3"/>
  <c r="AD124" i="3"/>
  <c r="AC124" i="3"/>
  <c r="AB124" i="3"/>
  <c r="AA124" i="3"/>
  <c r="N124" i="3"/>
  <c r="L124" i="3"/>
  <c r="K124" i="3"/>
  <c r="J124" i="3"/>
  <c r="I124" i="3"/>
  <c r="AS123" i="3"/>
  <c r="AF123" i="3"/>
  <c r="AD123" i="3"/>
  <c r="AC123" i="3"/>
  <c r="AB123" i="3"/>
  <c r="AA123" i="3"/>
  <c r="N123" i="3"/>
  <c r="L123" i="3"/>
  <c r="K123" i="3"/>
  <c r="J123" i="3"/>
  <c r="I123" i="3"/>
  <c r="AS122" i="3"/>
  <c r="AF122" i="3"/>
  <c r="AD122" i="3"/>
  <c r="AC122" i="3"/>
  <c r="AB122" i="3"/>
  <c r="AA122" i="3"/>
  <c r="N122" i="3"/>
  <c r="L122" i="3"/>
  <c r="K122" i="3"/>
  <c r="J122" i="3"/>
  <c r="I122" i="3"/>
  <c r="AS121" i="3"/>
  <c r="AF121" i="3"/>
  <c r="AD121" i="3"/>
  <c r="AC121" i="3"/>
  <c r="AB121" i="3"/>
  <c r="AA121" i="3"/>
  <c r="N121" i="3"/>
  <c r="L121" i="3"/>
  <c r="K121" i="3"/>
  <c r="J121" i="3"/>
  <c r="I121" i="3"/>
  <c r="AS120" i="3"/>
  <c r="AF120" i="3"/>
  <c r="AD120" i="3"/>
  <c r="AC120" i="3"/>
  <c r="AB120" i="3"/>
  <c r="AA120" i="3"/>
  <c r="N120" i="3"/>
  <c r="L120" i="3"/>
  <c r="K120" i="3"/>
  <c r="J120" i="3"/>
  <c r="I120" i="3"/>
  <c r="AT119" i="3" a="1"/>
  <c r="AT119" i="3" s="1"/>
  <c r="AS119" i="3"/>
  <c r="AF119" i="3"/>
  <c r="AD119" i="3"/>
  <c r="AC119" i="3"/>
  <c r="AB119" i="3"/>
  <c r="AA119" i="3"/>
  <c r="N119" i="3"/>
  <c r="L119" i="3"/>
  <c r="K119" i="3"/>
  <c r="J119" i="3"/>
  <c r="I119" i="3"/>
  <c r="AS118" i="3"/>
  <c r="AF118" i="3"/>
  <c r="AD118" i="3"/>
  <c r="AC118" i="3"/>
  <c r="AB118" i="3"/>
  <c r="AA118" i="3"/>
  <c r="N118" i="3"/>
  <c r="L118" i="3"/>
  <c r="K118" i="3"/>
  <c r="J118" i="3"/>
  <c r="I118" i="3"/>
  <c r="AS117" i="3"/>
  <c r="AF117" i="3"/>
  <c r="AD117" i="3"/>
  <c r="AC117" i="3"/>
  <c r="AB117" i="3"/>
  <c r="AA117" i="3"/>
  <c r="N117" i="3"/>
  <c r="L117" i="3"/>
  <c r="K117" i="3"/>
  <c r="J117" i="3"/>
  <c r="I117" i="3"/>
  <c r="AS116" i="3"/>
  <c r="AF116" i="3"/>
  <c r="AD116" i="3"/>
  <c r="AC116" i="3"/>
  <c r="AB116" i="3"/>
  <c r="AA116" i="3"/>
  <c r="N116" i="3"/>
  <c r="L116" i="3"/>
  <c r="K116" i="3"/>
  <c r="J116" i="3"/>
  <c r="I116" i="3"/>
  <c r="AS115" i="3"/>
  <c r="AF115" i="3"/>
  <c r="AD115" i="3"/>
  <c r="AC115" i="3"/>
  <c r="AB115" i="3"/>
  <c r="AA115" i="3"/>
  <c r="N115" i="3"/>
  <c r="L115" i="3"/>
  <c r="K115" i="3"/>
  <c r="J115" i="3"/>
  <c r="I115" i="3"/>
  <c r="AS114" i="3"/>
  <c r="AF114" i="3"/>
  <c r="AD114" i="3"/>
  <c r="AC114" i="3"/>
  <c r="AB114" i="3"/>
  <c r="AA114" i="3"/>
  <c r="N114" i="3"/>
  <c r="L114" i="3"/>
  <c r="K114" i="3"/>
  <c r="J114" i="3"/>
  <c r="I114" i="3"/>
  <c r="AT113" i="3" a="1"/>
  <c r="AT113" i="3" s="1"/>
  <c r="AS113" i="3"/>
  <c r="AF113" i="3"/>
  <c r="AD113" i="3"/>
  <c r="AC113" i="3"/>
  <c r="AB113" i="3"/>
  <c r="AA113" i="3"/>
  <c r="N113" i="3"/>
  <c r="L113" i="3"/>
  <c r="K113" i="3"/>
  <c r="J113" i="3"/>
  <c r="I113" i="3"/>
  <c r="AS112" i="3"/>
  <c r="AF112" i="3"/>
  <c r="AD112" i="3"/>
  <c r="AC112" i="3"/>
  <c r="AB112" i="3"/>
  <c r="AA112" i="3"/>
  <c r="N112" i="3"/>
  <c r="L112" i="3"/>
  <c r="K112" i="3"/>
  <c r="J112" i="3"/>
  <c r="I112" i="3"/>
  <c r="AS111" i="3"/>
  <c r="AF111" i="3"/>
  <c r="AD111" i="3"/>
  <c r="AC111" i="3"/>
  <c r="AB111" i="3"/>
  <c r="AA111" i="3"/>
  <c r="N111" i="3"/>
  <c r="L111" i="3"/>
  <c r="K111" i="3"/>
  <c r="J111" i="3"/>
  <c r="I111" i="3"/>
  <c r="AS110" i="3"/>
  <c r="AF110" i="3"/>
  <c r="AD110" i="3"/>
  <c r="AC110" i="3"/>
  <c r="AB110" i="3"/>
  <c r="AA110" i="3"/>
  <c r="N110" i="3"/>
  <c r="L110" i="3"/>
  <c r="K110" i="3"/>
  <c r="J110" i="3"/>
  <c r="I110" i="3"/>
  <c r="AS109" i="3"/>
  <c r="AF109" i="3"/>
  <c r="AD109" i="3"/>
  <c r="AC109" i="3"/>
  <c r="AB109" i="3"/>
  <c r="AA109" i="3"/>
  <c r="N109" i="3"/>
  <c r="L109" i="3"/>
  <c r="K109" i="3"/>
  <c r="J109" i="3"/>
  <c r="I109" i="3"/>
  <c r="AS108" i="3"/>
  <c r="AF108" i="3"/>
  <c r="AD108" i="3"/>
  <c r="AC108" i="3"/>
  <c r="AB108" i="3"/>
  <c r="AA108" i="3"/>
  <c r="N108" i="3"/>
  <c r="L108" i="3"/>
  <c r="K108" i="3"/>
  <c r="J108" i="3"/>
  <c r="I108" i="3"/>
  <c r="AT107" i="3" a="1"/>
  <c r="AT107" i="3" s="1"/>
  <c r="AS107" i="3"/>
  <c r="AF107" i="3"/>
  <c r="AD107" i="3"/>
  <c r="AC107" i="3"/>
  <c r="AB107" i="3"/>
  <c r="AA107" i="3"/>
  <c r="N107" i="3"/>
  <c r="L107" i="3"/>
  <c r="K107" i="3"/>
  <c r="J107" i="3"/>
  <c r="I107" i="3"/>
  <c r="AS106" i="3"/>
  <c r="AF106" i="3"/>
  <c r="AD106" i="3"/>
  <c r="AC106" i="3"/>
  <c r="AB106" i="3"/>
  <c r="AA106" i="3"/>
  <c r="N106" i="3"/>
  <c r="L106" i="3"/>
  <c r="K106" i="3"/>
  <c r="J106" i="3"/>
  <c r="I106" i="3"/>
  <c r="AS105" i="3"/>
  <c r="AF105" i="3"/>
  <c r="AD105" i="3"/>
  <c r="AC105" i="3"/>
  <c r="AB105" i="3"/>
  <c r="AA105" i="3"/>
  <c r="N105" i="3"/>
  <c r="L105" i="3"/>
  <c r="K105" i="3"/>
  <c r="J105" i="3"/>
  <c r="I105" i="3"/>
  <c r="AS104" i="3"/>
  <c r="AF104" i="3"/>
  <c r="AD104" i="3"/>
  <c r="AC104" i="3"/>
  <c r="AB104" i="3"/>
  <c r="AA104" i="3"/>
  <c r="N104" i="3"/>
  <c r="L104" i="3"/>
  <c r="K104" i="3"/>
  <c r="J104" i="3"/>
  <c r="I104" i="3"/>
  <c r="AS103" i="3"/>
  <c r="AF103" i="3"/>
  <c r="AD103" i="3"/>
  <c r="AC103" i="3"/>
  <c r="AB103" i="3"/>
  <c r="AA103" i="3"/>
  <c r="N103" i="3"/>
  <c r="L103" i="3"/>
  <c r="K103" i="3"/>
  <c r="J103" i="3"/>
  <c r="I103" i="3"/>
  <c r="AS102" i="3"/>
  <c r="AF102" i="3"/>
  <c r="AD102" i="3"/>
  <c r="AC102" i="3"/>
  <c r="AB102" i="3"/>
  <c r="AA102" i="3"/>
  <c r="N102" i="3"/>
  <c r="L102" i="3"/>
  <c r="K102" i="3"/>
  <c r="J102" i="3"/>
  <c r="I102" i="3"/>
  <c r="AT101" i="3" a="1"/>
  <c r="AT101" i="3" s="1"/>
  <c r="AS101" i="3"/>
  <c r="AF101" i="3"/>
  <c r="AD101" i="3"/>
  <c r="AC101" i="3"/>
  <c r="AB101" i="3"/>
  <c r="AA101" i="3"/>
  <c r="N101" i="3"/>
  <c r="L101" i="3"/>
  <c r="K101" i="3"/>
  <c r="J101" i="3"/>
  <c r="I101" i="3"/>
  <c r="AS100" i="3"/>
  <c r="AF100" i="3"/>
  <c r="AD100" i="3"/>
  <c r="AC100" i="3"/>
  <c r="AB100" i="3"/>
  <c r="AA100" i="3"/>
  <c r="N100" i="3"/>
  <c r="L100" i="3"/>
  <c r="K100" i="3"/>
  <c r="J100" i="3"/>
  <c r="I100" i="3"/>
  <c r="AS99" i="3"/>
  <c r="AF99" i="3"/>
  <c r="AD99" i="3"/>
  <c r="AC99" i="3"/>
  <c r="AB99" i="3"/>
  <c r="AA99" i="3"/>
  <c r="N99" i="3"/>
  <c r="L99" i="3"/>
  <c r="K99" i="3"/>
  <c r="J99" i="3"/>
  <c r="I99" i="3"/>
  <c r="AS98" i="3"/>
  <c r="AF98" i="3"/>
  <c r="AD98" i="3"/>
  <c r="AC98" i="3"/>
  <c r="AB98" i="3"/>
  <c r="AA98" i="3"/>
  <c r="N98" i="3"/>
  <c r="L98" i="3"/>
  <c r="K98" i="3"/>
  <c r="J98" i="3"/>
  <c r="I98" i="3"/>
  <c r="AS97" i="3"/>
  <c r="AF97" i="3"/>
  <c r="AD97" i="3"/>
  <c r="AC97" i="3"/>
  <c r="AB97" i="3"/>
  <c r="AA97" i="3"/>
  <c r="N97" i="3"/>
  <c r="L97" i="3"/>
  <c r="K97" i="3"/>
  <c r="J97" i="3"/>
  <c r="I97" i="3"/>
  <c r="AS96" i="3"/>
  <c r="AF96" i="3"/>
  <c r="AD96" i="3"/>
  <c r="AC96" i="3"/>
  <c r="AB96" i="3"/>
  <c r="AA96" i="3"/>
  <c r="N96" i="3"/>
  <c r="L96" i="3"/>
  <c r="K96" i="3"/>
  <c r="J96" i="3"/>
  <c r="I96" i="3"/>
  <c r="AT95" i="3" a="1"/>
  <c r="AT95" i="3" s="1"/>
  <c r="AS95" i="3"/>
  <c r="AF95" i="3"/>
  <c r="AD95" i="3"/>
  <c r="AC95" i="3"/>
  <c r="AB95" i="3"/>
  <c r="AA95" i="3"/>
  <c r="N95" i="3"/>
  <c r="L95" i="3"/>
  <c r="K95" i="3"/>
  <c r="J95" i="3"/>
  <c r="I95" i="3"/>
  <c r="AS94" i="3"/>
  <c r="AF94" i="3"/>
  <c r="AD94" i="3"/>
  <c r="AC94" i="3"/>
  <c r="AB94" i="3"/>
  <c r="AA94" i="3"/>
  <c r="N94" i="3"/>
  <c r="L94" i="3"/>
  <c r="K94" i="3"/>
  <c r="J94" i="3"/>
  <c r="I94" i="3"/>
  <c r="AS93" i="3"/>
  <c r="AF93" i="3"/>
  <c r="AD93" i="3"/>
  <c r="AC93" i="3"/>
  <c r="AB93" i="3"/>
  <c r="AA93" i="3"/>
  <c r="N93" i="3"/>
  <c r="L93" i="3"/>
  <c r="K93" i="3"/>
  <c r="J93" i="3"/>
  <c r="I93" i="3"/>
  <c r="AS92" i="3"/>
  <c r="AF92" i="3"/>
  <c r="AD92" i="3"/>
  <c r="AC92" i="3"/>
  <c r="AB92" i="3"/>
  <c r="AA92" i="3"/>
  <c r="N92" i="3"/>
  <c r="L92" i="3"/>
  <c r="K92" i="3"/>
  <c r="J92" i="3"/>
  <c r="I92" i="3"/>
  <c r="AS91" i="3"/>
  <c r="AF91" i="3"/>
  <c r="AD91" i="3"/>
  <c r="AC91" i="3"/>
  <c r="AB91" i="3"/>
  <c r="AA91" i="3"/>
  <c r="N91" i="3"/>
  <c r="L91" i="3"/>
  <c r="K91" i="3"/>
  <c r="J91" i="3"/>
  <c r="I91" i="3"/>
  <c r="AS90" i="3"/>
  <c r="AF90" i="3"/>
  <c r="AD90" i="3"/>
  <c r="AC90" i="3"/>
  <c r="AB90" i="3"/>
  <c r="AA90" i="3"/>
  <c r="N90" i="3"/>
  <c r="L90" i="3"/>
  <c r="K90" i="3"/>
  <c r="J90" i="3"/>
  <c r="I90" i="3"/>
  <c r="AT89" i="3" a="1"/>
  <c r="AT89" i="3" s="1"/>
  <c r="AS89" i="3"/>
  <c r="AF89" i="3"/>
  <c r="AD89" i="3"/>
  <c r="AC89" i="3"/>
  <c r="AB89" i="3"/>
  <c r="AA89" i="3"/>
  <c r="N89" i="3"/>
  <c r="L89" i="3"/>
  <c r="K89" i="3"/>
  <c r="J89" i="3"/>
  <c r="I89" i="3"/>
  <c r="AS88" i="3"/>
  <c r="AF88" i="3"/>
  <c r="AD88" i="3"/>
  <c r="AC88" i="3"/>
  <c r="AB88" i="3"/>
  <c r="AA88" i="3"/>
  <c r="N88" i="3"/>
  <c r="L88" i="3"/>
  <c r="K88" i="3"/>
  <c r="J88" i="3"/>
  <c r="I88" i="3"/>
  <c r="AS87" i="3"/>
  <c r="AF87" i="3"/>
  <c r="AD87" i="3"/>
  <c r="AC87" i="3"/>
  <c r="AB87" i="3"/>
  <c r="AA87" i="3"/>
  <c r="N87" i="3"/>
  <c r="L87" i="3"/>
  <c r="K87" i="3"/>
  <c r="J87" i="3"/>
  <c r="I87" i="3"/>
  <c r="AS86" i="3"/>
  <c r="AF86" i="3"/>
  <c r="AD86" i="3"/>
  <c r="AC86" i="3"/>
  <c r="AB86" i="3"/>
  <c r="AA86" i="3"/>
  <c r="N86" i="3"/>
  <c r="L86" i="3"/>
  <c r="K86" i="3"/>
  <c r="J86" i="3"/>
  <c r="I86" i="3"/>
  <c r="AS85" i="3"/>
  <c r="AF85" i="3"/>
  <c r="AD85" i="3"/>
  <c r="AC85" i="3"/>
  <c r="AB85" i="3"/>
  <c r="AA85" i="3"/>
  <c r="N85" i="3"/>
  <c r="L85" i="3"/>
  <c r="K85" i="3"/>
  <c r="J85" i="3"/>
  <c r="I85" i="3"/>
  <c r="AS84" i="3"/>
  <c r="AF84" i="3"/>
  <c r="AD84" i="3"/>
  <c r="AC84" i="3"/>
  <c r="AB84" i="3"/>
  <c r="AA84" i="3"/>
  <c r="N84" i="3"/>
  <c r="L84" i="3"/>
  <c r="K84" i="3"/>
  <c r="J84" i="3"/>
  <c r="I84" i="3"/>
  <c r="AT83" i="3" a="1"/>
  <c r="AT83" i="3" s="1"/>
  <c r="AS83" i="3"/>
  <c r="AF83" i="3"/>
  <c r="AD83" i="3"/>
  <c r="AC83" i="3"/>
  <c r="AB83" i="3"/>
  <c r="AA83" i="3"/>
  <c r="N83" i="3"/>
  <c r="L83" i="3"/>
  <c r="K83" i="3"/>
  <c r="J83" i="3"/>
  <c r="I83" i="3"/>
  <c r="AF82" i="3"/>
  <c r="AD82" i="3"/>
  <c r="AC82" i="3"/>
  <c r="AB82" i="3"/>
  <c r="AA82" i="3"/>
  <c r="N82" i="3"/>
  <c r="L82" i="3"/>
  <c r="K82" i="3"/>
  <c r="J82" i="3"/>
  <c r="I82" i="3"/>
  <c r="AF81" i="3"/>
  <c r="AD81" i="3"/>
  <c r="AC81" i="3"/>
  <c r="AB81" i="3"/>
  <c r="AA81" i="3"/>
  <c r="N81" i="3"/>
  <c r="L81" i="3"/>
  <c r="K81" i="3"/>
  <c r="J81" i="3"/>
  <c r="I81" i="3"/>
  <c r="AF80" i="3"/>
  <c r="AD80" i="3"/>
  <c r="AC80" i="3"/>
  <c r="AB80" i="3"/>
  <c r="AA80" i="3"/>
  <c r="N80" i="3"/>
  <c r="L80" i="3"/>
  <c r="K80" i="3"/>
  <c r="J80" i="3"/>
  <c r="I80" i="3"/>
  <c r="AF79" i="3"/>
  <c r="AD79" i="3"/>
  <c r="AC79" i="3"/>
  <c r="AB79" i="3"/>
  <c r="AA79" i="3"/>
  <c r="N79" i="3"/>
  <c r="L79" i="3"/>
  <c r="K79" i="3"/>
  <c r="J79" i="3"/>
  <c r="I79" i="3"/>
  <c r="AF78" i="3"/>
  <c r="AD78" i="3"/>
  <c r="AC78" i="3"/>
  <c r="AB78" i="3"/>
  <c r="AA78" i="3"/>
  <c r="N78" i="3"/>
  <c r="L78" i="3"/>
  <c r="K78" i="3"/>
  <c r="J78" i="3"/>
  <c r="I78" i="3"/>
  <c r="AF77" i="3"/>
  <c r="AD77" i="3"/>
  <c r="AC77" i="3"/>
  <c r="AB77" i="3"/>
  <c r="AA77" i="3"/>
  <c r="N77" i="3"/>
  <c r="L77" i="3"/>
  <c r="K77" i="3"/>
  <c r="J77" i="3"/>
  <c r="I77" i="3"/>
  <c r="AF76" i="3"/>
  <c r="AD76" i="3"/>
  <c r="AC76" i="3"/>
  <c r="AB76" i="3"/>
  <c r="AA76" i="3"/>
  <c r="N76" i="3"/>
  <c r="L76" i="3"/>
  <c r="K76" i="3"/>
  <c r="J76" i="3"/>
  <c r="I76" i="3"/>
  <c r="AF75" i="3"/>
  <c r="AD75" i="3"/>
  <c r="AC75" i="3"/>
  <c r="AB75" i="3"/>
  <c r="AA75" i="3"/>
  <c r="N75" i="3"/>
  <c r="L75" i="3"/>
  <c r="K75" i="3"/>
  <c r="J75" i="3"/>
  <c r="I75" i="3"/>
  <c r="AF74" i="3"/>
  <c r="AD74" i="3"/>
  <c r="AC74" i="3"/>
  <c r="AB74" i="3"/>
  <c r="AA74" i="3"/>
  <c r="N74" i="3"/>
  <c r="L74" i="3"/>
  <c r="K74" i="3"/>
  <c r="J74" i="3"/>
  <c r="I74" i="3"/>
  <c r="AF73" i="3"/>
  <c r="AD73" i="3"/>
  <c r="AC73" i="3"/>
  <c r="AB73" i="3"/>
  <c r="AA73" i="3"/>
  <c r="N73" i="3"/>
  <c r="L73" i="3"/>
  <c r="K73" i="3"/>
  <c r="J73" i="3"/>
  <c r="I73" i="3"/>
  <c r="AF72" i="3"/>
  <c r="AD72" i="3"/>
  <c r="AC72" i="3"/>
  <c r="AB72" i="3"/>
  <c r="AA72" i="3"/>
  <c r="N72" i="3"/>
  <c r="L72" i="3"/>
  <c r="K72" i="3"/>
  <c r="J72" i="3"/>
  <c r="I72" i="3"/>
  <c r="AF71" i="3"/>
  <c r="AD71" i="3"/>
  <c r="AC71" i="3"/>
  <c r="AB71" i="3"/>
  <c r="AA71" i="3"/>
  <c r="N71" i="3"/>
  <c r="L71" i="3"/>
  <c r="K71" i="3"/>
  <c r="J71" i="3"/>
  <c r="I71" i="3"/>
  <c r="AS70" i="3"/>
  <c r="AF70" i="3"/>
  <c r="AD70" i="3"/>
  <c r="AC70" i="3"/>
  <c r="AB70" i="3"/>
  <c r="AA70" i="3"/>
  <c r="N70" i="3"/>
  <c r="L70" i="3"/>
  <c r="K70" i="3"/>
  <c r="J70" i="3"/>
  <c r="I70" i="3"/>
  <c r="AS69" i="3"/>
  <c r="AF69" i="3"/>
  <c r="AD69" i="3"/>
  <c r="AC69" i="3"/>
  <c r="AB69" i="3"/>
  <c r="AA69" i="3"/>
  <c r="N69" i="3"/>
  <c r="L69" i="3"/>
  <c r="K69" i="3"/>
  <c r="J69" i="3"/>
  <c r="I69" i="3"/>
  <c r="AS68" i="3"/>
  <c r="AF68" i="3"/>
  <c r="AD68" i="3"/>
  <c r="AC68" i="3"/>
  <c r="AB68" i="3"/>
  <c r="AA68" i="3"/>
  <c r="N68" i="3"/>
  <c r="L68" i="3"/>
  <c r="K68" i="3"/>
  <c r="J68" i="3"/>
  <c r="I68" i="3"/>
  <c r="AS67" i="3"/>
  <c r="AF67" i="3"/>
  <c r="AD67" i="3"/>
  <c r="AC67" i="3"/>
  <c r="AB67" i="3"/>
  <c r="AA67" i="3"/>
  <c r="N67" i="3"/>
  <c r="L67" i="3"/>
  <c r="K67" i="3"/>
  <c r="J67" i="3"/>
  <c r="I67" i="3"/>
  <c r="AS66" i="3"/>
  <c r="AF66" i="3"/>
  <c r="AD66" i="3"/>
  <c r="AC66" i="3"/>
  <c r="AB66" i="3"/>
  <c r="AA66" i="3"/>
  <c r="N66" i="3"/>
  <c r="L66" i="3"/>
  <c r="K66" i="3"/>
  <c r="J66" i="3"/>
  <c r="I66" i="3"/>
  <c r="AT65" i="3" a="1"/>
  <c r="AT65" i="3" s="1"/>
  <c r="AS65" i="3"/>
  <c r="AF65" i="3"/>
  <c r="AD65" i="3"/>
  <c r="AC65" i="3"/>
  <c r="AB65" i="3"/>
  <c r="AA65" i="3"/>
  <c r="N65" i="3"/>
  <c r="L65" i="3"/>
  <c r="K65" i="3"/>
  <c r="J65" i="3"/>
  <c r="I65" i="3"/>
  <c r="AS64" i="3"/>
  <c r="AF64" i="3"/>
  <c r="AD64" i="3"/>
  <c r="AC64" i="3"/>
  <c r="AB64" i="3"/>
  <c r="AA64" i="3"/>
  <c r="N64" i="3"/>
  <c r="L64" i="3"/>
  <c r="K64" i="3"/>
  <c r="J64" i="3"/>
  <c r="I64" i="3"/>
  <c r="AS63" i="3"/>
  <c r="AF63" i="3"/>
  <c r="AD63" i="3"/>
  <c r="AC63" i="3"/>
  <c r="AB63" i="3"/>
  <c r="AA63" i="3"/>
  <c r="N63" i="3"/>
  <c r="L63" i="3"/>
  <c r="K63" i="3"/>
  <c r="J63" i="3"/>
  <c r="I63" i="3"/>
  <c r="AS62" i="3"/>
  <c r="AF62" i="3"/>
  <c r="AD62" i="3"/>
  <c r="AC62" i="3"/>
  <c r="AB62" i="3"/>
  <c r="AA62" i="3"/>
  <c r="N62" i="3"/>
  <c r="L62" i="3"/>
  <c r="K62" i="3"/>
  <c r="J62" i="3"/>
  <c r="I62" i="3"/>
  <c r="AS61" i="3"/>
  <c r="AF61" i="3"/>
  <c r="AD61" i="3"/>
  <c r="AC61" i="3"/>
  <c r="AB61" i="3"/>
  <c r="AA61" i="3"/>
  <c r="N61" i="3"/>
  <c r="L61" i="3"/>
  <c r="K61" i="3"/>
  <c r="J61" i="3"/>
  <c r="I61" i="3"/>
  <c r="AS60" i="3"/>
  <c r="AF60" i="3"/>
  <c r="AD60" i="3"/>
  <c r="AC60" i="3"/>
  <c r="AB60" i="3"/>
  <c r="AA60" i="3"/>
  <c r="N60" i="3"/>
  <c r="L60" i="3"/>
  <c r="K60" i="3"/>
  <c r="J60" i="3"/>
  <c r="I60" i="3"/>
  <c r="AT59" i="3" a="1"/>
  <c r="AT59" i="3" s="1"/>
  <c r="AS59" i="3"/>
  <c r="AF59" i="3"/>
  <c r="AD59" i="3"/>
  <c r="AC59" i="3"/>
  <c r="AB59" i="3"/>
  <c r="AA59" i="3"/>
  <c r="N59" i="3"/>
  <c r="L59" i="3"/>
  <c r="K59" i="3"/>
  <c r="J59" i="3"/>
  <c r="I59" i="3"/>
  <c r="AS58" i="3"/>
  <c r="AF58" i="3"/>
  <c r="AD58" i="3"/>
  <c r="AC58" i="3"/>
  <c r="AB58" i="3"/>
  <c r="AA58" i="3"/>
  <c r="N58" i="3"/>
  <c r="L58" i="3"/>
  <c r="K58" i="3"/>
  <c r="J58" i="3"/>
  <c r="I58" i="3"/>
  <c r="AS57" i="3"/>
  <c r="AF57" i="3"/>
  <c r="AD57" i="3"/>
  <c r="AC57" i="3"/>
  <c r="AB57" i="3"/>
  <c r="AA57" i="3"/>
  <c r="N57" i="3"/>
  <c r="L57" i="3"/>
  <c r="K57" i="3"/>
  <c r="J57" i="3"/>
  <c r="I57" i="3"/>
  <c r="AS56" i="3"/>
  <c r="AF56" i="3"/>
  <c r="AD56" i="3"/>
  <c r="AC56" i="3"/>
  <c r="AB56" i="3"/>
  <c r="AA56" i="3"/>
  <c r="N56" i="3"/>
  <c r="L56" i="3"/>
  <c r="K56" i="3"/>
  <c r="J56" i="3"/>
  <c r="I56" i="3"/>
  <c r="AS55" i="3"/>
  <c r="AF55" i="3"/>
  <c r="AD55" i="3"/>
  <c r="AC55" i="3"/>
  <c r="AB55" i="3"/>
  <c r="AA55" i="3"/>
  <c r="N55" i="3"/>
  <c r="L55" i="3"/>
  <c r="K55" i="3"/>
  <c r="J55" i="3"/>
  <c r="I55" i="3"/>
  <c r="AS54" i="3"/>
  <c r="AF54" i="3"/>
  <c r="AD54" i="3"/>
  <c r="AC54" i="3"/>
  <c r="AB54" i="3"/>
  <c r="AA54" i="3"/>
  <c r="N54" i="3"/>
  <c r="L54" i="3"/>
  <c r="K54" i="3"/>
  <c r="J54" i="3"/>
  <c r="I54" i="3"/>
  <c r="AT53" i="3" a="1"/>
  <c r="AT53" i="3" s="1"/>
  <c r="AS53" i="3"/>
  <c r="AF53" i="3"/>
  <c r="AD53" i="3"/>
  <c r="AC53" i="3"/>
  <c r="AB53" i="3"/>
  <c r="AA53" i="3"/>
  <c r="N53" i="3"/>
  <c r="L53" i="3"/>
  <c r="K53" i="3"/>
  <c r="J53" i="3"/>
  <c r="I53" i="3"/>
  <c r="AS52" i="3"/>
  <c r="AF52" i="3"/>
  <c r="AD52" i="3"/>
  <c r="AC52" i="3"/>
  <c r="AB52" i="3"/>
  <c r="AA52" i="3"/>
  <c r="N52" i="3"/>
  <c r="L52" i="3"/>
  <c r="K52" i="3"/>
  <c r="J52" i="3"/>
  <c r="I52" i="3"/>
  <c r="AS51" i="3"/>
  <c r="AF51" i="3"/>
  <c r="AD51" i="3"/>
  <c r="AC51" i="3"/>
  <c r="AB51" i="3"/>
  <c r="AA51" i="3"/>
  <c r="N51" i="3"/>
  <c r="L51" i="3"/>
  <c r="K51" i="3"/>
  <c r="J51" i="3"/>
  <c r="I51" i="3"/>
  <c r="AS50" i="3"/>
  <c r="AF50" i="3"/>
  <c r="AD50" i="3"/>
  <c r="AC50" i="3"/>
  <c r="AB50" i="3"/>
  <c r="AA50" i="3"/>
  <c r="N50" i="3"/>
  <c r="L50" i="3"/>
  <c r="K50" i="3"/>
  <c r="J50" i="3"/>
  <c r="I50" i="3"/>
  <c r="AS49" i="3"/>
  <c r="AF49" i="3"/>
  <c r="AD49" i="3"/>
  <c r="AC49" i="3"/>
  <c r="AB49" i="3"/>
  <c r="AA49" i="3"/>
  <c r="N49" i="3"/>
  <c r="L49" i="3"/>
  <c r="K49" i="3"/>
  <c r="J49" i="3"/>
  <c r="I49" i="3"/>
  <c r="AS48" i="3"/>
  <c r="AF48" i="3"/>
  <c r="AD48" i="3"/>
  <c r="AC48" i="3"/>
  <c r="AB48" i="3"/>
  <c r="AA48" i="3"/>
  <c r="N48" i="3"/>
  <c r="L48" i="3"/>
  <c r="K48" i="3"/>
  <c r="J48" i="3"/>
  <c r="I48" i="3"/>
  <c r="AT47" i="3" a="1"/>
  <c r="AT47" i="3" s="1"/>
  <c r="AS47" i="3"/>
  <c r="AF47" i="3"/>
  <c r="AD47" i="3"/>
  <c r="AC47" i="3"/>
  <c r="AB47" i="3"/>
  <c r="AA47" i="3"/>
  <c r="N47" i="3"/>
  <c r="L47" i="3"/>
  <c r="K47" i="3"/>
  <c r="J47" i="3"/>
  <c r="I47" i="3"/>
  <c r="AS46" i="3"/>
  <c r="AF46" i="3"/>
  <c r="AD46" i="3"/>
  <c r="AC46" i="3"/>
  <c r="AB46" i="3"/>
  <c r="AA46" i="3"/>
  <c r="N46" i="3"/>
  <c r="L46" i="3"/>
  <c r="K46" i="3"/>
  <c r="J46" i="3"/>
  <c r="I46" i="3"/>
  <c r="AS45" i="3"/>
  <c r="AF45" i="3"/>
  <c r="AD45" i="3"/>
  <c r="AC45" i="3"/>
  <c r="AB45" i="3"/>
  <c r="AA45" i="3"/>
  <c r="N45" i="3"/>
  <c r="L45" i="3"/>
  <c r="K45" i="3"/>
  <c r="J45" i="3"/>
  <c r="I45" i="3"/>
  <c r="AS44" i="3"/>
  <c r="AF44" i="3"/>
  <c r="AD44" i="3"/>
  <c r="AC44" i="3"/>
  <c r="AB44" i="3"/>
  <c r="AA44" i="3"/>
  <c r="N44" i="3"/>
  <c r="L44" i="3"/>
  <c r="K44" i="3"/>
  <c r="J44" i="3"/>
  <c r="I44" i="3"/>
  <c r="AS43" i="3"/>
  <c r="AF43" i="3"/>
  <c r="AD43" i="3"/>
  <c r="AC43" i="3"/>
  <c r="AB43" i="3"/>
  <c r="AA43" i="3"/>
  <c r="N43" i="3"/>
  <c r="L43" i="3"/>
  <c r="K43" i="3"/>
  <c r="J43" i="3"/>
  <c r="I43" i="3"/>
  <c r="AS42" i="3"/>
  <c r="AF42" i="3"/>
  <c r="AD42" i="3"/>
  <c r="AC42" i="3"/>
  <c r="AB42" i="3"/>
  <c r="AA42" i="3"/>
  <c r="N42" i="3"/>
  <c r="L42" i="3"/>
  <c r="K42" i="3"/>
  <c r="J42" i="3"/>
  <c r="I42" i="3"/>
  <c r="AT41" i="3" a="1"/>
  <c r="AT41" i="3" s="1"/>
  <c r="AS41" i="3"/>
  <c r="AF41" i="3"/>
  <c r="AD41" i="3"/>
  <c r="AC41" i="3"/>
  <c r="AB41" i="3"/>
  <c r="AA41" i="3"/>
  <c r="N41" i="3"/>
  <c r="L41" i="3"/>
  <c r="K41" i="3"/>
  <c r="J41" i="3"/>
  <c r="I41" i="3"/>
  <c r="AS40" i="3"/>
  <c r="AF40" i="3"/>
  <c r="AD40" i="3"/>
  <c r="AC40" i="3"/>
  <c r="AB40" i="3"/>
  <c r="AA40" i="3"/>
  <c r="N40" i="3"/>
  <c r="L40" i="3"/>
  <c r="K40" i="3"/>
  <c r="J40" i="3"/>
  <c r="I40" i="3"/>
  <c r="AS39" i="3"/>
  <c r="AF39" i="3"/>
  <c r="AD39" i="3"/>
  <c r="AC39" i="3"/>
  <c r="AB39" i="3"/>
  <c r="AA39" i="3"/>
  <c r="N39" i="3"/>
  <c r="L39" i="3"/>
  <c r="K39" i="3"/>
  <c r="J39" i="3"/>
  <c r="I39" i="3"/>
  <c r="AS38" i="3"/>
  <c r="AF38" i="3"/>
  <c r="AD38" i="3"/>
  <c r="AC38" i="3"/>
  <c r="AB38" i="3"/>
  <c r="AA38" i="3"/>
  <c r="N38" i="3"/>
  <c r="L38" i="3"/>
  <c r="K38" i="3"/>
  <c r="J38" i="3"/>
  <c r="I38" i="3"/>
  <c r="AS37" i="3"/>
  <c r="AF37" i="3"/>
  <c r="AD37" i="3"/>
  <c r="AC37" i="3"/>
  <c r="AB37" i="3"/>
  <c r="AA37" i="3"/>
  <c r="N37" i="3"/>
  <c r="L37" i="3"/>
  <c r="K37" i="3"/>
  <c r="J37" i="3"/>
  <c r="I37" i="3"/>
  <c r="AS36" i="3"/>
  <c r="AF36" i="3"/>
  <c r="AD36" i="3"/>
  <c r="AC36" i="3"/>
  <c r="AB36" i="3"/>
  <c r="AA36" i="3"/>
  <c r="N36" i="3"/>
  <c r="L36" i="3"/>
  <c r="K36" i="3"/>
  <c r="J36" i="3"/>
  <c r="I36" i="3"/>
  <c r="AT35" i="3" a="1"/>
  <c r="AT35" i="3" s="1"/>
  <c r="AS35" i="3"/>
  <c r="AF35" i="3"/>
  <c r="AD35" i="3"/>
  <c r="AC35" i="3"/>
  <c r="AB35" i="3"/>
  <c r="AA35" i="3"/>
  <c r="N35" i="3"/>
  <c r="L35" i="3"/>
  <c r="K35" i="3"/>
  <c r="J35" i="3"/>
  <c r="I35" i="3"/>
  <c r="AS34" i="3"/>
  <c r="AF34" i="3"/>
  <c r="AD34" i="3"/>
  <c r="AC34" i="3"/>
  <c r="AB34" i="3"/>
  <c r="AA34" i="3"/>
  <c r="N34" i="3"/>
  <c r="L34" i="3"/>
  <c r="K34" i="3"/>
  <c r="J34" i="3"/>
  <c r="I34" i="3"/>
  <c r="AS33" i="3"/>
  <c r="AF33" i="3"/>
  <c r="AD33" i="3"/>
  <c r="AC33" i="3"/>
  <c r="AB33" i="3"/>
  <c r="AA33" i="3"/>
  <c r="N33" i="3"/>
  <c r="L33" i="3"/>
  <c r="K33" i="3"/>
  <c r="J33" i="3"/>
  <c r="I33" i="3"/>
  <c r="AS32" i="3"/>
  <c r="AF32" i="3"/>
  <c r="AD32" i="3"/>
  <c r="AC32" i="3"/>
  <c r="AB32" i="3"/>
  <c r="AA32" i="3"/>
  <c r="N32" i="3"/>
  <c r="L32" i="3"/>
  <c r="K32" i="3"/>
  <c r="J32" i="3"/>
  <c r="I32" i="3"/>
  <c r="AS31" i="3"/>
  <c r="AF31" i="3"/>
  <c r="AD31" i="3"/>
  <c r="AC31" i="3"/>
  <c r="AB31" i="3"/>
  <c r="AA31" i="3"/>
  <c r="N31" i="3"/>
  <c r="L31" i="3"/>
  <c r="K31" i="3"/>
  <c r="J31" i="3"/>
  <c r="I31" i="3"/>
  <c r="AS30" i="3"/>
  <c r="AF30" i="3"/>
  <c r="AD30" i="3"/>
  <c r="AC30" i="3"/>
  <c r="AB30" i="3"/>
  <c r="AA30" i="3"/>
  <c r="N30" i="3"/>
  <c r="L30" i="3"/>
  <c r="K30" i="3"/>
  <c r="J30" i="3"/>
  <c r="I30" i="3"/>
  <c r="AT29" i="3" a="1"/>
  <c r="AT29" i="3" s="1"/>
  <c r="AS29" i="3"/>
  <c r="AF29" i="3"/>
  <c r="AD29" i="3"/>
  <c r="AC29" i="3"/>
  <c r="AB29" i="3"/>
  <c r="AA29" i="3"/>
  <c r="N29" i="3"/>
  <c r="L29" i="3"/>
  <c r="K29" i="3"/>
  <c r="J29" i="3"/>
  <c r="I29" i="3"/>
  <c r="AS28" i="3"/>
  <c r="AF28" i="3"/>
  <c r="AD28" i="3"/>
  <c r="AC28" i="3"/>
  <c r="AB28" i="3"/>
  <c r="AA28" i="3"/>
  <c r="N28" i="3"/>
  <c r="L28" i="3"/>
  <c r="K28" i="3"/>
  <c r="J28" i="3"/>
  <c r="I28" i="3"/>
  <c r="AS27" i="3"/>
  <c r="AF27" i="3"/>
  <c r="AD27" i="3"/>
  <c r="AC27" i="3"/>
  <c r="AB27" i="3"/>
  <c r="AA27" i="3"/>
  <c r="N27" i="3"/>
  <c r="L27" i="3"/>
  <c r="K27" i="3"/>
  <c r="J27" i="3"/>
  <c r="I27" i="3"/>
  <c r="AS26" i="3"/>
  <c r="AF26" i="3"/>
  <c r="AD26" i="3"/>
  <c r="AC26" i="3"/>
  <c r="AB26" i="3"/>
  <c r="AA26" i="3"/>
  <c r="N26" i="3"/>
  <c r="L26" i="3"/>
  <c r="K26" i="3"/>
  <c r="J26" i="3"/>
  <c r="I26" i="3"/>
  <c r="AS25" i="3"/>
  <c r="AF25" i="3"/>
  <c r="AD25" i="3"/>
  <c r="AC25" i="3"/>
  <c r="AB25" i="3"/>
  <c r="AA25" i="3"/>
  <c r="N25" i="3"/>
  <c r="L25" i="3"/>
  <c r="K25" i="3"/>
  <c r="J25" i="3"/>
  <c r="I25" i="3"/>
  <c r="AS24" i="3"/>
  <c r="AF24" i="3"/>
  <c r="AD24" i="3"/>
  <c r="AC24" i="3"/>
  <c r="AB24" i="3"/>
  <c r="AA24" i="3"/>
  <c r="N24" i="3"/>
  <c r="L24" i="3"/>
  <c r="K24" i="3"/>
  <c r="J24" i="3"/>
  <c r="I24" i="3"/>
  <c r="AT23" i="3" a="1"/>
  <c r="AT23" i="3" s="1"/>
  <c r="AS23" i="3"/>
  <c r="AF23" i="3"/>
  <c r="AD23" i="3"/>
  <c r="AC23" i="3"/>
  <c r="AB23" i="3"/>
  <c r="AA23" i="3"/>
  <c r="N23" i="3"/>
  <c r="L23" i="3"/>
  <c r="K23" i="3"/>
  <c r="J23" i="3"/>
  <c r="I23" i="3"/>
  <c r="AS22" i="3"/>
  <c r="AF22" i="3"/>
  <c r="AD22" i="3"/>
  <c r="AC22" i="3"/>
  <c r="AB22" i="3"/>
  <c r="AA22" i="3"/>
  <c r="N22" i="3"/>
  <c r="L22" i="3"/>
  <c r="K22" i="3"/>
  <c r="J22" i="3"/>
  <c r="I22" i="3"/>
  <c r="AS21" i="3"/>
  <c r="AF21" i="3"/>
  <c r="AD21" i="3"/>
  <c r="AC21" i="3"/>
  <c r="AB21" i="3"/>
  <c r="AA21" i="3"/>
  <c r="N21" i="3"/>
  <c r="L21" i="3"/>
  <c r="K21" i="3"/>
  <c r="J21" i="3"/>
  <c r="I21" i="3"/>
  <c r="AS20" i="3"/>
  <c r="AF20" i="3"/>
  <c r="AD20" i="3"/>
  <c r="AC20" i="3"/>
  <c r="AB20" i="3"/>
  <c r="AA20" i="3"/>
  <c r="N20" i="3"/>
  <c r="L20" i="3"/>
  <c r="K20" i="3"/>
  <c r="J20" i="3"/>
  <c r="I20" i="3"/>
  <c r="AS19" i="3"/>
  <c r="AF19" i="3"/>
  <c r="AD19" i="3"/>
  <c r="AC19" i="3"/>
  <c r="AB19" i="3"/>
  <c r="AA19" i="3"/>
  <c r="N19" i="3"/>
  <c r="L19" i="3"/>
  <c r="K19" i="3"/>
  <c r="J19" i="3"/>
  <c r="I19" i="3"/>
  <c r="AS18" i="3"/>
  <c r="AF18" i="3"/>
  <c r="AD18" i="3"/>
  <c r="AC18" i="3"/>
  <c r="AB18" i="3"/>
  <c r="AA18" i="3"/>
  <c r="N18" i="3"/>
  <c r="L18" i="3"/>
  <c r="K18" i="3"/>
  <c r="J18" i="3"/>
  <c r="I18" i="3"/>
  <c r="AT17" i="3" a="1"/>
  <c r="AT17" i="3" s="1"/>
  <c r="AS17" i="3"/>
  <c r="AF17" i="3"/>
  <c r="AD17" i="3"/>
  <c r="AC17" i="3"/>
  <c r="AB17" i="3"/>
  <c r="AA17" i="3"/>
  <c r="N17" i="3"/>
  <c r="L17" i="3"/>
  <c r="K17" i="3"/>
  <c r="J17" i="3"/>
  <c r="I17" i="3"/>
  <c r="AS16" i="3"/>
  <c r="AF16" i="3"/>
  <c r="AD16" i="3"/>
  <c r="AC16" i="3"/>
  <c r="AB16" i="3"/>
  <c r="AA16" i="3"/>
  <c r="N16" i="3"/>
  <c r="L16" i="3"/>
  <c r="K16" i="3"/>
  <c r="J16" i="3"/>
  <c r="I16" i="3"/>
  <c r="AS15" i="3"/>
  <c r="AF15" i="3"/>
  <c r="AD15" i="3"/>
  <c r="AC15" i="3"/>
  <c r="AB15" i="3"/>
  <c r="AA15" i="3"/>
  <c r="N15" i="3"/>
  <c r="L15" i="3"/>
  <c r="K15" i="3"/>
  <c r="J15" i="3"/>
  <c r="I15" i="3"/>
  <c r="AS14" i="3"/>
  <c r="AF14" i="3"/>
  <c r="AD14" i="3"/>
  <c r="AC14" i="3"/>
  <c r="AB14" i="3"/>
  <c r="AA14" i="3"/>
  <c r="N14" i="3"/>
  <c r="L14" i="3"/>
  <c r="K14" i="3"/>
  <c r="J14" i="3"/>
  <c r="I14" i="3"/>
  <c r="AS13" i="3"/>
  <c r="AF13" i="3"/>
  <c r="AD13" i="3"/>
  <c r="AC13" i="3"/>
  <c r="AB13" i="3"/>
  <c r="AA13" i="3"/>
  <c r="N13" i="3"/>
  <c r="L13" i="3"/>
  <c r="K13" i="3"/>
  <c r="J13" i="3"/>
  <c r="I13" i="3"/>
  <c r="AS12" i="3"/>
  <c r="AF12" i="3"/>
  <c r="AD12" i="3"/>
  <c r="AC12" i="3"/>
  <c r="AB12" i="3"/>
  <c r="AA12" i="3"/>
  <c r="N12" i="3"/>
  <c r="L12" i="3"/>
  <c r="K12" i="3"/>
  <c r="J12" i="3"/>
  <c r="I12" i="3"/>
  <c r="AT11" i="3" a="1"/>
  <c r="AT11" i="3" s="1"/>
  <c r="AS11" i="3"/>
  <c r="AF11" i="3"/>
  <c r="AD11" i="3"/>
  <c r="AC11" i="3"/>
  <c r="AB11" i="3"/>
  <c r="AA11" i="3"/>
  <c r="N11" i="3"/>
  <c r="L11" i="3"/>
  <c r="K11" i="3"/>
  <c r="J11" i="3"/>
  <c r="I11" i="3"/>
  <c r="AS10" i="3"/>
  <c r="AF10" i="3"/>
  <c r="AD10" i="3"/>
  <c r="AC10" i="3"/>
  <c r="AB10" i="3"/>
  <c r="AA10" i="3"/>
  <c r="N10" i="3"/>
  <c r="L10" i="3"/>
  <c r="K10" i="3"/>
  <c r="J10" i="3"/>
  <c r="I10" i="3"/>
  <c r="AS9" i="3"/>
  <c r="AF9" i="3"/>
  <c r="AD9" i="3"/>
  <c r="AC9" i="3"/>
  <c r="AB9" i="3"/>
  <c r="AA9" i="3"/>
  <c r="N9" i="3"/>
  <c r="L9" i="3"/>
  <c r="K9" i="3"/>
  <c r="J9" i="3"/>
  <c r="I9" i="3"/>
  <c r="AS8" i="3"/>
  <c r="AF8" i="3"/>
  <c r="AD8" i="3"/>
  <c r="AC8" i="3"/>
  <c r="AB8" i="3"/>
  <c r="AA8" i="3"/>
  <c r="N8" i="3"/>
  <c r="L8" i="3"/>
  <c r="K8" i="3"/>
  <c r="J8" i="3"/>
  <c r="I8" i="3"/>
  <c r="AS7" i="3"/>
  <c r="AF7" i="3"/>
  <c r="AD7" i="3"/>
  <c r="AC7" i="3"/>
  <c r="AB7" i="3"/>
  <c r="AA7" i="3"/>
  <c r="N7" i="3"/>
  <c r="L7" i="3"/>
  <c r="K7" i="3"/>
  <c r="J7" i="3"/>
  <c r="I7" i="3"/>
  <c r="AS6" i="3"/>
  <c r="AF6" i="3"/>
  <c r="AD6" i="3"/>
  <c r="AC6" i="3"/>
  <c r="AB6" i="3"/>
  <c r="AA6" i="3"/>
  <c r="N6" i="3"/>
  <c r="L6" i="3"/>
  <c r="K6" i="3"/>
  <c r="J6" i="3"/>
  <c r="I6" i="3"/>
  <c r="AT5" i="3" a="1"/>
  <c r="AT5" i="3" s="1"/>
  <c r="AS5" i="3"/>
  <c r="AF5" i="3"/>
  <c r="AD5" i="3"/>
  <c r="AC5" i="3"/>
  <c r="AB5" i="3"/>
  <c r="AA5" i="3"/>
  <c r="N5" i="3"/>
  <c r="L5" i="3"/>
  <c r="K5" i="3"/>
  <c r="J5" i="3"/>
  <c r="I5" i="3"/>
  <c r="BB197" i="5"/>
  <c r="BJ263" i="5"/>
  <c r="BG197" i="5"/>
  <c r="BK263" i="5"/>
  <c r="BI263" i="5"/>
  <c r="AZ197" i="5"/>
  <c r="BC263" i="5"/>
  <c r="BA263" i="5"/>
  <c r="BG263" i="5"/>
  <c r="BC197" i="5"/>
  <c r="BK197" i="5"/>
  <c r="BH263" i="5"/>
  <c r="BH197" i="5"/>
  <c r="BD197" i="5"/>
  <c r="BJ197" i="5"/>
  <c r="BB263" i="5"/>
  <c r="BD263" i="5"/>
  <c r="BI197" i="5"/>
  <c r="AZ263" i="5"/>
  <c r="BA197" i="5"/>
  <c r="AL8" i="6" l="1"/>
  <c r="AN9" i="6"/>
  <c r="AL12" i="6"/>
  <c r="AN13" i="6"/>
  <c r="AM36" i="6"/>
  <c r="AL26" i="6"/>
  <c r="AL30" i="6"/>
  <c r="AN31" i="6"/>
  <c r="AL34" i="6"/>
  <c r="AN35" i="6"/>
  <c r="AL38" i="6"/>
  <c r="AN39" i="6"/>
  <c r="AL42" i="6"/>
  <c r="AN43" i="6"/>
  <c r="AL46" i="6"/>
  <c r="AN47" i="6"/>
  <c r="AL50" i="6"/>
  <c r="AL16" i="6"/>
  <c r="AL20" i="6"/>
  <c r="AN21" i="6"/>
  <c r="AN17" i="6"/>
  <c r="AL55" i="6"/>
  <c r="AO56" i="6"/>
  <c r="AT347" i="5"/>
  <c r="AP349" i="3"/>
  <c r="C14" i="1" s="1"/>
  <c r="Z63" i="6"/>
  <c r="AL6" i="6"/>
  <c r="AN7" i="6"/>
  <c r="AL10" i="6"/>
  <c r="AN11" i="6"/>
  <c r="AL14" i="6"/>
  <c r="AN15" i="6"/>
  <c r="AL18" i="6"/>
  <c r="AN19" i="6"/>
  <c r="AM56" i="6"/>
  <c r="AO57" i="6"/>
  <c r="AM35" i="6"/>
  <c r="AM43" i="6"/>
  <c r="AM47" i="6"/>
  <c r="AM55" i="6"/>
  <c r="J63" i="6"/>
  <c r="AL53" i="6"/>
  <c r="AP347" i="3"/>
  <c r="AT349" i="5"/>
  <c r="C25" i="1" s="1"/>
  <c r="AM9" i="6"/>
  <c r="AM13" i="6"/>
  <c r="AM17" i="6"/>
  <c r="AM21" i="6"/>
  <c r="AH287" i="7"/>
  <c r="AG288" i="7"/>
  <c r="AM30" i="6"/>
  <c r="AM34" i="6"/>
  <c r="AM7" i="6"/>
  <c r="AM11" i="6"/>
  <c r="AM15" i="6"/>
  <c r="AM19" i="6"/>
  <c r="AL23" i="6"/>
  <c r="AM24" i="6"/>
  <c r="AN25" i="6"/>
  <c r="AL29" i="6"/>
  <c r="AM53" i="6"/>
  <c r="AH286" i="7"/>
  <c r="K342" i="3"/>
  <c r="AL22" i="6"/>
  <c r="AM23" i="6"/>
  <c r="AN24" i="6"/>
  <c r="AM29" i="6"/>
  <c r="AM41" i="6"/>
  <c r="AM45" i="6"/>
  <c r="AM49" i="6"/>
  <c r="K64" i="6"/>
  <c r="AL59" i="6"/>
  <c r="AM60" i="6"/>
  <c r="AI67" i="6"/>
  <c r="AL32" i="6"/>
  <c r="AN33" i="6"/>
  <c r="AL36" i="6"/>
  <c r="AN37" i="6"/>
  <c r="AL40" i="6"/>
  <c r="AN41" i="6"/>
  <c r="AL44" i="6"/>
  <c r="AN45" i="6"/>
  <c r="AL48" i="6"/>
  <c r="AN49" i="6"/>
  <c r="M64" i="6"/>
  <c r="K287" i="7"/>
  <c r="K288" i="7"/>
  <c r="M345" i="5"/>
  <c r="M344" i="5"/>
  <c r="K343" i="3"/>
  <c r="J344" i="3"/>
  <c r="AX291" i="7"/>
  <c r="Y63" i="6"/>
  <c r="AO51" i="6"/>
  <c r="AN52" i="6"/>
  <c r="AQ63" i="6"/>
  <c r="AM33" i="6"/>
  <c r="AQ62" i="6"/>
  <c r="AG345" i="5"/>
  <c r="AX344" i="5"/>
  <c r="AT344" i="3"/>
  <c r="AE345" i="3"/>
  <c r="AD345" i="3"/>
  <c r="AB342" i="3"/>
  <c r="AI289" i="7"/>
  <c r="AG287" i="7"/>
  <c r="AF288" i="7"/>
  <c r="AG286" i="7"/>
  <c r="AX293" i="7"/>
  <c r="J287" i="7"/>
  <c r="BB287" i="7"/>
  <c r="J288" i="7"/>
  <c r="AY291" i="7"/>
  <c r="AY293" i="7"/>
  <c r="AD343" i="5"/>
  <c r="AF342" i="5"/>
  <c r="AE343" i="5"/>
  <c r="AE344" i="5"/>
  <c r="AD342" i="5"/>
  <c r="AD344" i="5"/>
  <c r="AF343" i="5"/>
  <c r="AG344" i="5"/>
  <c r="Y62" i="6"/>
  <c r="AO53" i="6"/>
  <c r="Y64" i="6"/>
  <c r="Z62" i="6"/>
  <c r="AM28" i="6"/>
  <c r="AM51" i="6"/>
  <c r="AL52" i="6"/>
  <c r="AI69" i="6"/>
  <c r="C36" i="1" s="1"/>
  <c r="AN28" i="6"/>
  <c r="AM32" i="6"/>
  <c r="AB63" i="6"/>
  <c r="AJ69" i="6"/>
  <c r="C37" i="1" s="1"/>
  <c r="AM6" i="6"/>
  <c r="AM8" i="6"/>
  <c r="AM10" i="6"/>
  <c r="AM12" i="6"/>
  <c r="AM14" i="6"/>
  <c r="AM16" i="6"/>
  <c r="AM18" i="6"/>
  <c r="AM20" i="6"/>
  <c r="AM22" i="6"/>
  <c r="AN23" i="6"/>
  <c r="AL25" i="6"/>
  <c r="AM26" i="6"/>
  <c r="J62" i="6"/>
  <c r="AL28" i="6"/>
  <c r="AN30" i="6"/>
  <c r="AL31" i="6"/>
  <c r="AN32" i="6"/>
  <c r="AL33" i="6"/>
  <c r="AN34" i="6"/>
  <c r="AM38" i="6"/>
  <c r="AM40" i="6"/>
  <c r="AM42" i="6"/>
  <c r="AM44" i="6"/>
  <c r="AM46" i="6"/>
  <c r="AM48" i="6"/>
  <c r="AM50" i="6"/>
  <c r="AN51" i="6"/>
  <c r="AM52" i="6"/>
  <c r="AM54" i="6"/>
  <c r="AQ64" i="6"/>
  <c r="AO55" i="6"/>
  <c r="AL57" i="6"/>
  <c r="AM58" i="6"/>
  <c r="AO59" i="6"/>
  <c r="AJ67" i="6"/>
  <c r="AN6" i="6"/>
  <c r="AL7" i="6"/>
  <c r="AN8" i="6"/>
  <c r="AL9" i="6"/>
  <c r="AN10" i="6"/>
  <c r="AL11" i="6"/>
  <c r="AN12" i="6"/>
  <c r="AL13" i="6"/>
  <c r="AN14" i="6"/>
  <c r="AL15" i="6"/>
  <c r="AN16" i="6"/>
  <c r="AL17" i="6"/>
  <c r="AN18" i="6"/>
  <c r="AL19" i="6"/>
  <c r="AN20" i="6"/>
  <c r="AL21" i="6"/>
  <c r="AN22" i="6"/>
  <c r="AL24" i="6"/>
  <c r="AM25" i="6"/>
  <c r="AN26" i="6"/>
  <c r="AN29" i="6"/>
  <c r="AM31" i="6"/>
  <c r="AL35" i="6"/>
  <c r="AN36" i="6"/>
  <c r="AL37" i="6"/>
  <c r="AN38" i="6"/>
  <c r="AL39" i="6"/>
  <c r="AN40" i="6"/>
  <c r="AL41" i="6"/>
  <c r="AN42" i="6"/>
  <c r="AL43" i="6"/>
  <c r="AN44" i="6"/>
  <c r="AL45" i="6"/>
  <c r="AN46" i="6"/>
  <c r="AL47" i="6"/>
  <c r="AN48" i="6"/>
  <c r="AL49" i="6"/>
  <c r="AN50" i="6"/>
  <c r="L63" i="6"/>
  <c r="AN53" i="6"/>
  <c r="J64" i="6"/>
  <c r="AO54" i="6"/>
  <c r="AL56" i="6"/>
  <c r="AM57" i="6"/>
  <c r="AO58" i="6"/>
  <c r="AL60" i="6"/>
  <c r="L62" i="6"/>
  <c r="AO52" i="6"/>
  <c r="J343" i="5"/>
  <c r="AU347" i="5"/>
  <c r="AU349" i="5"/>
  <c r="C26" i="1" s="1"/>
  <c r="K342" i="5"/>
  <c r="K343" i="5"/>
  <c r="J344" i="5"/>
  <c r="AX342" i="5"/>
  <c r="L343" i="5"/>
  <c r="K344" i="5"/>
  <c r="AC342" i="3"/>
  <c r="AB343" i="3"/>
  <c r="AB344" i="3"/>
  <c r="AB341" i="3"/>
  <c r="AD342" i="3"/>
  <c r="AC343" i="3"/>
  <c r="AC344" i="3"/>
  <c r="AC345" i="3"/>
  <c r="AD343" i="3"/>
  <c r="AE344" i="3"/>
  <c r="L342" i="3"/>
  <c r="AT342" i="3"/>
  <c r="L343" i="3"/>
  <c r="K344" i="3"/>
  <c r="AQ347" i="3"/>
  <c r="AQ349" i="3"/>
  <c r="C15" i="1" s="1"/>
  <c r="J345" i="3"/>
  <c r="K345" i="3"/>
  <c r="M345" i="3"/>
  <c r="M344" i="3"/>
  <c r="L345" i="3"/>
  <c r="J342" i="3"/>
  <c r="J343" i="3"/>
  <c r="AT343" i="3"/>
  <c r="AX345" i="5"/>
  <c r="AX341" i="5"/>
  <c r="AT341" i="3"/>
  <c r="AT345" i="3"/>
  <c r="J341" i="3"/>
  <c r="AC341" i="3"/>
  <c r="AB345" i="3"/>
  <c r="L345" i="5"/>
  <c r="L341" i="5"/>
  <c r="AE341" i="5"/>
  <c r="AE345" i="5"/>
  <c r="L342" i="5"/>
  <c r="AE342" i="5"/>
  <c r="K341" i="3"/>
  <c r="AD341" i="3"/>
  <c r="M343" i="3"/>
  <c r="AE343" i="3"/>
  <c r="AF345" i="5"/>
  <c r="AF341" i="5"/>
  <c r="AX343" i="5"/>
  <c r="L341" i="3"/>
  <c r="J345" i="5"/>
  <c r="J341" i="5"/>
  <c r="J342" i="5"/>
  <c r="K345" i="5"/>
  <c r="K341" i="5"/>
  <c r="AD345" i="5"/>
  <c r="AD341" i="5"/>
  <c r="AQ65" i="6"/>
  <c r="AQ61" i="6"/>
  <c r="M343" i="5"/>
  <c r="AG343" i="5"/>
  <c r="L61" i="6"/>
  <c r="L65" i="6"/>
  <c r="Y65" i="6"/>
  <c r="Y61" i="6"/>
  <c r="AL5" i="6"/>
  <c r="AL27" i="6"/>
  <c r="Z65" i="6"/>
  <c r="Z61" i="6"/>
  <c r="AM5" i="6"/>
  <c r="AM27" i="6"/>
  <c r="BB289" i="7"/>
  <c r="BB285" i="7"/>
  <c r="J61" i="6"/>
  <c r="J65" i="6"/>
  <c r="AA65" i="6"/>
  <c r="AA61" i="6"/>
  <c r="AN5" i="6"/>
  <c r="AA62" i="6"/>
  <c r="AN27" i="6"/>
  <c r="AM37" i="6"/>
  <c r="K65" i="6"/>
  <c r="K61" i="6"/>
  <c r="K62" i="6"/>
  <c r="AM62" i="6" s="1"/>
  <c r="C32" i="1" s="1"/>
  <c r="AM39" i="6"/>
  <c r="AL51" i="6"/>
  <c r="K63" i="6"/>
  <c r="AM63" i="6" s="1"/>
  <c r="C33" i="1" s="1"/>
  <c r="Z64" i="6"/>
  <c r="AM64" i="6" s="1"/>
  <c r="C34" i="1" s="1"/>
  <c r="J289" i="7"/>
  <c r="J285" i="7"/>
  <c r="BB286" i="7"/>
  <c r="AL54" i="6"/>
  <c r="AA63" i="6"/>
  <c r="AB64" i="6"/>
  <c r="AO64" i="6" s="1"/>
  <c r="E34" i="1" s="1"/>
  <c r="M65" i="6"/>
  <c r="AB65" i="6"/>
  <c r="K285" i="7"/>
  <c r="K289" i="7"/>
  <c r="AF289" i="7"/>
  <c r="AF285" i="7"/>
  <c r="M63" i="6"/>
  <c r="L285" i="7"/>
  <c r="L289" i="7"/>
  <c r="AG285" i="7"/>
  <c r="AG289" i="7"/>
  <c r="J286" i="7"/>
  <c r="AH285" i="7"/>
  <c r="AH289" i="7"/>
  <c r="K286" i="7"/>
  <c r="AF286" i="7"/>
  <c r="L287" i="7"/>
  <c r="AF287" i="7"/>
  <c r="M288" i="7"/>
  <c r="BB288" i="7"/>
  <c r="L286" i="7"/>
  <c r="M289" i="7"/>
  <c r="AI288" i="7"/>
  <c r="M287" i="7"/>
  <c r="AI287" i="7"/>
  <c r="AL63" i="6" l="1"/>
  <c r="F33" i="1" s="1"/>
  <c r="C47" i="1"/>
  <c r="C58" i="1"/>
  <c r="C48" i="1"/>
  <c r="C59" i="1"/>
  <c r="AN61" i="6"/>
  <c r="D31" i="1" s="1"/>
  <c r="AL62" i="6"/>
  <c r="F32" i="1" s="1"/>
  <c r="AO65" i="6"/>
  <c r="E35" i="1" s="1"/>
  <c r="AO63" i="6"/>
  <c r="E33" i="1" s="1"/>
  <c r="AL64" i="6"/>
  <c r="F34" i="1" s="1"/>
  <c r="AN65" i="6"/>
  <c r="D35" i="1" s="1"/>
  <c r="AN62" i="6"/>
  <c r="D32" i="1" s="1"/>
  <c r="AN63" i="6"/>
  <c r="D33" i="1" s="1"/>
  <c r="AL65" i="6"/>
  <c r="F35" i="1" s="1"/>
  <c r="AM65" i="6"/>
  <c r="C35" i="1" s="1"/>
  <c r="AL61" i="6"/>
  <c r="F31" i="1" s="1"/>
  <c r="AM61" i="6"/>
  <c r="C31" i="1" s="1"/>
  <c r="AW107" i="3"/>
  <c r="AW59" i="3"/>
  <c r="AX113" i="3"/>
  <c r="BB143" i="3"/>
  <c r="AV53" i="3"/>
  <c r="AX233" i="3"/>
  <c r="BB215" i="3"/>
  <c r="BC107" i="3"/>
  <c r="BA263" i="3"/>
  <c r="AV203" i="3"/>
  <c r="AX185" i="3"/>
  <c r="AX203" i="3"/>
  <c r="AV275" i="3"/>
  <c r="BA233" i="3"/>
  <c r="AX125" i="3"/>
  <c r="AW245" i="3"/>
  <c r="BC47" i="3"/>
  <c r="BB263" i="3"/>
  <c r="BA221" i="3"/>
  <c r="BA269" i="3"/>
  <c r="AW47" i="3"/>
  <c r="AV161" i="3"/>
  <c r="AX29" i="3"/>
  <c r="AW239" i="3"/>
  <c r="BA29" i="3"/>
  <c r="AV41" i="3"/>
  <c r="BB149" i="3"/>
  <c r="BC203" i="3"/>
  <c r="BC17" i="3"/>
  <c r="BA161" i="3"/>
  <c r="BD215" i="5"/>
  <c r="AZ35" i="5"/>
  <c r="BB5" i="5"/>
  <c r="BI269" i="5"/>
  <c r="BJ35" i="5"/>
  <c r="BG173" i="5"/>
  <c r="AZ173" i="5"/>
  <c r="BK221" i="5"/>
  <c r="BA101" i="5"/>
  <c r="BK107" i="5"/>
  <c r="BG5" i="5"/>
  <c r="BK95" i="5"/>
  <c r="AZ77" i="5"/>
  <c r="BD239" i="5"/>
  <c r="BK53" i="5"/>
  <c r="BK35" i="5"/>
  <c r="BH233" i="5"/>
  <c r="BC179" i="5"/>
  <c r="BK113" i="5"/>
  <c r="BI35" i="5"/>
  <c r="BH239" i="5"/>
  <c r="AZ137" i="5"/>
  <c r="BC65" i="5"/>
  <c r="BD173" i="5"/>
  <c r="BB143" i="5"/>
  <c r="BD131" i="5"/>
  <c r="AZ131" i="5"/>
  <c r="BG215" i="5"/>
  <c r="BI47" i="5"/>
  <c r="BK101" i="5"/>
  <c r="BA95" i="5"/>
  <c r="BA29" i="5"/>
  <c r="BB167" i="5"/>
  <c r="BJ239" i="5"/>
  <c r="BC17" i="5"/>
  <c r="BC173" i="5"/>
  <c r="BJ173" i="5"/>
  <c r="BA77" i="5"/>
  <c r="BK245" i="5"/>
  <c r="BH185" i="5"/>
  <c r="BH137" i="5"/>
  <c r="BI209" i="5"/>
  <c r="BB131" i="5"/>
  <c r="BB191" i="5"/>
  <c r="BK233" i="5"/>
  <c r="BJ125" i="5"/>
  <c r="BC203" i="5"/>
  <c r="BA11" i="5"/>
  <c r="BD179" i="5"/>
  <c r="BC161" i="5"/>
  <c r="BJ179" i="5"/>
  <c r="BA125" i="5"/>
  <c r="BI29" i="5"/>
  <c r="BB179" i="5"/>
  <c r="AX227" i="3"/>
  <c r="BB125" i="3"/>
  <c r="AW17" i="3"/>
  <c r="BC65" i="3"/>
  <c r="BB209" i="3"/>
  <c r="AX107" i="3"/>
  <c r="BB161" i="3"/>
  <c r="AV65" i="3"/>
  <c r="AX137" i="3"/>
  <c r="AV89" i="3"/>
  <c r="AV149" i="3"/>
  <c r="AX47" i="3"/>
  <c r="BB197" i="3"/>
  <c r="BC215" i="3"/>
  <c r="AW41" i="3"/>
  <c r="BB101" i="3"/>
  <c r="AX23" i="3"/>
  <c r="BC149" i="3"/>
  <c r="BC95" i="3"/>
  <c r="BA257" i="3"/>
  <c r="BC29" i="3"/>
  <c r="BC257" i="3"/>
  <c r="BC113" i="3"/>
  <c r="BB191" i="3"/>
  <c r="AV209" i="3"/>
  <c r="BA227" i="3"/>
  <c r="BC239" i="3"/>
  <c r="AV17" i="3"/>
  <c r="BC41" i="3"/>
  <c r="BC23" i="3"/>
  <c r="BC155" i="3"/>
  <c r="BC161" i="3"/>
  <c r="BG239" i="5"/>
  <c r="BD89" i="5"/>
  <c r="BK137" i="5"/>
  <c r="BG221" i="5"/>
  <c r="BC53" i="5"/>
  <c r="BC5" i="5"/>
  <c r="BG11" i="5"/>
  <c r="BC233" i="5"/>
  <c r="BB65" i="5"/>
  <c r="BC131" i="5"/>
  <c r="BA89" i="5"/>
  <c r="BK119" i="5"/>
  <c r="BD35" i="5"/>
  <c r="BA257" i="5"/>
  <c r="BA53" i="5"/>
  <c r="BB95" i="5"/>
  <c r="BG245" i="5"/>
  <c r="AZ155" i="5"/>
  <c r="BI161" i="5"/>
  <c r="AZ53" i="5"/>
  <c r="BJ227" i="5"/>
  <c r="BG185" i="5"/>
  <c r="BG101" i="5"/>
  <c r="BH77" i="5"/>
  <c r="BH29" i="5"/>
  <c r="BA191" i="5"/>
  <c r="BH257" i="5"/>
  <c r="BD47" i="5"/>
  <c r="BB59" i="5"/>
  <c r="BJ137" i="5"/>
  <c r="BJ119" i="5"/>
  <c r="AZ59" i="5"/>
  <c r="BK59" i="5"/>
  <c r="BH125" i="5"/>
  <c r="BJ257" i="5"/>
  <c r="BG155" i="5"/>
  <c r="BC23" i="5"/>
  <c r="BJ95" i="5"/>
  <c r="BH107" i="5"/>
  <c r="BG35" i="5"/>
  <c r="BD221" i="5"/>
  <c r="BC29" i="5"/>
  <c r="BH269" i="5"/>
  <c r="BJ167" i="5"/>
  <c r="BH119" i="5"/>
  <c r="BK29" i="5"/>
  <c r="BB209" i="5"/>
  <c r="BD101" i="5"/>
  <c r="BJ5" i="5"/>
  <c r="BG23" i="5"/>
  <c r="AZ233" i="5"/>
  <c r="BI221" i="5"/>
  <c r="BG167" i="5"/>
  <c r="BK203" i="5"/>
  <c r="BG275" i="7"/>
  <c r="BL260" i="7"/>
  <c r="AW263" i="3"/>
  <c r="BC143" i="3"/>
  <c r="BC125" i="3"/>
  <c r="AW209" i="3"/>
  <c r="BA245" i="3"/>
  <c r="AV233" i="3"/>
  <c r="BA197" i="3"/>
  <c r="AV197" i="3"/>
  <c r="AV11" i="3"/>
  <c r="BC179" i="3"/>
  <c r="BA65" i="3"/>
  <c r="AX131" i="3"/>
  <c r="BA191" i="3"/>
  <c r="BC77" i="3"/>
  <c r="BC209" i="3"/>
  <c r="AW149" i="3"/>
  <c r="AV257" i="3"/>
  <c r="BB23" i="3"/>
  <c r="AV143" i="3"/>
  <c r="AW137" i="3"/>
  <c r="AX17" i="3"/>
  <c r="BC137" i="3"/>
  <c r="AW251" i="3"/>
  <c r="BA185" i="3"/>
  <c r="BA23" i="3"/>
  <c r="BB239" i="3"/>
  <c r="AW203" i="3"/>
  <c r="AW155" i="3"/>
  <c r="BA215" i="3"/>
  <c r="BB47" i="3"/>
  <c r="AW89" i="3"/>
  <c r="BC197" i="3"/>
  <c r="BB107" i="3"/>
  <c r="BJ209" i="5"/>
  <c r="BK17" i="5"/>
  <c r="BI113" i="5"/>
  <c r="BI257" i="5"/>
  <c r="BC143" i="5"/>
  <c r="BC191" i="5"/>
  <c r="BB35" i="5"/>
  <c r="BI227" i="5"/>
  <c r="BD5" i="5"/>
  <c r="AZ95" i="5"/>
  <c r="BJ113" i="5"/>
  <c r="BA179" i="5"/>
  <c r="BK125" i="5"/>
  <c r="BI119" i="5"/>
  <c r="AZ11" i="5"/>
  <c r="BI203" i="5"/>
  <c r="BJ89" i="5"/>
  <c r="AZ269" i="5"/>
  <c r="BI53" i="5"/>
  <c r="BI5" i="5"/>
  <c r="BD191" i="5"/>
  <c r="BK179" i="5"/>
  <c r="BA35" i="5"/>
  <c r="AZ47" i="5"/>
  <c r="BK269" i="5"/>
  <c r="BD125" i="5"/>
  <c r="BG233" i="5"/>
  <c r="BB113" i="5"/>
  <c r="BH101" i="5"/>
  <c r="BJ275" i="5"/>
  <c r="BD11" i="5"/>
  <c r="BG77" i="5"/>
  <c r="BD137" i="5"/>
  <c r="BK41" i="5"/>
  <c r="BI11" i="5"/>
  <c r="BH149" i="5"/>
  <c r="BC77" i="5"/>
  <c r="BD17" i="5"/>
  <c r="BH113" i="5"/>
  <c r="BG95" i="5"/>
  <c r="BG131" i="5"/>
  <c r="BG179" i="5"/>
  <c r="BD209" i="5"/>
  <c r="AZ221" i="5"/>
  <c r="BB161" i="5"/>
  <c r="BG65" i="5"/>
  <c r="BI245" i="5"/>
  <c r="BK161" i="5"/>
  <c r="BA23" i="5"/>
  <c r="BI131" i="5"/>
  <c r="BH89" i="5"/>
  <c r="BQ255" i="7"/>
  <c r="BA5" i="3"/>
  <c r="AX161" i="3"/>
  <c r="BB131" i="3"/>
  <c r="BB113" i="3"/>
  <c r="BB275" i="3"/>
  <c r="AX41" i="3"/>
  <c r="BB227" i="3"/>
  <c r="BB95" i="3"/>
  <c r="AX5" i="3"/>
  <c r="BC275" i="3"/>
  <c r="AV215" i="3"/>
  <c r="AW167" i="3"/>
  <c r="AW215" i="3"/>
  <c r="AX167" i="3"/>
  <c r="BC263" i="3"/>
  <c r="AV101" i="3"/>
  <c r="AW275" i="3"/>
  <c r="AW161" i="3"/>
  <c r="BC119" i="3"/>
  <c r="AW143" i="3"/>
  <c r="AX143" i="3"/>
  <c r="AX191" i="3"/>
  <c r="BA47" i="3"/>
  <c r="BB11" i="3"/>
  <c r="AX275" i="3"/>
  <c r="BB173" i="3"/>
  <c r="AV59" i="3"/>
  <c r="AX269" i="3"/>
  <c r="BA77" i="3"/>
  <c r="AW131" i="3"/>
  <c r="BC173" i="3"/>
  <c r="BA275" i="3"/>
  <c r="BB185" i="3"/>
  <c r="BJ251" i="5"/>
  <c r="BJ143" i="5"/>
  <c r="BI191" i="5"/>
  <c r="BA209" i="5"/>
  <c r="BK185" i="5"/>
  <c r="BH71" i="5"/>
  <c r="BG269" i="5"/>
  <c r="BH47" i="5"/>
  <c r="BI173" i="5"/>
  <c r="BI95" i="5"/>
  <c r="BI77" i="5"/>
  <c r="BH23" i="5"/>
  <c r="BC269" i="5"/>
  <c r="AZ107" i="5"/>
  <c r="BB29" i="5"/>
  <c r="BG59" i="5"/>
  <c r="AZ203" i="5"/>
  <c r="BH191" i="5"/>
  <c r="AZ29" i="5"/>
  <c r="BH203" i="5"/>
  <c r="BA5" i="5"/>
  <c r="BD113" i="5"/>
  <c r="AZ185" i="5"/>
  <c r="BG137" i="5"/>
  <c r="BK23" i="5"/>
  <c r="BG257" i="5"/>
  <c r="BC275" i="5"/>
  <c r="BG191" i="5"/>
  <c r="BG203" i="5"/>
  <c r="AZ113" i="5"/>
  <c r="BG53" i="5"/>
  <c r="BH245" i="5"/>
  <c r="BI251" i="5"/>
  <c r="BC239" i="5"/>
  <c r="BH161" i="5"/>
  <c r="BH209" i="5"/>
  <c r="BK89" i="5"/>
  <c r="BI17" i="5"/>
  <c r="BK275" i="5"/>
  <c r="BJ161" i="5"/>
  <c r="BJ185" i="5"/>
  <c r="BI179" i="5"/>
  <c r="BH173" i="5"/>
  <c r="BC113" i="5"/>
  <c r="BJ269" i="5"/>
  <c r="BD155" i="5"/>
  <c r="BG41" i="5"/>
  <c r="BB125" i="5"/>
  <c r="BC167" i="5"/>
  <c r="BK173" i="5"/>
  <c r="BD77" i="5"/>
  <c r="BI137" i="5"/>
  <c r="BI23" i="5"/>
  <c r="BQ275" i="7"/>
  <c r="AW185" i="3"/>
  <c r="BB179" i="3"/>
  <c r="BC227" i="3"/>
  <c r="BA119" i="3"/>
  <c r="AX53" i="3"/>
  <c r="BC101" i="3"/>
  <c r="AW269" i="3"/>
  <c r="BA95" i="3"/>
  <c r="BA17" i="3"/>
  <c r="AV107" i="3"/>
  <c r="BA239" i="3"/>
  <c r="BA209" i="3"/>
  <c r="AV155" i="3"/>
  <c r="BC191" i="3"/>
  <c r="AW11" i="3"/>
  <c r="BA167" i="3"/>
  <c r="BA137" i="3"/>
  <c r="BD185" i="5"/>
  <c r="BJ65" i="5"/>
  <c r="BI149" i="5"/>
  <c r="BA269" i="5"/>
  <c r="BI107" i="5"/>
  <c r="BJ101" i="5"/>
  <c r="BK257" i="5"/>
  <c r="BI41" i="5"/>
  <c r="BC215" i="5"/>
  <c r="AZ191" i="5"/>
  <c r="AZ65" i="5"/>
  <c r="BD23" i="5"/>
  <c r="BD203" i="5"/>
  <c r="BK227" i="5"/>
  <c r="BK77" i="5"/>
  <c r="BA47" i="5"/>
  <c r="BD29" i="5"/>
  <c r="BA161" i="5"/>
  <c r="BA221" i="5"/>
  <c r="BI185" i="5"/>
  <c r="BB239" i="5"/>
  <c r="BA239" i="5"/>
  <c r="BG113" i="5"/>
  <c r="BG47" i="5"/>
  <c r="BK149" i="5"/>
  <c r="BB233" i="5"/>
  <c r="BL255" i="7"/>
  <c r="BG245" i="7"/>
  <c r="BQ270" i="7"/>
  <c r="BL270" i="7"/>
  <c r="AX155" i="3"/>
  <c r="BA11" i="3"/>
  <c r="BC59" i="3"/>
  <c r="AX11" i="3"/>
  <c r="AV29" i="3"/>
  <c r="BC251" i="3"/>
  <c r="AX173" i="3"/>
  <c r="BC35" i="3"/>
  <c r="AV35" i="3"/>
  <c r="BA149" i="3"/>
  <c r="BB65" i="3"/>
  <c r="AV227" i="3"/>
  <c r="AV245" i="3"/>
  <c r="AX209" i="3"/>
  <c r="AX179" i="3"/>
  <c r="BB155" i="3"/>
  <c r="AW5" i="3"/>
  <c r="BB137" i="5"/>
  <c r="BI65" i="5"/>
  <c r="BG143" i="5"/>
  <c r="BG209" i="5"/>
  <c r="BA41" i="5"/>
  <c r="AZ275" i="5"/>
  <c r="BB251" i="5"/>
  <c r="BB101" i="5"/>
  <c r="BA203" i="5"/>
  <c r="BC89" i="5"/>
  <c r="BA107" i="5"/>
  <c r="AZ161" i="5"/>
  <c r="BA251" i="5"/>
  <c r="BD257" i="5"/>
  <c r="BD65" i="5"/>
  <c r="BI125" i="5"/>
  <c r="BG89" i="5"/>
  <c r="BA65" i="5"/>
  <c r="BC59" i="5"/>
  <c r="BJ47" i="5"/>
  <c r="BB155" i="5"/>
  <c r="AZ23" i="5"/>
  <c r="BK11" i="5"/>
  <c r="BD107" i="5"/>
  <c r="BJ215" i="5"/>
  <c r="BC41" i="5"/>
  <c r="BB257" i="5"/>
  <c r="BQ240" i="7"/>
  <c r="BL280" i="7"/>
  <c r="BV275" i="7"/>
  <c r="BQ245" i="7"/>
  <c r="BV235" i="7"/>
  <c r="AZ281" i="5"/>
  <c r="AZ329" i="5"/>
  <c r="BK281" i="5"/>
  <c r="BH335" i="5"/>
  <c r="BG293" i="5"/>
  <c r="BB281" i="5"/>
  <c r="BL329" i="5"/>
  <c r="AZ323" i="5"/>
  <c r="BJ293" i="5"/>
  <c r="BD299" i="3"/>
  <c r="BD311" i="3"/>
  <c r="BD317" i="3"/>
  <c r="AY329" i="3"/>
  <c r="BD281" i="3"/>
  <c r="BH329" i="5"/>
  <c r="BL317" i="5"/>
  <c r="AY287" i="3"/>
  <c r="BD335" i="3"/>
  <c r="BB35" i="3"/>
  <c r="AV23" i="3"/>
  <c r="AW191" i="3"/>
  <c r="AW221" i="3"/>
  <c r="BC131" i="3"/>
  <c r="AW119" i="3"/>
  <c r="BB203" i="3"/>
  <c r="BA35" i="3"/>
  <c r="BA113" i="3"/>
  <c r="AX77" i="3"/>
  <c r="BB5" i="3"/>
  <c r="AV47" i="3"/>
  <c r="BB269" i="3"/>
  <c r="AW53" i="3"/>
  <c r="BC53" i="3"/>
  <c r="BA203" i="3"/>
  <c r="BC89" i="3"/>
  <c r="BC245" i="3"/>
  <c r="AW23" i="3"/>
  <c r="AW233" i="3"/>
  <c r="AX245" i="3"/>
  <c r="BA41" i="3"/>
  <c r="AW257" i="3"/>
  <c r="BH83" i="5"/>
  <c r="BJ53" i="5"/>
  <c r="BH131" i="5"/>
  <c r="BC257" i="5"/>
  <c r="BJ77" i="5"/>
  <c r="BB215" i="5"/>
  <c r="AZ251" i="5"/>
  <c r="BD149" i="5"/>
  <c r="AZ89" i="5"/>
  <c r="BH65" i="5"/>
  <c r="BJ23" i="5"/>
  <c r="BH275" i="5"/>
  <c r="BK143" i="5"/>
  <c r="BA245" i="5"/>
  <c r="BJ29" i="5"/>
  <c r="BB185" i="5"/>
  <c r="BH11" i="5"/>
  <c r="BA173" i="5"/>
  <c r="BJ107" i="5"/>
  <c r="BJ131" i="5"/>
  <c r="BK167" i="5"/>
  <c r="BI155" i="5"/>
  <c r="AZ149" i="5"/>
  <c r="BG227" i="5"/>
  <c r="AZ209" i="5"/>
  <c r="BC221" i="5"/>
  <c r="BQ265" i="7"/>
  <c r="BG250" i="7"/>
  <c r="BL240" i="7"/>
  <c r="BQ280" i="7"/>
  <c r="BG270" i="7"/>
  <c r="BG265" i="7"/>
  <c r="BL265" i="7"/>
  <c r="BV260" i="7"/>
  <c r="BA293" i="5"/>
  <c r="BK287" i="5"/>
  <c r="BE317" i="5"/>
  <c r="BJ281" i="5"/>
  <c r="BG281" i="5"/>
  <c r="BI281" i="5"/>
  <c r="BD281" i="5"/>
  <c r="BA329" i="5"/>
  <c r="AW287" i="3"/>
  <c r="AY311" i="3"/>
  <c r="AY281" i="3"/>
  <c r="AX263" i="3"/>
  <c r="BB77" i="3"/>
  <c r="BA179" i="3"/>
  <c r="AV137" i="3"/>
  <c r="AW227" i="3"/>
  <c r="AX119" i="3"/>
  <c r="AW35" i="3"/>
  <c r="AX65" i="3"/>
  <c r="BA173" i="3"/>
  <c r="BC11" i="3"/>
  <c r="AX95" i="3"/>
  <c r="AV269" i="3"/>
  <c r="AW77" i="3"/>
  <c r="BB233" i="3"/>
  <c r="BB137" i="3"/>
  <c r="BB257" i="3"/>
  <c r="AX89" i="3"/>
  <c r="BA71" i="5"/>
  <c r="BG29" i="5"/>
  <c r="BC35" i="5"/>
  <c r="BH251" i="5"/>
  <c r="BH5" i="5"/>
  <c r="BB11" i="5"/>
  <c r="BI215" i="5"/>
  <c r="AZ119" i="5"/>
  <c r="AZ179" i="5"/>
  <c r="BH95" i="5"/>
  <c r="BC155" i="5"/>
  <c r="BK215" i="5"/>
  <c r="BJ17" i="5"/>
  <c r="BH221" i="5"/>
  <c r="BJ41" i="5"/>
  <c r="BA143" i="5"/>
  <c r="BD41" i="5"/>
  <c r="BB41" i="5"/>
  <c r="BD167" i="5"/>
  <c r="BH143" i="5"/>
  <c r="BK65" i="5"/>
  <c r="BD53" i="5"/>
  <c r="AZ245" i="5"/>
  <c r="BD245" i="5"/>
  <c r="BB17" i="5"/>
  <c r="BB47" i="5"/>
  <c r="BG240" i="7"/>
  <c r="BV245" i="7"/>
  <c r="BD293" i="5"/>
  <c r="BA287" i="5"/>
  <c r="BB293" i="5"/>
  <c r="AZ287" i="5"/>
  <c r="BD287" i="5"/>
  <c r="BL287" i="5"/>
  <c r="BI293" i="5"/>
  <c r="BG299" i="5"/>
  <c r="BG311" i="5"/>
  <c r="AZ317" i="5"/>
  <c r="BD329" i="3"/>
  <c r="BD293" i="3"/>
  <c r="AY335" i="3"/>
  <c r="AX293" i="3"/>
  <c r="AY305" i="3"/>
  <c r="AV173" i="3"/>
  <c r="BA251" i="3"/>
  <c r="BC233" i="3"/>
  <c r="BB53" i="3"/>
  <c r="BA101" i="3"/>
  <c r="BA125" i="3"/>
  <c r="AX251" i="3"/>
  <c r="AX215" i="3"/>
  <c r="BC185" i="3"/>
  <c r="AX35" i="3"/>
  <c r="BB17" i="3"/>
  <c r="BB119" i="3"/>
  <c r="BA89" i="3"/>
  <c r="BA227" i="5"/>
  <c r="BK155" i="5"/>
  <c r="BG251" i="5"/>
  <c r="BI167" i="5"/>
  <c r="AZ257" i="5"/>
  <c r="BH155" i="5"/>
  <c r="BH17" i="5"/>
  <c r="BJ203" i="5"/>
  <c r="BG161" i="5"/>
  <c r="AZ227" i="5"/>
  <c r="BC47" i="5"/>
  <c r="BB23" i="5"/>
  <c r="BC209" i="5"/>
  <c r="BL275" i="7"/>
  <c r="BV250" i="7"/>
  <c r="BL305" i="5"/>
  <c r="BE335" i="5"/>
  <c r="BG305" i="5"/>
  <c r="BH305" i="5"/>
  <c r="BG329" i="5"/>
  <c r="BE323" i="5"/>
  <c r="BD287" i="3"/>
  <c r="BC287" i="3"/>
  <c r="AY293" i="3"/>
  <c r="BL323" i="5"/>
  <c r="AV5" i="3"/>
  <c r="BB221" i="5"/>
  <c r="AZ299" i="5"/>
  <c r="BA305" i="5"/>
  <c r="BA287" i="3"/>
  <c r="AX239" i="3"/>
  <c r="BC101" i="5"/>
  <c r="AZ41" i="5"/>
  <c r="BA119" i="5"/>
  <c r="AZ215" i="5"/>
  <c r="BQ260" i="7"/>
  <c r="BE311" i="5"/>
  <c r="AW293" i="3"/>
  <c r="AX221" i="3"/>
  <c r="BH53" i="5"/>
  <c r="BA83" i="5"/>
  <c r="BA17" i="5"/>
  <c r="BA131" i="3"/>
  <c r="BB251" i="3"/>
  <c r="BB59" i="3"/>
  <c r="AV125" i="3"/>
  <c r="BA53" i="3"/>
  <c r="BB41" i="3"/>
  <c r="BB269" i="5"/>
  <c r="BI233" i="5"/>
  <c r="BJ191" i="5"/>
  <c r="BK209" i="5"/>
  <c r="AZ167" i="5"/>
  <c r="BB203" i="5"/>
  <c r="BB275" i="5"/>
  <c r="BD161" i="5"/>
  <c r="BB227" i="5"/>
  <c r="BB53" i="5"/>
  <c r="BH227" i="5"/>
  <c r="BH179" i="5"/>
  <c r="BC149" i="5"/>
  <c r="BB149" i="5"/>
  <c r="BG280" i="7"/>
  <c r="BG235" i="7"/>
  <c r="BA323" i="5"/>
  <c r="BE281" i="5"/>
  <c r="BH311" i="5"/>
  <c r="BL311" i="5"/>
  <c r="BH323" i="5"/>
  <c r="BA311" i="5"/>
  <c r="AX281" i="3"/>
  <c r="AV281" i="3"/>
  <c r="BC293" i="3"/>
  <c r="BC281" i="5"/>
  <c r="BC281" i="3"/>
  <c r="AW179" i="3"/>
  <c r="BB167" i="3"/>
  <c r="AV119" i="3"/>
  <c r="BD143" i="5"/>
  <c r="BI89" i="5"/>
  <c r="BA275" i="5"/>
  <c r="BA59" i="5"/>
  <c r="BJ233" i="5"/>
  <c r="BG255" i="7"/>
  <c r="BE287" i="5"/>
  <c r="BH281" i="5"/>
  <c r="BD323" i="3"/>
  <c r="AW95" i="3"/>
  <c r="AX149" i="3"/>
  <c r="AV179" i="3"/>
  <c r="BB119" i="5"/>
  <c r="BK5" i="5"/>
  <c r="BG275" i="5"/>
  <c r="BJ221" i="5"/>
  <c r="BH299" i="5"/>
  <c r="BC293" i="5"/>
  <c r="AW101" i="3"/>
  <c r="AW29" i="3"/>
  <c r="BH35" i="5"/>
  <c r="BJ59" i="5"/>
  <c r="BD227" i="5"/>
  <c r="BK131" i="5"/>
  <c r="BA281" i="5"/>
  <c r="BG317" i="5"/>
  <c r="BD305" i="3"/>
  <c r="BA59" i="3"/>
  <c r="AV95" i="3"/>
  <c r="AX59" i="3"/>
  <c r="BJ155" i="5"/>
  <c r="BA149" i="5"/>
  <c r="BI239" i="5"/>
  <c r="AZ101" i="5"/>
  <c r="AV185" i="3"/>
  <c r="BB245" i="3"/>
  <c r="BB221" i="3"/>
  <c r="BA155" i="3"/>
  <c r="AX101" i="3"/>
  <c r="AW65" i="3"/>
  <c r="BA215" i="5"/>
  <c r="BC245" i="5"/>
  <c r="BC95" i="5"/>
  <c r="AZ125" i="5"/>
  <c r="BD275" i="5"/>
  <c r="BA233" i="5"/>
  <c r="BD233" i="5"/>
  <c r="BC11" i="5"/>
  <c r="BD59" i="5"/>
  <c r="AZ143" i="5"/>
  <c r="BH215" i="5"/>
  <c r="BC227" i="5"/>
  <c r="BB173" i="5"/>
  <c r="BA113" i="5"/>
  <c r="BL235" i="7"/>
  <c r="BV255" i="7"/>
  <c r="BE329" i="5"/>
  <c r="BB287" i="5"/>
  <c r="BH317" i="5"/>
  <c r="AZ311" i="5"/>
  <c r="BJ287" i="5"/>
  <c r="BH287" i="5"/>
  <c r="AY323" i="3"/>
  <c r="BA281" i="3"/>
  <c r="BB281" i="3"/>
  <c r="BA317" i="5"/>
  <c r="AW281" i="3"/>
  <c r="AV131" i="3"/>
  <c r="AV239" i="3"/>
  <c r="BA143" i="3"/>
  <c r="BC185" i="5"/>
  <c r="BC137" i="5"/>
  <c r="BD251" i="5"/>
  <c r="BC125" i="5"/>
  <c r="BG149" i="5"/>
  <c r="BL299" i="5"/>
  <c r="BH293" i="5"/>
  <c r="BB287" i="3"/>
  <c r="BC5" i="3"/>
  <c r="AV263" i="3"/>
  <c r="BB89" i="5"/>
  <c r="BJ11" i="5"/>
  <c r="BA131" i="5"/>
  <c r="AZ239" i="5"/>
  <c r="BA167" i="5"/>
  <c r="BL281" i="5"/>
  <c r="AV293" i="3"/>
  <c r="AV221" i="3"/>
  <c r="AW173" i="3"/>
  <c r="AW113" i="3"/>
  <c r="BC107" i="5"/>
  <c r="BH41" i="5"/>
  <c r="BK239" i="5"/>
  <c r="BV280" i="7"/>
  <c r="BC287" i="5"/>
  <c r="BA335" i="5"/>
  <c r="BA293" i="3"/>
  <c r="AV113" i="3"/>
  <c r="AW197" i="3"/>
  <c r="AV251" i="3"/>
  <c r="BJ245" i="5"/>
  <c r="BG107" i="5"/>
  <c r="BB245" i="5"/>
  <c r="BH59" i="5"/>
  <c r="BB29" i="3"/>
  <c r="BC167" i="3"/>
  <c r="AX257" i="3"/>
  <c r="AV191" i="3"/>
  <c r="AW125" i="3"/>
  <c r="BA107" i="3"/>
  <c r="BC221" i="3"/>
  <c r="BK251" i="5"/>
  <c r="AZ17" i="5"/>
  <c r="BH167" i="5"/>
  <c r="BI275" i="5"/>
  <c r="BC251" i="5"/>
  <c r="BC119" i="5"/>
  <c r="BB77" i="5"/>
  <c r="BA137" i="5"/>
  <c r="BA185" i="5"/>
  <c r="BK191" i="5"/>
  <c r="BJ149" i="5"/>
  <c r="BQ250" i="7"/>
  <c r="BV240" i="7"/>
  <c r="BQ235" i="7"/>
  <c r="BL250" i="7"/>
  <c r="BG323" i="5"/>
  <c r="BL293" i="5"/>
  <c r="BG287" i="5"/>
  <c r="BI287" i="5"/>
  <c r="AV287" i="3"/>
  <c r="BC269" i="3"/>
  <c r="BI101" i="5"/>
  <c r="BK47" i="5"/>
  <c r="BG17" i="5"/>
  <c r="BD95" i="5"/>
  <c r="AZ335" i="5"/>
  <c r="AY299" i="3"/>
  <c r="BB89" i="3"/>
  <c r="BG125" i="5"/>
  <c r="BA155" i="5"/>
  <c r="AZ5" i="5"/>
  <c r="BG119" i="5"/>
  <c r="BV270" i="7"/>
  <c r="AZ305" i="5"/>
  <c r="AX287" i="3"/>
  <c r="AX197" i="3"/>
  <c r="BD119" i="5"/>
  <c r="BI143" i="5"/>
  <c r="BE293" i="5"/>
  <c r="AV167" i="3"/>
  <c r="BB107" i="5"/>
  <c r="BD269" i="5"/>
  <c r="BI59" i="5"/>
  <c r="BE305" i="5"/>
  <c r="BG335" i="5"/>
  <c r="BB293" i="3"/>
  <c r="BL245" i="7"/>
  <c r="AZ293" i="5"/>
  <c r="BV265" i="7"/>
  <c r="BK293" i="5"/>
  <c r="AY317" i="3"/>
  <c r="BL335" i="5"/>
  <c r="BG260" i="7"/>
  <c r="BA299" i="5"/>
  <c r="BE299" i="5"/>
  <c r="AX83" i="3"/>
  <c r="BB83" i="3"/>
  <c r="AW83" i="3"/>
  <c r="BC83" i="3"/>
  <c r="BA83" i="3"/>
  <c r="AV83" i="3"/>
  <c r="BC83" i="5"/>
  <c r="BG83" i="5"/>
  <c r="BJ83" i="5"/>
  <c r="BI83" i="5"/>
  <c r="BB83" i="5"/>
  <c r="BK83" i="5"/>
  <c r="AZ83" i="5"/>
  <c r="BD83" i="5"/>
  <c r="BB71" i="5"/>
  <c r="AX71" i="3"/>
  <c r="AZ71" i="5"/>
  <c r="BK71" i="5"/>
  <c r="BI71" i="5"/>
  <c r="BA71" i="3"/>
  <c r="BJ71" i="5"/>
  <c r="BC71" i="3"/>
  <c r="BC71" i="5"/>
  <c r="BG71" i="5"/>
  <c r="BD71" i="5"/>
  <c r="AW71" i="3"/>
  <c r="BB71" i="3"/>
  <c r="BO140" i="7"/>
  <c r="BP185" i="7"/>
  <c r="BJ135" i="7"/>
  <c r="BI130" i="7"/>
  <c r="BD180" i="7"/>
  <c r="BK130" i="7"/>
  <c r="BS40" i="7"/>
  <c r="BE115" i="7"/>
  <c r="BU220" i="7"/>
  <c r="BK230" i="7"/>
  <c r="BS160" i="7"/>
  <c r="BT195" i="7"/>
  <c r="BJ105" i="7"/>
  <c r="BK15" i="7"/>
  <c r="BS125" i="7"/>
  <c r="BJ180" i="7"/>
  <c r="BI90" i="7"/>
  <c r="BJ90" i="7"/>
  <c r="BT110" i="7"/>
  <c r="BE210" i="7"/>
  <c r="BP20" i="7"/>
  <c r="BK30" i="7"/>
  <c r="BO240" i="7"/>
  <c r="BD5" i="7"/>
  <c r="BU60" i="7"/>
  <c r="BI85" i="7"/>
  <c r="BU70" i="7"/>
  <c r="BJ95" i="7"/>
  <c r="BF215" i="7"/>
  <c r="BT215" i="7"/>
  <c r="BP110" i="7"/>
  <c r="BJ5" i="7"/>
  <c r="BP145" i="7"/>
  <c r="BD70" i="7"/>
  <c r="BS15" i="7"/>
  <c r="BF20" i="7"/>
  <c r="BJ25" i="7"/>
  <c r="BU185" i="7"/>
  <c r="BE40" i="7"/>
  <c r="BI105" i="7"/>
  <c r="BJ100" i="7"/>
  <c r="BT185" i="7"/>
  <c r="BO95" i="7"/>
  <c r="BI65" i="7"/>
  <c r="BK95" i="7"/>
  <c r="BJ220" i="7"/>
  <c r="BT80" i="7"/>
  <c r="BU235" i="7"/>
  <c r="BO200" i="7"/>
  <c r="BE145" i="7"/>
  <c r="BJ185" i="7"/>
  <c r="BP155" i="7"/>
  <c r="BD150" i="7"/>
  <c r="BP225" i="7"/>
  <c r="BO75" i="7"/>
  <c r="BU115" i="7"/>
  <c r="BO155" i="7"/>
  <c r="BP10" i="7"/>
  <c r="BS110" i="7"/>
  <c r="BI170" i="7"/>
  <c r="BE130" i="7"/>
  <c r="BF235" i="7"/>
  <c r="BT165" i="7"/>
  <c r="BP195" i="7"/>
  <c r="BI145" i="7"/>
  <c r="BP95" i="7"/>
  <c r="BN225" i="7"/>
  <c r="BF95" i="7"/>
  <c r="BU145" i="7"/>
  <c r="BK60" i="7"/>
  <c r="BF225" i="7"/>
  <c r="BF100" i="7"/>
  <c r="BI50" i="7"/>
  <c r="BD20" i="7"/>
  <c r="BI185" i="7"/>
  <c r="BD75" i="7"/>
  <c r="BF70" i="7"/>
  <c r="BO135" i="7"/>
  <c r="BO170" i="7"/>
  <c r="BT100" i="7"/>
  <c r="BP15" i="7"/>
  <c r="BU245" i="7"/>
  <c r="BU195" i="7"/>
  <c r="BJ110" i="7"/>
  <c r="BU15" i="7"/>
  <c r="BS230" i="7"/>
  <c r="BO245" i="7"/>
  <c r="BF165" i="7"/>
  <c r="BP80" i="7"/>
  <c r="BU140" i="7"/>
  <c r="BT55" i="7"/>
  <c r="BD90" i="7"/>
  <c r="BP220" i="7"/>
  <c r="BS45" i="7"/>
  <c r="BO185" i="7"/>
  <c r="BU125" i="7"/>
  <c r="BP30" i="7"/>
  <c r="BF155" i="7"/>
  <c r="BO50" i="7"/>
  <c r="BU210" i="7"/>
  <c r="BP120" i="7"/>
  <c r="BU105" i="7"/>
  <c r="BU5" i="7"/>
  <c r="BT190" i="7"/>
  <c r="BD155" i="7"/>
  <c r="BU155" i="7"/>
  <c r="BI5" i="7"/>
  <c r="BI205" i="7"/>
  <c r="BD205" i="7"/>
  <c r="BS170" i="7"/>
  <c r="BD40" i="7"/>
  <c r="BF220" i="7"/>
  <c r="BO80" i="7"/>
  <c r="BJ20" i="7"/>
  <c r="BO190" i="7"/>
  <c r="BO90" i="7"/>
  <c r="BD165" i="7"/>
  <c r="BJ45" i="7"/>
  <c r="BJ15" i="7"/>
  <c r="BO215" i="7"/>
  <c r="BO120" i="7"/>
  <c r="BP50" i="7"/>
  <c r="BU215" i="7"/>
  <c r="BS100" i="7"/>
  <c r="BD230" i="7"/>
  <c r="BT200" i="7"/>
  <c r="BJ165" i="7"/>
  <c r="BI155" i="7"/>
  <c r="BF160" i="7"/>
  <c r="BN150" i="7"/>
  <c r="BI120" i="7"/>
  <c r="BD85" i="7"/>
  <c r="BN175" i="7"/>
  <c r="BD160" i="7"/>
  <c r="BN195" i="7"/>
  <c r="BU100" i="7"/>
  <c r="BN45" i="7"/>
  <c r="BK120" i="7"/>
  <c r="BS155" i="7"/>
  <c r="BE120" i="7"/>
  <c r="BJ40" i="7"/>
  <c r="BN205" i="7"/>
  <c r="BN60" i="7"/>
  <c r="BN220" i="7"/>
  <c r="BU230" i="7"/>
  <c r="BP215" i="7"/>
  <c r="BP205" i="7"/>
  <c r="BT45" i="7"/>
  <c r="BP165" i="7"/>
  <c r="BP60" i="7"/>
  <c r="BS115" i="7"/>
  <c r="BD100" i="7"/>
  <c r="BP25" i="7"/>
  <c r="BE70" i="7"/>
  <c r="BE60" i="7"/>
  <c r="BP125" i="7"/>
  <c r="BT145" i="7"/>
  <c r="BO85" i="7"/>
  <c r="BP130" i="7"/>
  <c r="BK45" i="7"/>
  <c r="BT210" i="7"/>
  <c r="BJ210" i="7"/>
  <c r="BD140" i="7"/>
  <c r="BO5" i="7"/>
  <c r="BF90" i="7"/>
  <c r="BN155" i="7"/>
  <c r="BI70" i="7"/>
  <c r="BP180" i="7"/>
  <c r="BI235" i="7"/>
  <c r="BI175" i="7"/>
  <c r="BS35" i="7"/>
  <c r="BD120" i="7"/>
  <c r="BT225" i="7"/>
  <c r="BP230" i="7"/>
  <c r="BN95" i="7"/>
  <c r="BI165" i="7"/>
  <c r="BE80" i="7"/>
  <c r="BE245" i="7"/>
  <c r="BN65" i="7"/>
  <c r="BJ190" i="7"/>
  <c r="BF175" i="7"/>
  <c r="BE140" i="7"/>
  <c r="BN190" i="7"/>
  <c r="BF245" i="7"/>
  <c r="BJ85" i="7"/>
  <c r="BN25" i="7"/>
  <c r="BO145" i="7"/>
  <c r="BO70" i="7"/>
  <c r="BU160" i="7"/>
  <c r="BN165" i="7"/>
  <c r="BT15" i="7"/>
  <c r="BE230" i="7"/>
  <c r="BE10" i="7"/>
  <c r="BK70" i="7"/>
  <c r="BT175" i="7"/>
  <c r="BE205" i="7"/>
  <c r="BI100" i="7"/>
  <c r="BS195" i="7"/>
  <c r="BE220" i="7"/>
  <c r="BN55" i="7"/>
  <c r="BK150" i="7"/>
  <c r="BN20" i="7"/>
  <c r="BS5" i="7"/>
  <c r="BS50" i="7"/>
  <c r="BP90" i="7"/>
  <c r="BS190" i="7"/>
  <c r="BK180" i="7"/>
  <c r="BF125" i="7"/>
  <c r="BI215" i="7"/>
  <c r="BF140" i="7"/>
  <c r="BE85" i="7"/>
  <c r="BE15" i="7"/>
  <c r="BS120" i="7"/>
  <c r="BJ155" i="7"/>
  <c r="BU35" i="7"/>
  <c r="BF200" i="7"/>
  <c r="BN180" i="7"/>
  <c r="BD195" i="7"/>
  <c r="BE185" i="7"/>
  <c r="BJ175" i="7"/>
  <c r="BO235" i="7"/>
  <c r="BO150" i="7"/>
  <c r="BU55" i="7"/>
  <c r="BF60" i="7"/>
  <c r="BN15" i="7"/>
  <c r="BK235" i="7"/>
  <c r="BU205" i="7"/>
  <c r="BS105" i="7"/>
  <c r="BK35" i="7"/>
  <c r="BU135" i="7"/>
  <c r="BJ160" i="7"/>
  <c r="BN30" i="7"/>
  <c r="BN230" i="7"/>
  <c r="BT235" i="7"/>
  <c r="BS25" i="7"/>
  <c r="BT85" i="7"/>
  <c r="BP160" i="7"/>
  <c r="BJ200" i="7"/>
  <c r="BK55" i="7"/>
  <c r="BD105" i="7"/>
  <c r="BF205" i="7"/>
  <c r="BT155" i="7"/>
  <c r="BU110" i="7"/>
  <c r="BN125" i="7"/>
  <c r="BS180" i="7"/>
  <c r="BK240" i="7"/>
  <c r="BJ240" i="7"/>
  <c r="BF85" i="7"/>
  <c r="BP190" i="7"/>
  <c r="BP40" i="7"/>
  <c r="BT75" i="7"/>
  <c r="BP115" i="7"/>
  <c r="BP200" i="7"/>
  <c r="BN90" i="7"/>
  <c r="BE35" i="7"/>
  <c r="BP70" i="7"/>
  <c r="BD50" i="7"/>
  <c r="BJ130" i="7"/>
  <c r="BF180" i="7"/>
  <c r="BN140" i="7"/>
  <c r="BJ230" i="7"/>
  <c r="BF185" i="7"/>
  <c r="BF50" i="7"/>
  <c r="BN40" i="7"/>
  <c r="BS145" i="7"/>
  <c r="BI115" i="7"/>
  <c r="BE65" i="7"/>
  <c r="BT95" i="7"/>
  <c r="BJ60" i="7"/>
  <c r="BU10" i="7"/>
  <c r="BN115" i="7"/>
  <c r="BE30" i="7"/>
  <c r="BK145" i="7"/>
  <c r="BT20" i="7"/>
  <c r="BD145" i="7"/>
  <c r="BO30" i="7"/>
  <c r="BK225" i="7"/>
  <c r="BP210" i="7"/>
  <c r="BO180" i="7"/>
  <c r="BD55" i="7"/>
  <c r="BD65" i="7"/>
  <c r="BD45" i="7"/>
  <c r="BK40" i="7"/>
  <c r="BO110" i="7"/>
  <c r="BP65" i="7"/>
  <c r="BD130" i="7"/>
  <c r="BI195" i="7"/>
  <c r="BD245" i="7"/>
  <c r="BU50" i="7"/>
  <c r="BI75" i="7"/>
  <c r="BU200" i="7"/>
  <c r="BN235" i="7"/>
  <c r="BN5" i="7"/>
  <c r="BS205" i="7"/>
  <c r="BK195" i="7"/>
  <c r="BT125" i="7"/>
  <c r="BJ150" i="7"/>
  <c r="BK245" i="7"/>
  <c r="BU80" i="7"/>
  <c r="BD175" i="7"/>
  <c r="BP5" i="7"/>
  <c r="BF150" i="7"/>
  <c r="BU95" i="7"/>
  <c r="BI95" i="7"/>
  <c r="BU170" i="7"/>
  <c r="BE50" i="7"/>
  <c r="BP45" i="7"/>
  <c r="BJ245" i="7"/>
  <c r="BF120" i="7"/>
  <c r="BN120" i="7"/>
  <c r="BS235" i="7"/>
  <c r="BT35" i="7"/>
  <c r="BF65" i="7"/>
  <c r="BD240" i="7"/>
  <c r="BF45" i="7"/>
  <c r="BS60" i="7"/>
  <c r="BF25" i="7"/>
  <c r="BF145" i="7"/>
  <c r="BS95" i="7"/>
  <c r="BU40" i="7"/>
  <c r="BK215" i="7"/>
  <c r="BS165" i="7"/>
  <c r="BI30" i="7"/>
  <c r="BP75" i="7"/>
  <c r="BP170" i="7"/>
  <c r="BN80" i="7"/>
  <c r="BO10" i="7"/>
  <c r="BO15" i="7"/>
  <c r="BO130" i="7"/>
  <c r="BE195" i="7"/>
  <c r="BK80" i="7"/>
  <c r="BS175" i="7"/>
  <c r="BE45" i="7"/>
  <c r="BU180" i="7"/>
  <c r="BI25" i="7"/>
  <c r="BI80" i="7"/>
  <c r="BI160" i="7"/>
  <c r="BD10" i="7"/>
  <c r="BF30" i="7"/>
  <c r="BU45" i="7"/>
  <c r="BO105" i="7"/>
  <c r="BK100" i="7"/>
  <c r="BE75" i="7"/>
  <c r="BP55" i="7"/>
  <c r="BU225" i="7"/>
  <c r="BT40" i="7"/>
  <c r="BO205" i="7"/>
  <c r="BJ75" i="7"/>
  <c r="BF75" i="7"/>
  <c r="BS10" i="7"/>
  <c r="BD30" i="7"/>
  <c r="BT30" i="7"/>
  <c r="BO100" i="7"/>
  <c r="BI140" i="7"/>
  <c r="BE5" i="7"/>
  <c r="BK50" i="7"/>
  <c r="BK210" i="7"/>
  <c r="BE160" i="7"/>
  <c r="BJ115" i="7"/>
  <c r="BF80" i="7"/>
  <c r="BK10" i="7"/>
  <c r="BD200" i="7"/>
  <c r="BK125" i="7"/>
  <c r="BS220" i="7"/>
  <c r="BI10" i="7"/>
  <c r="BI45" i="7"/>
  <c r="BE235" i="7"/>
  <c r="BJ35" i="7"/>
  <c r="BT105" i="7"/>
  <c r="BJ65" i="7"/>
  <c r="BU85" i="7"/>
  <c r="BE175" i="7"/>
  <c r="BJ195" i="7"/>
  <c r="BI190" i="7"/>
  <c r="BS215" i="7"/>
  <c r="BT135" i="7"/>
  <c r="BT90" i="7"/>
  <c r="BE25" i="7"/>
  <c r="BF115" i="7"/>
  <c r="BP150" i="7"/>
  <c r="BN145" i="7"/>
  <c r="BD15" i="7"/>
  <c r="BS55" i="7"/>
  <c r="BU150" i="7"/>
  <c r="BT115" i="7"/>
  <c r="BK90" i="7"/>
  <c r="BU130" i="7"/>
  <c r="BP175" i="7"/>
  <c r="BJ55" i="7"/>
  <c r="BE90" i="7"/>
  <c r="BE170" i="7"/>
  <c r="BE240" i="7"/>
  <c r="BT205" i="7"/>
  <c r="BS90" i="7"/>
  <c r="BF240" i="7"/>
  <c r="BD135" i="7"/>
  <c r="BF230" i="7"/>
  <c r="BE215" i="7"/>
  <c r="BF210" i="7"/>
  <c r="BD220" i="7"/>
  <c r="BN105" i="7"/>
  <c r="BP135" i="7"/>
  <c r="BI60" i="7"/>
  <c r="BS85" i="7"/>
  <c r="BO35" i="7"/>
  <c r="BU175" i="7"/>
  <c r="BT230" i="7"/>
  <c r="BF110" i="7"/>
  <c r="BP105" i="7"/>
  <c r="BF40" i="7"/>
  <c r="BK175" i="7"/>
  <c r="BE55" i="7"/>
  <c r="BK65" i="7"/>
  <c r="BN170" i="7"/>
  <c r="BJ70" i="7"/>
  <c r="BI240" i="7"/>
  <c r="BO210" i="7"/>
  <c r="BN185" i="7"/>
  <c r="BI245" i="7"/>
  <c r="BU120" i="7"/>
  <c r="BD25" i="7"/>
  <c r="BF55" i="7"/>
  <c r="BK160" i="7"/>
  <c r="BS130" i="7"/>
  <c r="BI55" i="7"/>
  <c r="BS210" i="7"/>
  <c r="BN110" i="7"/>
  <c r="BK25" i="7"/>
  <c r="BO115" i="7"/>
  <c r="BN35" i="7"/>
  <c r="BN85" i="7"/>
  <c r="BI35" i="7"/>
  <c r="BK205" i="7"/>
  <c r="BJ170" i="7"/>
  <c r="BO55" i="7"/>
  <c r="BE200" i="7"/>
  <c r="BI220" i="7"/>
  <c r="BO160" i="7"/>
  <c r="BK220" i="7"/>
  <c r="BP35" i="7"/>
  <c r="BK200" i="7"/>
  <c r="BP85" i="7"/>
  <c r="BN135" i="7"/>
  <c r="BN100" i="7"/>
  <c r="BI200" i="7"/>
  <c r="BE20" i="7"/>
  <c r="BO225" i="7"/>
  <c r="BN50" i="7"/>
  <c r="BN70" i="7"/>
  <c r="BJ125" i="7"/>
  <c r="BE150" i="7"/>
  <c r="BK170" i="7"/>
  <c r="BU75" i="7"/>
  <c r="BJ80" i="7"/>
  <c r="BF15" i="7"/>
  <c r="BJ10" i="7"/>
  <c r="BP100" i="7"/>
  <c r="BO220" i="7"/>
  <c r="BO65" i="7"/>
  <c r="BS240" i="7"/>
  <c r="BD225" i="7"/>
  <c r="BU90" i="7"/>
  <c r="BO25" i="7"/>
  <c r="BT120" i="7"/>
  <c r="BU20" i="7"/>
  <c r="BJ225" i="7"/>
  <c r="BT50" i="7"/>
  <c r="BK185" i="7"/>
  <c r="BK140" i="7"/>
  <c r="BS185" i="7"/>
  <c r="BI110" i="7"/>
  <c r="BU240" i="7"/>
  <c r="BS150" i="7"/>
  <c r="BO125" i="7"/>
  <c r="BK190" i="7"/>
  <c r="BE165" i="7"/>
  <c r="BF10" i="7"/>
  <c r="BE135" i="7"/>
  <c r="BN75" i="7"/>
  <c r="BS20" i="7"/>
  <c r="BF190" i="7"/>
  <c r="BK110" i="7"/>
  <c r="BK135" i="7"/>
  <c r="BK5" i="7"/>
  <c r="BE110" i="7"/>
  <c r="BN210" i="7"/>
  <c r="BF130" i="7"/>
  <c r="BK85" i="7"/>
  <c r="BJ140" i="7"/>
  <c r="BI210" i="7"/>
  <c r="BU65" i="7"/>
  <c r="BE180" i="7"/>
  <c r="BK75" i="7"/>
  <c r="BN245" i="7"/>
  <c r="BO195" i="7"/>
  <c r="BO165" i="7"/>
  <c r="BD35" i="7"/>
  <c r="BI40" i="7"/>
  <c r="BD235" i="7"/>
  <c r="BJ30" i="7"/>
  <c r="BN10" i="7"/>
  <c r="BE190" i="7"/>
  <c r="BO20" i="7"/>
  <c r="BS135" i="7"/>
  <c r="BE95" i="7"/>
  <c r="BO175" i="7"/>
  <c r="BD190" i="7"/>
  <c r="BU165" i="7"/>
  <c r="BS75" i="7"/>
  <c r="BT180" i="7"/>
  <c r="BE155" i="7"/>
  <c r="BS200" i="7"/>
  <c r="BI225" i="7"/>
  <c r="BO230" i="7"/>
  <c r="BE125" i="7"/>
  <c r="BF195" i="7"/>
  <c r="BO45" i="7"/>
  <c r="BN215" i="7"/>
  <c r="BF170" i="7"/>
  <c r="BD95" i="7"/>
  <c r="BU30" i="7"/>
  <c r="BO60" i="7"/>
  <c r="BI20" i="7"/>
  <c r="BJ215" i="7"/>
  <c r="BI180" i="7"/>
  <c r="BT70" i="7"/>
  <c r="BF105" i="7"/>
  <c r="BN160" i="7"/>
  <c r="BD60" i="7"/>
  <c r="BT60" i="7"/>
  <c r="BT130" i="7"/>
  <c r="BU25" i="7"/>
  <c r="BD115" i="7"/>
  <c r="BD210" i="7"/>
  <c r="BS140" i="7"/>
  <c r="BJ120" i="7"/>
  <c r="BK165" i="7"/>
  <c r="BN130" i="7"/>
  <c r="BJ205" i="7"/>
  <c r="BK105" i="7"/>
  <c r="BO40" i="7"/>
  <c r="BT150" i="7"/>
  <c r="BK155" i="7"/>
  <c r="BN240" i="7"/>
  <c r="BT5" i="7"/>
  <c r="BD80" i="7"/>
  <c r="BD170" i="7"/>
  <c r="BD125" i="7"/>
  <c r="BJ145" i="7"/>
  <c r="BP240" i="7"/>
  <c r="BI125" i="7"/>
  <c r="BI135" i="7"/>
  <c r="BT65" i="7"/>
  <c r="BE225" i="7"/>
  <c r="BF5" i="7"/>
  <c r="BS80" i="7"/>
  <c r="BP245" i="7"/>
  <c r="BS30" i="7"/>
  <c r="BK115" i="7"/>
  <c r="BU190" i="7"/>
  <c r="BS245" i="7"/>
  <c r="BT220" i="7"/>
  <c r="BP235" i="7"/>
  <c r="BJ50" i="7"/>
  <c r="BT140" i="7"/>
  <c r="BN200" i="7"/>
  <c r="BT245" i="7"/>
  <c r="BD215" i="7"/>
  <c r="BD185" i="7"/>
  <c r="BT10" i="7"/>
  <c r="BT240" i="7"/>
  <c r="BT25" i="7"/>
  <c r="BI150" i="7"/>
  <c r="BD110" i="7"/>
  <c r="BS70" i="7"/>
  <c r="BS65" i="7"/>
  <c r="BI15" i="7"/>
  <c r="BP140" i="7"/>
  <c r="BT160" i="7"/>
  <c r="BE100" i="7"/>
  <c r="BS225" i="7"/>
  <c r="BF135" i="7"/>
  <c r="BF35" i="7"/>
  <c r="BI230" i="7"/>
  <c r="BK20" i="7"/>
  <c r="BE105" i="7"/>
  <c r="BT170" i="7"/>
  <c r="BJ235" i="7"/>
  <c r="BE344" i="5" l="1"/>
  <c r="F23" i="1" s="1"/>
  <c r="BA344" i="5"/>
  <c r="H23" i="1" s="1"/>
  <c r="BK289" i="7"/>
  <c r="E46" i="1" s="1"/>
  <c r="BK285" i="7"/>
  <c r="E42" i="1" s="1"/>
  <c r="AZ345" i="5"/>
  <c r="G24" i="1" s="1"/>
  <c r="AZ341" i="5"/>
  <c r="G20" i="1" s="1"/>
  <c r="AY344" i="3"/>
  <c r="F12" i="1" s="1"/>
  <c r="BE287" i="7"/>
  <c r="D55" i="1" s="1"/>
  <c r="BD286" i="7"/>
  <c r="C54" i="1" s="1"/>
  <c r="BL288" i="7"/>
  <c r="BQ289" i="7"/>
  <c r="BQ287" i="7"/>
  <c r="BI285" i="7"/>
  <c r="C42" i="1" s="1"/>
  <c r="BI289" i="7"/>
  <c r="C46" i="1" s="1"/>
  <c r="BQ288" i="7"/>
  <c r="BD287" i="7"/>
  <c r="C55" i="1" s="1"/>
  <c r="BT287" i="7"/>
  <c r="BA342" i="5"/>
  <c r="H21" i="1" s="1"/>
  <c r="BL343" i="5"/>
  <c r="BL345" i="5"/>
  <c r="BS289" i="7"/>
  <c r="BS285" i="7"/>
  <c r="BC345" i="3"/>
  <c r="BC341" i="3"/>
  <c r="BL344" i="5"/>
  <c r="BC342" i="5"/>
  <c r="D21" i="1" s="1"/>
  <c r="AW343" i="3"/>
  <c r="D11" i="1" s="1"/>
  <c r="BB343" i="3"/>
  <c r="BA343" i="3"/>
  <c r="BF287" i="7"/>
  <c r="E55" i="1" s="1"/>
  <c r="BS286" i="7"/>
  <c r="BL289" i="7"/>
  <c r="BL287" i="7"/>
  <c r="BJ287" i="7"/>
  <c r="D44" i="1" s="1"/>
  <c r="BA343" i="5"/>
  <c r="H22" i="1" s="1"/>
  <c r="BH344" i="5"/>
  <c r="BK341" i="5"/>
  <c r="BK345" i="5"/>
  <c r="BH343" i="5"/>
  <c r="BC343" i="3"/>
  <c r="BC343" i="5"/>
  <c r="D22" i="1" s="1"/>
  <c r="AV343" i="3"/>
  <c r="C11" i="1" s="1"/>
  <c r="AX343" i="3"/>
  <c r="E11" i="1" s="1"/>
  <c r="BE343" i="5"/>
  <c r="F22" i="1" s="1"/>
  <c r="BE345" i="5"/>
  <c r="F24" i="1" s="1"/>
  <c r="BG289" i="7"/>
  <c r="BG287" i="7"/>
  <c r="BP289" i="7"/>
  <c r="BP285" i="7"/>
  <c r="AZ344" i="5"/>
  <c r="G23" i="1" s="1"/>
  <c r="AV341" i="3"/>
  <c r="C9" i="1" s="1"/>
  <c r="AV345" i="3"/>
  <c r="C13" i="1" s="1"/>
  <c r="BU286" i="7"/>
  <c r="BP287" i="7"/>
  <c r="BV288" i="7"/>
  <c r="BG344" i="5"/>
  <c r="BO287" i="7"/>
  <c r="BS287" i="7"/>
  <c r="BH345" i="5"/>
  <c r="BH341" i="5"/>
  <c r="BB342" i="3"/>
  <c r="AV342" i="3"/>
  <c r="C10" i="1" s="1"/>
  <c r="AY343" i="3"/>
  <c r="F11" i="1" s="1"/>
  <c r="AY345" i="3"/>
  <c r="F13" i="1" s="1"/>
  <c r="BD343" i="5"/>
  <c r="E22" i="1" s="1"/>
  <c r="BI343" i="5"/>
  <c r="BG343" i="5"/>
  <c r="BJ343" i="5"/>
  <c r="BG288" i="7"/>
  <c r="BP286" i="7"/>
  <c r="BB341" i="3"/>
  <c r="BB345" i="3"/>
  <c r="BD343" i="3"/>
  <c r="BD345" i="3"/>
  <c r="BD344" i="3"/>
  <c r="BB343" i="5"/>
  <c r="C22" i="1" s="1"/>
  <c r="BK343" i="5"/>
  <c r="AZ343" i="5"/>
  <c r="G22" i="1" s="1"/>
  <c r="BV289" i="7"/>
  <c r="BV287" i="7"/>
  <c r="BK287" i="7"/>
  <c r="E44" i="1" s="1"/>
  <c r="BK286" i="7"/>
  <c r="E43" i="1" s="1"/>
  <c r="BE286" i="7"/>
  <c r="D54" i="1" s="1"/>
  <c r="BJ285" i="7"/>
  <c r="D42" i="1" s="1"/>
  <c r="BJ289" i="7"/>
  <c r="D46" i="1" s="1"/>
  <c r="BU287" i="7"/>
  <c r="BN285" i="7"/>
  <c r="BN289" i="7"/>
  <c r="BB342" i="5"/>
  <c r="C21" i="1" s="1"/>
  <c r="AW341" i="3"/>
  <c r="D9" i="1" s="1"/>
  <c r="AW345" i="3"/>
  <c r="D13" i="1" s="1"/>
  <c r="BN287" i="7"/>
  <c r="BU289" i="7"/>
  <c r="BU285" i="7"/>
  <c r="BE285" i="7"/>
  <c r="D53" i="1" s="1"/>
  <c r="BE289" i="7"/>
  <c r="D57" i="1" s="1"/>
  <c r="BN286" i="7"/>
  <c r="BT289" i="7"/>
  <c r="BT285" i="7"/>
  <c r="BI287" i="7"/>
  <c r="C44" i="1" s="1"/>
  <c r="BI286" i="7"/>
  <c r="C43" i="1" s="1"/>
  <c r="BA342" i="3"/>
  <c r="BF286" i="7"/>
  <c r="E54" i="1" s="1"/>
  <c r="BO285" i="7"/>
  <c r="BO289" i="7"/>
  <c r="BI342" i="5"/>
  <c r="BG342" i="5"/>
  <c r="BA341" i="5"/>
  <c r="H20" i="1" s="1"/>
  <c r="BA345" i="5"/>
  <c r="H24" i="1" s="1"/>
  <c r="AX341" i="3"/>
  <c r="E9" i="1" s="1"/>
  <c r="AX345" i="3"/>
  <c r="E13" i="1" s="1"/>
  <c r="BA341" i="3"/>
  <c r="BA345" i="3"/>
  <c r="BJ286" i="7"/>
  <c r="D43" i="1" s="1"/>
  <c r="BF289" i="7"/>
  <c r="E57" i="1" s="1"/>
  <c r="BF285" i="7"/>
  <c r="E53" i="1" s="1"/>
  <c r="BO286" i="7"/>
  <c r="BD342" i="5"/>
  <c r="E21" i="1" s="1"/>
  <c r="BI345" i="5"/>
  <c r="BI341" i="5"/>
  <c r="BD341" i="5"/>
  <c r="E20" i="1" s="1"/>
  <c r="BD345" i="5"/>
  <c r="E24" i="1" s="1"/>
  <c r="BC342" i="3"/>
  <c r="AW342" i="3"/>
  <c r="D10" i="1" s="1"/>
  <c r="BD285" i="7"/>
  <c r="C53" i="1" s="1"/>
  <c r="BD289" i="7"/>
  <c r="C57" i="1" s="1"/>
  <c r="BT286" i="7"/>
  <c r="BJ341" i="5"/>
  <c r="BJ345" i="5"/>
  <c r="BJ342" i="5"/>
  <c r="BC345" i="5"/>
  <c r="D24" i="1" s="1"/>
  <c r="BC341" i="5"/>
  <c r="D20" i="1" s="1"/>
  <c r="BK342" i="5"/>
  <c r="AX342" i="3"/>
  <c r="E10" i="1" s="1"/>
  <c r="BH342" i="5"/>
  <c r="AZ342" i="5"/>
  <c r="G21" i="1" s="1"/>
  <c r="BG345" i="5"/>
  <c r="BG341" i="5"/>
  <c r="BB341" i="5"/>
  <c r="C20" i="1" s="1"/>
  <c r="BB345" i="5"/>
  <c r="C24" i="1" s="1"/>
  <c r="F46" i="1" l="1"/>
  <c r="F57" i="1"/>
  <c r="F45" i="1"/>
  <c r="F56" i="1"/>
  <c r="F44" i="1"/>
  <c r="F55" i="1"/>
</calcChain>
</file>

<file path=xl/sharedStrings.xml><?xml version="1.0" encoding="utf-8"?>
<sst xmlns="http://schemas.openxmlformats.org/spreadsheetml/2006/main" count="3725" uniqueCount="1000">
  <si>
    <t>Reference:</t>
  </si>
  <si>
    <t>Tested:</t>
  </si>
  <si>
    <t>All Intra</t>
  </si>
  <si>
    <t>C1_ai</t>
  </si>
  <si>
    <t>lossless geometry, lossy attributes [all intra]</t>
  </si>
  <si>
    <t>End-to-End BD‑AttrRate [%]</t>
  </si>
  <si>
    <t>Luma</t>
  </si>
  <si>
    <t>Chroma Cb</t>
  </si>
  <si>
    <t>Chroma Cr</t>
  </si>
  <si>
    <t>Reflectance</t>
  </si>
  <si>
    <t>Cat1-A average</t>
  </si>
  <si>
    <t>Cat1-B average</t>
  </si>
  <si>
    <t>Cat3-fused average</t>
  </si>
  <si>
    <t>Cat3-frame average</t>
  </si>
  <si>
    <t>Overall average</t>
  </si>
  <si>
    <t>Avg. Enc Time [%]</t>
  </si>
  <si>
    <t>Avg. Dec Time [%]</t>
  </si>
  <si>
    <t>C2_ai</t>
  </si>
  <si>
    <t>lossy geometry, lossy attributes [all intra]</t>
  </si>
  <si>
    <t>Geom. BD‑TotGeomRate [%]</t>
  </si>
  <si>
    <t>D1</t>
  </si>
  <si>
    <t>D2</t>
  </si>
  <si>
    <t>CW_ai</t>
  </si>
  <si>
    <t>lossless geometry, lossless attributes [all intra]</t>
  </si>
  <si>
    <t>bpip ratio [%]</t>
  </si>
  <si>
    <t>Geometry</t>
  </si>
  <si>
    <t>Colour</t>
  </si>
  <si>
    <t>Total</t>
  </si>
  <si>
    <t>CY_ai</t>
  </si>
  <si>
    <t>lossless geometry, near-lossless attributes [all intra]</t>
  </si>
  <si>
    <t>EtE Hausdorff BD‑AttrRate [%]</t>
  </si>
  <si>
    <t>Condition:</t>
  </si>
  <si>
    <t>← Select this …</t>
  </si>
  <si>
    <t>Columns</t>
  </si>
  <si>
    <t>C1 losslG,lossyA,intra</t>
  </si>
  <si>
    <t>C2 lossyG,lossyA,intra</t>
  </si>
  <si>
    <t>CW losslG,losslA,intra</t>
  </si>
  <si>
    <t>CY losslG,nearllA,intra</t>
  </si>
  <si>
    <t>Sequence:</t>
  </si>
  <si>
    <t>← … then this</t>
  </si>
  <si>
    <t>dec.cb-hpsnr</t>
  </si>
  <si>
    <t>Chroma Cb EtE Hausdorff PSNR</t>
  </si>
  <si>
    <t>names!$B$110:$R$110</t>
  </si>
  <si>
    <t>names!$B$228:$T$228</t>
  </si>
  <si>
    <t>names!$B$327:$O$327</t>
  </si>
  <si>
    <t>names!$B$453:$V$453</t>
  </si>
  <si>
    <t>dec.cb-psnr</t>
  </si>
  <si>
    <t>Chroma Cb End-to-end PSNR</t>
  </si>
  <si>
    <t>basketball_player_vox11_00000200</t>
  </si>
  <si>
    <t>X:</t>
  </si>
  <si>
    <t>eqn.bpp.geometry</t>
  </si>
  <si>
    <t>Y:</t>
  </si>
  <si>
    <t>dec.d1-psnr</t>
  </si>
  <si>
    <t>← settings for graph a</t>
  </si>
  <si>
    <t>dec.cr-hpsnr</t>
  </si>
  <si>
    <t>Chroma Cr EtE Hausdorff PSNR</t>
  </si>
  <si>
    <t>boxer_viewdep_vox12</t>
  </si>
  <si>
    <t>dec.d2-psnr</t>
  </si>
  <si>
    <t>← settings for graph b</t>
  </si>
  <si>
    <t>dec.cr-psnr</t>
  </si>
  <si>
    <t>Chroma Cr End-to-end PSNR</t>
  </si>
  <si>
    <t>dancer_vox11_00000001</t>
  </si>
  <si>
    <t>eqn.bpp.colour</t>
  </si>
  <si>
    <t>dec.y-psnr</t>
  </si>
  <si>
    <t>← settings for graph c</t>
  </si>
  <si>
    <t>dec.d1-mse</t>
  </si>
  <si>
    <t>D1 Geometry MSE</t>
  </si>
  <si>
    <t>egyptian_mask_vox12</t>
  </si>
  <si>
    <t>← settings for graph d</t>
  </si>
  <si>
    <t>D1 Geometry PSNR</t>
  </si>
  <si>
    <t>facade_00009_vox12</t>
  </si>
  <si>
    <t>← settings for graph e</t>
  </si>
  <si>
    <t>dec.d2-mse</t>
  </si>
  <si>
    <t>D2 Geometry MSE</t>
  </si>
  <si>
    <t>facade_00015_vox14</t>
  </si>
  <si>
    <t>eqn.bpp.reflectance</t>
  </si>
  <si>
    <t>dec.reflectance-psnr</t>
  </si>
  <si>
    <t>← settings for graph f</t>
  </si>
  <si>
    <t>D2 Geometry PSNR</t>
  </si>
  <si>
    <t>facade_00064_vox11</t>
  </si>
  <si>
    <t>dec.numduppoints.mean</t>
  </si>
  <si>
    <t>Mean duplicate points</t>
  </si>
  <si>
    <t>frog_00067_vox12</t>
  </si>
  <si>
    <t>dec.numpoints</t>
  </si>
  <si>
    <t>№ output points</t>
  </si>
  <si>
    <t>head_00039_vox12</t>
  </si>
  <si>
    <t>dec.numpoints.mean</t>
  </si>
  <si>
    <t>Mean output points</t>
  </si>
  <si>
    <t>house_without_roof_00057_vox12</t>
  </si>
  <si>
    <t>dec.post-recolour.cb-psnr</t>
  </si>
  <si>
    <t>Chroma Cb Post recolour PSNR</t>
  </si>
  <si>
    <t>longdress_viewdep_vox12</t>
  </si>
  <si>
    <t>dec.post-recolour.cr-psnr</t>
  </si>
  <si>
    <t>Chroma Cr Post recolour PSNR</t>
  </si>
  <si>
    <t>longdress_vox10_1300</t>
  </si>
  <si>
    <t>dec.post-recolour.y-psnr</t>
  </si>
  <si>
    <t>Luma Post recolour PSNR</t>
  </si>
  <si>
    <t>loot_viewdep_vox12</t>
  </si>
  <si>
    <t>dec.reflectance-hpsnr</t>
  </si>
  <si>
    <t>Reflectance EtE Hausdorff PSNR</t>
  </si>
  <si>
    <t>loot_vox10_1200</t>
  </si>
  <si>
    <t>Reflectance End-to-end PSNR</t>
  </si>
  <si>
    <t>queen_0200</t>
  </si>
  <si>
    <t>dec.utime</t>
  </si>
  <si>
    <t>User Decoder runtime</t>
  </si>
  <si>
    <t>redandblack_viewdep_vox12</t>
  </si>
  <si>
    <t>dec.utime.children</t>
  </si>
  <si>
    <t>Child Decoder runtime</t>
  </si>
  <si>
    <t>redandblack_vox10_1550</t>
  </si>
  <si>
    <t>dec.utime.self</t>
  </si>
  <si>
    <t>Self Decoder runtime</t>
  </si>
  <si>
    <t>shiva_00035_vox12</t>
  </si>
  <si>
    <t>dec.y-hpsnr</t>
  </si>
  <si>
    <t>Luma EtE Hausdorff PSNR</t>
  </si>
  <si>
    <t>soldier_viewdep_vox12</t>
  </si>
  <si>
    <t>Luma End-to-end PSNR</t>
  </si>
  <si>
    <t>soldier_vox10_0690</t>
  </si>
  <si>
    <t>enc.bits.colour</t>
  </si>
  <si>
    <t>Colour Bitstream</t>
  </si>
  <si>
    <t>thaidancer_viewdep_vox12</t>
  </si>
  <si>
    <t>enc.bits.geometry</t>
  </si>
  <si>
    <t>Geometry Bitstream</t>
  </si>
  <si>
    <t>ulb_unicorn_vox13</t>
  </si>
  <si>
    <t>enc.bits.occ+patch</t>
  </si>
  <si>
    <t>Occ+Patch Bitstream</t>
  </si>
  <si>
    <t>arco_valentino_dense_vox12</t>
  </si>
  <si>
    <t>enc.bits.reflectance</t>
  </si>
  <si>
    <t>Reflectance Bitstream</t>
  </si>
  <si>
    <t>arco_valentino_dense_vox20</t>
  </si>
  <si>
    <t>enc.ext.bits</t>
  </si>
  <si>
    <t>Total Bitstream</t>
  </si>
  <si>
    <t>egyptian_mask_vox20</t>
  </si>
  <si>
    <t>enc.utime</t>
  </si>
  <si>
    <t>User Encoder runtime</t>
  </si>
  <si>
    <t>facade_00009_vox20</t>
  </si>
  <si>
    <t>enc.utime.children</t>
  </si>
  <si>
    <t>Child Encoder runtime</t>
  </si>
  <si>
    <t>facade_00015_vox20</t>
  </si>
  <si>
    <t>enc.utime.self</t>
  </si>
  <si>
    <t>Self Encoder runtime</t>
  </si>
  <si>
    <t>facade_00064_vox14</t>
  </si>
  <si>
    <t>eqn.bitrate</t>
  </si>
  <si>
    <t>Rate</t>
  </si>
  <si>
    <t>facade_00064_vox20</t>
  </si>
  <si>
    <t>eqn.bits.totalgeometry</t>
  </si>
  <si>
    <t>eqn.bits.totalgeometry Bitstream</t>
  </si>
  <si>
    <t>frog_00067_vox20</t>
  </si>
  <si>
    <t>eqn.bpop</t>
  </si>
  <si>
    <t>Total Bits per output point</t>
  </si>
  <si>
    <t>head_00039_vox20</t>
  </si>
  <si>
    <t>eqn.bpp</t>
  </si>
  <si>
    <t>Total Bits per input point</t>
  </si>
  <si>
    <t>house_without_roof_00057_vox20</t>
  </si>
  <si>
    <t>Colour  Bits per input point</t>
  </si>
  <si>
    <t>landscape_00014_vox14</t>
  </si>
  <si>
    <t>Geometry Bits per input point</t>
  </si>
  <si>
    <t>landscape_00014_vox20</t>
  </si>
  <si>
    <t>eqn.bpp.geometry+occ+patch</t>
  </si>
  <si>
    <t>Tot.Geom Bits per input point</t>
  </si>
  <si>
    <t>palazzo_carignano_dense_vox14</t>
  </si>
  <si>
    <t>Reflectance Bits per input point</t>
  </si>
  <si>
    <t>palazzo_carignano_dense_vox20</t>
  </si>
  <si>
    <t>eqn.compratio</t>
  </si>
  <si>
    <t>Comp. ratio</t>
  </si>
  <si>
    <t>shiva_00035_vox20</t>
  </si>
  <si>
    <t>stanford_area_2_vox16</t>
  </si>
  <si>
    <t>stanford_area_2_vox20</t>
  </si>
  <si>
    <t>stanford_area_4_vox16</t>
  </si>
  <si>
    <t>stanford_area_4_vox20</t>
  </si>
  <si>
    <t>staue_klimt_vox12</t>
  </si>
  <si>
    <t>staue_klimt_vox20</t>
  </si>
  <si>
    <t>ulb_unicorn_hires_vox15</t>
  </si>
  <si>
    <t>ulb_unicorn_hires_vox20</t>
  </si>
  <si>
    <t>ulb_unicorn_vox20</t>
  </si>
  <si>
    <t>citytunnel_q1mm</t>
  </si>
  <si>
    <t>overpass_q1mm</t>
  </si>
  <si>
    <t>tollbooth_q1mm</t>
  </si>
  <si>
    <t>ford_01_q1mm</t>
  </si>
  <si>
    <t>ford_02_q1mm</t>
  </si>
  <si>
    <t>ford_03_q1mm</t>
  </si>
  <si>
    <t>qnxadas-junction-approach</t>
  </si>
  <si>
    <t>qnxadas-junction-exit</t>
  </si>
  <si>
    <t>qnxadas-motorway-join</t>
  </si>
  <si>
    <t>qnxadas-navigating-bends</t>
  </si>
  <si>
    <t>C1_ai — lossless geometry, lossy attributes [all intra]</t>
  </si>
  <si>
    <t>Class</t>
  </si>
  <si>
    <t>Sequence</t>
  </si>
  <si>
    <t>Variant</t>
  </si>
  <si>
    <t>№ input points</t>
  </si>
  <si>
    <t>Geometry precision [bits]</t>
  </si>
  <si>
    <t>№ frames</t>
  </si>
  <si>
    <t>Frame rate [fps]</t>
  </si>
  <si>
    <t>Rate [Mbps]</t>
  </si>
  <si>
    <t>Bits per input point [bpip]</t>
  </si>
  <si>
    <t>Total Bits per output point [bpop]</t>
  </si>
  <si>
    <t>Bitstream [bits]</t>
  </si>
  <si>
    <t>End-to-end PSNR [dB]</t>
  </si>
  <si>
    <t>User Encoder runtime [s]</t>
  </si>
  <si>
    <t>User Decoder runtime [s]</t>
  </si>
  <si>
    <t>Shift in G:T bits ratio [pp]</t>
  </si>
  <si>
    <t>End-to-End BD‑TotalRate [%]</t>
  </si>
  <si>
    <t xml:space="preserve">Colour </t>
  </si>
  <si>
    <t>class</t>
  </si>
  <si>
    <t>sequence</t>
  </si>
  <si>
    <t>variant</t>
  </si>
  <si>
    <t>src.numpoints</t>
  </si>
  <si>
    <t>src.geometry-precision</t>
  </si>
  <si>
    <t>src.framecount</t>
  </si>
  <si>
    <t>src.framerate</t>
  </si>
  <si>
    <t>A.eqn.bitrate</t>
  </si>
  <si>
    <t>A.eqn.bpp</t>
  </si>
  <si>
    <t>A.eqn.bpp.geometry</t>
  </si>
  <si>
    <t>A.eqn.bpp.colour</t>
  </si>
  <si>
    <t>A.eqn.bpp.reflectance</t>
  </si>
  <si>
    <t>A.eqn.bpop</t>
  </si>
  <si>
    <t>A.dec.numpoints</t>
  </si>
  <si>
    <t>A.enc.ext.bits</t>
  </si>
  <si>
    <t>A.enc.bits.geometry</t>
  </si>
  <si>
    <t>A.enc.bits.colour</t>
  </si>
  <si>
    <t>A.enc.bits.reflectance</t>
  </si>
  <si>
    <t>A.dec.y-psnr</t>
  </si>
  <si>
    <t>A.dec.cb-psnr</t>
  </si>
  <si>
    <t>A.dec.cr-psnr</t>
  </si>
  <si>
    <t>A.dec.reflectance-psnr</t>
  </si>
  <si>
    <t>A.enc.utime</t>
  </si>
  <si>
    <t>A.dec.utime</t>
  </si>
  <si>
    <t>B.eqn.bitrate</t>
  </si>
  <si>
    <t>B.eqn.bpp</t>
  </si>
  <si>
    <t>B.eqn.bpp.geometry</t>
  </si>
  <si>
    <t>B.eqn.bpp.colour</t>
  </si>
  <si>
    <t>B.eqn.bpp.reflectance</t>
  </si>
  <si>
    <t>B.eqn.bpop</t>
  </si>
  <si>
    <t>B.dec.numpoints</t>
  </si>
  <si>
    <t>B.enc.ext.bits</t>
  </si>
  <si>
    <t>B.enc.bits.geometry</t>
  </si>
  <si>
    <t>B.enc.bits.colour</t>
  </si>
  <si>
    <t>B.enc.bits.reflectance</t>
  </si>
  <si>
    <t>B.dec.y-psnr</t>
  </si>
  <si>
    <t>B.dec.cb-psnr</t>
  </si>
  <si>
    <t>B.dec.cr-psnr</t>
  </si>
  <si>
    <t>B.dec.reflectance-psnr</t>
  </si>
  <si>
    <t>B.enc.utime</t>
  </si>
  <si>
    <t>B.dec.utime</t>
  </si>
  <si>
    <t>eqn.ab.delta-geom_texture_bits_ratio</t>
  </si>
  <si>
    <t>eqn.ab.summary-delta-geom_texture_bits_ratio</t>
  </si>
  <si>
    <t>eqn.ab.bdrate-y-attrrate</t>
  </si>
  <si>
    <t>eqn.ab.bdrate-cb-attrrate</t>
  </si>
  <si>
    <t>eqn.ab.bdrate-cr-attrrate</t>
  </si>
  <si>
    <t>eqn.ab.bdrate-reflectance-attrrate</t>
  </si>
  <si>
    <t>eqn.ab.bdrate-y</t>
  </si>
  <si>
    <t>eqn.ab.bdrate-cb</t>
  </si>
  <si>
    <t>eqn.ab.bdrate-cr</t>
  </si>
  <si>
    <t>eqn.ab.bdrate-reflectance</t>
  </si>
  <si>
    <t>cat1-A</t>
  </si>
  <si>
    <t>r01</t>
  </si>
  <si>
    <t>r02</t>
  </si>
  <si>
    <t>r03</t>
  </si>
  <si>
    <t>r04</t>
  </si>
  <si>
    <t>r05</t>
  </si>
  <si>
    <t>r06</t>
  </si>
  <si>
    <t>cat1-B</t>
  </si>
  <si>
    <t>cat3-fused</t>
  </si>
  <si>
    <t>cat3-frame</t>
  </si>
  <si>
    <t>Overall</t>
  </si>
  <si>
    <t>Total time [s]</t>
  </si>
  <si>
    <t>Total time [%]</t>
  </si>
  <si>
    <t>Avg (geometric) time [s]</t>
  </si>
  <si>
    <t>Avg (geometric) time [%]</t>
  </si>
  <si>
    <t>col.C1 losslG,lossyA,intra.class</t>
  </si>
  <si>
    <t>col.C1 losslG,lossyA,intra.sequence</t>
  </si>
  <si>
    <t>col.C1 losslG,lossyA,intra.variant</t>
  </si>
  <si>
    <t>col.C1 losslG,lossyA,intra.src.numpoints</t>
  </si>
  <si>
    <t>col.C1 losslG,lossyA,intra.src.geometry-precision</t>
  </si>
  <si>
    <t>col.C1 losslG,lossyA,intra.src.framecount</t>
  </si>
  <si>
    <t>col.C1 losslG,lossyA,intra.src.framerate</t>
  </si>
  <si>
    <t>col.C1 losslG,lossyA,intra.A.eqn.bitrate</t>
  </si>
  <si>
    <t>col.C1 losslG,lossyA,intra.A.eqn.bpp</t>
  </si>
  <si>
    <t>col.C1 losslG,lossyA,intra.A.eqn.bpp.geometry</t>
  </si>
  <si>
    <t>col.C1 losslG,lossyA,intra.A.eqn.bpp.colour</t>
  </si>
  <si>
    <t>col.C1 losslG,lossyA,intra.A.eqn.bpp.reflectance</t>
  </si>
  <si>
    <t>col.C1 losslG,lossyA,intra.A.eqn.bpop</t>
  </si>
  <si>
    <t>col.C1 losslG,lossyA,intra.A.dec.numpoints</t>
  </si>
  <si>
    <t>col.C1 losslG,lossyA,intra.A.enc.ext.bits</t>
  </si>
  <si>
    <t>col.C1 losslG,lossyA,intra.A.enc.bits.geometry</t>
  </si>
  <si>
    <t>col.C1 losslG,lossyA,intra.A.enc.bits.colour</t>
  </si>
  <si>
    <t>col.C1 losslG,lossyA,intra.A.enc.bits.reflectance</t>
  </si>
  <si>
    <t>col.C1 losslG,lossyA,intra.A.dec.y-psnr</t>
  </si>
  <si>
    <t>col.C1 losslG,lossyA,intra.A.dec.cb-psnr</t>
  </si>
  <si>
    <t>col.C1 losslG,lossyA,intra.A.dec.cr-psnr</t>
  </si>
  <si>
    <t>col.C1 losslG,lossyA,intra.A.dec.reflectance-psnr</t>
  </si>
  <si>
    <t>col.C1 losslG,lossyA,intra.A.enc.utime</t>
  </si>
  <si>
    <t>col.C1 losslG,lossyA,intra.A.dec.utime</t>
  </si>
  <si>
    <t>col.C1 losslG,lossyA,intra.B.eqn.bitrate</t>
  </si>
  <si>
    <t>col.C1 losslG,lossyA,intra.B.eqn.bpp</t>
  </si>
  <si>
    <t>col.C1 losslG,lossyA,intra.B.eqn.bpp.geometry</t>
  </si>
  <si>
    <t>col.C1 losslG,lossyA,intra.B.eqn.bpp.colour</t>
  </si>
  <si>
    <t>col.C1 losslG,lossyA,intra.B.eqn.bpp.reflectance</t>
  </si>
  <si>
    <t>col.C1 losslG,lossyA,intra.B.eqn.bpop</t>
  </si>
  <si>
    <t>col.C1 losslG,lossyA,intra.B.dec.numpoints</t>
  </si>
  <si>
    <t>col.C1 losslG,lossyA,intra.B.enc.ext.bits</t>
  </si>
  <si>
    <t>col.C1 losslG,lossyA,intra.B.enc.bits.geometry</t>
  </si>
  <si>
    <t>col.C1 losslG,lossyA,intra.B.enc.bits.colour</t>
  </si>
  <si>
    <t>col.C1 losslG,lossyA,intra.B.enc.bits.reflectance</t>
  </si>
  <si>
    <t>col.C1 losslG,lossyA,intra.B.dec.y-psnr</t>
  </si>
  <si>
    <t>col.C1 losslG,lossyA,intra.B.dec.cb-psnr</t>
  </si>
  <si>
    <t>col.C1 losslG,lossyA,intra.B.dec.cr-psnr</t>
  </si>
  <si>
    <t>col.C1 losslG,lossyA,intra.B.dec.reflectance-psnr</t>
  </si>
  <si>
    <t>col.C1 losslG,lossyA,intra.B.enc.utime</t>
  </si>
  <si>
    <t>col.C1 losslG,lossyA,intra.B.dec.utime</t>
  </si>
  <si>
    <t>col.C1 losslG,lossyA,intra.eqn.ab.delta-geom_texture_bits_ratio</t>
  </si>
  <si>
    <t>col.C1 losslG,lossyA,intra.eqn.ab.summary-delta-geom_texture_bits_ratio</t>
  </si>
  <si>
    <t>col.C1 losslG,lossyA,intra.eqn.ab.bdrate-y-attrrate</t>
  </si>
  <si>
    <t>col.C1 losslG,lossyA,intra.eqn.ab.bdrate-cb-attrrate</t>
  </si>
  <si>
    <t>col.C1 losslG,lossyA,intra.eqn.ab.bdrate-cr-attrrate</t>
  </si>
  <si>
    <t>col.C1 losslG,lossyA,intra.eqn.ab.bdrate-reflectance-attrrate</t>
  </si>
  <si>
    <t>col.C1 losslG,lossyA,intra.eqn.ab.bdrate-y</t>
  </si>
  <si>
    <t>col.C1 losslG,lossyA,intra.eqn.ab.bdrate-cb</t>
  </si>
  <si>
    <t>col.C1 losslG,lossyA,intra.eqn.ab.bdrate-cr</t>
  </si>
  <si>
    <t>col.C1 losslG,lossyA,intra.eqn.ab.bdrate-reflectance</t>
  </si>
  <si>
    <t>name.A.C1 losslG,lossyA,intra</t>
  </si>
  <si>
    <t>'C1 losslG,lossyA,intra'!$I$1</t>
  </si>
  <si>
    <t>name.B.C1 losslG,lossyA,intra</t>
  </si>
  <si>
    <t>'C1 losslG,lossyA,intra'!$AA$1</t>
  </si>
  <si>
    <t>range.C1 losslG,lossyA,intra.basketball_player_vox11_00000200</t>
  </si>
  <si>
    <t>'C1 losslG,lossyA,intra'!$A$5:$BD$10</t>
  </si>
  <si>
    <t>range.C1 losslG,lossyA,intra.boxer_viewdep_vox12</t>
  </si>
  <si>
    <t>'C1 losslG,lossyA,intra'!$A$11:$BD$16</t>
  </si>
  <si>
    <t>range.C1 losslG,lossyA,intra.dancer_vox11_00000001</t>
  </si>
  <si>
    <t>'C1 losslG,lossyA,intra'!$A$17:$BD$22</t>
  </si>
  <si>
    <t>range.C1 losslG,lossyA,intra.egyptian_mask_vox12</t>
  </si>
  <si>
    <t>'C1 losslG,lossyA,intra'!$A$23:$BD$28</t>
  </si>
  <si>
    <t>range.C1 losslG,lossyA,intra.facade_00009_vox12</t>
  </si>
  <si>
    <t>'C1 losslG,lossyA,intra'!$A$29:$BD$34</t>
  </si>
  <si>
    <t>range.C1 losslG,lossyA,intra.facade_00015_vox14</t>
  </si>
  <si>
    <t>'C1 losslG,lossyA,intra'!$A$35:$BD$40</t>
  </si>
  <si>
    <t>range.C1 losslG,lossyA,intra.facade_00064_vox11</t>
  </si>
  <si>
    <t>'C1 losslG,lossyA,intra'!$A$41:$BD$46</t>
  </si>
  <si>
    <t>range.C1 losslG,lossyA,intra.frog_00067_vox12</t>
  </si>
  <si>
    <t>'C1 losslG,lossyA,intra'!$A$47:$BD$52</t>
  </si>
  <si>
    <t>range.C1 losslG,lossyA,intra.head_00039_vox12</t>
  </si>
  <si>
    <t>'C1 losslG,lossyA,intra'!$A$53:$BD$58</t>
  </si>
  <si>
    <t>range.C1 losslG,lossyA,intra.house_without_roof_00057_vox12</t>
  </si>
  <si>
    <t>'C1 losslG,lossyA,intra'!$A$59:$BD$64</t>
  </si>
  <si>
    <t>range.C1 losslG,lossyA,intra.longdress_viewdep_vox12</t>
  </si>
  <si>
    <t>'C1 losslG,lossyA,intra'!$A$65:$BD$70</t>
  </si>
  <si>
    <t>range.C1 losslG,lossyA,intra.longdress_vox10_1300</t>
  </si>
  <si>
    <t>'C1 losslG,lossyA,intra'!$A$71:$BD$76</t>
  </si>
  <si>
    <t>range.C1 losslG,lossyA,intra.loot_viewdep_vox12</t>
  </si>
  <si>
    <t>'C1 losslG,lossyA,intra'!$A$77:$BD$82</t>
  </si>
  <si>
    <t>range.C1 losslG,lossyA,intra.loot_vox10_1200</t>
  </si>
  <si>
    <t>'C1 losslG,lossyA,intra'!$A$83:$BD$88</t>
  </si>
  <si>
    <t>range.C1 losslG,lossyA,intra.queen_0200</t>
  </si>
  <si>
    <t>'C1 losslG,lossyA,intra'!$A$89:$BD$94</t>
  </si>
  <si>
    <t>range.C1 losslG,lossyA,intra.redandblack_viewdep_vox12</t>
  </si>
  <si>
    <t>'C1 losslG,lossyA,intra'!$A$95:$BD$100</t>
  </si>
  <si>
    <t>range.C1 losslG,lossyA,intra.redandblack_vox10_1550</t>
  </si>
  <si>
    <t>'C1 losslG,lossyA,intra'!$A$101:$BD$106</t>
  </si>
  <si>
    <t>range.C1 losslG,lossyA,intra.shiva_00035_vox12</t>
  </si>
  <si>
    <t>'C1 losslG,lossyA,intra'!$A$107:$BD$112</t>
  </si>
  <si>
    <t>range.C1 losslG,lossyA,intra.soldier_viewdep_vox12</t>
  </si>
  <si>
    <t>'C1 losslG,lossyA,intra'!$A$113:$BD$118</t>
  </si>
  <si>
    <t>range.C1 losslG,lossyA,intra.soldier_vox10_0690</t>
  </si>
  <si>
    <t>'C1 losslG,lossyA,intra'!$A$119:$BD$124</t>
  </si>
  <si>
    <t>range.C1 losslG,lossyA,intra.thaidancer_viewdep_vox12</t>
  </si>
  <si>
    <t>'C1 losslG,lossyA,intra'!$A$125:$BD$130</t>
  </si>
  <si>
    <t>range.C1 losslG,lossyA,intra.ulb_unicorn_vox13</t>
  </si>
  <si>
    <t>'C1 losslG,lossyA,intra'!$A$131:$BD$136</t>
  </si>
  <si>
    <t>range.C1 losslG,lossyA,intra.arco_valentino_dense_vox12</t>
  </si>
  <si>
    <t>'C1 losslG,lossyA,intra'!$A$137:$BD$142</t>
  </si>
  <si>
    <t>range.C1 losslG,lossyA,intra.arco_valentino_dense_vox20</t>
  </si>
  <si>
    <t>'C1 losslG,lossyA,intra'!$A$143:$BD$148</t>
  </si>
  <si>
    <t>range.C1 losslG,lossyA,intra.egyptian_mask_vox20</t>
  </si>
  <si>
    <t>'C1 losslG,lossyA,intra'!$A$149:$BD$154</t>
  </si>
  <si>
    <t>range.C1 losslG,lossyA,intra.facade_00009_vox20</t>
  </si>
  <si>
    <t>'C1 losslG,lossyA,intra'!$A$155:$BD$160</t>
  </si>
  <si>
    <t>range.C1 losslG,lossyA,intra.facade_00015_vox20</t>
  </si>
  <si>
    <t>'C1 losslG,lossyA,intra'!$A$161:$BD$166</t>
  </si>
  <si>
    <t>range.C1 losslG,lossyA,intra.facade_00064_vox14</t>
  </si>
  <si>
    <t>'C1 losslG,lossyA,intra'!$A$167:$BD$172</t>
  </si>
  <si>
    <t>range.C1 losslG,lossyA,intra.facade_00064_vox20</t>
  </si>
  <si>
    <t>'C1 losslG,lossyA,intra'!$A$173:$BD$178</t>
  </si>
  <si>
    <t>range.C1 losslG,lossyA,intra.frog_00067_vox20</t>
  </si>
  <si>
    <t>'C1 losslG,lossyA,intra'!$A$179:$BD$184</t>
  </si>
  <si>
    <t>range.C1 losslG,lossyA,intra.head_00039_vox20</t>
  </si>
  <si>
    <t>'C1 losslG,lossyA,intra'!$A$185:$BD$190</t>
  </si>
  <si>
    <t>range.C1 losslG,lossyA,intra.house_without_roof_00057_vox20</t>
  </si>
  <si>
    <t>'C1 losslG,lossyA,intra'!$A$191:$BD$196</t>
  </si>
  <si>
    <t>range.C1 losslG,lossyA,intra.landscape_00014_vox14</t>
  </si>
  <si>
    <t>'C1 losslG,lossyA,intra'!$A$197:$BD$202</t>
  </si>
  <si>
    <t>range.C1 losslG,lossyA,intra.landscape_00014_vox20</t>
  </si>
  <si>
    <t>'C1 losslG,lossyA,intra'!$A$203:$BD$208</t>
  </si>
  <si>
    <t>range.C1 losslG,lossyA,intra.palazzo_carignano_dense_vox14</t>
  </si>
  <si>
    <t>'C1 losslG,lossyA,intra'!$A$209:$BD$214</t>
  </si>
  <si>
    <t>range.C1 losslG,lossyA,intra.palazzo_carignano_dense_vox20</t>
  </si>
  <si>
    <t>'C1 losslG,lossyA,intra'!$A$215:$BD$220</t>
  </si>
  <si>
    <t>range.C1 losslG,lossyA,intra.shiva_00035_vox20</t>
  </si>
  <si>
    <t>'C1 losslG,lossyA,intra'!$A$221:$BD$226</t>
  </si>
  <si>
    <t>range.C1 losslG,lossyA,intra.stanford_area_2_vox16</t>
  </si>
  <si>
    <t>'C1 losslG,lossyA,intra'!$A$227:$BD$232</t>
  </si>
  <si>
    <t>range.C1 losslG,lossyA,intra.stanford_area_2_vox20</t>
  </si>
  <si>
    <t>'C1 losslG,lossyA,intra'!$A$233:$BD$238</t>
  </si>
  <si>
    <t>range.C1 losslG,lossyA,intra.stanford_area_4_vox16</t>
  </si>
  <si>
    <t>'C1 losslG,lossyA,intra'!$A$239:$BD$244</t>
  </si>
  <si>
    <t>range.C1 losslG,lossyA,intra.stanford_area_4_vox20</t>
  </si>
  <si>
    <t>'C1 losslG,lossyA,intra'!$A$245:$BD$250</t>
  </si>
  <si>
    <t>range.C1 losslG,lossyA,intra.staue_klimt_vox12</t>
  </si>
  <si>
    <t>'C1 losslG,lossyA,intra'!$A$251:$BD$256</t>
  </si>
  <si>
    <t>range.C1 losslG,lossyA,intra.staue_klimt_vox20</t>
  </si>
  <si>
    <t>'C1 losslG,lossyA,intra'!$A$257:$BD$262</t>
  </si>
  <si>
    <t>range.C1 losslG,lossyA,intra.ulb_unicorn_hires_vox15</t>
  </si>
  <si>
    <t>'C1 losslG,lossyA,intra'!$A$263:$BD$268</t>
  </si>
  <si>
    <t>range.C1 losslG,lossyA,intra.ulb_unicorn_hires_vox20</t>
  </si>
  <si>
    <t>'C1 losslG,lossyA,intra'!$A$269:$BD$274</t>
  </si>
  <si>
    <t>range.C1 losslG,lossyA,intra.ulb_unicorn_vox20</t>
  </si>
  <si>
    <t>'C1 losslG,lossyA,intra'!$A$275:$BD$280</t>
  </si>
  <si>
    <t>range.C1 losslG,lossyA,intra.citytunnel_q1mm</t>
  </si>
  <si>
    <t>'C1 losslG,lossyA,intra'!$A$281:$BD$286</t>
  </si>
  <si>
    <t>range.C1 losslG,lossyA,intra.overpass_q1mm</t>
  </si>
  <si>
    <t>'C1 losslG,lossyA,intra'!$A$287:$BD$292</t>
  </si>
  <si>
    <t>range.C1 losslG,lossyA,intra.tollbooth_q1mm</t>
  </si>
  <si>
    <t>'C1 losslG,lossyA,intra'!$A$293:$BD$298</t>
  </si>
  <si>
    <t>range.C1 losslG,lossyA,intra.ford_01_q1mm</t>
  </si>
  <si>
    <t>'C1 losslG,lossyA,intra'!$A$299:$BD$304</t>
  </si>
  <si>
    <t>range.C1 losslG,lossyA,intra.ford_02_q1mm</t>
  </si>
  <si>
    <t>'C1 losslG,lossyA,intra'!$A$305:$BD$310</t>
  </si>
  <si>
    <t>range.C1 losslG,lossyA,intra.ford_03_q1mm</t>
  </si>
  <si>
    <t>'C1 losslG,lossyA,intra'!$A$311:$BD$316</t>
  </si>
  <si>
    <t>range.C1 losslG,lossyA,intra.qnxadas-junction-approach</t>
  </si>
  <si>
    <t>'C1 losslG,lossyA,intra'!$A$317:$BD$322</t>
  </si>
  <si>
    <t>range.C1 losslG,lossyA,intra.qnxadas-junction-exit</t>
  </si>
  <si>
    <t>'C1 losslG,lossyA,intra'!$A$323:$BD$328</t>
  </si>
  <si>
    <t>range.C1 losslG,lossyA,intra.qnxadas-motorway-join</t>
  </si>
  <si>
    <t>'C1 losslG,lossyA,intra'!$A$329:$BD$334</t>
  </si>
  <si>
    <t>range.C1 losslG,lossyA,intra.qnxadas-navigating-bends</t>
  </si>
  <si>
    <t>'C1 losslG,lossyA,intra'!$A$335:$BD$340</t>
  </si>
  <si>
    <t>cols.C1 losslG,lossyA,intra</t>
  </si>
  <si>
    <t>col.C2 lossyG,lossyA,intra.class</t>
  </si>
  <si>
    <t>col.C2 lossyG,lossyA,intra.sequence</t>
  </si>
  <si>
    <t>col.C2 lossyG,lossyA,intra.variant</t>
  </si>
  <si>
    <t>col.C2 lossyG,lossyA,intra.src.numpoints</t>
  </si>
  <si>
    <t>col.C2 lossyG,lossyA,intra.src.geometry-precision</t>
  </si>
  <si>
    <t>col.C2 lossyG,lossyA,intra.src.framecount</t>
  </si>
  <si>
    <t>col.C2 lossyG,lossyA,intra.src.framerate</t>
  </si>
  <si>
    <t>col.C2 lossyG,lossyA,intra.A.eqn.bitrate</t>
  </si>
  <si>
    <t>col.C2 lossyG,lossyA,intra.A.eqn.bpp</t>
  </si>
  <si>
    <t>col.C2 lossyG,lossyA,intra.A.eqn.bpp.geometry</t>
  </si>
  <si>
    <t>col.C2 lossyG,lossyA,intra.A.eqn.bpp.colour</t>
  </si>
  <si>
    <t>col.C2 lossyG,lossyA,intra.A.eqn.bpp.reflectance</t>
  </si>
  <si>
    <t>col.C2 lossyG,lossyA,intra.A.eqn.bpop</t>
  </si>
  <si>
    <t>col.C2 lossyG,lossyA,intra.A.dec.numpoints</t>
  </si>
  <si>
    <t>col.C2 lossyG,lossyA,intra.A.enc.ext.bits</t>
  </si>
  <si>
    <t>col.C2 lossyG,lossyA,intra.A.enc.bits.geometry</t>
  </si>
  <si>
    <t>col.C2 lossyG,lossyA,intra.A.enc.bits.colour</t>
  </si>
  <si>
    <t>col.C2 lossyG,lossyA,intra.A.enc.bits.reflectance</t>
  </si>
  <si>
    <t>col.C2 lossyG,lossyA,intra.A.dec.d1-psnr</t>
  </si>
  <si>
    <t>col.C2 lossyG,lossyA,intra.A.dec.d2-psnr</t>
  </si>
  <si>
    <t>col.C2 lossyG,lossyA,intra.A.dec.y-psnr</t>
  </si>
  <si>
    <t>col.C2 lossyG,lossyA,intra.A.dec.cb-psnr</t>
  </si>
  <si>
    <t>col.C2 lossyG,lossyA,intra.A.dec.cr-psnr</t>
  </si>
  <si>
    <t>col.C2 lossyG,lossyA,intra.A.dec.reflectance-psnr</t>
  </si>
  <si>
    <t>col.C2 lossyG,lossyA,intra.A.enc.utime</t>
  </si>
  <si>
    <t>col.C2 lossyG,lossyA,intra.A.dec.utime</t>
  </si>
  <si>
    <t>col.C2 lossyG,lossyA,intra.B.eqn.bitrate</t>
  </si>
  <si>
    <t>col.C2 lossyG,lossyA,intra.B.eqn.bpp</t>
  </si>
  <si>
    <t>col.C2 lossyG,lossyA,intra.B.eqn.bpp.geometry</t>
  </si>
  <si>
    <t>col.C2 lossyG,lossyA,intra.B.eqn.bpp.colour</t>
  </si>
  <si>
    <t>col.C2 lossyG,lossyA,intra.B.eqn.bpp.reflectance</t>
  </si>
  <si>
    <t>col.C2 lossyG,lossyA,intra.B.eqn.bpop</t>
  </si>
  <si>
    <t>col.C2 lossyG,lossyA,intra.B.dec.numpoints</t>
  </si>
  <si>
    <t>col.C2 lossyG,lossyA,intra.B.enc.ext.bits</t>
  </si>
  <si>
    <t>col.C2 lossyG,lossyA,intra.B.enc.bits.geometry</t>
  </si>
  <si>
    <t>col.C2 lossyG,lossyA,intra.B.enc.bits.colour</t>
  </si>
  <si>
    <t>col.C2 lossyG,lossyA,intra.B.enc.bits.reflectance</t>
  </si>
  <si>
    <t>col.C2 lossyG,lossyA,intra.B.dec.d1-psnr</t>
  </si>
  <si>
    <t>col.C2 lossyG,lossyA,intra.B.dec.d2-psnr</t>
  </si>
  <si>
    <t>col.C2 lossyG,lossyA,intra.B.dec.y-psnr</t>
  </si>
  <si>
    <t>col.C2 lossyG,lossyA,intra.B.dec.cb-psnr</t>
  </si>
  <si>
    <t>col.C2 lossyG,lossyA,intra.B.dec.cr-psnr</t>
  </si>
  <si>
    <t>col.C2 lossyG,lossyA,intra.B.dec.reflectance-psnr</t>
  </si>
  <si>
    <t>col.C2 lossyG,lossyA,intra.B.enc.utime</t>
  </si>
  <si>
    <t>col.C2 lossyG,lossyA,intra.B.dec.utime</t>
  </si>
  <si>
    <t>col.C2 lossyG,lossyA,intra.eqn.ab.delta-geom_texture_bits_ratio</t>
  </si>
  <si>
    <t>col.C2 lossyG,lossyA,intra.eqn.ab.summary-delta-geom_texture_bits_ratio</t>
  </si>
  <si>
    <t>col.C2 lossyG,lossyA,intra.eqn.ab.bdrate-d1-geomrate</t>
  </si>
  <si>
    <t>col.C2 lossyG,lossyA,intra.eqn.ab.bdrate-d2-geomrate</t>
  </si>
  <si>
    <t>col.C2 lossyG,lossyA,intra.eqn.ab.bdrate-y-attrrate</t>
  </si>
  <si>
    <t>col.C2 lossyG,lossyA,intra.eqn.ab.bdrate-cb-attrrate</t>
  </si>
  <si>
    <t>col.C2 lossyG,lossyA,intra.eqn.ab.bdrate-cr-attrrate</t>
  </si>
  <si>
    <t>col.C2 lossyG,lossyA,intra.eqn.ab.bdrate-reflectance-attrrate</t>
  </si>
  <si>
    <t>col.C2 lossyG,lossyA,intra.eqn.ab.bdrate-d1</t>
  </si>
  <si>
    <t>col.C2 lossyG,lossyA,intra.eqn.ab.bdrate-d2</t>
  </si>
  <si>
    <t>col.C2 lossyG,lossyA,intra.eqn.ab.bdrate-y</t>
  </si>
  <si>
    <t>col.C2 lossyG,lossyA,intra.eqn.ab.bdrate-cb</t>
  </si>
  <si>
    <t>col.C2 lossyG,lossyA,intra.eqn.ab.bdrate-cr</t>
  </si>
  <si>
    <t>col.C2 lossyG,lossyA,intra.eqn.ab.bdrate-reflectance</t>
  </si>
  <si>
    <t>name.A.C2 lossyG,lossyA,intra</t>
  </si>
  <si>
    <t>'C2 lossyG,lossyA,intra'!$I$1</t>
  </si>
  <si>
    <t>name.B.C2 lossyG,lossyA,intra</t>
  </si>
  <si>
    <t>'C2 lossyG,lossyA,intra'!$AC$1</t>
  </si>
  <si>
    <t>range.C2 lossyG,lossyA,intra.basketball_player_vox11_00000200</t>
  </si>
  <si>
    <t>'C2 lossyG,lossyA,intra'!$A$5:$BL$10</t>
  </si>
  <si>
    <t>range.C2 lossyG,lossyA,intra.boxer_viewdep_vox12</t>
  </si>
  <si>
    <t>'C2 lossyG,lossyA,intra'!$A$11:$BL$16</t>
  </si>
  <si>
    <t>range.C2 lossyG,lossyA,intra.dancer_vox11_00000001</t>
  </si>
  <si>
    <t>'C2 lossyG,lossyA,intra'!$A$17:$BL$22</t>
  </si>
  <si>
    <t>range.C2 lossyG,lossyA,intra.egyptian_mask_vox12</t>
  </si>
  <si>
    <t>'C2 lossyG,lossyA,intra'!$A$23:$BL$28</t>
  </si>
  <si>
    <t>range.C2 lossyG,lossyA,intra.facade_00009_vox12</t>
  </si>
  <si>
    <t>'C2 lossyG,lossyA,intra'!$A$29:$BL$34</t>
  </si>
  <si>
    <t>range.C2 lossyG,lossyA,intra.facade_00015_vox14</t>
  </si>
  <si>
    <t>'C2 lossyG,lossyA,intra'!$A$35:$BL$40</t>
  </si>
  <si>
    <t>range.C2 lossyG,lossyA,intra.facade_00064_vox11</t>
  </si>
  <si>
    <t>'C2 lossyG,lossyA,intra'!$A$41:$BL$46</t>
  </si>
  <si>
    <t>range.C2 lossyG,lossyA,intra.frog_00067_vox12</t>
  </si>
  <si>
    <t>'C2 lossyG,lossyA,intra'!$A$47:$BL$52</t>
  </si>
  <si>
    <t>range.C2 lossyG,lossyA,intra.head_00039_vox12</t>
  </si>
  <si>
    <t>'C2 lossyG,lossyA,intra'!$A$53:$BL$58</t>
  </si>
  <si>
    <t>range.C2 lossyG,lossyA,intra.house_without_roof_00057_vox12</t>
  </si>
  <si>
    <t>'C2 lossyG,lossyA,intra'!$A$59:$BL$64</t>
  </si>
  <si>
    <t>range.C2 lossyG,lossyA,intra.longdress_viewdep_vox12</t>
  </si>
  <si>
    <t>'C2 lossyG,lossyA,intra'!$A$65:$BL$70</t>
  </si>
  <si>
    <t>range.C2 lossyG,lossyA,intra.longdress_vox10_1300</t>
  </si>
  <si>
    <t>'C2 lossyG,lossyA,intra'!$A$71:$BL$76</t>
  </si>
  <si>
    <t>range.C2 lossyG,lossyA,intra.loot_viewdep_vox12</t>
  </si>
  <si>
    <t>'C2 lossyG,lossyA,intra'!$A$77:$BL$82</t>
  </si>
  <si>
    <t>range.C2 lossyG,lossyA,intra.loot_vox10_1200</t>
  </si>
  <si>
    <t>'C2 lossyG,lossyA,intra'!$A$83:$BL$88</t>
  </si>
  <si>
    <t>range.C2 lossyG,lossyA,intra.queen_0200</t>
  </si>
  <si>
    <t>'C2 lossyG,lossyA,intra'!$A$89:$BL$94</t>
  </si>
  <si>
    <t>range.C2 lossyG,lossyA,intra.redandblack_viewdep_vox12</t>
  </si>
  <si>
    <t>'C2 lossyG,lossyA,intra'!$A$95:$BL$100</t>
  </si>
  <si>
    <t>range.C2 lossyG,lossyA,intra.redandblack_vox10_1550</t>
  </si>
  <si>
    <t>'C2 lossyG,lossyA,intra'!$A$101:$BL$106</t>
  </si>
  <si>
    <t>range.C2 lossyG,lossyA,intra.shiva_00035_vox12</t>
  </si>
  <si>
    <t>'C2 lossyG,lossyA,intra'!$A$107:$BL$112</t>
  </si>
  <si>
    <t>range.C2 lossyG,lossyA,intra.soldier_viewdep_vox12</t>
  </si>
  <si>
    <t>'C2 lossyG,lossyA,intra'!$A$113:$BL$118</t>
  </si>
  <si>
    <t>range.C2 lossyG,lossyA,intra.soldier_vox10_0690</t>
  </si>
  <si>
    <t>'C2 lossyG,lossyA,intra'!$A$119:$BL$124</t>
  </si>
  <si>
    <t>range.C2 lossyG,lossyA,intra.thaidancer_viewdep_vox12</t>
  </si>
  <si>
    <t>'C2 lossyG,lossyA,intra'!$A$125:$BL$130</t>
  </si>
  <si>
    <t>range.C2 lossyG,lossyA,intra.ulb_unicorn_vox13</t>
  </si>
  <si>
    <t>'C2 lossyG,lossyA,intra'!$A$131:$BL$136</t>
  </si>
  <si>
    <t>range.C2 lossyG,lossyA,intra.arco_valentino_dense_vox12</t>
  </si>
  <si>
    <t>'C2 lossyG,lossyA,intra'!$A$137:$BL$142</t>
  </si>
  <si>
    <t>range.C2 lossyG,lossyA,intra.arco_valentino_dense_vox20</t>
  </si>
  <si>
    <t>'C2 lossyG,lossyA,intra'!$A$143:$BL$148</t>
  </si>
  <si>
    <t>range.C2 lossyG,lossyA,intra.egyptian_mask_vox20</t>
  </si>
  <si>
    <t>'C2 lossyG,lossyA,intra'!$A$149:$BL$154</t>
  </si>
  <si>
    <t>range.C2 lossyG,lossyA,intra.facade_00009_vox20</t>
  </si>
  <si>
    <t>'C2 lossyG,lossyA,intra'!$A$155:$BL$160</t>
  </si>
  <si>
    <t>range.C2 lossyG,lossyA,intra.facade_00015_vox20</t>
  </si>
  <si>
    <t>'C2 lossyG,lossyA,intra'!$A$161:$BL$166</t>
  </si>
  <si>
    <t>range.C2 lossyG,lossyA,intra.facade_00064_vox14</t>
  </si>
  <si>
    <t>'C2 lossyG,lossyA,intra'!$A$167:$BL$172</t>
  </si>
  <si>
    <t>range.C2 lossyG,lossyA,intra.facade_00064_vox20</t>
  </si>
  <si>
    <t>'C2 lossyG,lossyA,intra'!$A$173:$BL$178</t>
  </si>
  <si>
    <t>range.C2 lossyG,lossyA,intra.frog_00067_vox20</t>
  </si>
  <si>
    <t>'C2 lossyG,lossyA,intra'!$A$179:$BL$184</t>
  </si>
  <si>
    <t>range.C2 lossyG,lossyA,intra.head_00039_vox20</t>
  </si>
  <si>
    <t>'C2 lossyG,lossyA,intra'!$A$185:$BL$190</t>
  </si>
  <si>
    <t>range.C2 lossyG,lossyA,intra.house_without_roof_00057_vox20</t>
  </si>
  <si>
    <t>'C2 lossyG,lossyA,intra'!$A$191:$BL$196</t>
  </si>
  <si>
    <t>range.C2 lossyG,lossyA,intra.landscape_00014_vox14</t>
  </si>
  <si>
    <t>'C2 lossyG,lossyA,intra'!$A$197:$BL$202</t>
  </si>
  <si>
    <t>range.C2 lossyG,lossyA,intra.landscape_00014_vox20</t>
  </si>
  <si>
    <t>'C2 lossyG,lossyA,intra'!$A$203:$BL$208</t>
  </si>
  <si>
    <t>range.C2 lossyG,lossyA,intra.palazzo_carignano_dense_vox14</t>
  </si>
  <si>
    <t>'C2 lossyG,lossyA,intra'!$A$209:$BL$214</t>
  </si>
  <si>
    <t>range.C2 lossyG,lossyA,intra.palazzo_carignano_dense_vox20</t>
  </si>
  <si>
    <t>'C2 lossyG,lossyA,intra'!$A$215:$BL$220</t>
  </si>
  <si>
    <t>range.C2 lossyG,lossyA,intra.shiva_00035_vox20</t>
  </si>
  <si>
    <t>'C2 lossyG,lossyA,intra'!$A$221:$BL$226</t>
  </si>
  <si>
    <t>range.C2 lossyG,lossyA,intra.stanford_area_2_vox16</t>
  </si>
  <si>
    <t>'C2 lossyG,lossyA,intra'!$A$227:$BL$232</t>
  </si>
  <si>
    <t>range.C2 lossyG,lossyA,intra.stanford_area_2_vox20</t>
  </si>
  <si>
    <t>'C2 lossyG,lossyA,intra'!$A$233:$BL$238</t>
  </si>
  <si>
    <t>range.C2 lossyG,lossyA,intra.stanford_area_4_vox16</t>
  </si>
  <si>
    <t>'C2 lossyG,lossyA,intra'!$A$239:$BL$244</t>
  </si>
  <si>
    <t>range.C2 lossyG,lossyA,intra.stanford_area_4_vox20</t>
  </si>
  <si>
    <t>'C2 lossyG,lossyA,intra'!$A$245:$BL$250</t>
  </si>
  <si>
    <t>range.C2 lossyG,lossyA,intra.staue_klimt_vox12</t>
  </si>
  <si>
    <t>'C2 lossyG,lossyA,intra'!$A$251:$BL$256</t>
  </si>
  <si>
    <t>range.C2 lossyG,lossyA,intra.staue_klimt_vox20</t>
  </si>
  <si>
    <t>'C2 lossyG,lossyA,intra'!$A$257:$BL$262</t>
  </si>
  <si>
    <t>range.C2 lossyG,lossyA,intra.ulb_unicorn_hires_vox15</t>
  </si>
  <si>
    <t>'C2 lossyG,lossyA,intra'!$A$263:$BL$268</t>
  </si>
  <si>
    <t>range.C2 lossyG,lossyA,intra.ulb_unicorn_hires_vox20</t>
  </si>
  <si>
    <t>'C2 lossyG,lossyA,intra'!$A$269:$BL$274</t>
  </si>
  <si>
    <t>range.C2 lossyG,lossyA,intra.ulb_unicorn_vox20</t>
  </si>
  <si>
    <t>'C2 lossyG,lossyA,intra'!$A$275:$BL$280</t>
  </si>
  <si>
    <t>range.C2 lossyG,lossyA,intra.citytunnel_q1mm</t>
  </si>
  <si>
    <t>'C2 lossyG,lossyA,intra'!$A$281:$BL$286</t>
  </si>
  <si>
    <t>range.C2 lossyG,lossyA,intra.overpass_q1mm</t>
  </si>
  <si>
    <t>'C2 lossyG,lossyA,intra'!$A$287:$BL$292</t>
  </si>
  <si>
    <t>range.C2 lossyG,lossyA,intra.tollbooth_q1mm</t>
  </si>
  <si>
    <t>'C2 lossyG,lossyA,intra'!$A$293:$BL$298</t>
  </si>
  <si>
    <t>range.C2 lossyG,lossyA,intra.ford_01_q1mm</t>
  </si>
  <si>
    <t>'C2 lossyG,lossyA,intra'!$A$299:$BL$304</t>
  </si>
  <si>
    <t>range.C2 lossyG,lossyA,intra.ford_02_q1mm</t>
  </si>
  <si>
    <t>'C2 lossyG,lossyA,intra'!$A$305:$BL$310</t>
  </si>
  <si>
    <t>range.C2 lossyG,lossyA,intra.ford_03_q1mm</t>
  </si>
  <si>
    <t>'C2 lossyG,lossyA,intra'!$A$311:$BL$316</t>
  </si>
  <si>
    <t>range.C2 lossyG,lossyA,intra.qnxadas-junction-approach</t>
  </si>
  <si>
    <t>'C2 lossyG,lossyA,intra'!$A$317:$BL$322</t>
  </si>
  <si>
    <t>range.C2 lossyG,lossyA,intra.qnxadas-junction-exit</t>
  </si>
  <si>
    <t>'C2 lossyG,lossyA,intra'!$A$323:$BL$328</t>
  </si>
  <si>
    <t>range.C2 lossyG,lossyA,intra.qnxadas-motorway-join</t>
  </si>
  <si>
    <t>'C2 lossyG,lossyA,intra'!$A$329:$BL$334</t>
  </si>
  <si>
    <t>range.C2 lossyG,lossyA,intra.qnxadas-navigating-bends</t>
  </si>
  <si>
    <t>'C2 lossyG,lossyA,intra'!$A$335:$BL$340</t>
  </si>
  <si>
    <t>cols.C2 lossyG,lossyA,intra</t>
  </si>
  <si>
    <t>col.CW losslG,losslA,intra.class</t>
  </si>
  <si>
    <t>col.CW losslG,losslA,intra.sequence</t>
  </si>
  <si>
    <t>col.CW losslG,losslA,intra.src.numpoints</t>
  </si>
  <si>
    <t>col.CW losslG,losslA,intra.src.geometry-precision</t>
  </si>
  <si>
    <t>col.CW losslG,losslA,intra.src.framecount</t>
  </si>
  <si>
    <t>col.CW losslG,losslA,intra.src.framerate</t>
  </si>
  <si>
    <t>col.CW losslG,losslA,intra.A.eqn.compratio</t>
  </si>
  <si>
    <t>col.CW losslG,losslA,intra.A.eqn.bitrate</t>
  </si>
  <si>
    <t>col.CW losslG,losslA,intra.A.eqn.bpp</t>
  </si>
  <si>
    <t>col.CW losslG,losslA,intra.A.eqn.bpp.geometry</t>
  </si>
  <si>
    <t>col.CW losslG,losslA,intra.A.eqn.bpp.colour</t>
  </si>
  <si>
    <t>col.CW losslG,losslA,intra.A.eqn.bpp.reflectance</t>
  </si>
  <si>
    <t>col.CW losslG,losslA,intra.A.eqn.bpop</t>
  </si>
  <si>
    <t>col.CW losslG,losslA,intra.A.dec.numpoints</t>
  </si>
  <si>
    <t>col.CW losslG,losslA,intra.A.enc.ext.bits</t>
  </si>
  <si>
    <t>col.CW losslG,losslA,intra.A.enc.bits.geometry</t>
  </si>
  <si>
    <t>col.CW losslG,losslA,intra.A.enc.bits.colour</t>
  </si>
  <si>
    <t>col.CW losslG,losslA,intra.A.enc.bits.reflectance</t>
  </si>
  <si>
    <t>col.CW losslG,losslA,intra.A.enc.utime</t>
  </si>
  <si>
    <t>col.CW losslG,losslA,intra.A.dec.utime</t>
  </si>
  <si>
    <t>col.CW losslG,losslA,intra.B.eqn.compratio</t>
  </si>
  <si>
    <t>col.CW losslG,losslA,intra.B.eqn.bitrate</t>
  </si>
  <si>
    <t>col.CW losslG,losslA,intra.B.eqn.bpp</t>
  </si>
  <si>
    <t>col.CW losslG,losslA,intra.B.eqn.bpp.geometry</t>
  </si>
  <si>
    <t>col.CW losslG,losslA,intra.B.eqn.bpp.colour</t>
  </si>
  <si>
    <t>col.CW losslG,losslA,intra.B.eqn.bpp.reflectance</t>
  </si>
  <si>
    <t>col.CW losslG,losslA,intra.B.eqn.bpop</t>
  </si>
  <si>
    <t>col.CW losslG,losslA,intra.B.dec.numpoints</t>
  </si>
  <si>
    <t>col.CW losslG,losslA,intra.B.enc.ext.bits</t>
  </si>
  <si>
    <t>col.CW losslG,losslA,intra.B.enc.bits.geometry</t>
  </si>
  <si>
    <t>col.CW losslG,losslA,intra.B.enc.bits.colour</t>
  </si>
  <si>
    <t>col.CW losslG,losslA,intra.B.enc.bits.reflectance</t>
  </si>
  <si>
    <t>col.CW losslG,losslA,intra.B.enc.utime</t>
  </si>
  <si>
    <t>col.CW losslG,losslA,intra.B.dec.utime</t>
  </si>
  <si>
    <t>col.CW losslG,losslA,intra.eqn.ab.ratio-bpp</t>
  </si>
  <si>
    <t>col.CW losslG,losslA,intra.eqn.ab.ratio-bpp-geometry</t>
  </si>
  <si>
    <t>col.CW losslG,losslA,intra.eqn.ab.ratio-bpp-colour</t>
  </si>
  <si>
    <t>col.CW losslG,losslA,intra.eqn.ab.ratio-bpp-reflectance</t>
  </si>
  <si>
    <t>col.CW losslG,losslA,intra.eqn.ab.delta-geom_texture_bits_ratio</t>
  </si>
  <si>
    <t>col.CW losslG,losslA,intra.eqn.ab.summary-delta-geom_texture_bits_ratio</t>
  </si>
  <si>
    <t>name.A.CW losslG,losslA,intra</t>
  </si>
  <si>
    <t>'CW losslG,losslA,intra'!$H$1</t>
  </si>
  <si>
    <t>name.B.CW losslG,losslA,intra</t>
  </si>
  <si>
    <t>'CW losslG,losslA,intra'!$W$1</t>
  </si>
  <si>
    <t>range.CW losslG,losslA,intra.basketball_player_vox11_00000200</t>
  </si>
  <si>
    <t>'CW losslG,losslA,intra'!$A$5:$AQ$5</t>
  </si>
  <si>
    <t>range.CW losslG,losslA,intra.boxer_viewdep_vox12</t>
  </si>
  <si>
    <t>'CW losslG,losslA,intra'!$A$6:$AQ$6</t>
  </si>
  <si>
    <t>range.CW losslG,losslA,intra.dancer_vox11_00000001</t>
  </si>
  <si>
    <t>'CW losslG,losslA,intra'!$A$7:$AQ$7</t>
  </si>
  <si>
    <t>range.CW losslG,losslA,intra.egyptian_mask_vox12</t>
  </si>
  <si>
    <t>'CW losslG,losslA,intra'!$A$8:$AQ$8</t>
  </si>
  <si>
    <t>range.CW losslG,losslA,intra.facade_00009_vox12</t>
  </si>
  <si>
    <t>'CW losslG,losslA,intra'!$A$9:$AQ$9</t>
  </si>
  <si>
    <t>range.CW losslG,losslA,intra.facade_00015_vox14</t>
  </si>
  <si>
    <t>'CW losslG,losslA,intra'!$A$10:$AQ$10</t>
  </si>
  <si>
    <t>range.CW losslG,losslA,intra.facade_00064_vox11</t>
  </si>
  <si>
    <t>'CW losslG,losslA,intra'!$A$11:$AQ$11</t>
  </si>
  <si>
    <t>range.CW losslG,losslA,intra.frog_00067_vox12</t>
  </si>
  <si>
    <t>'CW losslG,losslA,intra'!$A$12:$AQ$12</t>
  </si>
  <si>
    <t>range.CW losslG,losslA,intra.head_00039_vox12</t>
  </si>
  <si>
    <t>'CW losslG,losslA,intra'!$A$13:$AQ$13</t>
  </si>
  <si>
    <t>range.CW losslG,losslA,intra.house_without_roof_00057_vox12</t>
  </si>
  <si>
    <t>'CW losslG,losslA,intra'!$A$14:$AQ$14</t>
  </si>
  <si>
    <t>range.CW losslG,losslA,intra.longdress_viewdep_vox12</t>
  </si>
  <si>
    <t>'CW losslG,losslA,intra'!$A$15:$AQ$15</t>
  </si>
  <si>
    <t>range.CW losslG,losslA,intra.longdress_vox10_1300</t>
  </si>
  <si>
    <t>'CW losslG,losslA,intra'!$A$16:$AQ$16</t>
  </si>
  <si>
    <t>range.CW losslG,losslA,intra.loot_viewdep_vox12</t>
  </si>
  <si>
    <t>'CW losslG,losslA,intra'!$A$17:$AQ$17</t>
  </si>
  <si>
    <t>range.CW losslG,losslA,intra.loot_vox10_1200</t>
  </si>
  <si>
    <t>'CW losslG,losslA,intra'!$A$18:$AQ$18</t>
  </si>
  <si>
    <t>range.CW losslG,losslA,intra.queen_0200</t>
  </si>
  <si>
    <t>'CW losslG,losslA,intra'!$A$19:$AQ$19</t>
  </si>
  <si>
    <t>range.CW losslG,losslA,intra.redandblack_viewdep_vox12</t>
  </si>
  <si>
    <t>'CW losslG,losslA,intra'!$A$20:$AQ$20</t>
  </si>
  <si>
    <t>range.CW losslG,losslA,intra.redandblack_vox10_1550</t>
  </si>
  <si>
    <t>'CW losslG,losslA,intra'!$A$21:$AQ$21</t>
  </si>
  <si>
    <t>range.CW losslG,losslA,intra.shiva_00035_vox12</t>
  </si>
  <si>
    <t>'CW losslG,losslA,intra'!$A$22:$AQ$22</t>
  </si>
  <si>
    <t>range.CW losslG,losslA,intra.soldier_viewdep_vox12</t>
  </si>
  <si>
    <t>'CW losslG,losslA,intra'!$A$23:$AQ$23</t>
  </si>
  <si>
    <t>range.CW losslG,losslA,intra.soldier_vox10_0690</t>
  </si>
  <si>
    <t>'CW losslG,losslA,intra'!$A$24:$AQ$24</t>
  </si>
  <si>
    <t>range.CW losslG,losslA,intra.thaidancer_viewdep_vox12</t>
  </si>
  <si>
    <t>'CW losslG,losslA,intra'!$A$25:$AQ$25</t>
  </si>
  <si>
    <t>range.CW losslG,losslA,intra.ulb_unicorn_vox13</t>
  </si>
  <si>
    <t>'CW losslG,losslA,intra'!$A$26:$AQ$26</t>
  </si>
  <si>
    <t>range.CW losslG,losslA,intra.arco_valentino_dense_vox12</t>
  </si>
  <si>
    <t>'CW losslG,losslA,intra'!$A$27:$AQ$27</t>
  </si>
  <si>
    <t>range.CW losslG,losslA,intra.arco_valentino_dense_vox20</t>
  </si>
  <si>
    <t>'CW losslG,losslA,intra'!$A$28:$AQ$28</t>
  </si>
  <si>
    <t>range.CW losslG,losslA,intra.egyptian_mask_vox20</t>
  </si>
  <si>
    <t>'CW losslG,losslA,intra'!$A$29:$AQ$29</t>
  </si>
  <si>
    <t>range.CW losslG,losslA,intra.facade_00009_vox20</t>
  </si>
  <si>
    <t>'CW losslG,losslA,intra'!$A$30:$AQ$30</t>
  </si>
  <si>
    <t>range.CW losslG,losslA,intra.facade_00015_vox20</t>
  </si>
  <si>
    <t>'CW losslG,losslA,intra'!$A$31:$AQ$31</t>
  </si>
  <si>
    <t>range.CW losslG,losslA,intra.facade_00064_vox14</t>
  </si>
  <si>
    <t>'CW losslG,losslA,intra'!$A$32:$AQ$32</t>
  </si>
  <si>
    <t>range.CW losslG,losslA,intra.facade_00064_vox20</t>
  </si>
  <si>
    <t>'CW losslG,losslA,intra'!$A$33:$AQ$33</t>
  </si>
  <si>
    <t>range.CW losslG,losslA,intra.frog_00067_vox20</t>
  </si>
  <si>
    <t>'CW losslG,losslA,intra'!$A$34:$AQ$34</t>
  </si>
  <si>
    <t>range.CW losslG,losslA,intra.head_00039_vox20</t>
  </si>
  <si>
    <t>'CW losslG,losslA,intra'!$A$35:$AQ$35</t>
  </si>
  <si>
    <t>range.CW losslG,losslA,intra.house_without_roof_00057_vox20</t>
  </si>
  <si>
    <t>'CW losslG,losslA,intra'!$A$36:$AQ$36</t>
  </si>
  <si>
    <t>range.CW losslG,losslA,intra.landscape_00014_vox14</t>
  </si>
  <si>
    <t>'CW losslG,losslA,intra'!$A$37:$AQ$37</t>
  </si>
  <si>
    <t>range.CW losslG,losslA,intra.landscape_00014_vox20</t>
  </si>
  <si>
    <t>'CW losslG,losslA,intra'!$A$38:$AQ$38</t>
  </si>
  <si>
    <t>range.CW losslG,losslA,intra.palazzo_carignano_dense_vox14</t>
  </si>
  <si>
    <t>'CW losslG,losslA,intra'!$A$39:$AQ$39</t>
  </si>
  <si>
    <t>range.CW losslG,losslA,intra.palazzo_carignano_dense_vox20</t>
  </si>
  <si>
    <t>'CW losslG,losslA,intra'!$A$40:$AQ$40</t>
  </si>
  <si>
    <t>range.CW losslG,losslA,intra.shiva_00035_vox20</t>
  </si>
  <si>
    <t>'CW losslG,losslA,intra'!$A$41:$AQ$41</t>
  </si>
  <si>
    <t>range.CW losslG,losslA,intra.stanford_area_2_vox16</t>
  </si>
  <si>
    <t>'CW losslG,losslA,intra'!$A$42:$AQ$42</t>
  </si>
  <si>
    <t>range.CW losslG,losslA,intra.stanford_area_2_vox20</t>
  </si>
  <si>
    <t>'CW losslG,losslA,intra'!$A$43:$AQ$43</t>
  </si>
  <si>
    <t>range.CW losslG,losslA,intra.stanford_area_4_vox16</t>
  </si>
  <si>
    <t>'CW losslG,losslA,intra'!$A$44:$AQ$44</t>
  </si>
  <si>
    <t>range.CW losslG,losslA,intra.stanford_area_4_vox20</t>
  </si>
  <si>
    <t>'CW losslG,losslA,intra'!$A$45:$AQ$45</t>
  </si>
  <si>
    <t>range.CW losslG,losslA,intra.staue_klimt_vox12</t>
  </si>
  <si>
    <t>'CW losslG,losslA,intra'!$A$46:$AQ$46</t>
  </si>
  <si>
    <t>range.CW losslG,losslA,intra.staue_klimt_vox20</t>
  </si>
  <si>
    <t>'CW losslG,losslA,intra'!$A$47:$AQ$47</t>
  </si>
  <si>
    <t>range.CW losslG,losslA,intra.ulb_unicorn_hires_vox15</t>
  </si>
  <si>
    <t>'CW losslG,losslA,intra'!$A$48:$AQ$48</t>
  </si>
  <si>
    <t>range.CW losslG,losslA,intra.ulb_unicorn_hires_vox20</t>
  </si>
  <si>
    <t>'CW losslG,losslA,intra'!$A$49:$AQ$49</t>
  </si>
  <si>
    <t>range.CW losslG,losslA,intra.ulb_unicorn_vox20</t>
  </si>
  <si>
    <t>'CW losslG,losslA,intra'!$A$50:$AQ$50</t>
  </si>
  <si>
    <t>range.CW losslG,losslA,intra.citytunnel_q1mm</t>
  </si>
  <si>
    <t>'CW losslG,losslA,intra'!$A$51:$AQ$51</t>
  </si>
  <si>
    <t>range.CW losslG,losslA,intra.overpass_q1mm</t>
  </si>
  <si>
    <t>'CW losslG,losslA,intra'!$A$52:$AQ$52</t>
  </si>
  <si>
    <t>range.CW losslG,losslA,intra.tollbooth_q1mm</t>
  </si>
  <si>
    <t>'CW losslG,losslA,intra'!$A$53:$AQ$53</t>
  </si>
  <si>
    <t>range.CW losslG,losslA,intra.ford_01_q1mm</t>
  </si>
  <si>
    <t>'CW losslG,losslA,intra'!$A$54:$AQ$54</t>
  </si>
  <si>
    <t>range.CW losslG,losslA,intra.ford_02_q1mm</t>
  </si>
  <si>
    <t>'CW losslG,losslA,intra'!$A$55:$AQ$55</t>
  </si>
  <si>
    <t>range.CW losslG,losslA,intra.ford_03_q1mm</t>
  </si>
  <si>
    <t>'CW losslG,losslA,intra'!$A$56:$AQ$56</t>
  </si>
  <si>
    <t>range.CW losslG,losslA,intra.qnxadas-junction-approach</t>
  </si>
  <si>
    <t>'CW losslG,losslA,intra'!$A$57:$AQ$57</t>
  </si>
  <si>
    <t>range.CW losslG,losslA,intra.qnxadas-junction-exit</t>
  </si>
  <si>
    <t>'CW losslG,losslA,intra'!$A$58:$AQ$58</t>
  </si>
  <si>
    <t>range.CW losslG,losslA,intra.qnxadas-motorway-join</t>
  </si>
  <si>
    <t>'CW losslG,losslA,intra'!$A$59:$AQ$59</t>
  </si>
  <si>
    <t>range.CW losslG,losslA,intra.qnxadas-navigating-bends</t>
  </si>
  <si>
    <t>'CW losslG,losslA,intra'!$A$60:$AQ$60</t>
  </si>
  <si>
    <t>cols.CW losslG,losslA,intra</t>
  </si>
  <si>
    <t>col.CY losslG,nearllA,intra.class</t>
  </si>
  <si>
    <t>col.CY losslG,nearllA,intra.sequence</t>
  </si>
  <si>
    <t>col.CY losslG,nearllA,intra.variant</t>
  </si>
  <si>
    <t>col.CY losslG,nearllA,intra.src.numpoints</t>
  </si>
  <si>
    <t>col.CY losslG,nearllA,intra.src.geometry-precision</t>
  </si>
  <si>
    <t>col.CY losslG,nearllA,intra.src.framecount</t>
  </si>
  <si>
    <t>col.CY losslG,nearllA,intra.src.framerate</t>
  </si>
  <si>
    <t>col.CY losslG,nearllA,intra.A.eqn.bitrate</t>
  </si>
  <si>
    <t>col.CY losslG,nearllA,intra.A.eqn.bpp</t>
  </si>
  <si>
    <t>col.CY losslG,nearllA,intra.A.eqn.bpp.geometry</t>
  </si>
  <si>
    <t>col.CY losslG,nearllA,intra.A.eqn.bpp.colour</t>
  </si>
  <si>
    <t>col.CY losslG,nearllA,intra.A.eqn.bpp.reflectance</t>
  </si>
  <si>
    <t>col.CY losslG,nearllA,intra.A.eqn.bpop</t>
  </si>
  <si>
    <t>col.CY losslG,nearllA,intra.A.dec.numpoints</t>
  </si>
  <si>
    <t>col.CY losslG,nearllA,intra.A.enc.ext.bits</t>
  </si>
  <si>
    <t>col.CY losslG,nearllA,intra.A.enc.bits.geometry</t>
  </si>
  <si>
    <t>col.CY losslG,nearllA,intra.A.enc.bits.colour</t>
  </si>
  <si>
    <t>col.CY losslG,nearllA,intra.A.enc.bits.reflectance</t>
  </si>
  <si>
    <t>col.CY losslG,nearllA,intra.A.dec.y-psnr</t>
  </si>
  <si>
    <t>col.CY losslG,nearllA,intra.A.dec.cb-psnr</t>
  </si>
  <si>
    <t>col.CY losslG,nearllA,intra.A.dec.cr-psnr</t>
  </si>
  <si>
    <t>col.CY losslG,nearllA,intra.A.dec.reflectance-psnr</t>
  </si>
  <si>
    <t>col.CY losslG,nearllA,intra.A.dec.y-hpsnr</t>
  </si>
  <si>
    <t>col.CY losslG,nearllA,intra.A.dec.cb-hpsnr</t>
  </si>
  <si>
    <t>col.CY losslG,nearllA,intra.A.dec.cr-hpsnr</t>
  </si>
  <si>
    <t>col.CY losslG,nearllA,intra.A.dec.reflectance-hpsnr</t>
  </si>
  <si>
    <t>col.CY losslG,nearllA,intra.A.enc.utime</t>
  </si>
  <si>
    <t>col.CY losslG,nearllA,intra.A.dec.utime</t>
  </si>
  <si>
    <t>col.CY losslG,nearllA,intra.B.eqn.bitrate</t>
  </si>
  <si>
    <t>col.CY losslG,nearllA,intra.B.eqn.bpp</t>
  </si>
  <si>
    <t>col.CY losslG,nearllA,intra.B.eqn.bpp.geometry</t>
  </si>
  <si>
    <t>col.CY losslG,nearllA,intra.B.eqn.bpp.colour</t>
  </si>
  <si>
    <t>col.CY losslG,nearllA,intra.B.eqn.bpp.reflectance</t>
  </si>
  <si>
    <t>col.CY losslG,nearllA,intra.B.eqn.bpop</t>
  </si>
  <si>
    <t>col.CY losslG,nearllA,intra.B.dec.numpoints</t>
  </si>
  <si>
    <t>col.CY losslG,nearllA,intra.B.enc.ext.bits</t>
  </si>
  <si>
    <t>col.CY losslG,nearllA,intra.B.enc.bits.geometry</t>
  </si>
  <si>
    <t>col.CY losslG,nearllA,intra.B.enc.bits.colour</t>
  </si>
  <si>
    <t>col.CY losslG,nearllA,intra.B.enc.bits.reflectance</t>
  </si>
  <si>
    <t>col.CY losslG,nearllA,intra.B.dec.y-psnr</t>
  </si>
  <si>
    <t>col.CY losslG,nearllA,intra.B.dec.cb-psnr</t>
  </si>
  <si>
    <t>col.CY losslG,nearllA,intra.B.dec.cr-psnr</t>
  </si>
  <si>
    <t>col.CY losslG,nearllA,intra.B.dec.reflectance-psnr</t>
  </si>
  <si>
    <t>col.CY losslG,nearllA,intra.B.dec.y-hpsnr</t>
  </si>
  <si>
    <t>col.CY losslG,nearllA,intra.B.dec.cb-hpsnr</t>
  </si>
  <si>
    <t>col.CY losslG,nearllA,intra.B.dec.cr-hpsnr</t>
  </si>
  <si>
    <t>col.CY losslG,nearllA,intra.B.dec.reflectance-hpsnr</t>
  </si>
  <si>
    <t>col.CY losslG,nearllA,intra.B.enc.utime</t>
  </si>
  <si>
    <t>col.CY losslG,nearllA,intra.B.dec.utime</t>
  </si>
  <si>
    <t>col.CY losslG,nearllA,intra.eqn.ab.delta-geom_texture_bits_ratio</t>
  </si>
  <si>
    <t>col.CY losslG,nearllA,intra.eqn.ab.summary-delta-geom_texture_bits_ratio</t>
  </si>
  <si>
    <t>col.CY losslG,nearllA,intra.eqn.ab.bdrate-y-attrrate</t>
  </si>
  <si>
    <t>col.CY losslG,nearllA,intra.eqn.ab.bdrate-cb-attrrate</t>
  </si>
  <si>
    <t>col.CY losslG,nearllA,intra.eqn.ab.bdrate-cr-attrrate</t>
  </si>
  <si>
    <t>col.CY losslG,nearllA,intra.eqn.ab.bdrate-reflectance-attrrate</t>
  </si>
  <si>
    <t>col.CY losslG,nearllA,intra.eqn.ab.bdrate-hy-attrrate</t>
  </si>
  <si>
    <t>col.CY losslG,nearllA,intra.eqn.ab.bdrate-hcb-attrrate</t>
  </si>
  <si>
    <t>col.CY losslG,nearllA,intra.eqn.ab.bdrate-hcr-attrrate</t>
  </si>
  <si>
    <t>col.CY losslG,nearllA,intra.eqn.ab.bdrate-hreflectance-attrrate</t>
  </si>
  <si>
    <t>col.CY losslG,nearllA,intra.eqn.ab.bdrate-y</t>
  </si>
  <si>
    <t>col.CY losslG,nearllA,intra.eqn.ab.bdrate-cb</t>
  </si>
  <si>
    <t>col.CY losslG,nearllA,intra.eqn.ab.bdrate-cr</t>
  </si>
  <si>
    <t>col.CY losslG,nearllA,intra.eqn.ab.bdrate-reflectance</t>
  </si>
  <si>
    <t>col.CY losslG,nearllA,intra.eqn.ab.bdrate-hy</t>
  </si>
  <si>
    <t>col.CY losslG,nearllA,intra.eqn.ab.bdrate-hcb</t>
  </si>
  <si>
    <t>col.CY losslG,nearllA,intra.eqn.ab.bdrate-hcr</t>
  </si>
  <si>
    <t>col.CY losslG,nearllA,intra.eqn.ab.bdrate-hreflectance</t>
  </si>
  <si>
    <t>name.A.CY losslG,nearllA,intra</t>
  </si>
  <si>
    <t>'CY losslG,nearllA,intra'!$I$1</t>
  </si>
  <si>
    <t>name.B.CY losslG,nearllA,intra</t>
  </si>
  <si>
    <t>'CY losslG,nearllA,intra'!$AE$1</t>
  </si>
  <si>
    <t>range.CY losslG,nearllA,intra.basketball_player_vox11_00000200</t>
  </si>
  <si>
    <t>'CY losslG,nearllA,intra'!$A$5:$BV$9</t>
  </si>
  <si>
    <t>range.CY losslG,nearllA,intra.boxer_viewdep_vox12</t>
  </si>
  <si>
    <t>'CY losslG,nearllA,intra'!$A$10:$BV$14</t>
  </si>
  <si>
    <t>range.CY losslG,nearllA,intra.dancer_vox11_00000001</t>
  </si>
  <si>
    <t>'CY losslG,nearllA,intra'!$A$15:$BV$19</t>
  </si>
  <si>
    <t>range.CY losslG,nearllA,intra.egyptian_mask_vox12</t>
  </si>
  <si>
    <t>'CY losslG,nearllA,intra'!$A$20:$BV$24</t>
  </si>
  <si>
    <t>range.CY losslG,nearllA,intra.facade_00009_vox12</t>
  </si>
  <si>
    <t>'CY losslG,nearllA,intra'!$A$25:$BV$29</t>
  </si>
  <si>
    <t>range.CY losslG,nearllA,intra.facade_00015_vox14</t>
  </si>
  <si>
    <t>'CY losslG,nearllA,intra'!$A$30:$BV$34</t>
  </si>
  <si>
    <t>range.CY losslG,nearllA,intra.facade_00064_vox11</t>
  </si>
  <si>
    <t>'CY losslG,nearllA,intra'!$A$35:$BV$39</t>
  </si>
  <si>
    <t>range.CY losslG,nearllA,intra.frog_00067_vox12</t>
  </si>
  <si>
    <t>'CY losslG,nearllA,intra'!$A$40:$BV$44</t>
  </si>
  <si>
    <t>range.CY losslG,nearllA,intra.head_00039_vox12</t>
  </si>
  <si>
    <t>'CY losslG,nearllA,intra'!$A$45:$BV$49</t>
  </si>
  <si>
    <t>range.CY losslG,nearllA,intra.house_without_roof_00057_vox12</t>
  </si>
  <si>
    <t>'CY losslG,nearllA,intra'!$A$50:$BV$54</t>
  </si>
  <si>
    <t>range.CY losslG,nearllA,intra.longdress_viewdep_vox12</t>
  </si>
  <si>
    <t>'CY losslG,nearllA,intra'!$A$55:$BV$59</t>
  </si>
  <si>
    <t>range.CY losslG,nearllA,intra.longdress_vox10_1300</t>
  </si>
  <si>
    <t>'CY losslG,nearllA,intra'!$A$60:$BV$64</t>
  </si>
  <si>
    <t>range.CY losslG,nearllA,intra.loot_viewdep_vox12</t>
  </si>
  <si>
    <t>'CY losslG,nearllA,intra'!$A$65:$BV$69</t>
  </si>
  <si>
    <t>range.CY losslG,nearllA,intra.loot_vox10_1200</t>
  </si>
  <si>
    <t>'CY losslG,nearllA,intra'!$A$70:$BV$74</t>
  </si>
  <si>
    <t>range.CY losslG,nearllA,intra.queen_0200</t>
  </si>
  <si>
    <t>'CY losslG,nearllA,intra'!$A$75:$BV$79</t>
  </si>
  <si>
    <t>range.CY losslG,nearllA,intra.redandblack_viewdep_vox12</t>
  </si>
  <si>
    <t>'CY losslG,nearllA,intra'!$A$80:$BV$84</t>
  </si>
  <si>
    <t>range.CY losslG,nearllA,intra.redandblack_vox10_1550</t>
  </si>
  <si>
    <t>'CY losslG,nearllA,intra'!$A$85:$BV$89</t>
  </si>
  <si>
    <t>range.CY losslG,nearllA,intra.shiva_00035_vox12</t>
  </si>
  <si>
    <t>'CY losslG,nearllA,intra'!$A$90:$BV$94</t>
  </si>
  <si>
    <t>range.CY losslG,nearllA,intra.soldier_viewdep_vox12</t>
  </si>
  <si>
    <t>'CY losslG,nearllA,intra'!$A$95:$BV$99</t>
  </si>
  <si>
    <t>range.CY losslG,nearllA,intra.soldier_vox10_0690</t>
  </si>
  <si>
    <t>'CY losslG,nearllA,intra'!$A$100:$BV$104</t>
  </si>
  <si>
    <t>range.CY losslG,nearllA,intra.thaidancer_viewdep_vox12</t>
  </si>
  <si>
    <t>'CY losslG,nearllA,intra'!$A$105:$BV$109</t>
  </si>
  <si>
    <t>range.CY losslG,nearllA,intra.ulb_unicorn_vox13</t>
  </si>
  <si>
    <t>'CY losslG,nearllA,intra'!$A$110:$BV$114</t>
  </si>
  <si>
    <t>range.CY losslG,nearllA,intra.arco_valentino_dense_vox12</t>
  </si>
  <si>
    <t>'CY losslG,nearllA,intra'!$A$115:$BV$119</t>
  </si>
  <si>
    <t>range.CY losslG,nearllA,intra.arco_valentino_dense_vox20</t>
  </si>
  <si>
    <t>'CY losslG,nearllA,intra'!$A$120:$BV$124</t>
  </si>
  <si>
    <t>range.CY losslG,nearllA,intra.egyptian_mask_vox20</t>
  </si>
  <si>
    <t>'CY losslG,nearllA,intra'!$A$125:$BV$129</t>
  </si>
  <si>
    <t>range.CY losslG,nearllA,intra.facade_00009_vox20</t>
  </si>
  <si>
    <t>'CY losslG,nearllA,intra'!$A$130:$BV$134</t>
  </si>
  <si>
    <t>range.CY losslG,nearllA,intra.facade_00015_vox20</t>
  </si>
  <si>
    <t>'CY losslG,nearllA,intra'!$A$135:$BV$139</t>
  </si>
  <si>
    <t>range.CY losslG,nearllA,intra.facade_00064_vox14</t>
  </si>
  <si>
    <t>'CY losslG,nearllA,intra'!$A$140:$BV$144</t>
  </si>
  <si>
    <t>range.CY losslG,nearllA,intra.facade_00064_vox20</t>
  </si>
  <si>
    <t>'CY losslG,nearllA,intra'!$A$145:$BV$149</t>
  </si>
  <si>
    <t>range.CY losslG,nearllA,intra.frog_00067_vox20</t>
  </si>
  <si>
    <t>'CY losslG,nearllA,intra'!$A$150:$BV$154</t>
  </si>
  <si>
    <t>range.CY losslG,nearllA,intra.head_00039_vox20</t>
  </si>
  <si>
    <t>'CY losslG,nearllA,intra'!$A$155:$BV$159</t>
  </si>
  <si>
    <t>range.CY losslG,nearllA,intra.house_without_roof_00057_vox20</t>
  </si>
  <si>
    <t>'CY losslG,nearllA,intra'!$A$160:$BV$164</t>
  </si>
  <si>
    <t>range.CY losslG,nearllA,intra.landscape_00014_vox14</t>
  </si>
  <si>
    <t>'CY losslG,nearllA,intra'!$A$165:$BV$169</t>
  </si>
  <si>
    <t>range.CY losslG,nearllA,intra.landscape_00014_vox20</t>
  </si>
  <si>
    <t>'CY losslG,nearllA,intra'!$A$170:$BV$174</t>
  </si>
  <si>
    <t>range.CY losslG,nearllA,intra.palazzo_carignano_dense_vox14</t>
  </si>
  <si>
    <t>'CY losslG,nearllA,intra'!$A$175:$BV$179</t>
  </si>
  <si>
    <t>range.CY losslG,nearllA,intra.palazzo_carignano_dense_vox20</t>
  </si>
  <si>
    <t>'CY losslG,nearllA,intra'!$A$180:$BV$184</t>
  </si>
  <si>
    <t>range.CY losslG,nearllA,intra.shiva_00035_vox20</t>
  </si>
  <si>
    <t>'CY losslG,nearllA,intra'!$A$185:$BV$189</t>
  </si>
  <si>
    <t>range.CY losslG,nearllA,intra.stanford_area_2_vox16</t>
  </si>
  <si>
    <t>'CY losslG,nearllA,intra'!$A$190:$BV$194</t>
  </si>
  <si>
    <t>range.CY losslG,nearllA,intra.stanford_area_2_vox20</t>
  </si>
  <si>
    <t>'CY losslG,nearllA,intra'!$A$195:$BV$199</t>
  </si>
  <si>
    <t>range.CY losslG,nearllA,intra.stanford_area_4_vox16</t>
  </si>
  <si>
    <t>'CY losslG,nearllA,intra'!$A$200:$BV$204</t>
  </si>
  <si>
    <t>range.CY losslG,nearllA,intra.stanford_area_4_vox20</t>
  </si>
  <si>
    <t>'CY losslG,nearllA,intra'!$A$205:$BV$209</t>
  </si>
  <si>
    <t>range.CY losslG,nearllA,intra.staue_klimt_vox12</t>
  </si>
  <si>
    <t>'CY losslG,nearllA,intra'!$A$210:$BV$214</t>
  </si>
  <si>
    <t>range.CY losslG,nearllA,intra.staue_klimt_vox20</t>
  </si>
  <si>
    <t>'CY losslG,nearllA,intra'!$A$215:$BV$219</t>
  </si>
  <si>
    <t>range.CY losslG,nearllA,intra.ulb_unicorn_hires_vox15</t>
  </si>
  <si>
    <t>'CY losslG,nearllA,intra'!$A$220:$BV$224</t>
  </si>
  <si>
    <t>range.CY losslG,nearllA,intra.ulb_unicorn_hires_vox20</t>
  </si>
  <si>
    <t>'CY losslG,nearllA,intra'!$A$225:$BV$229</t>
  </si>
  <si>
    <t>range.CY losslG,nearllA,intra.ulb_unicorn_vox20</t>
  </si>
  <si>
    <t>'CY losslG,nearllA,intra'!$A$230:$BV$234</t>
  </si>
  <si>
    <t>range.CY losslG,nearllA,intra.citytunnel_q1mm</t>
  </si>
  <si>
    <t>'CY losslG,nearllA,intra'!$A$235:$BV$239</t>
  </si>
  <si>
    <t>range.CY losslG,nearllA,intra.overpass_q1mm</t>
  </si>
  <si>
    <t>'CY losslG,nearllA,intra'!$A$240:$BV$244</t>
  </si>
  <si>
    <t>range.CY losslG,nearllA,intra.tollbooth_q1mm</t>
  </si>
  <si>
    <t>'CY losslG,nearllA,intra'!$A$245:$BV$249</t>
  </si>
  <si>
    <t>range.CY losslG,nearllA,intra.ford_01_q1mm</t>
  </si>
  <si>
    <t>'CY losslG,nearllA,intra'!$A$250:$BV$254</t>
  </si>
  <si>
    <t>range.CY losslG,nearllA,intra.ford_02_q1mm</t>
  </si>
  <si>
    <t>'CY losslG,nearllA,intra'!$A$255:$BV$259</t>
  </si>
  <si>
    <t>range.CY losslG,nearllA,intra.ford_03_q1mm</t>
  </si>
  <si>
    <t>'CY losslG,nearllA,intra'!$A$260:$BV$264</t>
  </si>
  <si>
    <t>range.CY losslG,nearllA,intra.qnxadas-junction-approach</t>
  </si>
  <si>
    <t>'CY losslG,nearllA,intra'!$A$265:$BV$269</t>
  </si>
  <si>
    <t>range.CY losslG,nearllA,intra.qnxadas-junction-exit</t>
  </si>
  <si>
    <t>'CY losslG,nearllA,intra'!$A$270:$BV$274</t>
  </si>
  <si>
    <t>range.CY losslG,nearllA,intra.qnxadas-motorway-join</t>
  </si>
  <si>
    <t>'CY losslG,nearllA,intra'!$A$275:$BV$279</t>
  </si>
  <si>
    <t>range.CY losslG,nearllA,intra.qnxadas-navigating-bends</t>
  </si>
  <si>
    <t>'CY losslG,nearllA,intra'!$A$280:$BV$284</t>
  </si>
  <si>
    <t>cols.CY losslG,nearllA,intra</t>
  </si>
  <si>
    <t>C2_ai — lossy geometry, lossy attributes [all intra]</t>
  </si>
  <si>
    <t>Geometry PSNR [dB]</t>
  </si>
  <si>
    <t>Geom. BD‑TotalRate [%]</t>
  </si>
  <si>
    <t>A.dec.d1-psnr</t>
  </si>
  <si>
    <t>A.dec.d2-psnr</t>
  </si>
  <si>
    <t>B.dec.d1-psnr</t>
  </si>
  <si>
    <t>B.dec.d2-psnr</t>
  </si>
  <si>
    <t>eqn.ab.bdrate-d1-geomrate</t>
  </si>
  <si>
    <t>eqn.ab.bdrate-d2-geomrate</t>
  </si>
  <si>
    <t>eqn.ab.bdrate-d1</t>
  </si>
  <si>
    <t>eqn.ab.bdrate-d2</t>
  </si>
  <si>
    <t>CW_ai — lossless geometry, lossless attributes [all intra]</t>
  </si>
  <si>
    <t>Comp. ratio [%]</t>
  </si>
  <si>
    <t>A.eqn.compratio</t>
  </si>
  <si>
    <t>B.eqn.compratio</t>
  </si>
  <si>
    <t>eqn.ab.ratio-bpp</t>
  </si>
  <si>
    <t>eqn.ab.ratio-bpp-geometry</t>
  </si>
  <si>
    <t>eqn.ab.ratio-bpp-colour</t>
  </si>
  <si>
    <t>eqn.ab.ratio-bpp-reflectance</t>
  </si>
  <si>
    <t>CY_ai — lossless geometry, near-lossless attributes [all intra]</t>
  </si>
  <si>
    <t>EtE Hausdorff PSNR [dB]</t>
  </si>
  <si>
    <t>EtE Hausdorff BD‑TotalRate [%]</t>
  </si>
  <si>
    <t>A.dec.y-hpsnr</t>
  </si>
  <si>
    <t>A.dec.cb-hpsnr</t>
  </si>
  <si>
    <t>A.dec.cr-hpsnr</t>
  </si>
  <si>
    <t>A.dec.reflectance-hpsnr</t>
  </si>
  <si>
    <t>B.dec.y-hpsnr</t>
  </si>
  <si>
    <t>B.dec.cb-hpsnr</t>
  </si>
  <si>
    <t>B.dec.cr-hpsnr</t>
  </si>
  <si>
    <t>B.dec.reflectance-hpsnr</t>
  </si>
  <si>
    <t>eqn.ab.bdrate-hy-attrrate</t>
  </si>
  <si>
    <t>eqn.ab.bdrate-hcb-attrrate</t>
  </si>
  <si>
    <t>eqn.ab.bdrate-hcr-attrrate</t>
  </si>
  <si>
    <t>eqn.ab.bdrate-hreflectance-attrrate</t>
  </si>
  <si>
    <t>eqn.ab.bdrate-hy</t>
  </si>
  <si>
    <t>eqn.ab.bdrate-hcb</t>
  </si>
  <si>
    <t>eqn.ab.bdrate-hcr</t>
  </si>
  <si>
    <t>eqn.ab.bdrate-hreflectance</t>
  </si>
  <si>
    <r>
      <t>c</t>
    </r>
    <r>
      <rPr>
        <sz val="11"/>
        <color theme="1"/>
        <rFont val="宋体"/>
        <family val="3"/>
        <charset val="129"/>
        <scheme val="minor"/>
      </rPr>
      <t>ross-check</t>
    </r>
    <phoneticPr fontId="3" type="noConversion"/>
  </si>
  <si>
    <r>
      <t>c</t>
    </r>
    <r>
      <rPr>
        <sz val="11"/>
        <color theme="1"/>
        <rFont val="宋体"/>
        <family val="3"/>
        <charset val="129"/>
        <scheme val="minor"/>
      </rPr>
      <t>ross-check</t>
    </r>
    <phoneticPr fontId="3" type="noConversion"/>
  </si>
  <si>
    <t>№ output points</t>
    <phoneticPr fontId="3" type="noConversion"/>
  </si>
  <si>
    <r>
      <t>c</t>
    </r>
    <r>
      <rPr>
        <sz val="11"/>
        <color theme="1"/>
        <rFont val="宋体"/>
        <family val="3"/>
        <charset val="129"/>
        <scheme val="minor"/>
      </rPr>
      <t>ross-check</t>
    </r>
    <phoneticPr fontId="3" type="noConversion"/>
  </si>
  <si>
    <t>tmc3 version unconfirmed-release-9.1</t>
    <phoneticPr fontId="3" type="noConversion"/>
  </si>
  <si>
    <t>Test</t>
    <phoneticPr fontId="3" type="noConversion"/>
  </si>
  <si>
    <r>
      <t>tmc13</t>
    </r>
    <r>
      <rPr>
        <b/>
        <sz val="11"/>
        <color theme="1"/>
        <rFont val="宋体"/>
        <family val="3"/>
        <charset val="129"/>
        <scheme val="minor"/>
      </rPr>
      <t>v11.0</t>
    </r>
    <phoneticPr fontId="3" type="noConversion"/>
  </si>
  <si>
    <t>End-to-End BD‑AttrRate [%]</t>
    <phoneticPr fontId="3" type="noConversion"/>
  </si>
  <si>
    <t>m54701_simplified</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</si>
</sst>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0.000"/>
    <numFmt numFmtId="177" formatCode="[&gt;1000]0;[&gt;100]0.0;0.00"/>
    <numFmt numFmtId="178" formatCode="0.0%"/>
  </numFmts>
  <fonts count="7" x14ac:knownFonts="1">
    <font>
      <sz val="11"/>
      <color theme="1"/>
      <name val="宋体"/>
      <charset val="134"/>
      <scheme val="minor"/>
    </font>
    <font>
      <b/>
      <sz val="11"/>
      <color theme="1"/>
      <name val="宋体"/>
      <family val="3"/>
      <charset val="129"/>
      <scheme val="minor"/>
    </font>
    <font>
      <sz val="11"/>
      <name val="宋体"/>
      <family val="3"/>
      <charset val="129"/>
      <scheme val="minor"/>
    </font>
    <font>
      <sz val="8"/>
      <name val="宋体"/>
      <family val="3"/>
      <charset val="129"/>
      <scheme val="minor"/>
    </font>
    <font>
      <sz val="11"/>
      <color theme="1"/>
      <name val="宋体"/>
      <family val="3"/>
      <charset val="129"/>
      <scheme val="minor"/>
    </font>
    <font>
      <sz val="11"/>
      <color rgb="FF006100"/>
      <name val="宋体"/>
      <family val="2"/>
      <charset val="134"/>
      <scheme val="minor"/>
    </font>
    <font>
      <sz val="11"/>
      <color rgb="FF9C5700"/>
      <name val="宋体"/>
      <family val="2"/>
      <charset val="134"/>
      <scheme val="minor"/>
    </font>
  </fonts>
  <fills count="20">
    <fill>
      <patternFill patternType="none"/>
    </fill>
    <fill>
      <patternFill patternType="gray125"/>
    </fill>
    <fill>
      <patternFill patternType="solid">
        <fgColor rgb="FFC4BF97"/>
        <bgColor indexed="64"/>
      </patternFill>
    </fill>
    <fill>
      <patternFill patternType="solid">
        <fgColor rgb="FFA6A6A6"/>
        <bgColor indexed="64"/>
      </patternFill>
    </fill>
    <fill>
      <patternFill patternType="solid">
        <fgColor rgb="FFBFBFBF"/>
        <bgColor indexed="64"/>
      </patternFill>
    </fill>
    <fill>
      <patternFill patternType="solid">
        <fgColor rgb="FFF2F2F2"/>
        <bgColor indexed="64"/>
      </patternFill>
    </fill>
    <fill>
      <patternFill patternType="solid">
        <fgColor rgb="FFD9D9D9"/>
        <bgColor indexed="64"/>
      </patternFill>
    </fill>
    <fill>
      <patternFill patternType="solid">
        <fgColor rgb="FFDA9694"/>
        <bgColor indexed="64"/>
      </patternFill>
    </fill>
    <fill>
      <patternFill patternType="lightUp">
        <fgColor rgb="FF404040"/>
        <bgColor rgb="FFF2F2F2"/>
      </patternFill>
    </fill>
    <fill>
      <patternFill patternType="solid">
        <fgColor rgb="FFDCE6F1"/>
        <bgColor indexed="64"/>
      </patternFill>
    </fill>
    <fill>
      <patternFill patternType="lightUp">
        <fgColor rgb="FF404040"/>
        <bgColor rgb="FFD9D9D9"/>
      </patternFill>
    </fill>
    <fill>
      <patternFill patternType="solid">
        <fgColor rgb="FFB8CCE4"/>
        <bgColor indexed="64"/>
      </patternFill>
    </fill>
    <fill>
      <patternFill patternType="lightUp">
        <fgColor rgb="FF404040"/>
        <bgColor rgb="FFDCE6F1"/>
      </patternFill>
    </fill>
    <fill>
      <patternFill patternType="lightUp">
        <fgColor rgb="FF404040"/>
        <bgColor rgb="FFB8CCE4"/>
      </patternFill>
    </fill>
    <fill>
      <patternFill patternType="solid">
        <fgColor rgb="FFC4D796"/>
        <bgColor indexed="64"/>
      </patternFill>
    </fill>
    <fill>
      <patternFill patternType="lightUp">
        <fgColor rgb="FF404040"/>
      </patternFill>
    </fill>
    <fill>
      <patternFill patternType="solid">
        <fgColor rgb="FFFFFF00"/>
        <bgColor indexed="64"/>
      </patternFill>
    </fill>
    <fill>
      <patternFill patternType="solid">
        <fgColor theme="8" tint="0.79998168889431442"/>
        <bgColor indexed="64"/>
      </patternFill>
    </fill>
    <fill>
      <patternFill patternType="solid">
        <fgColor rgb="FFC6EFCE"/>
      </patternFill>
    </fill>
    <fill>
      <patternFill patternType="solid">
        <fgColor rgb="FFFFEB9C"/>
      </patternFill>
    </fill>
  </fills>
  <borders count="5">
    <border>
      <left/>
      <right/>
      <top/>
      <bottom/>
      <diagonal/>
    </border>
    <border>
      <left/>
      <right/>
      <top/>
      <bottom style="medium">
        <color auto="1"/>
      </bottom>
      <diagonal/>
    </border>
    <border>
      <left/>
      <right/>
      <top style="medium">
        <color auto="1"/>
      </top>
      <bottom style="medium">
        <color auto="1"/>
      </bottom>
      <diagonal/>
    </border>
    <border>
      <left/>
      <right/>
      <top style="medium">
        <color auto="1"/>
      </top>
      <bottom/>
      <diagonal/>
    </border>
    <border>
      <left/>
      <right/>
      <top style="thin">
        <color auto="1"/>
      </top>
      <bottom style="thin">
        <color auto="1"/>
      </bottom>
      <diagonal/>
    </border>
  </borders>
  <cellStyleXfs count="3">
    <xf numFmtId="0" fontId="0" fillId="0" borderId="0"/>
    <xf numFmtId="0" fontId="5" fillId="18" borderId="0" applyNumberFormat="0" applyBorder="0" applyAlignment="0" applyProtection="0">
      <alignment vertical="center"/>
    </xf>
    <xf numFmtId="0" fontId="6" fillId="19" borderId="0" applyNumberFormat="0" applyBorder="0" applyAlignment="0" applyProtection="0">
      <alignment vertical="center"/>
    </xf>
  </cellStyleXfs>
  <cellXfs count="100">
    <xf numFmtId="0" fontId="0" fillId="0" borderId="0" xfId="0"/>
    <xf numFmtId="0" fontId="1" fillId="3" borderId="1" xfId="0" applyFont="1" applyFill="1" applyBorder="1" applyAlignment="1">
      <alignment horizontal="center" wrapText="1"/>
    </xf>
    <xf numFmtId="0" fontId="1" fillId="4" borderId="1" xfId="0" applyFont="1" applyFill="1" applyBorder="1" applyAlignment="1">
      <alignment horizontal="center" wrapText="1"/>
    </xf>
    <xf numFmtId="0" fontId="1" fillId="3" borderId="1" xfId="0" applyFont="1" applyFill="1" applyBorder="1" applyAlignment="1">
      <alignment horizontal="center" textRotation="90" wrapText="1"/>
    </xf>
    <xf numFmtId="0" fontId="1" fillId="4" borderId="1" xfId="0" applyFont="1" applyFill="1" applyBorder="1" applyAlignment="1">
      <alignment horizontal="center" textRotation="90" wrapText="1"/>
    </xf>
    <xf numFmtId="0" fontId="0" fillId="5" borderId="0" xfId="0" applyFill="1"/>
    <xf numFmtId="0" fontId="0" fillId="5" borderId="0" xfId="0" applyFill="1" applyAlignment="1">
      <alignment horizontal="center"/>
    </xf>
    <xf numFmtId="1" fontId="0" fillId="5" borderId="0" xfId="0" applyNumberFormat="1" applyFill="1" applyAlignment="1">
      <alignment horizontal="center"/>
    </xf>
    <xf numFmtId="0" fontId="0" fillId="6" borderId="0" xfId="0" applyFill="1"/>
    <xf numFmtId="0" fontId="0" fillId="6" borderId="0" xfId="0" applyFill="1" applyAlignment="1">
      <alignment horizontal="center"/>
    </xf>
    <xf numFmtId="1" fontId="0" fillId="6" borderId="0" xfId="0" applyNumberFormat="1" applyFill="1" applyAlignment="1">
      <alignment horizontal="center"/>
    </xf>
    <xf numFmtId="0" fontId="0" fillId="5" borderId="1" xfId="0" applyFill="1" applyBorder="1"/>
    <xf numFmtId="0" fontId="0" fillId="5" borderId="1" xfId="0" applyFill="1" applyBorder="1" applyAlignment="1">
      <alignment horizontal="center"/>
    </xf>
    <xf numFmtId="1" fontId="0" fillId="5" borderId="1" xfId="0" applyNumberFormat="1" applyFill="1" applyBorder="1" applyAlignment="1">
      <alignment horizontal="center"/>
    </xf>
    <xf numFmtId="0" fontId="0" fillId="6" borderId="1" xfId="0" applyFill="1" applyBorder="1"/>
    <xf numFmtId="0" fontId="0" fillId="6" borderId="1" xfId="0" applyFill="1" applyBorder="1" applyAlignment="1">
      <alignment horizontal="center"/>
    </xf>
    <xf numFmtId="1" fontId="0" fillId="6" borderId="1" xfId="0" applyNumberFormat="1" applyFill="1" applyBorder="1" applyAlignment="1">
      <alignment horizontal="center"/>
    </xf>
    <xf numFmtId="176" fontId="0" fillId="5" borderId="0" xfId="0" applyNumberFormat="1" applyFill="1" applyAlignment="1">
      <alignment horizontal="center"/>
    </xf>
    <xf numFmtId="2" fontId="0" fillId="5"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1" fontId="0" fillId="9" borderId="0" xfId="0" applyNumberFormat="1" applyFill="1" applyAlignment="1">
      <alignment horizontal="center"/>
    </xf>
    <xf numFmtId="176" fontId="0" fillId="6" borderId="0" xfId="0" applyNumberFormat="1" applyFill="1" applyAlignment="1">
      <alignment horizontal="center"/>
    </xf>
    <xf numFmtId="2" fontId="0" fillId="6"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1" fontId="0" fillId="11" borderId="0" xfId="0" applyNumberFormat="1" applyFill="1" applyAlignment="1">
      <alignment horizontal="center"/>
    </xf>
    <xf numFmtId="176" fontId="0" fillId="5" borderId="1" xfId="0" applyNumberFormat="1" applyFill="1" applyBorder="1" applyAlignment="1">
      <alignment horizontal="center"/>
    </xf>
    <xf numFmtId="2" fontId="0" fillId="5" borderId="1" xfId="0" applyNumberFormat="1" applyFill="1" applyBorder="1" applyAlignment="1">
      <alignment horizontal="center"/>
    </xf>
    <xf numFmtId="2" fontId="0" fillId="8" borderId="1" xfId="0" applyNumberFormat="1" applyFill="1" applyBorder="1" applyAlignment="1">
      <alignment horizontal="center"/>
    </xf>
    <xf numFmtId="0" fontId="0" fillId="9" borderId="1" xfId="0" applyFill="1" applyBorder="1"/>
    <xf numFmtId="1" fontId="0" fillId="9" borderId="1" xfId="0" applyNumberFormat="1" applyFill="1" applyBorder="1" applyAlignment="1">
      <alignment horizontal="center"/>
    </xf>
    <xf numFmtId="176" fontId="0" fillId="6" borderId="1" xfId="0" applyNumberFormat="1" applyFill="1" applyBorder="1" applyAlignment="1">
      <alignment horizontal="center"/>
    </xf>
    <xf numFmtId="2" fontId="0" fillId="6" borderId="1" xfId="0" applyNumberFormat="1" applyFill="1" applyBorder="1" applyAlignment="1">
      <alignment horizontal="center"/>
    </xf>
    <xf numFmtId="2" fontId="0" fillId="10" borderId="1" xfId="0" applyNumberFormat="1" applyFill="1" applyBorder="1" applyAlignment="1">
      <alignment horizontal="center"/>
    </xf>
    <xf numFmtId="0" fontId="0" fillId="11" borderId="1" xfId="0" applyFill="1" applyBorder="1"/>
    <xf numFmtId="1" fontId="0" fillId="11" borderId="1" xfId="0" applyNumberFormat="1" applyFill="1" applyBorder="1" applyAlignment="1">
      <alignment horizontal="center"/>
    </xf>
    <xf numFmtId="1" fontId="0" fillId="12" borderId="0" xfId="0" applyNumberFormat="1" applyFill="1" applyAlignment="1">
      <alignment horizontal="center"/>
    </xf>
    <xf numFmtId="2" fontId="0" fillId="9" borderId="0" xfId="0" applyNumberFormat="1" applyFill="1" applyAlignment="1">
      <alignment horizontal="center"/>
    </xf>
    <xf numFmtId="2" fontId="0" fillId="12" borderId="0" xfId="0" applyNumberFormat="1" applyFill="1" applyAlignment="1">
      <alignment horizontal="center"/>
    </xf>
    <xf numFmtId="1" fontId="0" fillId="13" borderId="0" xfId="0" applyNumberFormat="1" applyFill="1" applyAlignment="1">
      <alignment horizontal="center"/>
    </xf>
    <xf numFmtId="2" fontId="0" fillId="11" borderId="0" xfId="0" applyNumberFormat="1" applyFill="1" applyAlignment="1">
      <alignment horizontal="center"/>
    </xf>
    <xf numFmtId="2" fontId="0" fillId="13" borderId="0" xfId="0" applyNumberFormat="1" applyFill="1" applyAlignment="1">
      <alignment horizontal="center"/>
    </xf>
    <xf numFmtId="1" fontId="0" fillId="12" borderId="1" xfId="0" applyNumberFormat="1" applyFill="1" applyBorder="1" applyAlignment="1">
      <alignment horizontal="center"/>
    </xf>
    <xf numFmtId="2" fontId="0" fillId="9" borderId="1" xfId="0" applyNumberFormat="1" applyFill="1" applyBorder="1" applyAlignment="1">
      <alignment horizontal="center"/>
    </xf>
    <xf numFmtId="2" fontId="0" fillId="12" borderId="1" xfId="0" applyNumberFormat="1" applyFill="1" applyBorder="1" applyAlignment="1">
      <alignment horizontal="center"/>
    </xf>
    <xf numFmtId="1" fontId="0" fillId="13" borderId="1" xfId="0" applyNumberFormat="1" applyFill="1" applyBorder="1" applyAlignment="1">
      <alignment horizontal="center"/>
    </xf>
    <xf numFmtId="2" fontId="0" fillId="11" borderId="1" xfId="0" applyNumberFormat="1" applyFill="1" applyBorder="1" applyAlignment="1">
      <alignment horizontal="center"/>
    </xf>
    <xf numFmtId="2" fontId="0" fillId="13" borderId="1" xfId="0" applyNumberFormat="1" applyFill="1" applyBorder="1" applyAlignment="1">
      <alignment horizontal="center"/>
    </xf>
    <xf numFmtId="177" fontId="0" fillId="9" borderId="0" xfId="0" applyNumberFormat="1" applyFill="1" applyAlignment="1">
      <alignment horizontal="center"/>
    </xf>
    <xf numFmtId="177" fontId="0" fillId="11" borderId="0" xfId="0" applyNumberFormat="1" applyFill="1" applyAlignment="1">
      <alignment horizontal="center"/>
    </xf>
    <xf numFmtId="177" fontId="0" fillId="9" borderId="1" xfId="0" applyNumberFormat="1" applyFill="1" applyBorder="1" applyAlignment="1">
      <alignment horizontal="center"/>
    </xf>
    <xf numFmtId="177" fontId="0" fillId="11" borderId="1" xfId="0" applyNumberFormat="1" applyFill="1" applyBorder="1" applyAlignment="1">
      <alignment horizontal="center"/>
    </xf>
    <xf numFmtId="9" fontId="0" fillId="5" borderId="0" xfId="0" applyNumberFormat="1" applyFill="1" applyAlignment="1">
      <alignment horizontal="center"/>
    </xf>
    <xf numFmtId="178" fontId="0" fillId="5" borderId="0" xfId="0" applyNumberFormat="1" applyFill="1" applyAlignment="1">
      <alignment horizontal="center"/>
    </xf>
    <xf numFmtId="9" fontId="0" fillId="6" borderId="0" xfId="0" applyNumberFormat="1" applyFill="1" applyAlignment="1">
      <alignment horizontal="center"/>
    </xf>
    <xf numFmtId="178" fontId="0" fillId="6" borderId="0" xfId="0" applyNumberFormat="1" applyFill="1" applyAlignment="1">
      <alignment horizontal="center"/>
    </xf>
    <xf numFmtId="9" fontId="0" fillId="5" borderId="1" xfId="0" applyNumberFormat="1" applyFill="1" applyBorder="1" applyAlignment="1">
      <alignment horizontal="center"/>
    </xf>
    <xf numFmtId="178" fontId="0" fillId="5" borderId="1" xfId="0" applyNumberFormat="1" applyFill="1" applyBorder="1" applyAlignment="1">
      <alignment horizontal="center"/>
    </xf>
    <xf numFmtId="9" fontId="0" fillId="6" borderId="1" xfId="0" applyNumberFormat="1" applyFill="1" applyBorder="1" applyAlignment="1">
      <alignment horizontal="center"/>
    </xf>
    <xf numFmtId="178" fontId="0" fillId="6" borderId="1" xfId="0" applyNumberFormat="1" applyFill="1" applyBorder="1" applyAlignment="1">
      <alignment horizontal="center"/>
    </xf>
    <xf numFmtId="178" fontId="0" fillId="8" borderId="0" xfId="0" applyNumberFormat="1" applyFill="1" applyAlignment="1">
      <alignment horizontal="center"/>
    </xf>
    <xf numFmtId="178" fontId="0" fillId="10" borderId="0" xfId="0" applyNumberFormat="1" applyFill="1" applyAlignment="1">
      <alignment horizontal="center"/>
    </xf>
    <xf numFmtId="178" fontId="0" fillId="8" borderId="1" xfId="0" applyNumberFormat="1" applyFill="1" applyBorder="1" applyAlignment="1">
      <alignment horizontal="center"/>
    </xf>
    <xf numFmtId="178" fontId="0" fillId="10" borderId="1"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2" fontId="0" fillId="15" borderId="0" xfId="0" applyNumberFormat="1" applyFill="1" applyAlignment="1">
      <alignment horizontal="center"/>
    </xf>
    <xf numFmtId="177" fontId="0" fillId="0" borderId="0" xfId="0" applyNumberFormat="1" applyAlignment="1">
      <alignment horizontal="center"/>
    </xf>
    <xf numFmtId="9" fontId="0" fillId="0" borderId="0" xfId="0" applyNumberFormat="1" applyAlignment="1">
      <alignment horizontal="center"/>
    </xf>
    <xf numFmtId="178" fontId="0" fillId="0" borderId="0" xfId="0" applyNumberFormat="1" applyAlignment="1">
      <alignment horizontal="center"/>
    </xf>
    <xf numFmtId="178" fontId="0" fillId="15" borderId="0" xfId="0" applyNumberFormat="1" applyFill="1" applyAlignment="1">
      <alignment horizontal="center"/>
    </xf>
    <xf numFmtId="0" fontId="2" fillId="5" borderId="0" xfId="0" applyFont="1" applyFill="1"/>
    <xf numFmtId="0" fontId="0" fillId="16" borderId="0" xfId="0" applyFill="1"/>
    <xf numFmtId="0" fontId="1" fillId="4" borderId="0" xfId="0" applyFont="1" applyFill="1"/>
    <xf numFmtId="0" fontId="1" fillId="4" borderId="1" xfId="0" applyFont="1" applyFill="1" applyBorder="1" applyAlignment="1">
      <alignment horizontal="center" vertical="center" wrapText="1"/>
    </xf>
    <xf numFmtId="0" fontId="1" fillId="0" borderId="4" xfId="0" applyFont="1" applyBorder="1"/>
    <xf numFmtId="178" fontId="0" fillId="0" borderId="4" xfId="0" applyNumberFormat="1" applyBorder="1" applyAlignment="1">
      <alignment horizontal="center"/>
    </xf>
    <xf numFmtId="0" fontId="0" fillId="0" borderId="1" xfId="0" applyBorder="1"/>
    <xf numFmtId="0" fontId="1" fillId="3" borderId="1" xfId="0" applyFont="1" applyFill="1" applyBorder="1" applyAlignment="1">
      <alignment horizontal="center" vertical="center" wrapText="1"/>
    </xf>
    <xf numFmtId="0" fontId="4" fillId="0" borderId="0" xfId="0" applyFont="1"/>
    <xf numFmtId="0" fontId="1" fillId="17" borderId="1" xfId="0" applyFont="1" applyFill="1" applyBorder="1" applyAlignment="1">
      <alignment horizontal="center" wrapText="1"/>
    </xf>
    <xf numFmtId="1" fontId="0" fillId="0" borderId="0" xfId="0" applyNumberFormat="1"/>
    <xf numFmtId="0" fontId="5" fillId="18" borderId="0" xfId="1" applyAlignment="1"/>
    <xf numFmtId="0" fontId="6" fillId="19" borderId="0" xfId="2" applyAlignment="1"/>
    <xf numFmtId="0" fontId="1" fillId="4" borderId="3" xfId="0" applyFont="1" applyFill="1" applyBorder="1" applyAlignment="1">
      <alignment horizontal="center" vertical="center" wrapText="1"/>
    </xf>
    <xf numFmtId="0" fontId="1" fillId="4" borderId="0" xfId="0" applyFont="1" applyFill="1" applyAlignment="1">
      <alignment horizontal="center" vertical="center" wrapText="1"/>
    </xf>
    <xf numFmtId="9" fontId="0" fillId="0" borderId="0" xfId="0" applyNumberFormat="1" applyAlignment="1">
      <alignment horizontal="center"/>
    </xf>
    <xf numFmtId="9" fontId="0" fillId="0" borderId="1" xfId="0" applyNumberFormat="1" applyBorder="1" applyAlignment="1">
      <alignment horizontal="center"/>
    </xf>
    <xf numFmtId="0" fontId="1" fillId="4" borderId="2" xfId="0" applyFont="1" applyFill="1" applyBorder="1" applyAlignment="1">
      <alignment horizontal="center" vertical="center" wrapText="1"/>
    </xf>
    <xf numFmtId="0" fontId="1" fillId="3" borderId="0" xfId="0" applyFont="1" applyFill="1" applyAlignment="1">
      <alignment horizontal="center" vertical="center" wrapText="1"/>
    </xf>
    <xf numFmtId="0" fontId="1" fillId="7" borderId="0" xfId="0" applyFont="1" applyFill="1" applyAlignment="1">
      <alignment horizontal="center" wrapText="1"/>
    </xf>
    <xf numFmtId="0" fontId="1" fillId="14" borderId="0" xfId="0" applyFont="1" applyFill="1" applyAlignment="1">
      <alignment horizontal="center" wrapText="1"/>
    </xf>
    <xf numFmtId="0" fontId="1" fillId="3" borderId="1" xfId="0" applyFont="1" applyFill="1" applyBorder="1" applyAlignment="1">
      <alignment horizontal="center" wrapText="1"/>
    </xf>
    <xf numFmtId="0" fontId="1" fillId="4" borderId="1" xfId="0" applyFont="1" applyFill="1" applyBorder="1" applyAlignment="1">
      <alignment horizontal="center" wrapText="1"/>
    </xf>
    <xf numFmtId="0" fontId="1" fillId="2" borderId="0" xfId="0" applyFont="1" applyFill="1" applyAlignment="1">
      <alignment horizontal="left" vertical="top"/>
    </xf>
    <xf numFmtId="0" fontId="1" fillId="3" borderId="0" xfId="0" applyFont="1" applyFill="1" applyAlignment="1">
      <alignment horizontal="center" wrapText="1"/>
    </xf>
    <xf numFmtId="0" fontId="1" fillId="4" borderId="0" xfId="0" applyFont="1" applyFill="1" applyAlignment="1">
      <alignment horizontal="center" wrapText="1"/>
    </xf>
    <xf numFmtId="0" fontId="1" fillId="17" borderId="1" xfId="0" applyFont="1" applyFill="1" applyBorder="1" applyAlignment="1">
      <alignment horizontal="center" wrapText="1"/>
    </xf>
    <xf numFmtId="0" fontId="1" fillId="17" borderId="0" xfId="0" applyFont="1" applyFill="1" applyAlignment="1">
      <alignment horizontal="center" wrapText="1"/>
    </xf>
  </cellXfs>
  <cellStyles count="3">
    <cellStyle name="常规" xfId="0" builtinId="0"/>
    <cellStyle name="好" xfId="1" builtinId="26"/>
    <cellStyle name="适中" xfId="2" builtinId="28"/>
  </cellStyles>
  <dxfs count="126">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solid">
          <bgColor rgb="FFFFAAAA"/>
        </patternFill>
      </fill>
      <border>
        <left style="medium">
          <color rgb="FFFF0000"/>
        </left>
        <right style="medium">
          <color rgb="FFFF0000"/>
        </right>
        <top style="medium">
          <color rgb="FFFF0000"/>
        </top>
        <bottom style="medium">
          <color rgb="FFFF0000"/>
        </bottom>
      </border>
    </dxf>
    <dxf>
      <fill>
        <patternFill patternType="solid">
          <bgColor rgb="FFFFAAAA"/>
        </patternFill>
      </fill>
      <border>
        <left style="medium">
          <color rgb="FFFF0000"/>
        </left>
        <right style="medium">
          <color rgb="FFFF0000"/>
        </right>
        <top style="medium">
          <color rgb="FFFF0000"/>
        </top>
        <bottom style="medium">
          <color rgb="FFFF0000"/>
        </bottom>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34"/>
    </mc:Choice>
    <mc:Fallback>
      <c:style val="34"/>
    </mc:Fallback>
  </mc:AlternateContent>
  <c:chart>
    <c:title>
      <c:tx>
        <c:rich>
          <a:bodyPr rot="0" spcFirstLastPara="0" vertOverflow="ellipsis" vert="horz" wrap="square" anchor="ctr" anchorCtr="1"/>
          <a:lstStyle/>
          <a:p>
            <a:pPr defTabSz="914400">
              <a:defRPr lang="zh-CN" sz="1800" b="1" i="0" u="none" strike="noStrike" kern="1200" baseline="0">
                <a:solidFill>
                  <a:schemeClr val="dk1"/>
                </a:solidFill>
                <a:latin typeface="+mn-lt"/>
                <a:ea typeface="+mn-ea"/>
                <a:cs typeface="+mn-cs"/>
              </a:defRPr>
            </a:pPr>
            <a:r>
              <a:rPr lang="en-US"/>
              <a:t>D1 Geometry PSNR (Graph a)</a:t>
            </a:r>
          </a:p>
        </c:rich>
      </c:tx>
      <c:overlay val="0"/>
    </c:title>
    <c:autoTitleDeleted val="0"/>
    <c:plotArea>
      <c:layout/>
      <c:scatterChart>
        <c:scatterStyle val="smoothMarker"/>
        <c:varyColors val="0"/>
        <c:ser>
          <c:idx val="0"/>
          <c:order val="0"/>
          <c:tx>
            <c:strRef>
              <c:f>Graphs!graph_a_A_title</c:f>
              <c:strCache>
                <c:ptCount val="1"/>
                <c:pt idx="0">
                  <c:v>tmc3 version unconfirmed-release-9.1</c:v>
                </c:pt>
              </c:strCache>
            </c:strRef>
          </c:tx>
          <c:xVal>
            <c:strRef>
              <c:f>Graphs!graph_a_x_range_A</c:f>
              <c:strCache>
                <c:ptCount val="6"/>
                <c:pt idx="0">
                  <c:v>·</c:v>
                </c:pt>
                <c:pt idx="1">
                  <c:v>·</c:v>
                </c:pt>
                <c:pt idx="2">
                  <c:v>·</c:v>
                </c:pt>
                <c:pt idx="3">
                  <c:v>·</c:v>
                </c:pt>
                <c:pt idx="4">
                  <c:v>·</c:v>
                </c:pt>
                <c:pt idx="5">
                  <c:v>·</c:v>
                </c:pt>
              </c:strCache>
            </c:strRef>
          </c:xVal>
          <c:yVal>
            <c:numRef>
              <c:f>Graphs!graph_a_y_range_A</c:f>
              <c:numCache>
                <c:formatCode>General</c:formatCode>
                <c:ptCount val="1"/>
                <c:pt idx="0">
                  <c:v>0</c:v>
                </c:pt>
              </c:numCache>
            </c:numRef>
          </c:yVal>
          <c:smooth val="1"/>
          <c:extLst>
            <c:ext xmlns:c16="http://schemas.microsoft.com/office/drawing/2014/chart" uri="{C3380CC4-5D6E-409C-BE32-E72D297353CC}">
              <c16:uniqueId val="{00000000-93CF-45C9-891A-848AE70AF767}"/>
            </c:ext>
          </c:extLst>
        </c:ser>
        <c:ser>
          <c:idx val="1"/>
          <c:order val="1"/>
          <c:tx>
            <c:strRef>
              <c:f>Graphs!graph_a_B_title</c:f>
              <c:strCache>
                <c:ptCount val="1"/>
                <c:pt idx="0">
                  <c:v>Test</c:v>
                </c:pt>
              </c:strCache>
            </c:strRef>
          </c:tx>
          <c:xVal>
            <c:strRef>
              <c:f>Graphs!graph_a_x_range_B</c:f>
              <c:strCache>
                <c:ptCount val="6"/>
                <c:pt idx="0">
                  <c:v>·</c:v>
                </c:pt>
                <c:pt idx="1">
                  <c:v>·</c:v>
                </c:pt>
                <c:pt idx="2">
                  <c:v>·</c:v>
                </c:pt>
                <c:pt idx="3">
                  <c:v>·</c:v>
                </c:pt>
                <c:pt idx="4">
                  <c:v>·</c:v>
                </c:pt>
                <c:pt idx="5">
                  <c:v>·</c:v>
                </c:pt>
              </c:strCache>
            </c:strRef>
          </c:xVal>
          <c:yVal>
            <c:numRef>
              <c:f>Graphs!graph_a_y_range_B</c:f>
              <c:numCache>
                <c:formatCode>General</c:formatCode>
                <c:ptCount val="1"/>
                <c:pt idx="0">
                  <c:v>0</c:v>
                </c:pt>
              </c:numCache>
            </c:numRef>
          </c:yVal>
          <c:smooth val="1"/>
          <c:extLst>
            <c:ext xmlns:c16="http://schemas.microsoft.com/office/drawing/2014/chart" uri="{C3380CC4-5D6E-409C-BE32-E72D297353CC}">
              <c16:uniqueId val="{00000001-93CF-45C9-891A-848AE70AF767}"/>
            </c:ext>
          </c:extLst>
        </c:ser>
        <c:dLbls>
          <c:showLegendKey val="0"/>
          <c:showVal val="0"/>
          <c:showCatName val="0"/>
          <c:showSerName val="0"/>
          <c:showPercent val="0"/>
          <c:showBubbleSize val="0"/>
        </c:dLbls>
        <c:axId val="1167948352"/>
        <c:axId val="1167942368"/>
      </c:scatterChart>
      <c:valAx>
        <c:axId val="1167948352"/>
        <c:scaling>
          <c:orientation val="minMax"/>
        </c:scaling>
        <c:delete val="0"/>
        <c:axPos val="b"/>
        <c:title>
          <c:tx>
            <c:strRef>
              <c:f>Graphs!graph_a_y_title</c:f>
              <c:strCache>
                <c:ptCount val="1"/>
                <c:pt idx="0">
                  <c:v>D1 Geometry PSNR</c:v>
                </c:pt>
              </c:strCache>
            </c:strRef>
          </c:tx>
          <c:overlay val="0"/>
        </c:title>
        <c:numFmt formatCode="0.00"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dk1"/>
                </a:solidFill>
                <a:latin typeface="+mn-lt"/>
                <a:ea typeface="+mn-ea"/>
                <a:cs typeface="+mn-cs"/>
              </a:defRPr>
            </a:pPr>
            <a:endParaRPr lang="zh-CN"/>
          </a:p>
        </c:txPr>
        <c:crossAx val="1167942368"/>
        <c:crosses val="autoZero"/>
        <c:crossBetween val="midCat"/>
      </c:valAx>
      <c:valAx>
        <c:axId val="1167942368"/>
        <c:scaling>
          <c:orientation val="minMax"/>
        </c:scaling>
        <c:delete val="0"/>
        <c:axPos val="l"/>
        <c:majorGridlines/>
        <c:title>
          <c:tx>
            <c:strRef>
              <c:f>Graphs!graph_a_y_title</c:f>
              <c:strCache>
                <c:ptCount val="1"/>
                <c:pt idx="0">
                  <c:v>D1 Geometry PSNR</c:v>
                </c:pt>
              </c:strCache>
            </c:strRef>
          </c:tx>
          <c:overlay val="0"/>
        </c:title>
        <c:numFmt formatCode="General"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dk1"/>
                </a:solidFill>
                <a:latin typeface="+mn-lt"/>
                <a:ea typeface="+mn-ea"/>
                <a:cs typeface="+mn-cs"/>
              </a:defRPr>
            </a:pPr>
            <a:endParaRPr lang="zh-CN"/>
          </a:p>
        </c:txPr>
        <c:crossAx val="1167948352"/>
        <c:crosses val="autoZero"/>
        <c:crossBetween val="midCat"/>
      </c:valAx>
    </c:plotArea>
    <c:legend>
      <c:legendPos val="b"/>
      <c:overlay val="0"/>
      <c:txPr>
        <a:bodyPr rot="0" spcFirstLastPara="0" vertOverflow="ellipsis" vert="horz" wrap="square" anchor="ctr" anchorCtr="1"/>
        <a:lstStyle/>
        <a:p>
          <a:pPr>
            <a:defRPr lang="zh-CN" sz="1000" b="0" i="0" u="none" strike="noStrike" kern="1200" baseline="0">
              <a:solidFill>
                <a:schemeClr val="dk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34"/>
    </mc:Choice>
    <mc:Fallback>
      <c:style val="34"/>
    </mc:Fallback>
  </mc:AlternateContent>
  <c:chart>
    <c:title>
      <c:tx>
        <c:rich>
          <a:bodyPr rot="0" spcFirstLastPara="0" vertOverflow="ellipsis" vert="horz" wrap="square" anchor="ctr" anchorCtr="1"/>
          <a:lstStyle/>
          <a:p>
            <a:pPr defTabSz="914400">
              <a:defRPr lang="zh-CN" sz="1800" b="1" i="0" u="none" strike="noStrike" kern="1200" baseline="0">
                <a:solidFill>
                  <a:schemeClr val="dk1"/>
                </a:solidFill>
                <a:latin typeface="+mn-lt"/>
                <a:ea typeface="+mn-ea"/>
                <a:cs typeface="+mn-cs"/>
              </a:defRPr>
            </a:pPr>
            <a:r>
              <a:rPr lang="en-US"/>
              <a:t>D2 Geometry PSNR (Graph b)</a:t>
            </a:r>
          </a:p>
        </c:rich>
      </c:tx>
      <c:overlay val="0"/>
    </c:title>
    <c:autoTitleDeleted val="0"/>
    <c:plotArea>
      <c:layout/>
      <c:scatterChart>
        <c:scatterStyle val="smoothMarker"/>
        <c:varyColors val="0"/>
        <c:ser>
          <c:idx val="0"/>
          <c:order val="0"/>
          <c:tx>
            <c:strRef>
              <c:f>Graphs!graph_b_A_title</c:f>
              <c:strCache>
                <c:ptCount val="1"/>
                <c:pt idx="0">
                  <c:v>tmc3 version unconfirmed-release-9.1</c:v>
                </c:pt>
              </c:strCache>
            </c:strRef>
          </c:tx>
          <c:xVal>
            <c:strRef>
              <c:f>Graphs!graph_b_x_range_A</c:f>
              <c:strCache>
                <c:ptCount val="6"/>
                <c:pt idx="0">
                  <c:v>·</c:v>
                </c:pt>
                <c:pt idx="1">
                  <c:v>·</c:v>
                </c:pt>
                <c:pt idx="2">
                  <c:v>·</c:v>
                </c:pt>
                <c:pt idx="3">
                  <c:v>·</c:v>
                </c:pt>
                <c:pt idx="4">
                  <c:v>·</c:v>
                </c:pt>
                <c:pt idx="5">
                  <c:v>·</c:v>
                </c:pt>
              </c:strCache>
            </c:strRef>
          </c:xVal>
          <c:yVal>
            <c:numRef>
              <c:f>Graphs!graph_b_y_range_A</c:f>
              <c:numCache>
                <c:formatCode>General</c:formatCode>
                <c:ptCount val="1"/>
                <c:pt idx="0">
                  <c:v>0</c:v>
                </c:pt>
              </c:numCache>
            </c:numRef>
          </c:yVal>
          <c:smooth val="1"/>
          <c:extLst>
            <c:ext xmlns:c16="http://schemas.microsoft.com/office/drawing/2014/chart" uri="{C3380CC4-5D6E-409C-BE32-E72D297353CC}">
              <c16:uniqueId val="{00000000-8E57-4542-AFC3-8A54D590EC0A}"/>
            </c:ext>
          </c:extLst>
        </c:ser>
        <c:ser>
          <c:idx val="1"/>
          <c:order val="1"/>
          <c:tx>
            <c:strRef>
              <c:f>Graphs!graph_b_B_title</c:f>
              <c:strCache>
                <c:ptCount val="1"/>
                <c:pt idx="0">
                  <c:v>Test</c:v>
                </c:pt>
              </c:strCache>
            </c:strRef>
          </c:tx>
          <c:xVal>
            <c:strRef>
              <c:f>Graphs!graph_b_x_range_B</c:f>
              <c:strCache>
                <c:ptCount val="6"/>
                <c:pt idx="0">
                  <c:v>·</c:v>
                </c:pt>
                <c:pt idx="1">
                  <c:v>·</c:v>
                </c:pt>
                <c:pt idx="2">
                  <c:v>·</c:v>
                </c:pt>
                <c:pt idx="3">
                  <c:v>·</c:v>
                </c:pt>
                <c:pt idx="4">
                  <c:v>·</c:v>
                </c:pt>
                <c:pt idx="5">
                  <c:v>·</c:v>
                </c:pt>
              </c:strCache>
            </c:strRef>
          </c:xVal>
          <c:yVal>
            <c:numRef>
              <c:f>Graphs!graph_b_y_range_B</c:f>
              <c:numCache>
                <c:formatCode>General</c:formatCode>
                <c:ptCount val="1"/>
                <c:pt idx="0">
                  <c:v>0</c:v>
                </c:pt>
              </c:numCache>
            </c:numRef>
          </c:yVal>
          <c:smooth val="1"/>
          <c:extLst>
            <c:ext xmlns:c16="http://schemas.microsoft.com/office/drawing/2014/chart" uri="{C3380CC4-5D6E-409C-BE32-E72D297353CC}">
              <c16:uniqueId val="{00000001-8E57-4542-AFC3-8A54D590EC0A}"/>
            </c:ext>
          </c:extLst>
        </c:ser>
        <c:dLbls>
          <c:showLegendKey val="0"/>
          <c:showVal val="0"/>
          <c:showCatName val="0"/>
          <c:showSerName val="0"/>
          <c:showPercent val="0"/>
          <c:showBubbleSize val="0"/>
        </c:dLbls>
        <c:axId val="1167933664"/>
        <c:axId val="1167935840"/>
      </c:scatterChart>
      <c:valAx>
        <c:axId val="1167933664"/>
        <c:scaling>
          <c:orientation val="minMax"/>
        </c:scaling>
        <c:delete val="0"/>
        <c:axPos val="b"/>
        <c:title>
          <c:tx>
            <c:strRef>
              <c:f>Graphs!graph_b_y_title</c:f>
              <c:strCache>
                <c:ptCount val="1"/>
                <c:pt idx="0">
                  <c:v>D2 Geometry PSNR</c:v>
                </c:pt>
              </c:strCache>
            </c:strRef>
          </c:tx>
          <c:overlay val="0"/>
        </c:title>
        <c:numFmt formatCode="0.00"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dk1"/>
                </a:solidFill>
                <a:latin typeface="+mn-lt"/>
                <a:ea typeface="+mn-ea"/>
                <a:cs typeface="+mn-cs"/>
              </a:defRPr>
            </a:pPr>
            <a:endParaRPr lang="zh-CN"/>
          </a:p>
        </c:txPr>
        <c:crossAx val="1167935840"/>
        <c:crosses val="autoZero"/>
        <c:crossBetween val="midCat"/>
      </c:valAx>
      <c:valAx>
        <c:axId val="1167935840"/>
        <c:scaling>
          <c:orientation val="minMax"/>
        </c:scaling>
        <c:delete val="0"/>
        <c:axPos val="l"/>
        <c:majorGridlines/>
        <c:title>
          <c:tx>
            <c:strRef>
              <c:f>Graphs!graph_b_y_title</c:f>
              <c:strCache>
                <c:ptCount val="1"/>
                <c:pt idx="0">
                  <c:v>D2 Geometry PSNR</c:v>
                </c:pt>
              </c:strCache>
            </c:strRef>
          </c:tx>
          <c:overlay val="0"/>
        </c:title>
        <c:numFmt formatCode="General"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dk1"/>
                </a:solidFill>
                <a:latin typeface="+mn-lt"/>
                <a:ea typeface="+mn-ea"/>
                <a:cs typeface="+mn-cs"/>
              </a:defRPr>
            </a:pPr>
            <a:endParaRPr lang="zh-CN"/>
          </a:p>
        </c:txPr>
        <c:crossAx val="1167933664"/>
        <c:crosses val="autoZero"/>
        <c:crossBetween val="midCat"/>
      </c:valAx>
    </c:plotArea>
    <c:legend>
      <c:legendPos val="b"/>
      <c:overlay val="0"/>
      <c:txPr>
        <a:bodyPr rot="0" spcFirstLastPara="0" vertOverflow="ellipsis" vert="horz" wrap="square" anchor="ctr" anchorCtr="1"/>
        <a:lstStyle/>
        <a:p>
          <a:pPr>
            <a:defRPr lang="zh-CN" sz="1000" b="0" i="0" u="none" strike="noStrike" kern="1200" baseline="0">
              <a:solidFill>
                <a:schemeClr val="dk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34"/>
    </mc:Choice>
    <mc:Fallback>
      <c:style val="34"/>
    </mc:Fallback>
  </mc:AlternateContent>
  <c:chart>
    <c:title>
      <c:tx>
        <c:rich>
          <a:bodyPr rot="0" spcFirstLastPara="0" vertOverflow="ellipsis" vert="horz" wrap="square" anchor="ctr" anchorCtr="1"/>
          <a:lstStyle/>
          <a:p>
            <a:pPr defTabSz="914400">
              <a:defRPr lang="zh-CN" sz="1800" b="1" i="0" u="none" strike="noStrike" kern="1200" baseline="0">
                <a:solidFill>
                  <a:schemeClr val="dk1"/>
                </a:solidFill>
                <a:latin typeface="+mn-lt"/>
                <a:ea typeface="+mn-ea"/>
                <a:cs typeface="+mn-cs"/>
              </a:defRPr>
            </a:pPr>
            <a:r>
              <a:rPr lang="en-US"/>
              <a:t>Luma End-to-end PSNR (Graph c)</a:t>
            </a:r>
          </a:p>
        </c:rich>
      </c:tx>
      <c:overlay val="0"/>
    </c:title>
    <c:autoTitleDeleted val="0"/>
    <c:plotArea>
      <c:layout/>
      <c:scatterChart>
        <c:scatterStyle val="smoothMarker"/>
        <c:varyColors val="0"/>
        <c:ser>
          <c:idx val="0"/>
          <c:order val="0"/>
          <c:tx>
            <c:strRef>
              <c:f>Graphs!graph_c_A_title</c:f>
              <c:strCache>
                <c:ptCount val="1"/>
                <c:pt idx="0">
                  <c:v>tmc3 version unconfirmed-release-9.1</c:v>
                </c:pt>
              </c:strCache>
            </c:strRef>
          </c:tx>
          <c:xVal>
            <c:strRef>
              <c:f>Graphs!graph_c_x_range_A</c:f>
              <c:strCache>
                <c:ptCount val="6"/>
                <c:pt idx="0">
                  <c:v>·</c:v>
                </c:pt>
                <c:pt idx="1">
                  <c:v>·</c:v>
                </c:pt>
                <c:pt idx="2">
                  <c:v>·</c:v>
                </c:pt>
                <c:pt idx="3">
                  <c:v>·</c:v>
                </c:pt>
                <c:pt idx="4">
                  <c:v>·</c:v>
                </c:pt>
                <c:pt idx="5">
                  <c:v>·</c:v>
                </c:pt>
              </c:strCache>
            </c:strRef>
          </c:xVal>
          <c:yVal>
            <c:numRef>
              <c:f>Graphs!graph_c_y_range_A</c:f>
              <c:numCache>
                <c:formatCode>0.00</c:formatCode>
                <c:ptCount val="6"/>
              </c:numCache>
            </c:numRef>
          </c:yVal>
          <c:smooth val="1"/>
          <c:extLst>
            <c:ext xmlns:c16="http://schemas.microsoft.com/office/drawing/2014/chart" uri="{C3380CC4-5D6E-409C-BE32-E72D297353CC}">
              <c16:uniqueId val="{00000000-A6B8-46EA-B147-FAFE05B73F82}"/>
            </c:ext>
          </c:extLst>
        </c:ser>
        <c:ser>
          <c:idx val="1"/>
          <c:order val="1"/>
          <c:tx>
            <c:strRef>
              <c:f>Graphs!graph_c_B_title</c:f>
              <c:strCache>
                <c:ptCount val="1"/>
                <c:pt idx="0">
                  <c:v>Test</c:v>
                </c:pt>
              </c:strCache>
            </c:strRef>
          </c:tx>
          <c:xVal>
            <c:strRef>
              <c:f>Graphs!graph_c_x_range_B</c:f>
              <c:strCache>
                <c:ptCount val="6"/>
                <c:pt idx="0">
                  <c:v>·</c:v>
                </c:pt>
                <c:pt idx="1">
                  <c:v>·</c:v>
                </c:pt>
                <c:pt idx="2">
                  <c:v>·</c:v>
                </c:pt>
                <c:pt idx="3">
                  <c:v>·</c:v>
                </c:pt>
                <c:pt idx="4">
                  <c:v>·</c:v>
                </c:pt>
                <c:pt idx="5">
                  <c:v>·</c:v>
                </c:pt>
              </c:strCache>
            </c:strRef>
          </c:xVal>
          <c:yVal>
            <c:numRef>
              <c:f>Graphs!graph_c_y_range_B</c:f>
              <c:numCache>
                <c:formatCode>0.00</c:formatCode>
                <c:ptCount val="6"/>
              </c:numCache>
            </c:numRef>
          </c:yVal>
          <c:smooth val="1"/>
          <c:extLst>
            <c:ext xmlns:c16="http://schemas.microsoft.com/office/drawing/2014/chart" uri="{C3380CC4-5D6E-409C-BE32-E72D297353CC}">
              <c16:uniqueId val="{00000001-A6B8-46EA-B147-FAFE05B73F82}"/>
            </c:ext>
          </c:extLst>
        </c:ser>
        <c:dLbls>
          <c:showLegendKey val="0"/>
          <c:showVal val="0"/>
          <c:showCatName val="0"/>
          <c:showSerName val="0"/>
          <c:showPercent val="0"/>
          <c:showBubbleSize val="0"/>
        </c:dLbls>
        <c:axId val="1167946176"/>
        <c:axId val="1167934208"/>
      </c:scatterChart>
      <c:valAx>
        <c:axId val="1167946176"/>
        <c:scaling>
          <c:orientation val="minMax"/>
        </c:scaling>
        <c:delete val="0"/>
        <c:axPos val="b"/>
        <c:title>
          <c:tx>
            <c:strRef>
              <c:f>Graphs!graph_c_y_title</c:f>
              <c:strCache>
                <c:ptCount val="1"/>
                <c:pt idx="0">
                  <c:v>Luma End-to-end PSNR</c:v>
                </c:pt>
              </c:strCache>
            </c:strRef>
          </c:tx>
          <c:overlay val="0"/>
        </c:title>
        <c:numFmt formatCode="0.00"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dk1"/>
                </a:solidFill>
                <a:latin typeface="+mn-lt"/>
                <a:ea typeface="+mn-ea"/>
                <a:cs typeface="+mn-cs"/>
              </a:defRPr>
            </a:pPr>
            <a:endParaRPr lang="zh-CN"/>
          </a:p>
        </c:txPr>
        <c:crossAx val="1167934208"/>
        <c:crosses val="autoZero"/>
        <c:crossBetween val="midCat"/>
      </c:valAx>
      <c:valAx>
        <c:axId val="1167934208"/>
        <c:scaling>
          <c:orientation val="minMax"/>
          <c:min val="23"/>
        </c:scaling>
        <c:delete val="0"/>
        <c:axPos val="l"/>
        <c:majorGridlines/>
        <c:title>
          <c:tx>
            <c:strRef>
              <c:f>Graphs!graph_c_y_title</c:f>
              <c:strCache>
                <c:ptCount val="1"/>
                <c:pt idx="0">
                  <c:v>Luma End-to-end PSNR</c:v>
                </c:pt>
              </c:strCache>
            </c:strRef>
          </c:tx>
          <c:overlay val="0"/>
        </c:title>
        <c:numFmt formatCode="0.00"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dk1"/>
                </a:solidFill>
                <a:latin typeface="+mn-lt"/>
                <a:ea typeface="+mn-ea"/>
                <a:cs typeface="+mn-cs"/>
              </a:defRPr>
            </a:pPr>
            <a:endParaRPr lang="zh-CN"/>
          </a:p>
        </c:txPr>
        <c:crossAx val="1167946176"/>
        <c:crosses val="autoZero"/>
        <c:crossBetween val="midCat"/>
      </c:valAx>
    </c:plotArea>
    <c:legend>
      <c:legendPos val="b"/>
      <c:overlay val="0"/>
      <c:txPr>
        <a:bodyPr rot="0" spcFirstLastPara="0" vertOverflow="ellipsis" vert="horz" wrap="square" anchor="ctr" anchorCtr="1"/>
        <a:lstStyle/>
        <a:p>
          <a:pPr>
            <a:defRPr lang="zh-CN" sz="1000" b="0" i="0" u="none" strike="noStrike" kern="1200" baseline="0">
              <a:solidFill>
                <a:schemeClr val="dk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34"/>
    </mc:Choice>
    <mc:Fallback>
      <c:style val="34"/>
    </mc:Fallback>
  </mc:AlternateContent>
  <c:chart>
    <c:title>
      <c:tx>
        <c:rich>
          <a:bodyPr rot="0" spcFirstLastPara="0" vertOverflow="ellipsis" vert="horz" wrap="square" anchor="ctr" anchorCtr="1"/>
          <a:lstStyle/>
          <a:p>
            <a:pPr defTabSz="914400">
              <a:defRPr lang="zh-CN" sz="1800" b="1" i="0" u="none" strike="noStrike" kern="1200" baseline="0">
                <a:solidFill>
                  <a:schemeClr val="dk1"/>
                </a:solidFill>
                <a:latin typeface="+mn-lt"/>
                <a:ea typeface="+mn-ea"/>
                <a:cs typeface="+mn-cs"/>
              </a:defRPr>
            </a:pPr>
            <a:r>
              <a:rPr lang="en-US"/>
              <a:t>Chroma Cb End-to-end PSNR (Graph d)</a:t>
            </a:r>
          </a:p>
        </c:rich>
      </c:tx>
      <c:overlay val="0"/>
    </c:title>
    <c:autoTitleDeleted val="0"/>
    <c:plotArea>
      <c:layout/>
      <c:scatterChart>
        <c:scatterStyle val="smoothMarker"/>
        <c:varyColors val="0"/>
        <c:ser>
          <c:idx val="0"/>
          <c:order val="0"/>
          <c:tx>
            <c:strRef>
              <c:f>Graphs!graph_d_A_title</c:f>
              <c:strCache>
                <c:ptCount val="1"/>
                <c:pt idx="0">
                  <c:v>tmc3 version unconfirmed-release-9.1</c:v>
                </c:pt>
              </c:strCache>
            </c:strRef>
          </c:tx>
          <c:xVal>
            <c:strRef>
              <c:f>Graphs!graph_d_x_range_A</c:f>
              <c:strCache>
                <c:ptCount val="6"/>
                <c:pt idx="0">
                  <c:v>·</c:v>
                </c:pt>
                <c:pt idx="1">
                  <c:v>·</c:v>
                </c:pt>
                <c:pt idx="2">
                  <c:v>·</c:v>
                </c:pt>
                <c:pt idx="3">
                  <c:v>·</c:v>
                </c:pt>
                <c:pt idx="4">
                  <c:v>·</c:v>
                </c:pt>
                <c:pt idx="5">
                  <c:v>·</c:v>
                </c:pt>
              </c:strCache>
            </c:strRef>
          </c:xVal>
          <c:yVal>
            <c:numRef>
              <c:f>Graphs!graph_d_y_range_A</c:f>
              <c:numCache>
                <c:formatCode>0.00</c:formatCode>
                <c:ptCount val="6"/>
              </c:numCache>
            </c:numRef>
          </c:yVal>
          <c:smooth val="1"/>
          <c:extLst>
            <c:ext xmlns:c16="http://schemas.microsoft.com/office/drawing/2014/chart" uri="{C3380CC4-5D6E-409C-BE32-E72D297353CC}">
              <c16:uniqueId val="{00000000-8DB8-4CD2-BCB8-BD3EB5A076D2}"/>
            </c:ext>
          </c:extLst>
        </c:ser>
        <c:ser>
          <c:idx val="1"/>
          <c:order val="1"/>
          <c:tx>
            <c:strRef>
              <c:f>Graphs!graph_d_B_title</c:f>
              <c:strCache>
                <c:ptCount val="1"/>
                <c:pt idx="0">
                  <c:v>Test</c:v>
                </c:pt>
              </c:strCache>
            </c:strRef>
          </c:tx>
          <c:xVal>
            <c:strRef>
              <c:f>Graphs!graph_d_x_range_B</c:f>
              <c:strCache>
                <c:ptCount val="6"/>
                <c:pt idx="0">
                  <c:v>·</c:v>
                </c:pt>
                <c:pt idx="1">
                  <c:v>·</c:v>
                </c:pt>
                <c:pt idx="2">
                  <c:v>·</c:v>
                </c:pt>
                <c:pt idx="3">
                  <c:v>·</c:v>
                </c:pt>
                <c:pt idx="4">
                  <c:v>·</c:v>
                </c:pt>
                <c:pt idx="5">
                  <c:v>·</c:v>
                </c:pt>
              </c:strCache>
            </c:strRef>
          </c:xVal>
          <c:yVal>
            <c:numRef>
              <c:f>Graphs!graph_d_y_range_B</c:f>
              <c:numCache>
                <c:formatCode>0.00</c:formatCode>
                <c:ptCount val="6"/>
              </c:numCache>
            </c:numRef>
          </c:yVal>
          <c:smooth val="1"/>
          <c:extLst>
            <c:ext xmlns:c16="http://schemas.microsoft.com/office/drawing/2014/chart" uri="{C3380CC4-5D6E-409C-BE32-E72D297353CC}">
              <c16:uniqueId val="{00000001-8DB8-4CD2-BCB8-BD3EB5A076D2}"/>
            </c:ext>
          </c:extLst>
        </c:ser>
        <c:dLbls>
          <c:showLegendKey val="0"/>
          <c:showVal val="0"/>
          <c:showCatName val="0"/>
          <c:showSerName val="0"/>
          <c:showPercent val="0"/>
          <c:showBubbleSize val="0"/>
        </c:dLbls>
        <c:axId val="1167948896"/>
        <c:axId val="1167946720"/>
      </c:scatterChart>
      <c:valAx>
        <c:axId val="1167948896"/>
        <c:scaling>
          <c:orientation val="minMax"/>
        </c:scaling>
        <c:delete val="0"/>
        <c:axPos val="b"/>
        <c:title>
          <c:tx>
            <c:strRef>
              <c:f>Graphs!graph_d_y_title</c:f>
              <c:strCache>
                <c:ptCount val="1"/>
                <c:pt idx="0">
                  <c:v>Chroma Cb End-to-end PSNR</c:v>
                </c:pt>
              </c:strCache>
            </c:strRef>
          </c:tx>
          <c:overlay val="0"/>
        </c:title>
        <c:numFmt formatCode="0.00"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dk1"/>
                </a:solidFill>
                <a:latin typeface="+mn-lt"/>
                <a:ea typeface="+mn-ea"/>
                <a:cs typeface="+mn-cs"/>
              </a:defRPr>
            </a:pPr>
            <a:endParaRPr lang="zh-CN"/>
          </a:p>
        </c:txPr>
        <c:crossAx val="1167946720"/>
        <c:crosses val="autoZero"/>
        <c:crossBetween val="midCat"/>
      </c:valAx>
      <c:valAx>
        <c:axId val="1167946720"/>
        <c:scaling>
          <c:orientation val="minMax"/>
        </c:scaling>
        <c:delete val="0"/>
        <c:axPos val="l"/>
        <c:majorGridlines/>
        <c:title>
          <c:tx>
            <c:strRef>
              <c:f>Graphs!graph_d_y_title</c:f>
              <c:strCache>
                <c:ptCount val="1"/>
                <c:pt idx="0">
                  <c:v>Chroma Cb End-to-end PSNR</c:v>
                </c:pt>
              </c:strCache>
            </c:strRef>
          </c:tx>
          <c:overlay val="0"/>
        </c:title>
        <c:numFmt formatCode="0.00"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dk1"/>
                </a:solidFill>
                <a:latin typeface="+mn-lt"/>
                <a:ea typeface="+mn-ea"/>
                <a:cs typeface="+mn-cs"/>
              </a:defRPr>
            </a:pPr>
            <a:endParaRPr lang="zh-CN"/>
          </a:p>
        </c:txPr>
        <c:crossAx val="1167948896"/>
        <c:crosses val="autoZero"/>
        <c:crossBetween val="midCat"/>
      </c:valAx>
    </c:plotArea>
    <c:legend>
      <c:legendPos val="b"/>
      <c:overlay val="0"/>
      <c:txPr>
        <a:bodyPr rot="0" spcFirstLastPara="0" vertOverflow="ellipsis" vert="horz" wrap="square" anchor="ctr" anchorCtr="1"/>
        <a:lstStyle/>
        <a:p>
          <a:pPr>
            <a:defRPr lang="zh-CN" sz="1000" b="0" i="0" u="none" strike="noStrike" kern="1200" baseline="0">
              <a:solidFill>
                <a:schemeClr val="dk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34"/>
    </mc:Choice>
    <mc:Fallback>
      <c:style val="34"/>
    </mc:Fallback>
  </mc:AlternateContent>
  <c:chart>
    <c:title>
      <c:tx>
        <c:rich>
          <a:bodyPr rot="0" spcFirstLastPara="0" vertOverflow="ellipsis" vert="horz" wrap="square" anchor="ctr" anchorCtr="1"/>
          <a:lstStyle/>
          <a:p>
            <a:pPr defTabSz="914400">
              <a:defRPr lang="zh-CN" sz="1800" b="1" i="0" u="none" strike="noStrike" kern="1200" baseline="0">
                <a:solidFill>
                  <a:schemeClr val="dk1"/>
                </a:solidFill>
                <a:latin typeface="+mn-lt"/>
                <a:ea typeface="+mn-ea"/>
                <a:cs typeface="+mn-cs"/>
              </a:defRPr>
            </a:pPr>
            <a:r>
              <a:rPr lang="en-US"/>
              <a:t>Chroma Cr End-to-end PSNR (Graph e)</a:t>
            </a:r>
          </a:p>
        </c:rich>
      </c:tx>
      <c:overlay val="0"/>
    </c:title>
    <c:autoTitleDeleted val="0"/>
    <c:plotArea>
      <c:layout/>
      <c:scatterChart>
        <c:scatterStyle val="smoothMarker"/>
        <c:varyColors val="0"/>
        <c:ser>
          <c:idx val="0"/>
          <c:order val="0"/>
          <c:tx>
            <c:strRef>
              <c:f>Graphs!graph_e_A_title</c:f>
              <c:strCache>
                <c:ptCount val="1"/>
                <c:pt idx="0">
                  <c:v>tmc3 version unconfirmed-release-9.1</c:v>
                </c:pt>
              </c:strCache>
            </c:strRef>
          </c:tx>
          <c:xVal>
            <c:strRef>
              <c:f>Graphs!graph_e_x_range_A</c:f>
              <c:strCache>
                <c:ptCount val="6"/>
                <c:pt idx="0">
                  <c:v>·</c:v>
                </c:pt>
                <c:pt idx="1">
                  <c:v>·</c:v>
                </c:pt>
                <c:pt idx="2">
                  <c:v>·</c:v>
                </c:pt>
                <c:pt idx="3">
                  <c:v>·</c:v>
                </c:pt>
                <c:pt idx="4">
                  <c:v>·</c:v>
                </c:pt>
                <c:pt idx="5">
                  <c:v>·</c:v>
                </c:pt>
              </c:strCache>
            </c:strRef>
          </c:xVal>
          <c:yVal>
            <c:numRef>
              <c:f>Graphs!graph_e_y_range_A</c:f>
              <c:numCache>
                <c:formatCode>0.00</c:formatCode>
                <c:ptCount val="6"/>
              </c:numCache>
            </c:numRef>
          </c:yVal>
          <c:smooth val="1"/>
          <c:extLst>
            <c:ext xmlns:c16="http://schemas.microsoft.com/office/drawing/2014/chart" uri="{C3380CC4-5D6E-409C-BE32-E72D297353CC}">
              <c16:uniqueId val="{00000000-021B-4805-904D-3BD747078DF1}"/>
            </c:ext>
          </c:extLst>
        </c:ser>
        <c:ser>
          <c:idx val="1"/>
          <c:order val="1"/>
          <c:tx>
            <c:strRef>
              <c:f>Graphs!graph_e_B_title</c:f>
              <c:strCache>
                <c:ptCount val="1"/>
                <c:pt idx="0">
                  <c:v>Test</c:v>
                </c:pt>
              </c:strCache>
            </c:strRef>
          </c:tx>
          <c:xVal>
            <c:strRef>
              <c:f>Graphs!graph_e_x_range_B</c:f>
              <c:strCache>
                <c:ptCount val="6"/>
                <c:pt idx="0">
                  <c:v>·</c:v>
                </c:pt>
                <c:pt idx="1">
                  <c:v>·</c:v>
                </c:pt>
                <c:pt idx="2">
                  <c:v>·</c:v>
                </c:pt>
                <c:pt idx="3">
                  <c:v>·</c:v>
                </c:pt>
                <c:pt idx="4">
                  <c:v>·</c:v>
                </c:pt>
                <c:pt idx="5">
                  <c:v>·</c:v>
                </c:pt>
              </c:strCache>
            </c:strRef>
          </c:xVal>
          <c:yVal>
            <c:numRef>
              <c:f>Graphs!graph_e_y_range_B</c:f>
              <c:numCache>
                <c:formatCode>0.00</c:formatCode>
                <c:ptCount val="6"/>
              </c:numCache>
            </c:numRef>
          </c:yVal>
          <c:smooth val="1"/>
          <c:extLst>
            <c:ext xmlns:c16="http://schemas.microsoft.com/office/drawing/2014/chart" uri="{C3380CC4-5D6E-409C-BE32-E72D297353CC}">
              <c16:uniqueId val="{00000001-021B-4805-904D-3BD747078DF1}"/>
            </c:ext>
          </c:extLst>
        </c:ser>
        <c:dLbls>
          <c:showLegendKey val="0"/>
          <c:showVal val="0"/>
          <c:showCatName val="0"/>
          <c:showSerName val="0"/>
          <c:showPercent val="0"/>
          <c:showBubbleSize val="0"/>
        </c:dLbls>
        <c:axId val="1167936384"/>
        <c:axId val="1167936928"/>
      </c:scatterChart>
      <c:valAx>
        <c:axId val="1167936384"/>
        <c:scaling>
          <c:orientation val="minMax"/>
        </c:scaling>
        <c:delete val="0"/>
        <c:axPos val="b"/>
        <c:title>
          <c:tx>
            <c:strRef>
              <c:f>Graphs!graph_e_y_title</c:f>
              <c:strCache>
                <c:ptCount val="1"/>
                <c:pt idx="0">
                  <c:v>Chroma Cr End-to-end PSNR</c:v>
                </c:pt>
              </c:strCache>
            </c:strRef>
          </c:tx>
          <c:overlay val="0"/>
        </c:title>
        <c:numFmt formatCode="0.00"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dk1"/>
                </a:solidFill>
                <a:latin typeface="+mn-lt"/>
                <a:ea typeface="+mn-ea"/>
                <a:cs typeface="+mn-cs"/>
              </a:defRPr>
            </a:pPr>
            <a:endParaRPr lang="zh-CN"/>
          </a:p>
        </c:txPr>
        <c:crossAx val="1167936928"/>
        <c:crosses val="autoZero"/>
        <c:crossBetween val="midCat"/>
      </c:valAx>
      <c:valAx>
        <c:axId val="1167936928"/>
        <c:scaling>
          <c:orientation val="minMax"/>
        </c:scaling>
        <c:delete val="0"/>
        <c:axPos val="l"/>
        <c:majorGridlines/>
        <c:title>
          <c:tx>
            <c:strRef>
              <c:f>Graphs!graph_e_y_title</c:f>
              <c:strCache>
                <c:ptCount val="1"/>
                <c:pt idx="0">
                  <c:v>Chroma Cr End-to-end PSNR</c:v>
                </c:pt>
              </c:strCache>
            </c:strRef>
          </c:tx>
          <c:overlay val="0"/>
        </c:title>
        <c:numFmt formatCode="0.00"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dk1"/>
                </a:solidFill>
                <a:latin typeface="+mn-lt"/>
                <a:ea typeface="+mn-ea"/>
                <a:cs typeface="+mn-cs"/>
              </a:defRPr>
            </a:pPr>
            <a:endParaRPr lang="zh-CN"/>
          </a:p>
        </c:txPr>
        <c:crossAx val="1167936384"/>
        <c:crosses val="autoZero"/>
        <c:crossBetween val="midCat"/>
      </c:valAx>
    </c:plotArea>
    <c:legend>
      <c:legendPos val="b"/>
      <c:overlay val="0"/>
      <c:txPr>
        <a:bodyPr rot="0" spcFirstLastPara="0" vertOverflow="ellipsis" vert="horz" wrap="square" anchor="ctr" anchorCtr="1"/>
        <a:lstStyle/>
        <a:p>
          <a:pPr>
            <a:defRPr lang="zh-CN" sz="1000" b="0" i="0" u="none" strike="noStrike" kern="1200" baseline="0">
              <a:solidFill>
                <a:schemeClr val="dk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34"/>
    </mc:Choice>
    <mc:Fallback>
      <c:style val="34"/>
    </mc:Fallback>
  </mc:AlternateContent>
  <c:chart>
    <c:title>
      <c:tx>
        <c:rich>
          <a:bodyPr rot="0" spcFirstLastPara="0" vertOverflow="ellipsis" vert="horz" wrap="square" anchor="ctr" anchorCtr="1"/>
          <a:lstStyle/>
          <a:p>
            <a:pPr defTabSz="914400">
              <a:defRPr lang="zh-CN" sz="1800" b="1" i="0" u="none" strike="noStrike" kern="1200" baseline="0">
                <a:solidFill>
                  <a:schemeClr val="dk1"/>
                </a:solidFill>
                <a:latin typeface="+mn-lt"/>
                <a:ea typeface="+mn-ea"/>
                <a:cs typeface="+mn-cs"/>
              </a:defRPr>
            </a:pPr>
            <a:r>
              <a:rPr lang="en-US"/>
              <a:t>Reflectance End-to-end PSNR (Graph f)</a:t>
            </a:r>
          </a:p>
        </c:rich>
      </c:tx>
      <c:overlay val="0"/>
    </c:title>
    <c:autoTitleDeleted val="0"/>
    <c:plotArea>
      <c:layout/>
      <c:scatterChart>
        <c:scatterStyle val="smoothMarker"/>
        <c:varyColors val="0"/>
        <c:ser>
          <c:idx val="0"/>
          <c:order val="0"/>
          <c:tx>
            <c:strRef>
              <c:f>Graphs!graph_f_A_title</c:f>
              <c:strCache>
                <c:ptCount val="1"/>
                <c:pt idx="0">
                  <c:v>tmc3 version unconfirmed-release-9.1</c:v>
                </c:pt>
              </c:strCache>
            </c:strRef>
          </c:tx>
          <c:xVal>
            <c:numRef>
              <c:f>Graphs!graph_f_x_range_A</c:f>
              <c:numCache>
                <c:formatCode>0.00</c:formatCode>
                <c:ptCount val="6"/>
              </c:numCache>
            </c:numRef>
          </c:xVal>
          <c:yVal>
            <c:numRef>
              <c:f>Graphs!graph_f_y_range_A</c:f>
              <c:numCache>
                <c:formatCode>0.00</c:formatCode>
                <c:ptCount val="6"/>
              </c:numCache>
            </c:numRef>
          </c:yVal>
          <c:smooth val="1"/>
          <c:extLst>
            <c:ext xmlns:c16="http://schemas.microsoft.com/office/drawing/2014/chart" uri="{C3380CC4-5D6E-409C-BE32-E72D297353CC}">
              <c16:uniqueId val="{00000000-149F-44D9-BEF9-162DD8EF1EFD}"/>
            </c:ext>
          </c:extLst>
        </c:ser>
        <c:ser>
          <c:idx val="1"/>
          <c:order val="1"/>
          <c:tx>
            <c:strRef>
              <c:f>Graphs!graph_f_B_title</c:f>
              <c:strCache>
                <c:ptCount val="1"/>
                <c:pt idx="0">
                  <c:v>Test</c:v>
                </c:pt>
              </c:strCache>
            </c:strRef>
          </c:tx>
          <c:xVal>
            <c:numRef>
              <c:f>Graphs!graph_f_x_range_B</c:f>
              <c:numCache>
                <c:formatCode>0.00</c:formatCode>
                <c:ptCount val="6"/>
              </c:numCache>
            </c:numRef>
          </c:xVal>
          <c:yVal>
            <c:numRef>
              <c:f>Graphs!graph_f_y_range_B</c:f>
              <c:numCache>
                <c:formatCode>0.00</c:formatCode>
                <c:ptCount val="6"/>
              </c:numCache>
            </c:numRef>
          </c:yVal>
          <c:smooth val="1"/>
          <c:extLst>
            <c:ext xmlns:c16="http://schemas.microsoft.com/office/drawing/2014/chart" uri="{C3380CC4-5D6E-409C-BE32-E72D297353CC}">
              <c16:uniqueId val="{00000001-149F-44D9-BEF9-162DD8EF1EFD}"/>
            </c:ext>
          </c:extLst>
        </c:ser>
        <c:dLbls>
          <c:showLegendKey val="0"/>
          <c:showVal val="0"/>
          <c:showCatName val="0"/>
          <c:showSerName val="0"/>
          <c:showPercent val="0"/>
          <c:showBubbleSize val="0"/>
        </c:dLbls>
        <c:axId val="1167938560"/>
        <c:axId val="1167941280"/>
      </c:scatterChart>
      <c:valAx>
        <c:axId val="1167938560"/>
        <c:scaling>
          <c:orientation val="minMax"/>
        </c:scaling>
        <c:delete val="0"/>
        <c:axPos val="b"/>
        <c:title>
          <c:tx>
            <c:strRef>
              <c:f>Graphs!graph_f_y_title</c:f>
              <c:strCache>
                <c:ptCount val="1"/>
                <c:pt idx="0">
                  <c:v>Reflectance End-to-end PSNR</c:v>
                </c:pt>
              </c:strCache>
            </c:strRef>
          </c:tx>
          <c:overlay val="0"/>
        </c:title>
        <c:numFmt formatCode="0.00"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dk1"/>
                </a:solidFill>
                <a:latin typeface="+mn-lt"/>
                <a:ea typeface="+mn-ea"/>
                <a:cs typeface="+mn-cs"/>
              </a:defRPr>
            </a:pPr>
            <a:endParaRPr lang="zh-CN"/>
          </a:p>
        </c:txPr>
        <c:crossAx val="1167941280"/>
        <c:crosses val="autoZero"/>
        <c:crossBetween val="midCat"/>
      </c:valAx>
      <c:valAx>
        <c:axId val="1167941280"/>
        <c:scaling>
          <c:orientation val="minMax"/>
        </c:scaling>
        <c:delete val="0"/>
        <c:axPos val="l"/>
        <c:majorGridlines/>
        <c:title>
          <c:tx>
            <c:strRef>
              <c:f>Graphs!graph_f_y_title</c:f>
              <c:strCache>
                <c:ptCount val="1"/>
                <c:pt idx="0">
                  <c:v>Reflectance End-to-end PSNR</c:v>
                </c:pt>
              </c:strCache>
            </c:strRef>
          </c:tx>
          <c:overlay val="0"/>
        </c:title>
        <c:numFmt formatCode="0.00"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dk1"/>
                </a:solidFill>
                <a:latin typeface="+mn-lt"/>
                <a:ea typeface="+mn-ea"/>
                <a:cs typeface="+mn-cs"/>
              </a:defRPr>
            </a:pPr>
            <a:endParaRPr lang="zh-CN"/>
          </a:p>
        </c:txPr>
        <c:crossAx val="1167938560"/>
        <c:crosses val="autoZero"/>
        <c:crossBetween val="midCat"/>
      </c:valAx>
    </c:plotArea>
    <c:legend>
      <c:legendPos val="b"/>
      <c:overlay val="0"/>
      <c:txPr>
        <a:bodyPr rot="0" spcFirstLastPara="0" vertOverflow="ellipsis" vert="horz" wrap="square" anchor="ctr" anchorCtr="1"/>
        <a:lstStyle/>
        <a:p>
          <a:pPr>
            <a:defRPr lang="zh-CN" sz="1000" b="0" i="0" u="none" strike="noStrike" kern="1200" baseline="0">
              <a:solidFill>
                <a:schemeClr val="dk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B1:H59"/>
  <sheetViews>
    <sheetView workbookViewId="0">
      <selection activeCell="C3" sqref="C3"/>
    </sheetView>
  </sheetViews>
  <sheetFormatPr defaultColWidth="9" defaultRowHeight="13.5" x14ac:dyDescent="0.15"/>
  <cols>
    <col min="2" max="2" width="16.75" customWidth="1"/>
    <col min="3" max="8" width="24.75" customWidth="1"/>
  </cols>
  <sheetData>
    <row r="1" spans="2:6" x14ac:dyDescent="0.15">
      <c r="B1" t="s">
        <v>0</v>
      </c>
      <c r="C1" s="91" t="s">
        <v>997</v>
      </c>
      <c r="D1" s="91"/>
      <c r="E1" s="91"/>
    </row>
    <row r="2" spans="2:6" x14ac:dyDescent="0.15">
      <c r="B2" t="s">
        <v>1</v>
      </c>
      <c r="C2" s="92" t="s">
        <v>999</v>
      </c>
      <c r="D2" s="92"/>
      <c r="E2" s="92"/>
    </row>
    <row r="4" spans="2:6" s="74" customFormat="1" x14ac:dyDescent="0.15">
      <c r="B4" s="74" t="s">
        <v>2</v>
      </c>
    </row>
    <row r="6" spans="2:6" x14ac:dyDescent="0.15">
      <c r="B6" s="89" t="s">
        <v>3</v>
      </c>
      <c r="C6" s="85" t="s">
        <v>4</v>
      </c>
      <c r="D6" s="85"/>
      <c r="E6" s="85"/>
      <c r="F6" s="85"/>
    </row>
    <row r="7" spans="2:6" x14ac:dyDescent="0.15">
      <c r="B7" s="89"/>
      <c r="C7" s="86" t="s">
        <v>5</v>
      </c>
      <c r="D7" s="86"/>
      <c r="E7" s="86"/>
      <c r="F7" s="86"/>
    </row>
    <row r="8" spans="2:6" x14ac:dyDescent="0.15">
      <c r="B8" s="89"/>
      <c r="C8" s="75" t="s">
        <v>6</v>
      </c>
      <c r="D8" s="75" t="s">
        <v>7</v>
      </c>
      <c r="E8" s="75" t="s">
        <v>8</v>
      </c>
      <c r="F8" s="75" t="s">
        <v>9</v>
      </c>
    </row>
    <row r="9" spans="2:6" x14ac:dyDescent="0.15">
      <c r="B9" t="s">
        <v>10</v>
      </c>
      <c r="C9" s="70" t="e">
        <f>'C1 losslG,lossyA,intra'!$AV$341:$AV$341</f>
        <v>#DIV/0!</v>
      </c>
      <c r="D9" s="70" t="e">
        <f>'C1 losslG,lossyA,intra'!$AW$341:$AW$341</f>
        <v>#DIV/0!</v>
      </c>
      <c r="E9" s="70" t="e">
        <f>'C1 losslG,lossyA,intra'!$AX$341:$AX$341</f>
        <v>#DIV/0!</v>
      </c>
      <c r="F9" s="71"/>
    </row>
    <row r="10" spans="2:6" x14ac:dyDescent="0.15">
      <c r="B10" t="s">
        <v>11</v>
      </c>
      <c r="C10" s="70" t="e">
        <f>'C1 losslG,lossyA,intra'!$AV$342:$AV$342</f>
        <v>#DIV/0!</v>
      </c>
      <c r="D10" s="70" t="e">
        <f>'C1 losslG,lossyA,intra'!$AW$342:$AW$342</f>
        <v>#DIV/0!</v>
      </c>
      <c r="E10" s="70" t="e">
        <f>'C1 losslG,lossyA,intra'!$AX$342:$AX$342</f>
        <v>#DIV/0!</v>
      </c>
      <c r="F10" s="71"/>
    </row>
    <row r="11" spans="2:6" x14ac:dyDescent="0.15">
      <c r="B11" t="s">
        <v>12</v>
      </c>
      <c r="C11" s="70" t="e">
        <f>'C1 losslG,lossyA,intra'!$AV$343:$AV$343</f>
        <v>#DIV/0!</v>
      </c>
      <c r="D11" s="70" t="e">
        <f>'C1 losslG,lossyA,intra'!$AW$343:$AW$343</f>
        <v>#DIV/0!</v>
      </c>
      <c r="E11" s="70" t="e">
        <f>'C1 losslG,lossyA,intra'!$AX$343:$AX$343</f>
        <v>#DIV/0!</v>
      </c>
      <c r="F11" s="70" t="e">
        <f>'C1 losslG,lossyA,intra'!$AY$343:$AY$343</f>
        <v>#DIV/0!</v>
      </c>
    </row>
    <row r="12" spans="2:6" x14ac:dyDescent="0.15">
      <c r="B12" t="s">
        <v>13</v>
      </c>
      <c r="C12" s="71"/>
      <c r="D12" s="71"/>
      <c r="E12" s="71"/>
      <c r="F12" s="70" t="e">
        <f>'C1 losslG,lossyA,intra'!$AY$344:$AY$344</f>
        <v>#DIV/0!</v>
      </c>
    </row>
    <row r="13" spans="2:6" x14ac:dyDescent="0.15">
      <c r="B13" s="76" t="s">
        <v>14</v>
      </c>
      <c r="C13" s="77" t="e">
        <f>'C1 losslG,lossyA,intra'!$AV$345:$AV$345</f>
        <v>#DIV/0!</v>
      </c>
      <c r="D13" s="77" t="e">
        <f>'C1 losslG,lossyA,intra'!$AW$345:$AW$345</f>
        <v>#DIV/0!</v>
      </c>
      <c r="E13" s="77" t="e">
        <f>'C1 losslG,lossyA,intra'!$AX$345:$AX$345</f>
        <v>#DIV/0!</v>
      </c>
      <c r="F13" s="77" t="e">
        <f>'C1 losslG,lossyA,intra'!$AY$345:$AY$345</f>
        <v>#DIV/0!</v>
      </c>
    </row>
    <row r="14" spans="2:6" x14ac:dyDescent="0.15">
      <c r="B14" t="s">
        <v>15</v>
      </c>
      <c r="C14" s="87" t="e">
        <f>'C1 losslG,lossyA,intra'!AP349</f>
        <v>#NUM!</v>
      </c>
      <c r="D14" s="87"/>
      <c r="E14" s="87"/>
      <c r="F14" s="87"/>
    </row>
    <row r="15" spans="2:6" x14ac:dyDescent="0.15">
      <c r="B15" s="78" t="s">
        <v>16</v>
      </c>
      <c r="C15" s="88" t="e">
        <f>'C1 losslG,lossyA,intra'!AQ349</f>
        <v>#NUM!</v>
      </c>
      <c r="D15" s="88"/>
      <c r="E15" s="88"/>
      <c r="F15" s="88"/>
    </row>
    <row r="17" spans="2:8" x14ac:dyDescent="0.15">
      <c r="B17" s="89" t="s">
        <v>17</v>
      </c>
      <c r="C17" s="85" t="s">
        <v>18</v>
      </c>
      <c r="D17" s="85"/>
      <c r="E17" s="85"/>
      <c r="F17" s="85"/>
      <c r="G17" s="85"/>
      <c r="H17" s="85"/>
    </row>
    <row r="18" spans="2:8" x14ac:dyDescent="0.15">
      <c r="B18" s="89"/>
      <c r="C18" s="86" t="s">
        <v>998</v>
      </c>
      <c r="D18" s="86"/>
      <c r="E18" s="86"/>
      <c r="F18" s="86"/>
      <c r="G18" s="90" t="s">
        <v>19</v>
      </c>
      <c r="H18" s="90"/>
    </row>
    <row r="19" spans="2:8" x14ac:dyDescent="0.15">
      <c r="B19" s="89"/>
      <c r="C19" s="75" t="s">
        <v>6</v>
      </c>
      <c r="D19" s="75" t="s">
        <v>7</v>
      </c>
      <c r="E19" s="75" t="s">
        <v>8</v>
      </c>
      <c r="F19" s="75" t="s">
        <v>9</v>
      </c>
      <c r="G19" s="79" t="s">
        <v>20</v>
      </c>
      <c r="H19" s="79" t="s">
        <v>21</v>
      </c>
    </row>
    <row r="20" spans="2:8" x14ac:dyDescent="0.15">
      <c r="B20" t="s">
        <v>10</v>
      </c>
      <c r="C20" s="70" t="e">
        <f>'C2 lossyG,lossyA,intra'!$BB$341:$BB$341</f>
        <v>#DIV/0!</v>
      </c>
      <c r="D20" s="70" t="e">
        <f>'C2 lossyG,lossyA,intra'!$BC$341:$BC$341</f>
        <v>#DIV/0!</v>
      </c>
      <c r="E20" s="70" t="e">
        <f>'C2 lossyG,lossyA,intra'!$BD$341:$BD$341</f>
        <v>#DIV/0!</v>
      </c>
      <c r="F20" s="71"/>
      <c r="G20" s="70" t="e">
        <f>'C2 lossyG,lossyA,intra'!$AZ$341:$AZ$341</f>
        <v>#DIV/0!</v>
      </c>
      <c r="H20" s="70" t="e">
        <f>'C2 lossyG,lossyA,intra'!$BA$341:$BA$341</f>
        <v>#DIV/0!</v>
      </c>
    </row>
    <row r="21" spans="2:8" x14ac:dyDescent="0.15">
      <c r="B21" t="s">
        <v>11</v>
      </c>
      <c r="C21" s="70" t="e">
        <f>'C2 lossyG,lossyA,intra'!$BB$342:$BB$342</f>
        <v>#DIV/0!</v>
      </c>
      <c r="D21" s="70" t="e">
        <f>'C2 lossyG,lossyA,intra'!$BC$342:$BC$342</f>
        <v>#DIV/0!</v>
      </c>
      <c r="E21" s="70" t="e">
        <f>'C2 lossyG,lossyA,intra'!$BD$342:$BD$342</f>
        <v>#DIV/0!</v>
      </c>
      <c r="F21" s="71"/>
      <c r="G21" s="70" t="e">
        <f>'C2 lossyG,lossyA,intra'!$AZ$342:$AZ$342</f>
        <v>#DIV/0!</v>
      </c>
      <c r="H21" s="70" t="e">
        <f>'C2 lossyG,lossyA,intra'!$BA$342:$BA$342</f>
        <v>#DIV/0!</v>
      </c>
    </row>
    <row r="22" spans="2:8" x14ac:dyDescent="0.15">
      <c r="B22" t="s">
        <v>12</v>
      </c>
      <c r="C22" s="70" t="e">
        <f>'C2 lossyG,lossyA,intra'!$BB$343:$BB$343</f>
        <v>#DIV/0!</v>
      </c>
      <c r="D22" s="70" t="e">
        <f>'C2 lossyG,lossyA,intra'!$BC$343:$BC$343</f>
        <v>#DIV/0!</v>
      </c>
      <c r="E22" s="70" t="e">
        <f>'C2 lossyG,lossyA,intra'!$BD$343:$BD$343</f>
        <v>#DIV/0!</v>
      </c>
      <c r="F22" s="70" t="e">
        <f>'C2 lossyG,lossyA,intra'!$BE$343:$BE$343</f>
        <v>#DIV/0!</v>
      </c>
      <c r="G22" s="70" t="e">
        <f>'C2 lossyG,lossyA,intra'!$AZ$343:$AZ$343</f>
        <v>#DIV/0!</v>
      </c>
      <c r="H22" s="70" t="e">
        <f>'C2 lossyG,lossyA,intra'!$BA$343:$BA$343</f>
        <v>#DIV/0!</v>
      </c>
    </row>
    <row r="23" spans="2:8" x14ac:dyDescent="0.15">
      <c r="B23" t="s">
        <v>13</v>
      </c>
      <c r="C23" s="71"/>
      <c r="D23" s="71"/>
      <c r="E23" s="71"/>
      <c r="F23" s="70" t="e">
        <f>'C2 lossyG,lossyA,intra'!$BE$344:$BE$344</f>
        <v>#DIV/0!</v>
      </c>
      <c r="G23" s="70" t="e">
        <f>'C2 lossyG,lossyA,intra'!$AZ$344:$AZ$344</f>
        <v>#DIV/0!</v>
      </c>
      <c r="H23" s="70" t="e">
        <f>'C2 lossyG,lossyA,intra'!$BA$344:$BA$344</f>
        <v>#DIV/0!</v>
      </c>
    </row>
    <row r="24" spans="2:8" x14ac:dyDescent="0.15">
      <c r="B24" s="76" t="s">
        <v>14</v>
      </c>
      <c r="C24" s="77" t="e">
        <f>'C2 lossyG,lossyA,intra'!$BB$345:$BB$345</f>
        <v>#DIV/0!</v>
      </c>
      <c r="D24" s="77" t="e">
        <f>'C2 lossyG,lossyA,intra'!$BC$345:$BC$345</f>
        <v>#DIV/0!</v>
      </c>
      <c r="E24" s="77" t="e">
        <f>'C2 lossyG,lossyA,intra'!$BD$345:$BD$345</f>
        <v>#DIV/0!</v>
      </c>
      <c r="F24" s="77" t="e">
        <f>'C2 lossyG,lossyA,intra'!$BE$345:$BE$345</f>
        <v>#DIV/0!</v>
      </c>
      <c r="G24" s="77" t="e">
        <f>'C2 lossyG,lossyA,intra'!$AZ$345:$AZ$345</f>
        <v>#DIV/0!</v>
      </c>
      <c r="H24" s="77" t="e">
        <f>'C2 lossyG,lossyA,intra'!$BA$345:$BA$345</f>
        <v>#DIV/0!</v>
      </c>
    </row>
    <row r="25" spans="2:8" x14ac:dyDescent="0.15">
      <c r="B25" t="s">
        <v>15</v>
      </c>
      <c r="C25" s="87" t="e">
        <f>'C2 lossyG,lossyA,intra'!AT349</f>
        <v>#NUM!</v>
      </c>
      <c r="D25" s="87"/>
      <c r="E25" s="87"/>
      <c r="F25" s="87"/>
      <c r="G25" s="87"/>
      <c r="H25" s="87"/>
    </row>
    <row r="26" spans="2:8" x14ac:dyDescent="0.15">
      <c r="B26" s="78" t="s">
        <v>16</v>
      </c>
      <c r="C26" s="88" t="e">
        <f>'C2 lossyG,lossyA,intra'!AU349</f>
        <v>#NUM!</v>
      </c>
      <c r="D26" s="88"/>
      <c r="E26" s="88"/>
      <c r="F26" s="88"/>
      <c r="G26" s="88"/>
      <c r="H26" s="88"/>
    </row>
    <row r="28" spans="2:8" ht="19.899999999999999" customHeight="1" x14ac:dyDescent="0.15">
      <c r="B28" s="89" t="s">
        <v>22</v>
      </c>
      <c r="C28" s="85" t="s">
        <v>23</v>
      </c>
      <c r="D28" s="85"/>
      <c r="E28" s="85"/>
      <c r="F28" s="85"/>
    </row>
    <row r="29" spans="2:8" x14ac:dyDescent="0.15">
      <c r="B29" s="89"/>
      <c r="C29" s="86" t="s">
        <v>24</v>
      </c>
      <c r="D29" s="86"/>
      <c r="E29" s="86"/>
      <c r="F29" s="86"/>
    </row>
    <row r="30" spans="2:8" x14ac:dyDescent="0.15">
      <c r="B30" s="89"/>
      <c r="C30" s="75" t="s">
        <v>25</v>
      </c>
      <c r="D30" s="75" t="s">
        <v>26</v>
      </c>
      <c r="E30" s="75" t="s">
        <v>9</v>
      </c>
      <c r="F30" s="75" t="s">
        <v>27</v>
      </c>
    </row>
    <row r="31" spans="2:8" x14ac:dyDescent="0.15">
      <c r="B31" t="s">
        <v>10</v>
      </c>
      <c r="C31" s="70" t="e">
        <f>'CW losslG,losslA,intra'!AM61</f>
        <v>#DIV/0!</v>
      </c>
      <c r="D31" s="70" t="e">
        <f>'CW losslG,losslA,intra'!AN61</f>
        <v>#DIV/0!</v>
      </c>
      <c r="E31" s="71"/>
      <c r="F31" s="70" t="e">
        <f>'CW losslG,losslA,intra'!AL61</f>
        <v>#DIV/0!</v>
      </c>
    </row>
    <row r="32" spans="2:8" x14ac:dyDescent="0.15">
      <c r="B32" t="s">
        <v>11</v>
      </c>
      <c r="C32" s="70" t="e">
        <f>'CW losslG,losslA,intra'!AM62</f>
        <v>#DIV/0!</v>
      </c>
      <c r="D32" s="70" t="e">
        <f>'CW losslG,losslA,intra'!AN62</f>
        <v>#DIV/0!</v>
      </c>
      <c r="E32" s="71"/>
      <c r="F32" s="70" t="e">
        <f>'CW losslG,losslA,intra'!AL62</f>
        <v>#DIV/0!</v>
      </c>
    </row>
    <row r="33" spans="2:6" x14ac:dyDescent="0.15">
      <c r="B33" t="s">
        <v>12</v>
      </c>
      <c r="C33" s="70" t="e">
        <f>'CW losslG,losslA,intra'!AM63</f>
        <v>#DIV/0!</v>
      </c>
      <c r="D33" s="70" t="e">
        <f>'CW losslG,losslA,intra'!AN63</f>
        <v>#DIV/0!</v>
      </c>
      <c r="E33" s="70" t="e">
        <f>'CW losslG,losslA,intra'!AO63</f>
        <v>#DIV/0!</v>
      </c>
      <c r="F33" s="70" t="e">
        <f>'CW losslG,losslA,intra'!AL63</f>
        <v>#DIV/0!</v>
      </c>
    </row>
    <row r="34" spans="2:6" x14ac:dyDescent="0.15">
      <c r="B34" t="s">
        <v>13</v>
      </c>
      <c r="C34" s="70" t="e">
        <f>'CW losslG,losslA,intra'!AM64</f>
        <v>#DIV/0!</v>
      </c>
      <c r="D34" s="71"/>
      <c r="E34" s="70" t="e">
        <f>'CW losslG,losslA,intra'!AO64</f>
        <v>#DIV/0!</v>
      </c>
      <c r="F34" s="70" t="e">
        <f>'CW losslG,losslA,intra'!AL64</f>
        <v>#DIV/0!</v>
      </c>
    </row>
    <row r="35" spans="2:6" x14ac:dyDescent="0.15">
      <c r="B35" s="76" t="s">
        <v>14</v>
      </c>
      <c r="C35" s="77" t="e">
        <f>'CW losslG,losslA,intra'!AM65</f>
        <v>#DIV/0!</v>
      </c>
      <c r="D35" s="77" t="e">
        <f>'CW losslG,losslA,intra'!AN65</f>
        <v>#DIV/0!</v>
      </c>
      <c r="E35" s="77" t="e">
        <f>'CW losslG,losslA,intra'!AO65</f>
        <v>#DIV/0!</v>
      </c>
      <c r="F35" s="77" t="e">
        <f>'CW losslG,losslA,intra'!AL65</f>
        <v>#DIV/0!</v>
      </c>
    </row>
    <row r="36" spans="2:6" x14ac:dyDescent="0.15">
      <c r="B36" t="s">
        <v>15</v>
      </c>
      <c r="C36" s="87" t="e">
        <f>'CW losslG,losslA,intra'!AI69</f>
        <v>#NUM!</v>
      </c>
      <c r="D36" s="87"/>
      <c r="E36" s="87"/>
      <c r="F36" s="87"/>
    </row>
    <row r="37" spans="2:6" x14ac:dyDescent="0.15">
      <c r="B37" s="78" t="s">
        <v>16</v>
      </c>
      <c r="C37" s="88" t="e">
        <f>'CW losslG,losslA,intra'!AJ69</f>
        <v>#NUM!</v>
      </c>
      <c r="D37" s="88"/>
      <c r="E37" s="88"/>
      <c r="F37" s="88"/>
    </row>
    <row r="39" spans="2:6" x14ac:dyDescent="0.15">
      <c r="B39" s="89" t="s">
        <v>28</v>
      </c>
      <c r="C39" s="85" t="s">
        <v>29</v>
      </c>
      <c r="D39" s="85"/>
      <c r="E39" s="85"/>
      <c r="F39" s="85"/>
    </row>
    <row r="40" spans="2:6" x14ac:dyDescent="0.15">
      <c r="B40" s="89"/>
      <c r="C40" s="86" t="s">
        <v>30</v>
      </c>
      <c r="D40" s="86"/>
      <c r="E40" s="86"/>
      <c r="F40" s="86"/>
    </row>
    <row r="41" spans="2:6" x14ac:dyDescent="0.15">
      <c r="B41" s="89"/>
      <c r="C41" s="75" t="s">
        <v>6</v>
      </c>
      <c r="D41" s="75" t="s">
        <v>7</v>
      </c>
      <c r="E41" s="75" t="s">
        <v>8</v>
      </c>
      <c r="F41" s="75" t="s">
        <v>9</v>
      </c>
    </row>
    <row r="42" spans="2:6" x14ac:dyDescent="0.15">
      <c r="B42" t="s">
        <v>10</v>
      </c>
      <c r="C42" s="70">
        <f>'CY losslG,nearllA,intra'!$BI$285:$BI$285</f>
        <v>1.4935767727695747E-2</v>
      </c>
      <c r="D42" s="70">
        <f>'CY losslG,nearllA,intra'!$BJ$285:$BJ$285</f>
        <v>1.4935767727695747E-2</v>
      </c>
      <c r="E42" s="70">
        <f>'CY losslG,nearllA,intra'!$BK$285:$BK$285</f>
        <v>1.4935767727695747E-2</v>
      </c>
      <c r="F42" s="71"/>
    </row>
    <row r="43" spans="2:6" x14ac:dyDescent="0.15">
      <c r="B43" t="s">
        <v>11</v>
      </c>
      <c r="C43" s="70">
        <f>'CY losslG,nearllA,intra'!$BI$286:$BI$286</f>
        <v>2.0067463413030839E-2</v>
      </c>
      <c r="D43" s="70">
        <f>'CY losslG,nearllA,intra'!$BJ$286:$BJ$286</f>
        <v>2.0067463413030839E-2</v>
      </c>
      <c r="E43" s="70">
        <f>'CY losslG,nearllA,intra'!$BK$286:$BK$286</f>
        <v>2.0067463413030839E-2</v>
      </c>
      <c r="F43" s="71"/>
    </row>
    <row r="44" spans="2:6" x14ac:dyDescent="0.15">
      <c r="B44" t="s">
        <v>12</v>
      </c>
      <c r="C44" s="70">
        <f>'CY losslG,nearllA,intra'!$BI$287:$BI$287</f>
        <v>2.3127303589826214E-2</v>
      </c>
      <c r="D44" s="70">
        <f>'CY losslG,nearllA,intra'!$BJ$287:$BJ$287</f>
        <v>2.3127303589826214E-2</v>
      </c>
      <c r="E44" s="70">
        <f>'CY losslG,nearllA,intra'!$BK$287:$BK$287</f>
        <v>2.3127303589826214E-2</v>
      </c>
      <c r="F44" s="70" t="e">
        <f>'CY losslG,nearllA,intra'!$BL$287:$BL$287</f>
        <v>#DIV/0!</v>
      </c>
    </row>
    <row r="45" spans="2:6" x14ac:dyDescent="0.15">
      <c r="B45" t="s">
        <v>13</v>
      </c>
      <c r="C45" s="71"/>
      <c r="D45" s="71"/>
      <c r="E45" s="71"/>
      <c r="F45" s="70" t="e">
        <f>'CY losslG,nearllA,intra'!$BL$288:$BL$288</f>
        <v>#DIV/0!</v>
      </c>
    </row>
    <row r="46" spans="2:6" x14ac:dyDescent="0.15">
      <c r="B46" s="76" t="s">
        <v>14</v>
      </c>
      <c r="C46" s="77">
        <f>'CY losslG,nearllA,intra'!$BI$289:$BI$289</f>
        <v>1.7950773932480107E-2</v>
      </c>
      <c r="D46" s="77">
        <f>'CY losslG,nearllA,intra'!$BJ$289:$BJ$289</f>
        <v>1.7950773932480107E-2</v>
      </c>
      <c r="E46" s="77">
        <f>'CY losslG,nearllA,intra'!$BK$289:$BK$289</f>
        <v>1.7950773932480107E-2</v>
      </c>
      <c r="F46" s="77" t="e">
        <f>'CY losslG,nearllA,intra'!$BL$289:$BL$289</f>
        <v>#DIV/0!</v>
      </c>
    </row>
    <row r="47" spans="2:6" x14ac:dyDescent="0.15">
      <c r="B47" t="s">
        <v>15</v>
      </c>
      <c r="C47" s="87">
        <f>'CY losslG,nearllA,intra'!AX293</f>
        <v>1.0090462979389794</v>
      </c>
      <c r="D47" s="87"/>
      <c r="E47" s="87"/>
      <c r="F47" s="87"/>
    </row>
    <row r="48" spans="2:6" x14ac:dyDescent="0.15">
      <c r="B48" s="78" t="s">
        <v>16</v>
      </c>
      <c r="C48" s="88">
        <f>'CY losslG,nearllA,intra'!AY293</f>
        <v>0.99963504085085209</v>
      </c>
      <c r="D48" s="88"/>
      <c r="E48" s="88"/>
      <c r="F48" s="88"/>
    </row>
    <row r="49" spans="2:6" ht="14.25" thickBot="1" x14ac:dyDescent="0.2"/>
    <row r="50" spans="2:6" ht="14.25" thickBot="1" x14ac:dyDescent="0.2">
      <c r="B50" s="89" t="s">
        <v>28</v>
      </c>
      <c r="C50" s="85" t="s">
        <v>29</v>
      </c>
      <c r="D50" s="85"/>
      <c r="E50" s="85"/>
      <c r="F50" s="85"/>
    </row>
    <row r="51" spans="2:6" ht="14.25" thickBot="1" x14ac:dyDescent="0.2">
      <c r="B51" s="89"/>
      <c r="C51" s="86" t="s">
        <v>998</v>
      </c>
      <c r="D51" s="86"/>
      <c r="E51" s="86"/>
      <c r="F51" s="86"/>
    </row>
    <row r="52" spans="2:6" ht="14.25" thickBot="1" x14ac:dyDescent="0.2">
      <c r="B52" s="89"/>
      <c r="C52" s="75" t="s">
        <v>6</v>
      </c>
      <c r="D52" s="75" t="s">
        <v>7</v>
      </c>
      <c r="E52" s="75" t="s">
        <v>8</v>
      </c>
      <c r="F52" s="75" t="s">
        <v>9</v>
      </c>
    </row>
    <row r="53" spans="2:6" x14ac:dyDescent="0.15">
      <c r="B53" t="s">
        <v>10</v>
      </c>
      <c r="C53" s="70">
        <f>'CY losslG,nearllA,intra'!$BD$285:$BD$285</f>
        <v>1.4008053325694133E-2</v>
      </c>
      <c r="D53" s="70">
        <f>'CY losslG,nearllA,intra'!$BE$285:$BE$285</f>
        <v>1.867992234825799E-2</v>
      </c>
      <c r="E53" s="70">
        <f>'CY losslG,nearllA,intra'!$BF$285:$BF$285</f>
        <v>1.3246959446571322E-2</v>
      </c>
      <c r="F53" s="71"/>
    </row>
    <row r="54" spans="2:6" x14ac:dyDescent="0.15">
      <c r="B54" t="s">
        <v>11</v>
      </c>
      <c r="C54" s="70">
        <f>'CY losslG,nearllA,intra'!$BD$286:$BD$286</f>
        <v>1.8325686778835351E-2</v>
      </c>
      <c r="D54" s="70">
        <f>'CY losslG,nearllA,intra'!$BE$286:$BE$286</f>
        <v>2.1167771281393469E-2</v>
      </c>
      <c r="E54" s="70">
        <f>'CY losslG,nearllA,intra'!$BF$286:$BF$286</f>
        <v>1.7890551477430724E-2</v>
      </c>
      <c r="F54" s="71"/>
    </row>
    <row r="55" spans="2:6" x14ac:dyDescent="0.15">
      <c r="B55" t="s">
        <v>12</v>
      </c>
      <c r="C55" s="70">
        <f>'CY losslG,nearllA,intra'!$BD$287:$BD$287</f>
        <v>2.010827939920105E-2</v>
      </c>
      <c r="D55" s="70">
        <f>'CY losslG,nearllA,intra'!$BE$287:$BE$287</f>
        <v>1.9296533929893684E-2</v>
      </c>
      <c r="E55" s="70">
        <f>'CY losslG,nearllA,intra'!$BF$287:$BF$287</f>
        <v>1.9733465150939173E-2</v>
      </c>
      <c r="F55" s="70" t="e">
        <f>'CY losslG,nearllA,intra'!$BL$287:$BL$287</f>
        <v>#DIV/0!</v>
      </c>
    </row>
    <row r="56" spans="2:6" x14ac:dyDescent="0.15">
      <c r="B56" t="s">
        <v>13</v>
      </c>
      <c r="C56" s="71"/>
      <c r="D56" s="71"/>
      <c r="E56" s="71"/>
      <c r="F56" s="70" t="e">
        <f>'CY losslG,nearllA,intra'!$BL$288:$BL$288</f>
        <v>#DIV/0!</v>
      </c>
    </row>
    <row r="57" spans="2:6" x14ac:dyDescent="0.15">
      <c r="B57" s="76" t="s">
        <v>14</v>
      </c>
      <c r="C57" s="77">
        <f>'CY losslG,nearllA,intra'!$BD$289:$BD$289</f>
        <v>1.6496295797039234E-2</v>
      </c>
      <c r="D57" s="77">
        <f>'CY losslG,nearllA,intra'!$BE$289:$BE$289</f>
        <v>1.9936212330710208E-2</v>
      </c>
      <c r="E57" s="77">
        <f>'CY losslG,nearllA,intra'!$BF$289:$BF$289</f>
        <v>1.5918504872157634E-2</v>
      </c>
      <c r="F57" s="77" t="e">
        <f>'CY losslG,nearllA,intra'!$BL$289:$BL$289</f>
        <v>#DIV/0!</v>
      </c>
    </row>
    <row r="58" spans="2:6" x14ac:dyDescent="0.15">
      <c r="B58" t="s">
        <v>15</v>
      </c>
      <c r="C58" s="87">
        <f>'CY losslG,nearllA,intra'!AX293</f>
        <v>1.0090462979389794</v>
      </c>
      <c r="D58" s="87"/>
      <c r="E58" s="87"/>
      <c r="F58" s="87"/>
    </row>
    <row r="59" spans="2:6" ht="14.25" thickBot="1" x14ac:dyDescent="0.2">
      <c r="B59" s="78" t="s">
        <v>16</v>
      </c>
      <c r="C59" s="88">
        <f>'CY losslG,nearllA,intra'!AY293</f>
        <v>0.99963504085085209</v>
      </c>
      <c r="D59" s="88"/>
      <c r="E59" s="88"/>
      <c r="F59" s="88"/>
    </row>
  </sheetData>
  <mergeCells count="28">
    <mergeCell ref="B50:B52"/>
    <mergeCell ref="C50:F50"/>
    <mergeCell ref="C51:F51"/>
    <mergeCell ref="C58:F58"/>
    <mergeCell ref="C59:F59"/>
    <mergeCell ref="G18:H18"/>
    <mergeCell ref="C25:H25"/>
    <mergeCell ref="C1:E1"/>
    <mergeCell ref="C2:E2"/>
    <mergeCell ref="C6:F6"/>
    <mergeCell ref="C7:F7"/>
    <mergeCell ref="C14:F14"/>
    <mergeCell ref="C39:F39"/>
    <mergeCell ref="C40:F40"/>
    <mergeCell ref="C47:F47"/>
    <mergeCell ref="C48:F48"/>
    <mergeCell ref="B6:B8"/>
    <mergeCell ref="B17:B19"/>
    <mergeCell ref="B28:B30"/>
    <mergeCell ref="B39:B41"/>
    <mergeCell ref="C26:H26"/>
    <mergeCell ref="C28:F28"/>
    <mergeCell ref="C29:F29"/>
    <mergeCell ref="C36:F36"/>
    <mergeCell ref="C37:F37"/>
    <mergeCell ref="C15:F15"/>
    <mergeCell ref="C17:H17"/>
    <mergeCell ref="C18:F18"/>
  </mergeCells>
  <phoneticPr fontId="3" type="noConversion"/>
  <conditionalFormatting sqref="C9 C10 C11 C13">
    <cfRule type="cellIs" dxfId="125" priority="13" operator="greaterThanOrEqual">
      <formula>0.03</formula>
    </cfRule>
    <cfRule type="cellIs" dxfId="124" priority="14" operator="lessThanOrEqual">
      <formula>-0.03</formula>
    </cfRule>
  </conditionalFormatting>
  <conditionalFormatting sqref="D9 D10 D11 D13">
    <cfRule type="cellIs" dxfId="123" priority="15" operator="greaterThanOrEqual">
      <formula>0.03</formula>
    </cfRule>
    <cfRule type="cellIs" dxfId="122" priority="16" operator="lessThanOrEqual">
      <formula>-0.03</formula>
    </cfRule>
  </conditionalFormatting>
  <conditionalFormatting sqref="E9 E10 E11 E13">
    <cfRule type="cellIs" dxfId="121" priority="9" operator="greaterThanOrEqual">
      <formula>0.03</formula>
    </cfRule>
    <cfRule type="cellIs" dxfId="120" priority="10" operator="lessThanOrEqual">
      <formula>-0.03</formula>
    </cfRule>
  </conditionalFormatting>
  <conditionalFormatting sqref="F11 F12 F13">
    <cfRule type="cellIs" dxfId="119" priority="11" operator="greaterThanOrEqual">
      <formula>0.03</formula>
    </cfRule>
    <cfRule type="cellIs" dxfId="118" priority="12" operator="lessThanOrEqual">
      <formula>-0.03</formula>
    </cfRule>
  </conditionalFormatting>
  <conditionalFormatting sqref="C20 C21 C22 C24">
    <cfRule type="cellIs" dxfId="117" priority="25" operator="greaterThanOrEqual">
      <formula>0.03</formula>
    </cfRule>
    <cfRule type="cellIs" dxfId="116" priority="26" operator="lessThanOrEqual">
      <formula>-0.03</formula>
    </cfRule>
  </conditionalFormatting>
  <conditionalFormatting sqref="D20 D21 D22 D24">
    <cfRule type="cellIs" dxfId="115" priority="21" operator="greaterThanOrEqual">
      <formula>0.03</formula>
    </cfRule>
    <cfRule type="cellIs" dxfId="114" priority="22" operator="lessThanOrEqual">
      <formula>-0.03</formula>
    </cfRule>
  </conditionalFormatting>
  <conditionalFormatting sqref="E20 E21 E22 E24">
    <cfRule type="cellIs" dxfId="113" priority="27" operator="greaterThanOrEqual">
      <formula>0.03</formula>
    </cfRule>
    <cfRule type="cellIs" dxfId="112" priority="28" operator="lessThanOrEqual">
      <formula>-0.03</formula>
    </cfRule>
  </conditionalFormatting>
  <conditionalFormatting sqref="G20 G21 G22 G23 G24">
    <cfRule type="cellIs" dxfId="111" priority="23" operator="greaterThanOrEqual">
      <formula>0.03</formula>
    </cfRule>
    <cfRule type="cellIs" dxfId="110" priority="24" operator="lessThanOrEqual">
      <formula>-0.03</formula>
    </cfRule>
  </conditionalFormatting>
  <conditionalFormatting sqref="H20 H21 H22 H23 H24">
    <cfRule type="cellIs" dxfId="109" priority="19" operator="greaterThanOrEqual">
      <formula>0.03</formula>
    </cfRule>
    <cfRule type="cellIs" dxfId="108" priority="20" operator="lessThanOrEqual">
      <formula>-0.03</formula>
    </cfRule>
  </conditionalFormatting>
  <conditionalFormatting sqref="F22 F23 F24">
    <cfRule type="cellIs" dxfId="107" priority="17" operator="greaterThanOrEqual">
      <formula>0.03</formula>
    </cfRule>
    <cfRule type="cellIs" dxfId="106" priority="18" operator="lessThanOrEqual">
      <formula>-0.03</formula>
    </cfRule>
  </conditionalFormatting>
  <conditionalFormatting sqref="C31 C32 C33 C34 C35">
    <cfRule type="cellIs" dxfId="105" priority="33" operator="greaterThanOrEqual">
      <formula>1.03</formula>
    </cfRule>
    <cfRule type="cellIs" dxfId="104" priority="34" operator="lessThanOrEqual">
      <formula>0.97</formula>
    </cfRule>
  </conditionalFormatting>
  <conditionalFormatting sqref="D31 D32 D33 D35">
    <cfRule type="cellIs" dxfId="103" priority="31" operator="greaterThanOrEqual">
      <formula>1.03</formula>
    </cfRule>
    <cfRule type="cellIs" dxfId="102" priority="32" operator="lessThanOrEqual">
      <formula>0.97</formula>
    </cfRule>
  </conditionalFormatting>
  <conditionalFormatting sqref="F31 F32 F33 F34 F35">
    <cfRule type="cellIs" dxfId="101" priority="35" operator="greaterThanOrEqual">
      <formula>1.03</formula>
    </cfRule>
    <cfRule type="cellIs" dxfId="100" priority="36" operator="lessThanOrEqual">
      <formula>0.97</formula>
    </cfRule>
  </conditionalFormatting>
  <conditionalFormatting sqref="E33 E34 E35">
    <cfRule type="cellIs" dxfId="99" priority="29" operator="greaterThanOrEqual">
      <formula>1.03</formula>
    </cfRule>
    <cfRule type="cellIs" dxfId="98" priority="30" operator="lessThanOrEqual">
      <formula>0.97</formula>
    </cfRule>
  </conditionalFormatting>
  <conditionalFormatting sqref="C42 C43 C44 C46">
    <cfRule type="cellIs" dxfId="97" priority="41" operator="greaterThanOrEqual">
      <formula>0.03</formula>
    </cfRule>
    <cfRule type="cellIs" dxfId="96" priority="42" operator="lessThanOrEqual">
      <formula>-0.03</formula>
    </cfRule>
  </conditionalFormatting>
  <conditionalFormatting sqref="D42 D43 D44 D46">
    <cfRule type="cellIs" dxfId="95" priority="37" operator="greaterThanOrEqual">
      <formula>0.03</formula>
    </cfRule>
    <cfRule type="cellIs" dxfId="94" priority="38" operator="lessThanOrEqual">
      <formula>-0.03</formula>
    </cfRule>
  </conditionalFormatting>
  <conditionalFormatting sqref="E42 E43 E44 E46">
    <cfRule type="cellIs" dxfId="93" priority="43" operator="greaterThanOrEqual">
      <formula>0.03</formula>
    </cfRule>
    <cfRule type="cellIs" dxfId="92" priority="44" operator="lessThanOrEqual">
      <formula>-0.03</formula>
    </cfRule>
  </conditionalFormatting>
  <conditionalFormatting sqref="F44 F45 F46">
    <cfRule type="cellIs" dxfId="91" priority="39" operator="greaterThanOrEqual">
      <formula>0.03</formula>
    </cfRule>
    <cfRule type="cellIs" dxfId="90" priority="40" operator="lessThanOrEqual">
      <formula>-0.03</formula>
    </cfRule>
  </conditionalFormatting>
  <conditionalFormatting sqref="C53:C55 C57">
    <cfRule type="cellIs" dxfId="89" priority="5" operator="greaterThanOrEqual">
      <formula>0.03</formula>
    </cfRule>
    <cfRule type="cellIs" dxfId="88" priority="6" operator="lessThanOrEqual">
      <formula>-0.03</formula>
    </cfRule>
  </conditionalFormatting>
  <conditionalFormatting sqref="D53:D55 D57">
    <cfRule type="cellIs" dxfId="87" priority="1" operator="greaterThanOrEqual">
      <formula>0.03</formula>
    </cfRule>
    <cfRule type="cellIs" dxfId="86" priority="2" operator="lessThanOrEqual">
      <formula>-0.03</formula>
    </cfRule>
  </conditionalFormatting>
  <conditionalFormatting sqref="E53:E55 E57">
    <cfRule type="cellIs" dxfId="85" priority="7" operator="greaterThanOrEqual">
      <formula>0.03</formula>
    </cfRule>
    <cfRule type="cellIs" dxfId="84" priority="8" operator="lessThanOrEqual">
      <formula>-0.03</formula>
    </cfRule>
  </conditionalFormatting>
  <conditionalFormatting sqref="F55:F57">
    <cfRule type="cellIs" dxfId="83" priority="3" operator="greaterThanOrEqual">
      <formula>0.03</formula>
    </cfRule>
    <cfRule type="cellIs" dxfId="82" priority="4" operator="lessThanOrEqual">
      <formula>-0.03</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P58"/>
  <sheetViews>
    <sheetView topLeftCell="A16" workbookViewId="0">
      <selection activeCell="B2" sqref="B2"/>
    </sheetView>
  </sheetViews>
  <sheetFormatPr defaultColWidth="9" defaultRowHeight="13.5" x14ac:dyDescent="0.15"/>
  <cols>
    <col min="1" max="1" width="12.75" customWidth="1"/>
    <col min="2" max="2" width="24.75" customWidth="1"/>
    <col min="4" max="4" width="24.75" customWidth="1"/>
    <col min="9" max="9" width="16.75" customWidth="1"/>
  </cols>
  <sheetData>
    <row r="1" spans="1:16" x14ac:dyDescent="0.15">
      <c r="A1" t="s">
        <v>31</v>
      </c>
      <c r="B1" s="73" t="s">
        <v>34</v>
      </c>
      <c r="C1" t="s">
        <v>32</v>
      </c>
      <c r="I1" t="s">
        <v>33</v>
      </c>
      <c r="M1" t="s">
        <v>34</v>
      </c>
      <c r="N1" t="s">
        <v>35</v>
      </c>
      <c r="O1" t="s">
        <v>36</v>
      </c>
      <c r="P1" t="s">
        <v>37</v>
      </c>
    </row>
    <row r="2" spans="1:16" x14ac:dyDescent="0.15">
      <c r="A2" t="s">
        <v>38</v>
      </c>
      <c r="B2" s="73" t="s">
        <v>94</v>
      </c>
      <c r="C2" t="s">
        <v>39</v>
      </c>
      <c r="I2" t="s">
        <v>40</v>
      </c>
      <c r="J2" t="s">
        <v>41</v>
      </c>
      <c r="M2" t="s">
        <v>42</v>
      </c>
      <c r="N2" t="s">
        <v>43</v>
      </c>
      <c r="O2" t="s">
        <v>44</v>
      </c>
      <c r="P2" t="s">
        <v>45</v>
      </c>
    </row>
    <row r="3" spans="1:16" x14ac:dyDescent="0.15">
      <c r="I3" t="s">
        <v>46</v>
      </c>
      <c r="J3" t="s">
        <v>47</v>
      </c>
      <c r="M3" t="s">
        <v>48</v>
      </c>
      <c r="N3" t="s">
        <v>48</v>
      </c>
      <c r="O3" t="s">
        <v>48</v>
      </c>
      <c r="P3" t="s">
        <v>48</v>
      </c>
    </row>
    <row r="4" spans="1:16" x14ac:dyDescent="0.15">
      <c r="A4" t="s">
        <v>49</v>
      </c>
      <c r="B4" s="73" t="s">
        <v>50</v>
      </c>
      <c r="C4" t="s">
        <v>51</v>
      </c>
      <c r="D4" s="73" t="s">
        <v>52</v>
      </c>
      <c r="E4" t="s">
        <v>53</v>
      </c>
      <c r="I4" t="s">
        <v>54</v>
      </c>
      <c r="J4" t="s">
        <v>55</v>
      </c>
      <c r="M4" t="s">
        <v>56</v>
      </c>
      <c r="N4" t="s">
        <v>56</v>
      </c>
      <c r="O4" t="s">
        <v>56</v>
      </c>
      <c r="P4" t="s">
        <v>56</v>
      </c>
    </row>
    <row r="5" spans="1:16" x14ac:dyDescent="0.15">
      <c r="A5" t="s">
        <v>49</v>
      </c>
      <c r="B5" s="73" t="s">
        <v>50</v>
      </c>
      <c r="C5" t="s">
        <v>51</v>
      </c>
      <c r="D5" s="73" t="s">
        <v>57</v>
      </c>
      <c r="E5" t="s">
        <v>58</v>
      </c>
      <c r="I5" t="s">
        <v>59</v>
      </c>
      <c r="J5" t="s">
        <v>60</v>
      </c>
      <c r="M5" t="s">
        <v>61</v>
      </c>
      <c r="N5" t="s">
        <v>61</v>
      </c>
      <c r="O5" t="s">
        <v>61</v>
      </c>
      <c r="P5" t="s">
        <v>61</v>
      </c>
    </row>
    <row r="6" spans="1:16" x14ac:dyDescent="0.15">
      <c r="A6" t="s">
        <v>49</v>
      </c>
      <c r="B6" s="73" t="s">
        <v>62</v>
      </c>
      <c r="C6" t="s">
        <v>51</v>
      </c>
      <c r="D6" s="73" t="s">
        <v>63</v>
      </c>
      <c r="E6" t="s">
        <v>64</v>
      </c>
      <c r="I6" t="s">
        <v>65</v>
      </c>
      <c r="J6" t="s">
        <v>66</v>
      </c>
      <c r="M6" t="s">
        <v>67</v>
      </c>
      <c r="N6" t="s">
        <v>67</v>
      </c>
      <c r="O6" t="s">
        <v>67</v>
      </c>
      <c r="P6" t="s">
        <v>67</v>
      </c>
    </row>
    <row r="7" spans="1:16" x14ac:dyDescent="0.15">
      <c r="A7" t="s">
        <v>49</v>
      </c>
      <c r="B7" s="73" t="s">
        <v>62</v>
      </c>
      <c r="C7" t="s">
        <v>51</v>
      </c>
      <c r="D7" s="73" t="s">
        <v>46</v>
      </c>
      <c r="E7" t="s">
        <v>68</v>
      </c>
      <c r="I7" t="s">
        <v>52</v>
      </c>
      <c r="J7" t="s">
        <v>69</v>
      </c>
      <c r="M7" t="s">
        <v>70</v>
      </c>
      <c r="N7" t="s">
        <v>70</v>
      </c>
      <c r="O7" t="s">
        <v>70</v>
      </c>
      <c r="P7" t="s">
        <v>70</v>
      </c>
    </row>
    <row r="8" spans="1:16" x14ac:dyDescent="0.15">
      <c r="A8" t="s">
        <v>49</v>
      </c>
      <c r="B8" s="73" t="s">
        <v>62</v>
      </c>
      <c r="C8" t="s">
        <v>51</v>
      </c>
      <c r="D8" s="73" t="s">
        <v>59</v>
      </c>
      <c r="E8" t="s">
        <v>71</v>
      </c>
      <c r="I8" t="s">
        <v>72</v>
      </c>
      <c r="J8" t="s">
        <v>73</v>
      </c>
      <c r="M8" t="s">
        <v>74</v>
      </c>
      <c r="N8" t="s">
        <v>74</v>
      </c>
      <c r="O8" t="s">
        <v>74</v>
      </c>
      <c r="P8" t="s">
        <v>74</v>
      </c>
    </row>
    <row r="9" spans="1:16" x14ac:dyDescent="0.15">
      <c r="A9" t="s">
        <v>49</v>
      </c>
      <c r="B9" s="73" t="s">
        <v>75</v>
      </c>
      <c r="C9" t="s">
        <v>51</v>
      </c>
      <c r="D9" s="73" t="s">
        <v>76</v>
      </c>
      <c r="E9" t="s">
        <v>77</v>
      </c>
      <c r="I9" t="s">
        <v>57</v>
      </c>
      <c r="J9" t="s">
        <v>78</v>
      </c>
      <c r="M9" t="s">
        <v>79</v>
      </c>
      <c r="N9" t="s">
        <v>79</v>
      </c>
      <c r="O9" t="s">
        <v>79</v>
      </c>
      <c r="P9" t="s">
        <v>79</v>
      </c>
    </row>
    <row r="10" spans="1:16" x14ac:dyDescent="0.15">
      <c r="I10" t="s">
        <v>80</v>
      </c>
      <c r="J10" t="s">
        <v>81</v>
      </c>
      <c r="M10" t="s">
        <v>82</v>
      </c>
      <c r="N10" t="s">
        <v>82</v>
      </c>
      <c r="O10" t="s">
        <v>82</v>
      </c>
      <c r="P10" t="s">
        <v>82</v>
      </c>
    </row>
    <row r="11" spans="1:16" x14ac:dyDescent="0.15">
      <c r="I11" t="s">
        <v>83</v>
      </c>
      <c r="J11" t="s">
        <v>84</v>
      </c>
      <c r="M11" t="s">
        <v>85</v>
      </c>
      <c r="N11" t="s">
        <v>85</v>
      </c>
      <c r="O11" t="s">
        <v>85</v>
      </c>
      <c r="P11" t="s">
        <v>85</v>
      </c>
    </row>
    <row r="12" spans="1:16" x14ac:dyDescent="0.15">
      <c r="I12" t="s">
        <v>86</v>
      </c>
      <c r="J12" t="s">
        <v>87</v>
      </c>
      <c r="M12" t="s">
        <v>88</v>
      </c>
      <c r="N12" t="s">
        <v>88</v>
      </c>
      <c r="O12" t="s">
        <v>88</v>
      </c>
      <c r="P12" t="s">
        <v>88</v>
      </c>
    </row>
    <row r="13" spans="1:16" x14ac:dyDescent="0.15">
      <c r="I13" t="s">
        <v>89</v>
      </c>
      <c r="J13" t="s">
        <v>90</v>
      </c>
      <c r="M13" t="s">
        <v>91</v>
      </c>
      <c r="N13" t="s">
        <v>91</v>
      </c>
      <c r="O13" t="s">
        <v>91</v>
      </c>
      <c r="P13" t="s">
        <v>91</v>
      </c>
    </row>
    <row r="14" spans="1:16" x14ac:dyDescent="0.15">
      <c r="I14" t="s">
        <v>92</v>
      </c>
      <c r="J14" t="s">
        <v>93</v>
      </c>
      <c r="M14" t="s">
        <v>94</v>
      </c>
      <c r="N14" t="s">
        <v>94</v>
      </c>
      <c r="O14" t="s">
        <v>94</v>
      </c>
      <c r="P14" t="s">
        <v>94</v>
      </c>
    </row>
    <row r="15" spans="1:16" x14ac:dyDescent="0.15">
      <c r="I15" t="s">
        <v>95</v>
      </c>
      <c r="J15" t="s">
        <v>96</v>
      </c>
      <c r="M15" t="s">
        <v>97</v>
      </c>
      <c r="N15" t="s">
        <v>97</v>
      </c>
      <c r="O15" t="s">
        <v>97</v>
      </c>
      <c r="P15" t="s">
        <v>97</v>
      </c>
    </row>
    <row r="16" spans="1:16" x14ac:dyDescent="0.15">
      <c r="I16" t="s">
        <v>98</v>
      </c>
      <c r="J16" t="s">
        <v>99</v>
      </c>
      <c r="M16" t="s">
        <v>100</v>
      </c>
      <c r="N16" t="s">
        <v>100</v>
      </c>
      <c r="O16" t="s">
        <v>100</v>
      </c>
      <c r="P16" t="s">
        <v>100</v>
      </c>
    </row>
    <row r="17" spans="9:16" x14ac:dyDescent="0.15">
      <c r="I17" t="s">
        <v>76</v>
      </c>
      <c r="J17" t="s">
        <v>101</v>
      </c>
      <c r="M17" t="s">
        <v>102</v>
      </c>
      <c r="N17" t="s">
        <v>102</v>
      </c>
      <c r="O17" t="s">
        <v>102</v>
      </c>
      <c r="P17" t="s">
        <v>102</v>
      </c>
    </row>
    <row r="18" spans="9:16" x14ac:dyDescent="0.15">
      <c r="I18" t="s">
        <v>103</v>
      </c>
      <c r="J18" t="s">
        <v>104</v>
      </c>
      <c r="M18" t="s">
        <v>105</v>
      </c>
      <c r="N18" t="s">
        <v>105</v>
      </c>
      <c r="O18" t="s">
        <v>105</v>
      </c>
      <c r="P18" t="s">
        <v>105</v>
      </c>
    </row>
    <row r="19" spans="9:16" x14ac:dyDescent="0.15">
      <c r="I19" t="s">
        <v>106</v>
      </c>
      <c r="J19" t="s">
        <v>107</v>
      </c>
      <c r="M19" t="s">
        <v>108</v>
      </c>
      <c r="N19" t="s">
        <v>108</v>
      </c>
      <c r="O19" t="s">
        <v>108</v>
      </c>
      <c r="P19" t="s">
        <v>108</v>
      </c>
    </row>
    <row r="20" spans="9:16" x14ac:dyDescent="0.15">
      <c r="I20" t="s">
        <v>109</v>
      </c>
      <c r="J20" t="s">
        <v>110</v>
      </c>
      <c r="M20" t="s">
        <v>111</v>
      </c>
      <c r="N20" t="s">
        <v>111</v>
      </c>
      <c r="O20" t="s">
        <v>111</v>
      </c>
      <c r="P20" t="s">
        <v>111</v>
      </c>
    </row>
    <row r="21" spans="9:16" x14ac:dyDescent="0.15">
      <c r="I21" t="s">
        <v>112</v>
      </c>
      <c r="J21" t="s">
        <v>113</v>
      </c>
      <c r="M21" t="s">
        <v>114</v>
      </c>
      <c r="N21" t="s">
        <v>114</v>
      </c>
      <c r="O21" t="s">
        <v>114</v>
      </c>
      <c r="P21" t="s">
        <v>114</v>
      </c>
    </row>
    <row r="22" spans="9:16" x14ac:dyDescent="0.15">
      <c r="I22" t="s">
        <v>63</v>
      </c>
      <c r="J22" t="s">
        <v>115</v>
      </c>
      <c r="M22" t="s">
        <v>116</v>
      </c>
      <c r="N22" t="s">
        <v>116</v>
      </c>
      <c r="O22" t="s">
        <v>116</v>
      </c>
      <c r="P22" t="s">
        <v>116</v>
      </c>
    </row>
    <row r="23" spans="9:16" x14ac:dyDescent="0.15">
      <c r="I23" t="s">
        <v>117</v>
      </c>
      <c r="J23" t="s">
        <v>118</v>
      </c>
      <c r="M23" t="s">
        <v>119</v>
      </c>
      <c r="N23" t="s">
        <v>119</v>
      </c>
      <c r="O23" t="s">
        <v>119</v>
      </c>
      <c r="P23" t="s">
        <v>119</v>
      </c>
    </row>
    <row r="24" spans="9:16" x14ac:dyDescent="0.15">
      <c r="I24" t="s">
        <v>120</v>
      </c>
      <c r="J24" t="s">
        <v>121</v>
      </c>
      <c r="M24" t="s">
        <v>122</v>
      </c>
      <c r="N24" t="s">
        <v>122</v>
      </c>
      <c r="O24" t="s">
        <v>122</v>
      </c>
      <c r="P24" t="s">
        <v>122</v>
      </c>
    </row>
    <row r="25" spans="9:16" x14ac:dyDescent="0.15">
      <c r="I25" t="s">
        <v>123</v>
      </c>
      <c r="J25" t="s">
        <v>124</v>
      </c>
      <c r="M25" t="s">
        <v>125</v>
      </c>
      <c r="N25" t="s">
        <v>125</v>
      </c>
      <c r="O25" t="s">
        <v>125</v>
      </c>
      <c r="P25" t="s">
        <v>125</v>
      </c>
    </row>
    <row r="26" spans="9:16" x14ac:dyDescent="0.15">
      <c r="I26" t="s">
        <v>126</v>
      </c>
      <c r="J26" t="s">
        <v>127</v>
      </c>
      <c r="M26" t="s">
        <v>128</v>
      </c>
      <c r="N26" t="s">
        <v>128</v>
      </c>
      <c r="O26" t="s">
        <v>128</v>
      </c>
      <c r="P26" t="s">
        <v>128</v>
      </c>
    </row>
    <row r="27" spans="9:16" x14ac:dyDescent="0.15">
      <c r="I27" t="s">
        <v>129</v>
      </c>
      <c r="J27" t="s">
        <v>130</v>
      </c>
      <c r="M27" t="s">
        <v>131</v>
      </c>
      <c r="N27" t="s">
        <v>131</v>
      </c>
      <c r="O27" t="s">
        <v>131</v>
      </c>
      <c r="P27" t="s">
        <v>131</v>
      </c>
    </row>
    <row r="28" spans="9:16" x14ac:dyDescent="0.15">
      <c r="I28" t="s">
        <v>132</v>
      </c>
      <c r="J28" t="s">
        <v>133</v>
      </c>
      <c r="M28" t="s">
        <v>134</v>
      </c>
      <c r="N28" t="s">
        <v>134</v>
      </c>
      <c r="O28" t="s">
        <v>134</v>
      </c>
      <c r="P28" t="s">
        <v>134</v>
      </c>
    </row>
    <row r="29" spans="9:16" x14ac:dyDescent="0.15">
      <c r="I29" t="s">
        <v>135</v>
      </c>
      <c r="J29" t="s">
        <v>136</v>
      </c>
      <c r="M29" t="s">
        <v>137</v>
      </c>
      <c r="N29" t="s">
        <v>137</v>
      </c>
      <c r="O29" t="s">
        <v>137</v>
      </c>
      <c r="P29" t="s">
        <v>137</v>
      </c>
    </row>
    <row r="30" spans="9:16" x14ac:dyDescent="0.15">
      <c r="I30" t="s">
        <v>138</v>
      </c>
      <c r="J30" t="s">
        <v>139</v>
      </c>
      <c r="M30" t="s">
        <v>140</v>
      </c>
      <c r="N30" t="s">
        <v>140</v>
      </c>
      <c r="O30" t="s">
        <v>140</v>
      </c>
      <c r="P30" t="s">
        <v>140</v>
      </c>
    </row>
    <row r="31" spans="9:16" x14ac:dyDescent="0.15">
      <c r="I31" t="s">
        <v>141</v>
      </c>
      <c r="J31" t="s">
        <v>142</v>
      </c>
      <c r="M31" t="s">
        <v>143</v>
      </c>
      <c r="N31" t="s">
        <v>143</v>
      </c>
      <c r="O31" t="s">
        <v>143</v>
      </c>
      <c r="P31" t="s">
        <v>143</v>
      </c>
    </row>
    <row r="32" spans="9:16" x14ac:dyDescent="0.15">
      <c r="I32" t="s">
        <v>144</v>
      </c>
      <c r="J32" t="s">
        <v>145</v>
      </c>
      <c r="M32" t="s">
        <v>146</v>
      </c>
      <c r="N32" t="s">
        <v>146</v>
      </c>
      <c r="O32" t="s">
        <v>146</v>
      </c>
      <c r="P32" t="s">
        <v>146</v>
      </c>
    </row>
    <row r="33" spans="9:16" x14ac:dyDescent="0.15">
      <c r="I33" t="s">
        <v>147</v>
      </c>
      <c r="J33" t="s">
        <v>148</v>
      </c>
      <c r="M33" t="s">
        <v>149</v>
      </c>
      <c r="N33" t="s">
        <v>149</v>
      </c>
      <c r="O33" t="s">
        <v>149</v>
      </c>
      <c r="P33" t="s">
        <v>149</v>
      </c>
    </row>
    <row r="34" spans="9:16" x14ac:dyDescent="0.15">
      <c r="I34" t="s">
        <v>150</v>
      </c>
      <c r="J34" t="s">
        <v>151</v>
      </c>
      <c r="M34" t="s">
        <v>152</v>
      </c>
      <c r="N34" t="s">
        <v>152</v>
      </c>
      <c r="O34" t="s">
        <v>152</v>
      </c>
      <c r="P34" t="s">
        <v>152</v>
      </c>
    </row>
    <row r="35" spans="9:16" x14ac:dyDescent="0.15">
      <c r="I35" t="s">
        <v>62</v>
      </c>
      <c r="J35" t="s">
        <v>153</v>
      </c>
      <c r="M35" t="s">
        <v>154</v>
      </c>
      <c r="N35" t="s">
        <v>154</v>
      </c>
      <c r="O35" t="s">
        <v>154</v>
      </c>
      <c r="P35" t="s">
        <v>154</v>
      </c>
    </row>
    <row r="36" spans="9:16" x14ac:dyDescent="0.15">
      <c r="I36" t="s">
        <v>50</v>
      </c>
      <c r="J36" t="s">
        <v>155</v>
      </c>
      <c r="M36" t="s">
        <v>156</v>
      </c>
      <c r="N36" t="s">
        <v>156</v>
      </c>
      <c r="O36" t="s">
        <v>156</v>
      </c>
      <c r="P36" t="s">
        <v>156</v>
      </c>
    </row>
    <row r="37" spans="9:16" x14ac:dyDescent="0.15">
      <c r="I37" t="s">
        <v>157</v>
      </c>
      <c r="J37" t="s">
        <v>158</v>
      </c>
      <c r="M37" t="s">
        <v>159</v>
      </c>
      <c r="N37" t="s">
        <v>159</v>
      </c>
      <c r="O37" t="s">
        <v>159</v>
      </c>
      <c r="P37" t="s">
        <v>159</v>
      </c>
    </row>
    <row r="38" spans="9:16" x14ac:dyDescent="0.15">
      <c r="I38" t="s">
        <v>75</v>
      </c>
      <c r="J38" t="s">
        <v>160</v>
      </c>
      <c r="M38" t="s">
        <v>161</v>
      </c>
      <c r="N38" t="s">
        <v>161</v>
      </c>
      <c r="O38" t="s">
        <v>161</v>
      </c>
      <c r="P38" t="s">
        <v>161</v>
      </c>
    </row>
    <row r="39" spans="9:16" x14ac:dyDescent="0.15">
      <c r="I39" t="s">
        <v>162</v>
      </c>
      <c r="J39" t="s">
        <v>163</v>
      </c>
      <c r="M39" t="s">
        <v>164</v>
      </c>
      <c r="N39" t="s">
        <v>164</v>
      </c>
      <c r="O39" t="s">
        <v>164</v>
      </c>
      <c r="P39" t="s">
        <v>164</v>
      </c>
    </row>
    <row r="40" spans="9:16" x14ac:dyDescent="0.15">
      <c r="M40" t="s">
        <v>165</v>
      </c>
      <c r="N40" t="s">
        <v>165</v>
      </c>
      <c r="O40" t="s">
        <v>165</v>
      </c>
      <c r="P40" t="s">
        <v>165</v>
      </c>
    </row>
    <row r="41" spans="9:16" x14ac:dyDescent="0.15">
      <c r="M41" t="s">
        <v>166</v>
      </c>
      <c r="N41" t="s">
        <v>166</v>
      </c>
      <c r="O41" t="s">
        <v>166</v>
      </c>
      <c r="P41" t="s">
        <v>166</v>
      </c>
    </row>
    <row r="42" spans="9:16" x14ac:dyDescent="0.15">
      <c r="M42" t="s">
        <v>167</v>
      </c>
      <c r="N42" t="s">
        <v>167</v>
      </c>
      <c r="O42" t="s">
        <v>167</v>
      </c>
      <c r="P42" t="s">
        <v>167</v>
      </c>
    </row>
    <row r="43" spans="9:16" x14ac:dyDescent="0.15">
      <c r="M43" t="s">
        <v>168</v>
      </c>
      <c r="N43" t="s">
        <v>168</v>
      </c>
      <c r="O43" t="s">
        <v>168</v>
      </c>
      <c r="P43" t="s">
        <v>168</v>
      </c>
    </row>
    <row r="44" spans="9:16" x14ac:dyDescent="0.15">
      <c r="M44" t="s">
        <v>169</v>
      </c>
      <c r="N44" t="s">
        <v>169</v>
      </c>
      <c r="O44" t="s">
        <v>169</v>
      </c>
      <c r="P44" t="s">
        <v>169</v>
      </c>
    </row>
    <row r="45" spans="9:16" x14ac:dyDescent="0.15">
      <c r="M45" t="s">
        <v>170</v>
      </c>
      <c r="N45" t="s">
        <v>170</v>
      </c>
      <c r="O45" t="s">
        <v>170</v>
      </c>
      <c r="P45" t="s">
        <v>170</v>
      </c>
    </row>
    <row r="46" spans="9:16" x14ac:dyDescent="0.15">
      <c r="M46" t="s">
        <v>171</v>
      </c>
      <c r="N46" t="s">
        <v>171</v>
      </c>
      <c r="O46" t="s">
        <v>171</v>
      </c>
      <c r="P46" t="s">
        <v>171</v>
      </c>
    </row>
    <row r="47" spans="9:16" x14ac:dyDescent="0.15">
      <c r="M47" t="s">
        <v>172</v>
      </c>
      <c r="N47" t="s">
        <v>172</v>
      </c>
      <c r="O47" t="s">
        <v>172</v>
      </c>
      <c r="P47" t="s">
        <v>172</v>
      </c>
    </row>
    <row r="48" spans="9:16" x14ac:dyDescent="0.15">
      <c r="M48" t="s">
        <v>173</v>
      </c>
      <c r="N48" t="s">
        <v>173</v>
      </c>
      <c r="O48" t="s">
        <v>173</v>
      </c>
      <c r="P48" t="s">
        <v>173</v>
      </c>
    </row>
    <row r="49" spans="13:16" x14ac:dyDescent="0.15">
      <c r="M49" t="s">
        <v>174</v>
      </c>
      <c r="N49" t="s">
        <v>174</v>
      </c>
      <c r="O49" t="s">
        <v>174</v>
      </c>
      <c r="P49" t="s">
        <v>174</v>
      </c>
    </row>
    <row r="50" spans="13:16" x14ac:dyDescent="0.15">
      <c r="M50" t="s">
        <v>175</v>
      </c>
      <c r="N50" t="s">
        <v>175</v>
      </c>
      <c r="O50" t="s">
        <v>175</v>
      </c>
      <c r="P50" t="s">
        <v>175</v>
      </c>
    </row>
    <row r="51" spans="13:16" x14ac:dyDescent="0.15">
      <c r="M51" t="s">
        <v>176</v>
      </c>
      <c r="N51" t="s">
        <v>176</v>
      </c>
      <c r="O51" t="s">
        <v>176</v>
      </c>
      <c r="P51" t="s">
        <v>176</v>
      </c>
    </row>
    <row r="52" spans="13:16" x14ac:dyDescent="0.15">
      <c r="M52" t="s">
        <v>177</v>
      </c>
      <c r="N52" t="s">
        <v>177</v>
      </c>
      <c r="O52" t="s">
        <v>177</v>
      </c>
      <c r="P52" t="s">
        <v>177</v>
      </c>
    </row>
    <row r="53" spans="13:16" x14ac:dyDescent="0.15">
      <c r="M53" t="s">
        <v>178</v>
      </c>
      <c r="N53" t="s">
        <v>178</v>
      </c>
      <c r="O53" t="s">
        <v>178</v>
      </c>
      <c r="P53" t="s">
        <v>178</v>
      </c>
    </row>
    <row r="54" spans="13:16" x14ac:dyDescent="0.15">
      <c r="M54" t="s">
        <v>179</v>
      </c>
      <c r="N54" t="s">
        <v>179</v>
      </c>
      <c r="O54" t="s">
        <v>179</v>
      </c>
      <c r="P54" t="s">
        <v>179</v>
      </c>
    </row>
    <row r="55" spans="13:16" x14ac:dyDescent="0.15">
      <c r="M55" t="s">
        <v>180</v>
      </c>
      <c r="N55" t="s">
        <v>180</v>
      </c>
      <c r="O55" t="s">
        <v>180</v>
      </c>
      <c r="P55" t="s">
        <v>180</v>
      </c>
    </row>
    <row r="56" spans="13:16" x14ac:dyDescent="0.15">
      <c r="M56" t="s">
        <v>181</v>
      </c>
      <c r="N56" t="s">
        <v>181</v>
      </c>
      <c r="O56" t="s">
        <v>181</v>
      </c>
      <c r="P56" t="s">
        <v>181</v>
      </c>
    </row>
    <row r="57" spans="13:16" x14ac:dyDescent="0.15">
      <c r="M57" t="s">
        <v>182</v>
      </c>
      <c r="N57" t="s">
        <v>182</v>
      </c>
      <c r="O57" t="s">
        <v>182</v>
      </c>
      <c r="P57" t="s">
        <v>182</v>
      </c>
    </row>
    <row r="58" spans="13:16" x14ac:dyDescent="0.15">
      <c r="M58" t="s">
        <v>183</v>
      </c>
      <c r="N58" t="s">
        <v>183</v>
      </c>
      <c r="O58" t="s">
        <v>183</v>
      </c>
      <c r="P58" t="s">
        <v>183</v>
      </c>
    </row>
  </sheetData>
  <phoneticPr fontId="3" type="noConversion"/>
  <conditionalFormatting sqref="B2">
    <cfRule type="expression" dxfId="81" priority="1">
      <formula>ISNA(MATCH(B2,OFFSET(M:M,2,MATCH(B1,M1:ZZ1,0)-1,COUNTA(INDEX(M:ZZ,,MATCH(B1,M1:ZZ1,0)))-2),0))</formula>
    </cfRule>
  </conditionalFormatting>
  <conditionalFormatting sqref="B4 D4 B5 D5 B6 D6 B7 D7 B8 D8 B9 D9">
    <cfRule type="expression" dxfId="80" priority="2">
      <formula>ISNA(MATCH(B4,filter_cols,0))</formula>
    </cfRule>
  </conditionalFormatting>
  <dataValidations count="3">
    <dataValidation type="list" allowBlank="1" showInputMessage="1" showErrorMessage="1" sqref="B1" xr:uid="{00000000-0002-0000-0100-000000000000}">
      <formula1>OFFSET(1:1,0,COLUMN(M1)-1,1,COUNTA(M1:ZZ1))</formula1>
    </dataValidation>
    <dataValidation type="list" allowBlank="1" showInputMessage="1" showErrorMessage="1" sqref="B4 D4 B5 D5 B6 D6 B7 D7 B8 D8 B9 D9" xr:uid="{00000000-0002-0000-0100-000001000000}">
      <formula1>Graphs!filter_cols</formula1>
    </dataValidation>
    <dataValidation type="list" allowBlank="1" showInputMessage="1" showErrorMessage="1" sqref="B2" xr:uid="{00000000-0002-0000-0100-000002000000}">
      <formula1>OFFSET(M:M,2,MATCH(B1,M1:ZZ1,0)-1,COUNTA(INDEX(M:ZZ,,MATCH(B1,M1:ZZ1,0)))-2)</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outlinePr summaryBelow="0"/>
  </sheetPr>
  <dimension ref="A1:BN349"/>
  <sheetViews>
    <sheetView zoomScale="70" zoomScaleNormal="70" workbookViewId="0">
      <pane xSplit="2" ySplit="4" topLeftCell="L5" activePane="bottomRight" state="frozen"/>
      <selection activeCell="H2" sqref="H2:H3"/>
      <selection pane="topRight" activeCell="H2" sqref="H2:H3"/>
      <selection pane="bottomLeft" activeCell="H2" sqref="H2:H3"/>
      <selection pane="bottomRight" activeCell="H2" sqref="H2:H3"/>
    </sheetView>
  </sheetViews>
  <sheetFormatPr defaultColWidth="9" defaultRowHeight="13.5" outlineLevelRow="2" x14ac:dyDescent="0.15"/>
  <cols>
    <col min="1" max="1" width="9.125"/>
    <col min="2" max="2" width="24.75" customWidth="1"/>
    <col min="3" max="3" width="9.125"/>
    <col min="4" max="5" width="10.75" customWidth="1"/>
    <col min="6" max="7" width="9.125"/>
    <col min="8" max="8" width="1.75" customWidth="1"/>
    <col min="9" max="9" width="9.125"/>
    <col min="10" max="12" width="10.75" customWidth="1"/>
    <col min="13" max="13" width="11.75" customWidth="1"/>
    <col min="14" max="14" width="12.75" customWidth="1"/>
    <col min="15" max="15" width="10.75" customWidth="1"/>
    <col min="16" max="19" width="12.75" customWidth="1"/>
    <col min="20" max="23" width="11.75" customWidth="1"/>
    <col min="24" max="25" width="9.125"/>
    <col min="26" max="26" width="1.75" customWidth="1"/>
    <col min="27" max="27" width="9.125"/>
    <col min="28" max="30" width="10.75" customWidth="1"/>
    <col min="31" max="31" width="11.75" customWidth="1"/>
    <col min="32" max="32" width="12.75" customWidth="1"/>
    <col min="33" max="33" width="10.75" customWidth="1"/>
    <col min="34" max="37" width="12.75" customWidth="1"/>
    <col min="38" max="41" width="11.75" customWidth="1"/>
    <col min="42" max="43" width="9.125"/>
    <col min="44" max="44" width="1.625" customWidth="1"/>
    <col min="45" max="46" width="9.125"/>
    <col min="47" max="47" width="1.75" customWidth="1"/>
    <col min="48" max="51" width="11.75" customWidth="1"/>
    <col min="52" max="52" width="1.75" customWidth="1"/>
    <col min="53" max="56" width="11.75" customWidth="1"/>
    <col min="57" max="57" width="1.75" customWidth="1"/>
  </cols>
  <sheetData>
    <row r="1" spans="1:66" x14ac:dyDescent="0.15">
      <c r="A1" s="95" t="s">
        <v>184</v>
      </c>
      <c r="B1" s="95"/>
      <c r="C1" s="95"/>
      <c r="D1" s="95"/>
      <c r="E1" s="95"/>
      <c r="F1" s="95"/>
      <c r="G1" s="95"/>
      <c r="I1" s="91" t="s">
        <v>995</v>
      </c>
      <c r="J1" s="91"/>
      <c r="K1" s="91"/>
      <c r="L1" s="91"/>
      <c r="M1" s="91"/>
      <c r="N1" s="91"/>
      <c r="O1" s="91"/>
      <c r="P1" s="91"/>
      <c r="Q1" s="91"/>
      <c r="R1" s="91"/>
      <c r="S1" s="91"/>
      <c r="T1" s="91"/>
      <c r="U1" s="91"/>
      <c r="V1" s="91"/>
      <c r="W1" s="91"/>
      <c r="X1" s="91"/>
      <c r="Y1" s="91"/>
      <c r="AA1" s="92" t="s">
        <v>996</v>
      </c>
      <c r="AB1" s="92"/>
      <c r="AC1" s="92"/>
      <c r="AD1" s="92"/>
      <c r="AE1" s="92"/>
      <c r="AF1" s="92"/>
      <c r="AG1" s="92"/>
      <c r="AH1" s="92"/>
      <c r="AI1" s="92"/>
      <c r="AJ1" s="92"/>
      <c r="AK1" s="92"/>
      <c r="AL1" s="92"/>
      <c r="AM1" s="92"/>
      <c r="AN1" s="92"/>
      <c r="AO1" s="92"/>
      <c r="AP1" s="92"/>
      <c r="AQ1" s="92"/>
      <c r="BF1" s="80" t="s">
        <v>991</v>
      </c>
    </row>
    <row r="2" spans="1:66" ht="30" customHeight="1" thickBot="1" x14ac:dyDescent="0.2">
      <c r="A2" s="93" t="s">
        <v>185</v>
      </c>
      <c r="B2" s="94" t="s">
        <v>186</v>
      </c>
      <c r="C2" s="93" t="s">
        <v>187</v>
      </c>
      <c r="D2" s="94" t="s">
        <v>188</v>
      </c>
      <c r="E2" s="93" t="s">
        <v>189</v>
      </c>
      <c r="F2" s="94" t="s">
        <v>190</v>
      </c>
      <c r="G2" s="93" t="s">
        <v>191</v>
      </c>
      <c r="I2" s="94" t="s">
        <v>192</v>
      </c>
      <c r="J2" s="96" t="s">
        <v>193</v>
      </c>
      <c r="K2" s="96"/>
      <c r="L2" s="96"/>
      <c r="M2" s="96"/>
      <c r="N2" s="94" t="s">
        <v>194</v>
      </c>
      <c r="O2" s="93" t="s">
        <v>84</v>
      </c>
      <c r="P2" s="97" t="s">
        <v>195</v>
      </c>
      <c r="Q2" s="97"/>
      <c r="R2" s="97"/>
      <c r="S2" s="97"/>
      <c r="T2" s="96" t="s">
        <v>196</v>
      </c>
      <c r="U2" s="96"/>
      <c r="V2" s="96"/>
      <c r="W2" s="96"/>
      <c r="X2" s="94" t="s">
        <v>197</v>
      </c>
      <c r="Y2" s="93" t="s">
        <v>198</v>
      </c>
      <c r="AA2" s="94" t="s">
        <v>192</v>
      </c>
      <c r="AB2" s="96" t="s">
        <v>193</v>
      </c>
      <c r="AC2" s="96"/>
      <c r="AD2" s="96"/>
      <c r="AE2" s="96"/>
      <c r="AF2" s="94" t="s">
        <v>194</v>
      </c>
      <c r="AG2" s="93" t="s">
        <v>84</v>
      </c>
      <c r="AH2" s="97" t="s">
        <v>195</v>
      </c>
      <c r="AI2" s="97"/>
      <c r="AJ2" s="97"/>
      <c r="AK2" s="97"/>
      <c r="AL2" s="96" t="s">
        <v>196</v>
      </c>
      <c r="AM2" s="96"/>
      <c r="AN2" s="96"/>
      <c r="AO2" s="96"/>
      <c r="AP2" s="94" t="s">
        <v>197</v>
      </c>
      <c r="AQ2" s="93" t="s">
        <v>198</v>
      </c>
      <c r="AS2" s="94" t="s">
        <v>199</v>
      </c>
      <c r="AT2" s="93" t="s">
        <v>199</v>
      </c>
      <c r="AV2" s="97" t="s">
        <v>5</v>
      </c>
      <c r="AW2" s="97"/>
      <c r="AX2" s="97"/>
      <c r="AY2" s="97"/>
      <c r="BA2" s="96" t="s">
        <v>200</v>
      </c>
      <c r="BB2" s="96"/>
      <c r="BC2" s="96"/>
      <c r="BD2" s="96"/>
      <c r="BF2" s="98" t="s">
        <v>84</v>
      </c>
      <c r="BG2" s="99" t="s">
        <v>195</v>
      </c>
      <c r="BH2" s="99"/>
      <c r="BI2" s="99"/>
      <c r="BJ2" s="99"/>
      <c r="BK2" s="99" t="s">
        <v>196</v>
      </c>
      <c r="BL2" s="99"/>
      <c r="BM2" s="99"/>
      <c r="BN2" s="99"/>
    </row>
    <row r="3" spans="1:66" ht="27.75" thickBot="1" x14ac:dyDescent="0.2">
      <c r="A3" s="93"/>
      <c r="B3" s="94"/>
      <c r="C3" s="93"/>
      <c r="D3" s="94"/>
      <c r="E3" s="93"/>
      <c r="F3" s="94"/>
      <c r="G3" s="93"/>
      <c r="I3" s="94"/>
      <c r="J3" s="1" t="s">
        <v>27</v>
      </c>
      <c r="K3" s="1" t="s">
        <v>25</v>
      </c>
      <c r="L3" s="1" t="s">
        <v>201</v>
      </c>
      <c r="M3" s="1" t="s">
        <v>9</v>
      </c>
      <c r="N3" s="94"/>
      <c r="O3" s="93"/>
      <c r="P3" s="2" t="s">
        <v>27</v>
      </c>
      <c r="Q3" s="2" t="s">
        <v>25</v>
      </c>
      <c r="R3" s="2" t="s">
        <v>26</v>
      </c>
      <c r="S3" s="2" t="s">
        <v>9</v>
      </c>
      <c r="T3" s="1" t="s">
        <v>6</v>
      </c>
      <c r="U3" s="1" t="s">
        <v>7</v>
      </c>
      <c r="V3" s="1" t="s">
        <v>8</v>
      </c>
      <c r="W3" s="1" t="s">
        <v>9</v>
      </c>
      <c r="X3" s="94"/>
      <c r="Y3" s="93"/>
      <c r="AA3" s="94"/>
      <c r="AB3" s="1" t="s">
        <v>27</v>
      </c>
      <c r="AC3" s="1" t="s">
        <v>25</v>
      </c>
      <c r="AD3" s="1" t="s">
        <v>201</v>
      </c>
      <c r="AE3" s="1" t="s">
        <v>9</v>
      </c>
      <c r="AF3" s="94"/>
      <c r="AG3" s="93"/>
      <c r="AH3" s="2" t="s">
        <v>27</v>
      </c>
      <c r="AI3" s="2" t="s">
        <v>25</v>
      </c>
      <c r="AJ3" s="2" t="s">
        <v>26</v>
      </c>
      <c r="AK3" s="2" t="s">
        <v>9</v>
      </c>
      <c r="AL3" s="1" t="s">
        <v>6</v>
      </c>
      <c r="AM3" s="1" t="s">
        <v>7</v>
      </c>
      <c r="AN3" s="1" t="s">
        <v>8</v>
      </c>
      <c r="AO3" s="1" t="s">
        <v>9</v>
      </c>
      <c r="AP3" s="94"/>
      <c r="AQ3" s="93"/>
      <c r="AS3" s="94"/>
      <c r="AT3" s="93"/>
      <c r="AV3" s="2" t="s">
        <v>6</v>
      </c>
      <c r="AW3" s="2" t="s">
        <v>7</v>
      </c>
      <c r="AX3" s="2" t="s">
        <v>8</v>
      </c>
      <c r="AY3" s="2" t="s">
        <v>9</v>
      </c>
      <c r="BA3" s="1" t="s">
        <v>6</v>
      </c>
      <c r="BB3" s="1" t="s">
        <v>7</v>
      </c>
      <c r="BC3" s="1" t="s">
        <v>8</v>
      </c>
      <c r="BD3" s="1" t="s">
        <v>9</v>
      </c>
      <c r="BF3" s="98"/>
      <c r="BG3" s="81" t="s">
        <v>27</v>
      </c>
      <c r="BH3" s="81" t="s">
        <v>25</v>
      </c>
      <c r="BI3" s="81" t="s">
        <v>26</v>
      </c>
      <c r="BJ3" s="81" t="s">
        <v>9</v>
      </c>
      <c r="BK3" s="81" t="s">
        <v>6</v>
      </c>
      <c r="BL3" s="81" t="s">
        <v>7</v>
      </c>
      <c r="BM3" s="81" t="s">
        <v>8</v>
      </c>
      <c r="BN3" s="81" t="s">
        <v>9</v>
      </c>
    </row>
    <row r="4" spans="1:66" ht="147" hidden="1" x14ac:dyDescent="0.15">
      <c r="A4" s="3" t="s">
        <v>202</v>
      </c>
      <c r="B4" s="4" t="s">
        <v>203</v>
      </c>
      <c r="C4" s="3" t="s">
        <v>204</v>
      </c>
      <c r="D4" s="4" t="s">
        <v>205</v>
      </c>
      <c r="E4" s="3" t="s">
        <v>206</v>
      </c>
      <c r="F4" s="4" t="s">
        <v>207</v>
      </c>
      <c r="G4" s="3" t="s">
        <v>208</v>
      </c>
      <c r="I4" s="4" t="s">
        <v>209</v>
      </c>
      <c r="J4" s="3" t="s">
        <v>210</v>
      </c>
      <c r="K4" s="3" t="s">
        <v>211</v>
      </c>
      <c r="L4" s="3" t="s">
        <v>212</v>
      </c>
      <c r="M4" s="3" t="s">
        <v>213</v>
      </c>
      <c r="N4" s="4" t="s">
        <v>214</v>
      </c>
      <c r="O4" s="3" t="s">
        <v>215</v>
      </c>
      <c r="P4" s="4" t="s">
        <v>216</v>
      </c>
      <c r="Q4" s="4" t="s">
        <v>217</v>
      </c>
      <c r="R4" s="4" t="s">
        <v>218</v>
      </c>
      <c r="S4" s="4" t="s">
        <v>219</v>
      </c>
      <c r="T4" s="3" t="s">
        <v>220</v>
      </c>
      <c r="U4" s="3" t="s">
        <v>221</v>
      </c>
      <c r="V4" s="3" t="s">
        <v>222</v>
      </c>
      <c r="W4" s="3" t="s">
        <v>223</v>
      </c>
      <c r="X4" s="4" t="s">
        <v>224</v>
      </c>
      <c r="Y4" s="3" t="s">
        <v>225</v>
      </c>
      <c r="AA4" s="4" t="s">
        <v>226</v>
      </c>
      <c r="AB4" s="3" t="s">
        <v>227</v>
      </c>
      <c r="AC4" s="3" t="s">
        <v>228</v>
      </c>
      <c r="AD4" s="3" t="s">
        <v>229</v>
      </c>
      <c r="AE4" s="3" t="s">
        <v>230</v>
      </c>
      <c r="AF4" s="4" t="s">
        <v>231</v>
      </c>
      <c r="AG4" s="3" t="s">
        <v>232</v>
      </c>
      <c r="AH4" s="4" t="s">
        <v>233</v>
      </c>
      <c r="AI4" s="4" t="s">
        <v>234</v>
      </c>
      <c r="AJ4" s="4" t="s">
        <v>235</v>
      </c>
      <c r="AK4" s="4" t="s">
        <v>236</v>
      </c>
      <c r="AL4" s="3" t="s">
        <v>237</v>
      </c>
      <c r="AM4" s="3" t="s">
        <v>238</v>
      </c>
      <c r="AN4" s="3" t="s">
        <v>239</v>
      </c>
      <c r="AO4" s="3" t="s">
        <v>240</v>
      </c>
      <c r="AP4" s="4" t="s">
        <v>241</v>
      </c>
      <c r="AQ4" s="3" t="s">
        <v>242</v>
      </c>
      <c r="AS4" s="4" t="s">
        <v>243</v>
      </c>
      <c r="AT4" s="3" t="s">
        <v>244</v>
      </c>
      <c r="AV4" s="4" t="s">
        <v>245</v>
      </c>
      <c r="AW4" s="4" t="s">
        <v>246</v>
      </c>
      <c r="AX4" s="4" t="s">
        <v>247</v>
      </c>
      <c r="AY4" s="4" t="s">
        <v>248</v>
      </c>
      <c r="BA4" s="3" t="s">
        <v>249</v>
      </c>
      <c r="BB4" s="3" t="s">
        <v>250</v>
      </c>
      <c r="BC4" s="3" t="s">
        <v>251</v>
      </c>
      <c r="BD4" s="3" t="s">
        <v>252</v>
      </c>
    </row>
    <row r="5" spans="1:66" x14ac:dyDescent="0.15">
      <c r="A5" s="5" t="s">
        <v>253</v>
      </c>
      <c r="B5" s="5" t="s">
        <v>48</v>
      </c>
      <c r="C5" s="6" t="s">
        <v>254</v>
      </c>
      <c r="D5" s="5">
        <v>2925514</v>
      </c>
      <c r="E5" s="7">
        <v>11</v>
      </c>
      <c r="F5" s="6">
        <v>1</v>
      </c>
      <c r="G5" s="6"/>
      <c r="I5" s="17" t="str">
        <f t="shared" ref="I5:I68" si="0">IF(OR(ISBLANK(P5),ISBLANK(G5)),"·",P5*G5/F5/1000000)</f>
        <v>·</v>
      </c>
      <c r="J5" s="18" t="str">
        <f t="shared" ref="J5:J68" si="1">IF(ISBLANK(P5),"·",P5/D5)</f>
        <v>·</v>
      </c>
      <c r="K5" s="18" t="str">
        <f t="shared" ref="K5:K68" si="2">IF(Q5="","·",Q5/D5)</f>
        <v>·</v>
      </c>
      <c r="L5" s="18" t="str">
        <f t="shared" ref="L5:L68" si="3">IF(ISBLANK(R5),"·",R5/D5)</f>
        <v>·</v>
      </c>
      <c r="M5" s="19"/>
      <c r="N5" s="18" t="str">
        <f t="shared" ref="N5:N68" si="4">IF(ISBLANK(P5),"·",P5/O5)</f>
        <v>·</v>
      </c>
      <c r="O5" s="20"/>
      <c r="P5" s="21"/>
      <c r="Q5" s="21"/>
      <c r="R5" s="21"/>
      <c r="S5" s="37"/>
      <c r="T5" s="38"/>
      <c r="U5" s="38"/>
      <c r="V5" s="38"/>
      <c r="W5" s="39"/>
      <c r="X5" s="49"/>
      <c r="Y5" s="49"/>
      <c r="AA5" s="17" t="str">
        <f t="shared" ref="AA5:AA68" si="5">IF(OR(ISBLANK(AH5),ISBLANK(G5)),"·",AH5*G5/F5/1000000)</f>
        <v>·</v>
      </c>
      <c r="AB5" s="18" t="str">
        <f t="shared" ref="AB5:AB68" si="6">IF(ISBLANK(AH5),"·",AH5/D5)</f>
        <v>·</v>
      </c>
      <c r="AC5" s="18" t="str">
        <f t="shared" ref="AC5:AC68" si="7">IF(AI5="","·",AI5/D5)</f>
        <v>·</v>
      </c>
      <c r="AD5" s="18" t="str">
        <f t="shared" ref="AD5:AD68" si="8">IF(ISBLANK(AJ5),"·",AJ5/D5)</f>
        <v>·</v>
      </c>
      <c r="AE5" s="19"/>
      <c r="AF5" s="18" t="str">
        <f t="shared" ref="AF5:AF68" si="9">IF(ISBLANK(AH5),"·",AH5/AG5)</f>
        <v>·</v>
      </c>
      <c r="AG5" s="20"/>
      <c r="AH5" s="21"/>
      <c r="AI5" s="21"/>
      <c r="AJ5" s="21"/>
      <c r="AK5" s="37"/>
      <c r="AL5" s="38"/>
      <c r="AM5" s="38"/>
      <c r="AN5" s="38"/>
      <c r="AO5" s="39"/>
      <c r="AP5" s="49"/>
      <c r="AQ5" s="49"/>
      <c r="AS5" s="53" t="e">
        <f t="shared" ref="AS5:AS68" si="10">(AI5/AH5)-(Q5/P5)</f>
        <v>#DIV/0!</v>
      </c>
      <c r="AT5" s="53" t="e">
        <f t="array" ref="AT5">AVERAGE(AI5:AI10/AH5:AH10)-AVERAGE(Q5:Q10/P5:P10)</f>
        <v>#DIV/0!</v>
      </c>
      <c r="AV5" s="54" t="str">
        <f>IF(OR(ISBLANK(R5:R10),ISBLANK(AJ5:AJ10),ISBLANK(T5:T10),ISBLANK(AL5:AL10)),"·",bdRateExtend(R5:R10,T5:T10,AJ5:AJ10,AL5:AL10))</f>
        <v>·</v>
      </c>
      <c r="AW5" s="54" t="str">
        <f>IF(OR(ISBLANK(R5:R10),ISBLANK(AJ5:AJ10),ISBLANK(U5:U10),ISBLANK(AM5:AM10)),"·",bdRateExtend(R5:R10,U5:U10,AJ5:AJ10,AM5:AM10))</f>
        <v>·</v>
      </c>
      <c r="AX5" s="54" t="str">
        <f>IF(OR(ISBLANK(R5:R10),ISBLANK(AJ5:AJ10),ISBLANK(V5:V10),ISBLANK(AN5:AN10)),"·",bdRateExtend(R5:R10,V5:V10,AJ5:AJ10,AN5:AN10))</f>
        <v>·</v>
      </c>
      <c r="AY5" s="61"/>
      <c r="BA5" s="54" t="str">
        <f>IF(OR(ISBLANK(P5:P10),ISBLANK(AH5:AH10),ISBLANK(T5:T10),ISBLANK(AL5:AL10)),"·",bdRateExtend(P5:P10,T5:T10,AH5:AH10,AL5:AL10))</f>
        <v>·</v>
      </c>
      <c r="BB5" s="54" t="str">
        <f>IF(OR(ISBLANK(P5:P10),ISBLANK(AH5:AH10),ISBLANK(U5:U10),ISBLANK(AM5:AM10)),"·",bdRateExtend(P5:P10,U5:U10,AH5:AH10,AM5:AM10))</f>
        <v>·</v>
      </c>
      <c r="BC5" s="54" t="str">
        <f>IF(OR(ISBLANK(P5:P10),ISBLANK(AH5:AH10),ISBLANK(V5:V10),ISBLANK(AN5:AN10)),"·",bdRateExtend(P5:P10,V5:V10,AH5:AH10,AN5:AN10))</f>
        <v>·</v>
      </c>
      <c r="BD5" s="61"/>
      <c r="BF5">
        <f>AG5-O5</f>
        <v>0</v>
      </c>
      <c r="BG5">
        <f t="shared" ref="BG5:BN5" si="11">AH5-P5</f>
        <v>0</v>
      </c>
      <c r="BH5">
        <f t="shared" si="11"/>
        <v>0</v>
      </c>
      <c r="BI5">
        <f t="shared" si="11"/>
        <v>0</v>
      </c>
      <c r="BJ5">
        <f t="shared" si="11"/>
        <v>0</v>
      </c>
      <c r="BK5">
        <f t="shared" si="11"/>
        <v>0</v>
      </c>
      <c r="BL5">
        <f t="shared" si="11"/>
        <v>0</v>
      </c>
      <c r="BM5">
        <f t="shared" si="11"/>
        <v>0</v>
      </c>
      <c r="BN5">
        <f t="shared" si="11"/>
        <v>0</v>
      </c>
    </row>
    <row r="6" spans="1:66" outlineLevel="1" x14ac:dyDescent="0.15">
      <c r="A6" s="8"/>
      <c r="B6" s="8" t="s">
        <v>48</v>
      </c>
      <c r="C6" s="9" t="s">
        <v>255</v>
      </c>
      <c r="D6" s="8">
        <v>2925514</v>
      </c>
      <c r="E6" s="10">
        <v>11</v>
      </c>
      <c r="F6" s="9">
        <v>1</v>
      </c>
      <c r="G6" s="9"/>
      <c r="I6" s="22" t="str">
        <f t="shared" si="0"/>
        <v>·</v>
      </c>
      <c r="J6" s="23" t="str">
        <f t="shared" si="1"/>
        <v>·</v>
      </c>
      <c r="K6" s="23" t="str">
        <f t="shared" si="2"/>
        <v>·</v>
      </c>
      <c r="L6" s="23" t="str">
        <f t="shared" si="3"/>
        <v>·</v>
      </c>
      <c r="M6" s="24"/>
      <c r="N6" s="23" t="str">
        <f t="shared" si="4"/>
        <v>·</v>
      </c>
      <c r="O6" s="25"/>
      <c r="P6" s="26"/>
      <c r="Q6" s="26"/>
      <c r="R6" s="26"/>
      <c r="S6" s="40"/>
      <c r="T6" s="41"/>
      <c r="U6" s="41"/>
      <c r="V6" s="41"/>
      <c r="W6" s="42"/>
      <c r="X6" s="50"/>
      <c r="Y6" s="50"/>
      <c r="AA6" s="22" t="str">
        <f t="shared" si="5"/>
        <v>·</v>
      </c>
      <c r="AB6" s="23" t="str">
        <f t="shared" si="6"/>
        <v>·</v>
      </c>
      <c r="AC6" s="23" t="str">
        <f t="shared" si="7"/>
        <v>·</v>
      </c>
      <c r="AD6" s="23" t="str">
        <f t="shared" si="8"/>
        <v>·</v>
      </c>
      <c r="AE6" s="24"/>
      <c r="AF6" s="23" t="str">
        <f t="shared" si="9"/>
        <v>·</v>
      </c>
      <c r="AG6" s="25"/>
      <c r="AH6" s="26"/>
      <c r="AI6" s="26"/>
      <c r="AJ6" s="26"/>
      <c r="AK6" s="40"/>
      <c r="AL6" s="41"/>
      <c r="AM6" s="41"/>
      <c r="AN6" s="41"/>
      <c r="AO6" s="42"/>
      <c r="AP6" s="50"/>
      <c r="AQ6" s="50"/>
      <c r="AS6" s="55" t="e">
        <f t="shared" si="10"/>
        <v>#DIV/0!</v>
      </c>
      <c r="AT6" s="55"/>
      <c r="AV6" s="56"/>
      <c r="AW6" s="56"/>
      <c r="AX6" s="56"/>
      <c r="AY6" s="62"/>
      <c r="BA6" s="56"/>
      <c r="BB6" s="56"/>
      <c r="BC6" s="56"/>
      <c r="BD6" s="62"/>
      <c r="BF6">
        <f t="shared" ref="BF6:BF69" si="12">AG6-O6</f>
        <v>0</v>
      </c>
      <c r="BG6">
        <f t="shared" ref="BG6:BG69" si="13">AH6-P6</f>
        <v>0</v>
      </c>
      <c r="BH6">
        <f t="shared" ref="BH6:BH69" si="14">AI6-Q6</f>
        <v>0</v>
      </c>
      <c r="BI6">
        <f t="shared" ref="BI6:BI69" si="15">AJ6-R6</f>
        <v>0</v>
      </c>
      <c r="BJ6">
        <f t="shared" ref="BJ6:BJ69" si="16">AK6-S6</f>
        <v>0</v>
      </c>
      <c r="BK6">
        <f t="shared" ref="BK6:BK69" si="17">AL6-T6</f>
        <v>0</v>
      </c>
      <c r="BL6">
        <f t="shared" ref="BL6:BL69" si="18">AM6-U6</f>
        <v>0</v>
      </c>
      <c r="BM6">
        <f t="shared" ref="BM6:BM69" si="19">AN6-V6</f>
        <v>0</v>
      </c>
      <c r="BN6">
        <f t="shared" ref="BN6:BN69" si="20">AO6-W6</f>
        <v>0</v>
      </c>
    </row>
    <row r="7" spans="1:66" outlineLevel="1" x14ac:dyDescent="0.15">
      <c r="A7" s="5"/>
      <c r="B7" s="5" t="s">
        <v>48</v>
      </c>
      <c r="C7" s="6" t="s">
        <v>256</v>
      </c>
      <c r="D7" s="5">
        <v>2925514</v>
      </c>
      <c r="E7" s="7">
        <v>11</v>
      </c>
      <c r="F7" s="6">
        <v>1</v>
      </c>
      <c r="G7" s="6"/>
      <c r="I7" s="17" t="str">
        <f t="shared" si="0"/>
        <v>·</v>
      </c>
      <c r="J7" s="18" t="str">
        <f t="shared" si="1"/>
        <v>·</v>
      </c>
      <c r="K7" s="18" t="str">
        <f t="shared" si="2"/>
        <v>·</v>
      </c>
      <c r="L7" s="18" t="str">
        <f t="shared" si="3"/>
        <v>·</v>
      </c>
      <c r="M7" s="19"/>
      <c r="N7" s="18" t="str">
        <f t="shared" si="4"/>
        <v>·</v>
      </c>
      <c r="O7" s="20"/>
      <c r="P7" s="21"/>
      <c r="Q7" s="21"/>
      <c r="R7" s="21"/>
      <c r="S7" s="37"/>
      <c r="T7" s="38"/>
      <c r="U7" s="38"/>
      <c r="V7" s="38"/>
      <c r="W7" s="39"/>
      <c r="X7" s="49"/>
      <c r="Y7" s="49"/>
      <c r="AA7" s="17" t="str">
        <f t="shared" si="5"/>
        <v>·</v>
      </c>
      <c r="AB7" s="18" t="str">
        <f t="shared" si="6"/>
        <v>·</v>
      </c>
      <c r="AC7" s="18" t="str">
        <f t="shared" si="7"/>
        <v>·</v>
      </c>
      <c r="AD7" s="18" t="str">
        <f t="shared" si="8"/>
        <v>·</v>
      </c>
      <c r="AE7" s="19"/>
      <c r="AF7" s="18" t="str">
        <f t="shared" si="9"/>
        <v>·</v>
      </c>
      <c r="AG7" s="20"/>
      <c r="AH7" s="21"/>
      <c r="AI7" s="21"/>
      <c r="AJ7" s="21"/>
      <c r="AK7" s="37"/>
      <c r="AL7" s="38"/>
      <c r="AM7" s="38"/>
      <c r="AN7" s="38"/>
      <c r="AO7" s="39"/>
      <c r="AP7" s="49"/>
      <c r="AQ7" s="49"/>
      <c r="AS7" s="53" t="e">
        <f t="shared" si="10"/>
        <v>#DIV/0!</v>
      </c>
      <c r="AT7" s="53"/>
      <c r="AV7" s="54"/>
      <c r="AW7" s="54"/>
      <c r="AX7" s="54"/>
      <c r="AY7" s="61"/>
      <c r="BA7" s="54"/>
      <c r="BB7" s="54"/>
      <c r="BC7" s="54"/>
      <c r="BD7" s="61"/>
      <c r="BF7">
        <f t="shared" si="12"/>
        <v>0</v>
      </c>
      <c r="BG7">
        <f t="shared" si="13"/>
        <v>0</v>
      </c>
      <c r="BH7">
        <f t="shared" si="14"/>
        <v>0</v>
      </c>
      <c r="BI7">
        <f t="shared" si="15"/>
        <v>0</v>
      </c>
      <c r="BJ7">
        <f t="shared" si="16"/>
        <v>0</v>
      </c>
      <c r="BK7">
        <f t="shared" si="17"/>
        <v>0</v>
      </c>
      <c r="BL7">
        <f t="shared" si="18"/>
        <v>0</v>
      </c>
      <c r="BM7">
        <f t="shared" si="19"/>
        <v>0</v>
      </c>
      <c r="BN7">
        <f t="shared" si="20"/>
        <v>0</v>
      </c>
    </row>
    <row r="8" spans="1:66" outlineLevel="1" x14ac:dyDescent="0.15">
      <c r="A8" s="8"/>
      <c r="B8" s="8" t="s">
        <v>48</v>
      </c>
      <c r="C8" s="9" t="s">
        <v>257</v>
      </c>
      <c r="D8" s="8">
        <v>2925514</v>
      </c>
      <c r="E8" s="10">
        <v>11</v>
      </c>
      <c r="F8" s="9">
        <v>1</v>
      </c>
      <c r="G8" s="9"/>
      <c r="I8" s="22" t="str">
        <f t="shared" si="0"/>
        <v>·</v>
      </c>
      <c r="J8" s="23" t="str">
        <f t="shared" si="1"/>
        <v>·</v>
      </c>
      <c r="K8" s="23" t="str">
        <f t="shared" si="2"/>
        <v>·</v>
      </c>
      <c r="L8" s="23" t="str">
        <f t="shared" si="3"/>
        <v>·</v>
      </c>
      <c r="M8" s="24"/>
      <c r="N8" s="23" t="str">
        <f t="shared" si="4"/>
        <v>·</v>
      </c>
      <c r="O8" s="25"/>
      <c r="P8" s="26"/>
      <c r="Q8" s="26"/>
      <c r="R8" s="26"/>
      <c r="S8" s="40"/>
      <c r="T8" s="41"/>
      <c r="U8" s="41"/>
      <c r="V8" s="41"/>
      <c r="W8" s="42"/>
      <c r="X8" s="50"/>
      <c r="Y8" s="50"/>
      <c r="AA8" s="22" t="str">
        <f t="shared" si="5"/>
        <v>·</v>
      </c>
      <c r="AB8" s="23" t="str">
        <f t="shared" si="6"/>
        <v>·</v>
      </c>
      <c r="AC8" s="23" t="str">
        <f t="shared" si="7"/>
        <v>·</v>
      </c>
      <c r="AD8" s="23" t="str">
        <f t="shared" si="8"/>
        <v>·</v>
      </c>
      <c r="AE8" s="24"/>
      <c r="AF8" s="23" t="str">
        <f t="shared" si="9"/>
        <v>·</v>
      </c>
      <c r="AG8" s="25"/>
      <c r="AH8" s="26"/>
      <c r="AI8" s="26"/>
      <c r="AJ8" s="26"/>
      <c r="AK8" s="40"/>
      <c r="AL8" s="41"/>
      <c r="AM8" s="41"/>
      <c r="AN8" s="41"/>
      <c r="AO8" s="42"/>
      <c r="AP8" s="50"/>
      <c r="AQ8" s="50"/>
      <c r="AS8" s="55" t="e">
        <f t="shared" si="10"/>
        <v>#DIV/0!</v>
      </c>
      <c r="AT8" s="55"/>
      <c r="AV8" s="56"/>
      <c r="AW8" s="56"/>
      <c r="AX8" s="56"/>
      <c r="AY8" s="62"/>
      <c r="BA8" s="56"/>
      <c r="BB8" s="56"/>
      <c r="BC8" s="56"/>
      <c r="BD8" s="62"/>
      <c r="BF8">
        <f t="shared" si="12"/>
        <v>0</v>
      </c>
      <c r="BG8">
        <f t="shared" si="13"/>
        <v>0</v>
      </c>
      <c r="BH8">
        <f t="shared" si="14"/>
        <v>0</v>
      </c>
      <c r="BI8">
        <f t="shared" si="15"/>
        <v>0</v>
      </c>
      <c r="BJ8">
        <f t="shared" si="16"/>
        <v>0</v>
      </c>
      <c r="BK8">
        <f t="shared" si="17"/>
        <v>0</v>
      </c>
      <c r="BL8">
        <f t="shared" si="18"/>
        <v>0</v>
      </c>
      <c r="BM8">
        <f t="shared" si="19"/>
        <v>0</v>
      </c>
      <c r="BN8">
        <f t="shared" si="20"/>
        <v>0</v>
      </c>
    </row>
    <row r="9" spans="1:66" outlineLevel="1" x14ac:dyDescent="0.15">
      <c r="A9" s="5"/>
      <c r="B9" s="5" t="s">
        <v>48</v>
      </c>
      <c r="C9" s="6" t="s">
        <v>258</v>
      </c>
      <c r="D9" s="5">
        <v>2925514</v>
      </c>
      <c r="E9" s="7">
        <v>11</v>
      </c>
      <c r="F9" s="6">
        <v>1</v>
      </c>
      <c r="G9" s="6"/>
      <c r="I9" s="17" t="str">
        <f t="shared" si="0"/>
        <v>·</v>
      </c>
      <c r="J9" s="18" t="str">
        <f t="shared" si="1"/>
        <v>·</v>
      </c>
      <c r="K9" s="18" t="str">
        <f t="shared" si="2"/>
        <v>·</v>
      </c>
      <c r="L9" s="18" t="str">
        <f t="shared" si="3"/>
        <v>·</v>
      </c>
      <c r="M9" s="19"/>
      <c r="N9" s="18" t="str">
        <f t="shared" si="4"/>
        <v>·</v>
      </c>
      <c r="O9" s="20"/>
      <c r="P9" s="21"/>
      <c r="Q9" s="21"/>
      <c r="R9" s="21"/>
      <c r="S9" s="37"/>
      <c r="T9" s="38"/>
      <c r="U9" s="38"/>
      <c r="V9" s="38"/>
      <c r="W9" s="39"/>
      <c r="X9" s="49"/>
      <c r="Y9" s="49"/>
      <c r="AA9" s="17" t="str">
        <f t="shared" si="5"/>
        <v>·</v>
      </c>
      <c r="AB9" s="18" t="str">
        <f t="shared" si="6"/>
        <v>·</v>
      </c>
      <c r="AC9" s="18" t="str">
        <f t="shared" si="7"/>
        <v>·</v>
      </c>
      <c r="AD9" s="18" t="str">
        <f t="shared" si="8"/>
        <v>·</v>
      </c>
      <c r="AE9" s="19"/>
      <c r="AF9" s="18" t="str">
        <f t="shared" si="9"/>
        <v>·</v>
      </c>
      <c r="AG9" s="20"/>
      <c r="AH9" s="21"/>
      <c r="AI9" s="21"/>
      <c r="AJ9" s="21"/>
      <c r="AK9" s="37"/>
      <c r="AL9" s="38"/>
      <c r="AM9" s="38"/>
      <c r="AN9" s="38"/>
      <c r="AO9" s="39"/>
      <c r="AP9" s="49"/>
      <c r="AQ9" s="49"/>
      <c r="AS9" s="53" t="e">
        <f t="shared" si="10"/>
        <v>#DIV/0!</v>
      </c>
      <c r="AT9" s="53"/>
      <c r="AV9" s="54"/>
      <c r="AW9" s="54"/>
      <c r="AX9" s="54"/>
      <c r="AY9" s="61"/>
      <c r="BA9" s="54"/>
      <c r="BB9" s="54"/>
      <c r="BC9" s="54"/>
      <c r="BD9" s="61"/>
      <c r="BF9">
        <f t="shared" si="12"/>
        <v>0</v>
      </c>
      <c r="BG9">
        <f t="shared" si="13"/>
        <v>0</v>
      </c>
      <c r="BH9">
        <f t="shared" si="14"/>
        <v>0</v>
      </c>
      <c r="BI9">
        <f t="shared" si="15"/>
        <v>0</v>
      </c>
      <c r="BJ9">
        <f t="shared" si="16"/>
        <v>0</v>
      </c>
      <c r="BK9">
        <f t="shared" si="17"/>
        <v>0</v>
      </c>
      <c r="BL9">
        <f t="shared" si="18"/>
        <v>0</v>
      </c>
      <c r="BM9">
        <f t="shared" si="19"/>
        <v>0</v>
      </c>
      <c r="BN9">
        <f t="shared" si="20"/>
        <v>0</v>
      </c>
    </row>
    <row r="10" spans="1:66" outlineLevel="1" x14ac:dyDescent="0.15">
      <c r="A10" s="8"/>
      <c r="B10" s="14" t="s">
        <v>48</v>
      </c>
      <c r="C10" s="15" t="s">
        <v>259</v>
      </c>
      <c r="D10" s="14">
        <v>2925514</v>
      </c>
      <c r="E10" s="16">
        <v>11</v>
      </c>
      <c r="F10" s="15">
        <v>1</v>
      </c>
      <c r="G10" s="15"/>
      <c r="I10" s="32" t="str">
        <f t="shared" si="0"/>
        <v>·</v>
      </c>
      <c r="J10" s="33" t="str">
        <f t="shared" si="1"/>
        <v>·</v>
      </c>
      <c r="K10" s="33" t="str">
        <f t="shared" si="2"/>
        <v>·</v>
      </c>
      <c r="L10" s="33" t="str">
        <f t="shared" si="3"/>
        <v>·</v>
      </c>
      <c r="M10" s="34"/>
      <c r="N10" s="33" t="str">
        <f t="shared" si="4"/>
        <v>·</v>
      </c>
      <c r="O10" s="35"/>
      <c r="P10" s="36"/>
      <c r="Q10" s="36"/>
      <c r="R10" s="36"/>
      <c r="S10" s="46"/>
      <c r="T10" s="47"/>
      <c r="U10" s="47"/>
      <c r="V10" s="47"/>
      <c r="W10" s="48"/>
      <c r="X10" s="52"/>
      <c r="Y10" s="52"/>
      <c r="AA10" s="32" t="str">
        <f t="shared" si="5"/>
        <v>·</v>
      </c>
      <c r="AB10" s="33" t="str">
        <f t="shared" si="6"/>
        <v>·</v>
      </c>
      <c r="AC10" s="33" t="str">
        <f t="shared" si="7"/>
        <v>·</v>
      </c>
      <c r="AD10" s="33" t="str">
        <f t="shared" si="8"/>
        <v>·</v>
      </c>
      <c r="AE10" s="34"/>
      <c r="AF10" s="33" t="str">
        <f t="shared" si="9"/>
        <v>·</v>
      </c>
      <c r="AG10" s="35"/>
      <c r="AH10" s="36"/>
      <c r="AI10" s="36"/>
      <c r="AJ10" s="36"/>
      <c r="AK10" s="46"/>
      <c r="AL10" s="47"/>
      <c r="AM10" s="47"/>
      <c r="AN10" s="47"/>
      <c r="AO10" s="48"/>
      <c r="AP10" s="52"/>
      <c r="AQ10" s="52"/>
      <c r="AS10" s="59" t="e">
        <f t="shared" si="10"/>
        <v>#DIV/0!</v>
      </c>
      <c r="AT10" s="59"/>
      <c r="AV10" s="60"/>
      <c r="AW10" s="60"/>
      <c r="AX10" s="60"/>
      <c r="AY10" s="64"/>
      <c r="BA10" s="60"/>
      <c r="BB10" s="60"/>
      <c r="BC10" s="60"/>
      <c r="BD10" s="64"/>
      <c r="BF10">
        <f t="shared" si="12"/>
        <v>0</v>
      </c>
      <c r="BG10">
        <f t="shared" si="13"/>
        <v>0</v>
      </c>
      <c r="BH10">
        <f t="shared" si="14"/>
        <v>0</v>
      </c>
      <c r="BI10">
        <f t="shared" si="15"/>
        <v>0</v>
      </c>
      <c r="BJ10">
        <f t="shared" si="16"/>
        <v>0</v>
      </c>
      <c r="BK10">
        <f t="shared" si="17"/>
        <v>0</v>
      </c>
      <c r="BL10">
        <f t="shared" si="18"/>
        <v>0</v>
      </c>
      <c r="BM10">
        <f t="shared" si="19"/>
        <v>0</v>
      </c>
      <c r="BN10">
        <f t="shared" si="20"/>
        <v>0</v>
      </c>
    </row>
    <row r="11" spans="1:66" x14ac:dyDescent="0.15">
      <c r="A11" s="5"/>
      <c r="B11" s="5" t="s">
        <v>56</v>
      </c>
      <c r="C11" s="6" t="s">
        <v>254</v>
      </c>
      <c r="D11" s="5">
        <v>3493085</v>
      </c>
      <c r="E11" s="7">
        <v>12</v>
      </c>
      <c r="F11" s="6">
        <v>1</v>
      </c>
      <c r="G11" s="6"/>
      <c r="I11" s="17" t="str">
        <f t="shared" si="0"/>
        <v>·</v>
      </c>
      <c r="J11" s="18" t="str">
        <f t="shared" si="1"/>
        <v>·</v>
      </c>
      <c r="K11" s="18" t="str">
        <f t="shared" si="2"/>
        <v>·</v>
      </c>
      <c r="L11" s="18" t="str">
        <f t="shared" si="3"/>
        <v>·</v>
      </c>
      <c r="M11" s="19"/>
      <c r="N11" s="18" t="str">
        <f t="shared" si="4"/>
        <v>·</v>
      </c>
      <c r="O11" s="20"/>
      <c r="P11" s="21"/>
      <c r="Q11" s="21"/>
      <c r="R11" s="21"/>
      <c r="S11" s="37"/>
      <c r="T11" s="38"/>
      <c r="U11" s="38"/>
      <c r="V11" s="38"/>
      <c r="W11" s="39"/>
      <c r="X11" s="49"/>
      <c r="Y11" s="49"/>
      <c r="AA11" s="17" t="str">
        <f t="shared" si="5"/>
        <v>·</v>
      </c>
      <c r="AB11" s="18" t="str">
        <f t="shared" si="6"/>
        <v>·</v>
      </c>
      <c r="AC11" s="18" t="str">
        <f t="shared" si="7"/>
        <v>·</v>
      </c>
      <c r="AD11" s="18" t="str">
        <f t="shared" si="8"/>
        <v>·</v>
      </c>
      <c r="AE11" s="19"/>
      <c r="AF11" s="18" t="str">
        <f t="shared" si="9"/>
        <v>·</v>
      </c>
      <c r="AG11" s="20"/>
      <c r="AH11" s="21"/>
      <c r="AI11" s="21"/>
      <c r="AJ11" s="21"/>
      <c r="AK11" s="37"/>
      <c r="AL11" s="38"/>
      <c r="AM11" s="38"/>
      <c r="AN11" s="38"/>
      <c r="AO11" s="39"/>
      <c r="AP11" s="49"/>
      <c r="AQ11" s="49"/>
      <c r="AS11" s="53" t="e">
        <f t="shared" si="10"/>
        <v>#DIV/0!</v>
      </c>
      <c r="AT11" s="53" t="e">
        <f t="array" ref="AT11">AVERAGE(AI11:AI16/AH11:AH16)-AVERAGE(Q11:Q16/P11:P16)</f>
        <v>#DIV/0!</v>
      </c>
      <c r="AV11" s="54" t="str">
        <f>IF(OR(ISBLANK(R11:R16),ISBLANK(AJ11:AJ16),ISBLANK(T11:T16),ISBLANK(AL11:AL16)),"·",bdRateExtend(R11:R16,T11:T16,AJ11:AJ16,AL11:AL16))</f>
        <v>·</v>
      </c>
      <c r="AW11" s="54" t="str">
        <f>IF(OR(ISBLANK(R11:R16),ISBLANK(AJ11:AJ16),ISBLANK(U11:U16),ISBLANK(AM11:AM16)),"·",bdRateExtend(R11:R16,U11:U16,AJ11:AJ16,AM11:AM16))</f>
        <v>·</v>
      </c>
      <c r="AX11" s="54" t="str">
        <f>IF(OR(ISBLANK(R11:R16),ISBLANK(AJ11:AJ16),ISBLANK(V11:V16),ISBLANK(AN11:AN16)),"·",bdRateExtend(R11:R16,V11:V16,AJ11:AJ16,AN11:AN16))</f>
        <v>·</v>
      </c>
      <c r="AY11" s="61"/>
      <c r="BA11" s="54" t="str">
        <f>IF(OR(ISBLANK(P11:P16),ISBLANK(AH11:AH16),ISBLANK(T11:T16),ISBLANK(AL11:AL16)),"·",bdRateExtend(P11:P16,T11:T16,AH11:AH16,AL11:AL16))</f>
        <v>·</v>
      </c>
      <c r="BB11" s="54" t="str">
        <f>IF(OR(ISBLANK(P11:P16),ISBLANK(AH11:AH16),ISBLANK(U11:U16),ISBLANK(AM11:AM16)),"·",bdRateExtend(P11:P16,U11:U16,AH11:AH16,AM11:AM16))</f>
        <v>·</v>
      </c>
      <c r="BC11" s="54" t="str">
        <f>IF(OR(ISBLANK(P11:P16),ISBLANK(AH11:AH16),ISBLANK(V11:V16),ISBLANK(AN11:AN16)),"·",bdRateExtend(P11:P16,V11:V16,AH11:AH16,AN11:AN16))</f>
        <v>·</v>
      </c>
      <c r="BD11" s="61"/>
      <c r="BF11">
        <f t="shared" si="12"/>
        <v>0</v>
      </c>
      <c r="BG11">
        <f t="shared" si="13"/>
        <v>0</v>
      </c>
      <c r="BH11">
        <f t="shared" si="14"/>
        <v>0</v>
      </c>
      <c r="BI11">
        <f t="shared" si="15"/>
        <v>0</v>
      </c>
      <c r="BJ11">
        <f t="shared" si="16"/>
        <v>0</v>
      </c>
      <c r="BK11">
        <f t="shared" si="17"/>
        <v>0</v>
      </c>
      <c r="BL11">
        <f t="shared" si="18"/>
        <v>0</v>
      </c>
      <c r="BM11">
        <f t="shared" si="19"/>
        <v>0</v>
      </c>
      <c r="BN11">
        <f t="shared" si="20"/>
        <v>0</v>
      </c>
    </row>
    <row r="12" spans="1:66" outlineLevel="1" x14ac:dyDescent="0.15">
      <c r="A12" s="8"/>
      <c r="B12" s="8" t="s">
        <v>56</v>
      </c>
      <c r="C12" s="9" t="s">
        <v>255</v>
      </c>
      <c r="D12" s="8">
        <v>3493085</v>
      </c>
      <c r="E12" s="10">
        <v>12</v>
      </c>
      <c r="F12" s="9">
        <v>1</v>
      </c>
      <c r="G12" s="9"/>
      <c r="I12" s="22" t="str">
        <f t="shared" si="0"/>
        <v>·</v>
      </c>
      <c r="J12" s="23" t="str">
        <f t="shared" si="1"/>
        <v>·</v>
      </c>
      <c r="K12" s="23" t="str">
        <f t="shared" si="2"/>
        <v>·</v>
      </c>
      <c r="L12" s="23" t="str">
        <f t="shared" si="3"/>
        <v>·</v>
      </c>
      <c r="M12" s="24"/>
      <c r="N12" s="23" t="str">
        <f t="shared" si="4"/>
        <v>·</v>
      </c>
      <c r="O12" s="25"/>
      <c r="P12" s="26"/>
      <c r="Q12" s="26"/>
      <c r="R12" s="26"/>
      <c r="S12" s="40"/>
      <c r="T12" s="41"/>
      <c r="U12" s="41"/>
      <c r="V12" s="41"/>
      <c r="W12" s="42"/>
      <c r="X12" s="50"/>
      <c r="Y12" s="50"/>
      <c r="AA12" s="22" t="str">
        <f t="shared" si="5"/>
        <v>·</v>
      </c>
      <c r="AB12" s="23" t="str">
        <f t="shared" si="6"/>
        <v>·</v>
      </c>
      <c r="AC12" s="23" t="str">
        <f t="shared" si="7"/>
        <v>·</v>
      </c>
      <c r="AD12" s="23" t="str">
        <f t="shared" si="8"/>
        <v>·</v>
      </c>
      <c r="AE12" s="24"/>
      <c r="AF12" s="23" t="str">
        <f t="shared" si="9"/>
        <v>·</v>
      </c>
      <c r="AG12" s="25"/>
      <c r="AH12" s="26"/>
      <c r="AI12" s="26"/>
      <c r="AJ12" s="26"/>
      <c r="AK12" s="40"/>
      <c r="AL12" s="41"/>
      <c r="AM12" s="41"/>
      <c r="AN12" s="41"/>
      <c r="AO12" s="42"/>
      <c r="AP12" s="50"/>
      <c r="AQ12" s="50"/>
      <c r="AS12" s="55" t="e">
        <f t="shared" si="10"/>
        <v>#DIV/0!</v>
      </c>
      <c r="AT12" s="55"/>
      <c r="AV12" s="56"/>
      <c r="AW12" s="56"/>
      <c r="AX12" s="56"/>
      <c r="AY12" s="62"/>
      <c r="BA12" s="56"/>
      <c r="BB12" s="56"/>
      <c r="BC12" s="56"/>
      <c r="BD12" s="62"/>
      <c r="BF12">
        <f t="shared" si="12"/>
        <v>0</v>
      </c>
      <c r="BG12">
        <f t="shared" si="13"/>
        <v>0</v>
      </c>
      <c r="BH12">
        <f t="shared" si="14"/>
        <v>0</v>
      </c>
      <c r="BI12">
        <f t="shared" si="15"/>
        <v>0</v>
      </c>
      <c r="BJ12">
        <f t="shared" si="16"/>
        <v>0</v>
      </c>
      <c r="BK12">
        <f t="shared" si="17"/>
        <v>0</v>
      </c>
      <c r="BL12">
        <f t="shared" si="18"/>
        <v>0</v>
      </c>
      <c r="BM12">
        <f t="shared" si="19"/>
        <v>0</v>
      </c>
      <c r="BN12">
        <f t="shared" si="20"/>
        <v>0</v>
      </c>
    </row>
    <row r="13" spans="1:66" outlineLevel="1" x14ac:dyDescent="0.15">
      <c r="A13" s="5"/>
      <c r="B13" s="5" t="s">
        <v>56</v>
      </c>
      <c r="C13" s="6" t="s">
        <v>256</v>
      </c>
      <c r="D13" s="5">
        <v>3493085</v>
      </c>
      <c r="E13" s="7">
        <v>12</v>
      </c>
      <c r="F13" s="6">
        <v>1</v>
      </c>
      <c r="G13" s="6"/>
      <c r="I13" s="17" t="str">
        <f t="shared" si="0"/>
        <v>·</v>
      </c>
      <c r="J13" s="18" t="str">
        <f t="shared" si="1"/>
        <v>·</v>
      </c>
      <c r="K13" s="18" t="str">
        <f t="shared" si="2"/>
        <v>·</v>
      </c>
      <c r="L13" s="18" t="str">
        <f t="shared" si="3"/>
        <v>·</v>
      </c>
      <c r="M13" s="19"/>
      <c r="N13" s="18" t="str">
        <f t="shared" si="4"/>
        <v>·</v>
      </c>
      <c r="O13" s="20"/>
      <c r="P13" s="21"/>
      <c r="Q13" s="21"/>
      <c r="R13" s="21"/>
      <c r="S13" s="37"/>
      <c r="T13" s="38"/>
      <c r="U13" s="38"/>
      <c r="V13" s="38"/>
      <c r="W13" s="39"/>
      <c r="X13" s="49"/>
      <c r="Y13" s="49"/>
      <c r="AA13" s="17" t="str">
        <f t="shared" si="5"/>
        <v>·</v>
      </c>
      <c r="AB13" s="18" t="str">
        <f t="shared" si="6"/>
        <v>·</v>
      </c>
      <c r="AC13" s="18" t="str">
        <f t="shared" si="7"/>
        <v>·</v>
      </c>
      <c r="AD13" s="18" t="str">
        <f t="shared" si="8"/>
        <v>·</v>
      </c>
      <c r="AE13" s="19"/>
      <c r="AF13" s="18" t="str">
        <f t="shared" si="9"/>
        <v>·</v>
      </c>
      <c r="AG13" s="20"/>
      <c r="AH13" s="21"/>
      <c r="AI13" s="21"/>
      <c r="AJ13" s="21"/>
      <c r="AK13" s="37"/>
      <c r="AL13" s="38"/>
      <c r="AM13" s="38"/>
      <c r="AN13" s="38"/>
      <c r="AO13" s="39"/>
      <c r="AP13" s="49"/>
      <c r="AQ13" s="49"/>
      <c r="AS13" s="53" t="e">
        <f t="shared" si="10"/>
        <v>#DIV/0!</v>
      </c>
      <c r="AT13" s="53"/>
      <c r="AV13" s="54"/>
      <c r="AW13" s="54"/>
      <c r="AX13" s="54"/>
      <c r="AY13" s="61"/>
      <c r="BA13" s="54"/>
      <c r="BB13" s="54"/>
      <c r="BC13" s="54"/>
      <c r="BD13" s="61"/>
      <c r="BF13">
        <f t="shared" si="12"/>
        <v>0</v>
      </c>
      <c r="BG13">
        <f t="shared" si="13"/>
        <v>0</v>
      </c>
      <c r="BH13">
        <f t="shared" si="14"/>
        <v>0</v>
      </c>
      <c r="BI13">
        <f t="shared" si="15"/>
        <v>0</v>
      </c>
      <c r="BJ13">
        <f t="shared" si="16"/>
        <v>0</v>
      </c>
      <c r="BK13">
        <f t="shared" si="17"/>
        <v>0</v>
      </c>
      <c r="BL13">
        <f t="shared" si="18"/>
        <v>0</v>
      </c>
      <c r="BM13">
        <f t="shared" si="19"/>
        <v>0</v>
      </c>
      <c r="BN13">
        <f t="shared" si="20"/>
        <v>0</v>
      </c>
    </row>
    <row r="14" spans="1:66" outlineLevel="1" x14ac:dyDescent="0.15">
      <c r="A14" s="8"/>
      <c r="B14" s="8" t="s">
        <v>56</v>
      </c>
      <c r="C14" s="9" t="s">
        <v>257</v>
      </c>
      <c r="D14" s="8">
        <v>3493085</v>
      </c>
      <c r="E14" s="10">
        <v>12</v>
      </c>
      <c r="F14" s="9">
        <v>1</v>
      </c>
      <c r="G14" s="9"/>
      <c r="I14" s="22" t="str">
        <f t="shared" si="0"/>
        <v>·</v>
      </c>
      <c r="J14" s="23" t="str">
        <f t="shared" si="1"/>
        <v>·</v>
      </c>
      <c r="K14" s="23" t="str">
        <f t="shared" si="2"/>
        <v>·</v>
      </c>
      <c r="L14" s="23" t="str">
        <f t="shared" si="3"/>
        <v>·</v>
      </c>
      <c r="M14" s="24"/>
      <c r="N14" s="23" t="str">
        <f t="shared" si="4"/>
        <v>·</v>
      </c>
      <c r="O14" s="25"/>
      <c r="P14" s="26"/>
      <c r="Q14" s="26"/>
      <c r="R14" s="26"/>
      <c r="S14" s="40"/>
      <c r="T14" s="41"/>
      <c r="U14" s="41"/>
      <c r="V14" s="41"/>
      <c r="W14" s="42"/>
      <c r="X14" s="50"/>
      <c r="Y14" s="50"/>
      <c r="AA14" s="22" t="str">
        <f t="shared" si="5"/>
        <v>·</v>
      </c>
      <c r="AB14" s="23" t="str">
        <f t="shared" si="6"/>
        <v>·</v>
      </c>
      <c r="AC14" s="23" t="str">
        <f t="shared" si="7"/>
        <v>·</v>
      </c>
      <c r="AD14" s="23" t="str">
        <f t="shared" si="8"/>
        <v>·</v>
      </c>
      <c r="AE14" s="24"/>
      <c r="AF14" s="23" t="str">
        <f t="shared" si="9"/>
        <v>·</v>
      </c>
      <c r="AG14" s="25"/>
      <c r="AH14" s="26"/>
      <c r="AI14" s="26"/>
      <c r="AJ14" s="26"/>
      <c r="AK14" s="40"/>
      <c r="AL14" s="41"/>
      <c r="AM14" s="41"/>
      <c r="AN14" s="41"/>
      <c r="AO14" s="42"/>
      <c r="AP14" s="50"/>
      <c r="AQ14" s="50"/>
      <c r="AS14" s="55" t="e">
        <f t="shared" si="10"/>
        <v>#DIV/0!</v>
      </c>
      <c r="AT14" s="55"/>
      <c r="AV14" s="56"/>
      <c r="AW14" s="56"/>
      <c r="AX14" s="56"/>
      <c r="AY14" s="62"/>
      <c r="BA14" s="56"/>
      <c r="BB14" s="56"/>
      <c r="BC14" s="56"/>
      <c r="BD14" s="62"/>
      <c r="BF14">
        <f t="shared" si="12"/>
        <v>0</v>
      </c>
      <c r="BG14">
        <f t="shared" si="13"/>
        <v>0</v>
      </c>
      <c r="BH14">
        <f t="shared" si="14"/>
        <v>0</v>
      </c>
      <c r="BI14">
        <f t="shared" si="15"/>
        <v>0</v>
      </c>
      <c r="BJ14">
        <f t="shared" si="16"/>
        <v>0</v>
      </c>
      <c r="BK14">
        <f t="shared" si="17"/>
        <v>0</v>
      </c>
      <c r="BL14">
        <f t="shared" si="18"/>
        <v>0</v>
      </c>
      <c r="BM14">
        <f t="shared" si="19"/>
        <v>0</v>
      </c>
      <c r="BN14">
        <f t="shared" si="20"/>
        <v>0</v>
      </c>
    </row>
    <row r="15" spans="1:66" outlineLevel="1" x14ac:dyDescent="0.15">
      <c r="A15" s="5"/>
      <c r="B15" s="5" t="s">
        <v>56</v>
      </c>
      <c r="C15" s="6" t="s">
        <v>258</v>
      </c>
      <c r="D15" s="5">
        <v>3493085</v>
      </c>
      <c r="E15" s="7">
        <v>12</v>
      </c>
      <c r="F15" s="6">
        <v>1</v>
      </c>
      <c r="G15" s="6"/>
      <c r="I15" s="17" t="str">
        <f t="shared" si="0"/>
        <v>·</v>
      </c>
      <c r="J15" s="18" t="str">
        <f t="shared" si="1"/>
        <v>·</v>
      </c>
      <c r="K15" s="18" t="str">
        <f t="shared" si="2"/>
        <v>·</v>
      </c>
      <c r="L15" s="18" t="str">
        <f t="shared" si="3"/>
        <v>·</v>
      </c>
      <c r="M15" s="19"/>
      <c r="N15" s="18" t="str">
        <f t="shared" si="4"/>
        <v>·</v>
      </c>
      <c r="O15" s="20"/>
      <c r="P15" s="21"/>
      <c r="Q15" s="21"/>
      <c r="R15" s="21"/>
      <c r="S15" s="37"/>
      <c r="T15" s="38"/>
      <c r="U15" s="38"/>
      <c r="V15" s="38"/>
      <c r="W15" s="39"/>
      <c r="X15" s="49"/>
      <c r="Y15" s="49"/>
      <c r="AA15" s="17" t="str">
        <f t="shared" si="5"/>
        <v>·</v>
      </c>
      <c r="AB15" s="18" t="str">
        <f t="shared" si="6"/>
        <v>·</v>
      </c>
      <c r="AC15" s="18" t="str">
        <f t="shared" si="7"/>
        <v>·</v>
      </c>
      <c r="AD15" s="18" t="str">
        <f t="shared" si="8"/>
        <v>·</v>
      </c>
      <c r="AE15" s="19"/>
      <c r="AF15" s="18" t="str">
        <f t="shared" si="9"/>
        <v>·</v>
      </c>
      <c r="AG15" s="20"/>
      <c r="AH15" s="21"/>
      <c r="AI15" s="21"/>
      <c r="AJ15" s="21"/>
      <c r="AK15" s="37"/>
      <c r="AL15" s="38"/>
      <c r="AM15" s="38"/>
      <c r="AN15" s="38"/>
      <c r="AO15" s="39"/>
      <c r="AP15" s="49"/>
      <c r="AQ15" s="49"/>
      <c r="AS15" s="53" t="e">
        <f t="shared" si="10"/>
        <v>#DIV/0!</v>
      </c>
      <c r="AT15" s="53"/>
      <c r="AV15" s="54"/>
      <c r="AW15" s="54"/>
      <c r="AX15" s="54"/>
      <c r="AY15" s="61"/>
      <c r="BA15" s="54"/>
      <c r="BB15" s="54"/>
      <c r="BC15" s="54"/>
      <c r="BD15" s="61"/>
      <c r="BF15">
        <f t="shared" si="12"/>
        <v>0</v>
      </c>
      <c r="BG15">
        <f t="shared" si="13"/>
        <v>0</v>
      </c>
      <c r="BH15">
        <f t="shared" si="14"/>
        <v>0</v>
      </c>
      <c r="BI15">
        <f t="shared" si="15"/>
        <v>0</v>
      </c>
      <c r="BJ15">
        <f t="shared" si="16"/>
        <v>0</v>
      </c>
      <c r="BK15">
        <f t="shared" si="17"/>
        <v>0</v>
      </c>
      <c r="BL15">
        <f t="shared" si="18"/>
        <v>0</v>
      </c>
      <c r="BM15">
        <f t="shared" si="19"/>
        <v>0</v>
      </c>
      <c r="BN15">
        <f t="shared" si="20"/>
        <v>0</v>
      </c>
    </row>
    <row r="16" spans="1:66" outlineLevel="1" x14ac:dyDescent="0.15">
      <c r="A16" s="8"/>
      <c r="B16" s="14" t="s">
        <v>56</v>
      </c>
      <c r="C16" s="15" t="s">
        <v>259</v>
      </c>
      <c r="D16" s="14">
        <v>3493085</v>
      </c>
      <c r="E16" s="16">
        <v>12</v>
      </c>
      <c r="F16" s="15">
        <v>1</v>
      </c>
      <c r="G16" s="15"/>
      <c r="I16" s="32" t="str">
        <f t="shared" si="0"/>
        <v>·</v>
      </c>
      <c r="J16" s="33" t="str">
        <f t="shared" si="1"/>
        <v>·</v>
      </c>
      <c r="K16" s="33" t="str">
        <f t="shared" si="2"/>
        <v>·</v>
      </c>
      <c r="L16" s="33" t="str">
        <f t="shared" si="3"/>
        <v>·</v>
      </c>
      <c r="M16" s="34"/>
      <c r="N16" s="33" t="str">
        <f t="shared" si="4"/>
        <v>·</v>
      </c>
      <c r="O16" s="35"/>
      <c r="P16" s="36"/>
      <c r="Q16" s="36"/>
      <c r="R16" s="36"/>
      <c r="S16" s="46"/>
      <c r="T16" s="47"/>
      <c r="U16" s="47"/>
      <c r="V16" s="47"/>
      <c r="W16" s="48"/>
      <c r="X16" s="52"/>
      <c r="Y16" s="52"/>
      <c r="AA16" s="32" t="str">
        <f t="shared" si="5"/>
        <v>·</v>
      </c>
      <c r="AB16" s="33" t="str">
        <f t="shared" si="6"/>
        <v>·</v>
      </c>
      <c r="AC16" s="33" t="str">
        <f t="shared" si="7"/>
        <v>·</v>
      </c>
      <c r="AD16" s="33" t="str">
        <f t="shared" si="8"/>
        <v>·</v>
      </c>
      <c r="AE16" s="34"/>
      <c r="AF16" s="33" t="str">
        <f t="shared" si="9"/>
        <v>·</v>
      </c>
      <c r="AG16" s="35"/>
      <c r="AH16" s="36"/>
      <c r="AI16" s="36"/>
      <c r="AJ16" s="36"/>
      <c r="AK16" s="46"/>
      <c r="AL16" s="47"/>
      <c r="AM16" s="47"/>
      <c r="AN16" s="47"/>
      <c r="AO16" s="48"/>
      <c r="AP16" s="52"/>
      <c r="AQ16" s="52"/>
      <c r="AS16" s="59" t="e">
        <f t="shared" si="10"/>
        <v>#DIV/0!</v>
      </c>
      <c r="AT16" s="59"/>
      <c r="AV16" s="60"/>
      <c r="AW16" s="60"/>
      <c r="AX16" s="60"/>
      <c r="AY16" s="64"/>
      <c r="BA16" s="60"/>
      <c r="BB16" s="60"/>
      <c r="BC16" s="60"/>
      <c r="BD16" s="64"/>
      <c r="BF16">
        <f t="shared" si="12"/>
        <v>0</v>
      </c>
      <c r="BG16">
        <f t="shared" si="13"/>
        <v>0</v>
      </c>
      <c r="BH16">
        <f t="shared" si="14"/>
        <v>0</v>
      </c>
      <c r="BI16">
        <f t="shared" si="15"/>
        <v>0</v>
      </c>
      <c r="BJ16">
        <f t="shared" si="16"/>
        <v>0</v>
      </c>
      <c r="BK16">
        <f t="shared" si="17"/>
        <v>0</v>
      </c>
      <c r="BL16">
        <f t="shared" si="18"/>
        <v>0</v>
      </c>
      <c r="BM16">
        <f t="shared" si="19"/>
        <v>0</v>
      </c>
      <c r="BN16">
        <f t="shared" si="20"/>
        <v>0</v>
      </c>
    </row>
    <row r="17" spans="1:66" x14ac:dyDescent="0.15">
      <c r="A17" s="5"/>
      <c r="B17" s="5" t="s">
        <v>61</v>
      </c>
      <c r="C17" s="6" t="s">
        <v>254</v>
      </c>
      <c r="D17" s="5">
        <v>2592758</v>
      </c>
      <c r="E17" s="7">
        <v>11</v>
      </c>
      <c r="F17" s="6">
        <v>1</v>
      </c>
      <c r="G17" s="6"/>
      <c r="I17" s="17" t="str">
        <f t="shared" si="0"/>
        <v>·</v>
      </c>
      <c r="J17" s="18" t="str">
        <f t="shared" si="1"/>
        <v>·</v>
      </c>
      <c r="K17" s="18" t="str">
        <f t="shared" si="2"/>
        <v>·</v>
      </c>
      <c r="L17" s="18" t="str">
        <f t="shared" si="3"/>
        <v>·</v>
      </c>
      <c r="M17" s="19"/>
      <c r="N17" s="18" t="str">
        <f t="shared" si="4"/>
        <v>·</v>
      </c>
      <c r="O17" s="20"/>
      <c r="P17" s="21"/>
      <c r="Q17" s="21"/>
      <c r="R17" s="21"/>
      <c r="S17" s="37"/>
      <c r="T17" s="38"/>
      <c r="U17" s="38"/>
      <c r="V17" s="38"/>
      <c r="W17" s="39"/>
      <c r="X17" s="49"/>
      <c r="Y17" s="49"/>
      <c r="AA17" s="17" t="str">
        <f t="shared" si="5"/>
        <v>·</v>
      </c>
      <c r="AB17" s="18" t="str">
        <f t="shared" si="6"/>
        <v>·</v>
      </c>
      <c r="AC17" s="18" t="str">
        <f t="shared" si="7"/>
        <v>·</v>
      </c>
      <c r="AD17" s="18" t="str">
        <f t="shared" si="8"/>
        <v>·</v>
      </c>
      <c r="AE17" s="19"/>
      <c r="AF17" s="18" t="str">
        <f t="shared" si="9"/>
        <v>·</v>
      </c>
      <c r="AG17" s="20"/>
      <c r="AH17" s="21"/>
      <c r="AI17" s="21"/>
      <c r="AJ17" s="21"/>
      <c r="AK17" s="37"/>
      <c r="AL17" s="38"/>
      <c r="AM17" s="38"/>
      <c r="AN17" s="38"/>
      <c r="AO17" s="39"/>
      <c r="AP17" s="49"/>
      <c r="AQ17" s="49"/>
      <c r="AS17" s="53" t="e">
        <f t="shared" si="10"/>
        <v>#DIV/0!</v>
      </c>
      <c r="AT17" s="53" t="e">
        <f t="array" ref="AT17">AVERAGE(AI17:AI22/AH17:AH22)-AVERAGE(Q17:Q22/P17:P22)</f>
        <v>#DIV/0!</v>
      </c>
      <c r="AV17" s="54" t="str">
        <f>IF(OR(ISBLANK(R17:R22),ISBLANK(AJ17:AJ22),ISBLANK(T17:T22),ISBLANK(AL17:AL22)),"·",bdRateExtend(R17:R22,T17:T22,AJ17:AJ22,AL17:AL22))</f>
        <v>·</v>
      </c>
      <c r="AW17" s="54" t="str">
        <f>IF(OR(ISBLANK(R17:R22),ISBLANK(AJ17:AJ22),ISBLANK(U17:U22),ISBLANK(AM17:AM22)),"·",bdRateExtend(R17:R22,U17:U22,AJ17:AJ22,AM17:AM22))</f>
        <v>·</v>
      </c>
      <c r="AX17" s="54" t="str">
        <f>IF(OR(ISBLANK(R17:R22),ISBLANK(AJ17:AJ22),ISBLANK(V17:V22),ISBLANK(AN17:AN22)),"·",bdRateExtend(R17:R22,V17:V22,AJ17:AJ22,AN17:AN22))</f>
        <v>·</v>
      </c>
      <c r="AY17" s="61"/>
      <c r="BA17" s="54" t="str">
        <f>IF(OR(ISBLANK(P17:P22),ISBLANK(AH17:AH22),ISBLANK(T17:T22),ISBLANK(AL17:AL22)),"·",bdRateExtend(P17:P22,T17:T22,AH17:AH22,AL17:AL22))</f>
        <v>·</v>
      </c>
      <c r="BB17" s="54" t="str">
        <f>IF(OR(ISBLANK(P17:P22),ISBLANK(AH17:AH22),ISBLANK(U17:U22),ISBLANK(AM17:AM22)),"·",bdRateExtend(P17:P22,U17:U22,AH17:AH22,AM17:AM22))</f>
        <v>·</v>
      </c>
      <c r="BC17" s="54" t="str">
        <f>IF(OR(ISBLANK(P17:P22),ISBLANK(AH17:AH22),ISBLANK(V17:V22),ISBLANK(AN17:AN22)),"·",bdRateExtend(P17:P22,V17:V22,AH17:AH22,AN17:AN22))</f>
        <v>·</v>
      </c>
      <c r="BD17" s="61"/>
      <c r="BF17">
        <f t="shared" si="12"/>
        <v>0</v>
      </c>
      <c r="BG17">
        <f t="shared" si="13"/>
        <v>0</v>
      </c>
      <c r="BH17">
        <f t="shared" si="14"/>
        <v>0</v>
      </c>
      <c r="BI17">
        <f t="shared" si="15"/>
        <v>0</v>
      </c>
      <c r="BJ17">
        <f t="shared" si="16"/>
        <v>0</v>
      </c>
      <c r="BK17">
        <f t="shared" si="17"/>
        <v>0</v>
      </c>
      <c r="BL17">
        <f t="shared" si="18"/>
        <v>0</v>
      </c>
      <c r="BM17">
        <f t="shared" si="19"/>
        <v>0</v>
      </c>
      <c r="BN17">
        <f t="shared" si="20"/>
        <v>0</v>
      </c>
    </row>
    <row r="18" spans="1:66" outlineLevel="1" x14ac:dyDescent="0.15">
      <c r="A18" s="8"/>
      <c r="B18" s="8" t="s">
        <v>61</v>
      </c>
      <c r="C18" s="9" t="s">
        <v>255</v>
      </c>
      <c r="D18" s="8">
        <v>2592758</v>
      </c>
      <c r="E18" s="10">
        <v>11</v>
      </c>
      <c r="F18" s="9">
        <v>1</v>
      </c>
      <c r="G18" s="9"/>
      <c r="I18" s="22" t="str">
        <f t="shared" si="0"/>
        <v>·</v>
      </c>
      <c r="J18" s="23" t="str">
        <f t="shared" si="1"/>
        <v>·</v>
      </c>
      <c r="K18" s="23" t="str">
        <f t="shared" si="2"/>
        <v>·</v>
      </c>
      <c r="L18" s="23" t="str">
        <f t="shared" si="3"/>
        <v>·</v>
      </c>
      <c r="M18" s="24"/>
      <c r="N18" s="23" t="str">
        <f t="shared" si="4"/>
        <v>·</v>
      </c>
      <c r="O18" s="25"/>
      <c r="P18" s="26"/>
      <c r="Q18" s="26"/>
      <c r="R18" s="26"/>
      <c r="S18" s="40"/>
      <c r="T18" s="41"/>
      <c r="U18" s="41"/>
      <c r="V18" s="41"/>
      <c r="W18" s="42"/>
      <c r="X18" s="50"/>
      <c r="Y18" s="50"/>
      <c r="AA18" s="22" t="str">
        <f t="shared" si="5"/>
        <v>·</v>
      </c>
      <c r="AB18" s="23" t="str">
        <f t="shared" si="6"/>
        <v>·</v>
      </c>
      <c r="AC18" s="23" t="str">
        <f t="shared" si="7"/>
        <v>·</v>
      </c>
      <c r="AD18" s="23" t="str">
        <f t="shared" si="8"/>
        <v>·</v>
      </c>
      <c r="AE18" s="24"/>
      <c r="AF18" s="23" t="str">
        <f t="shared" si="9"/>
        <v>·</v>
      </c>
      <c r="AG18" s="25"/>
      <c r="AH18" s="26"/>
      <c r="AI18" s="26"/>
      <c r="AJ18" s="26"/>
      <c r="AK18" s="40"/>
      <c r="AL18" s="41"/>
      <c r="AM18" s="41"/>
      <c r="AN18" s="41"/>
      <c r="AO18" s="42"/>
      <c r="AP18" s="50"/>
      <c r="AQ18" s="50"/>
      <c r="AS18" s="55" t="e">
        <f t="shared" si="10"/>
        <v>#DIV/0!</v>
      </c>
      <c r="AT18" s="55"/>
      <c r="AV18" s="56"/>
      <c r="AW18" s="56"/>
      <c r="AX18" s="56"/>
      <c r="AY18" s="62"/>
      <c r="BA18" s="56"/>
      <c r="BB18" s="56"/>
      <c r="BC18" s="56"/>
      <c r="BD18" s="62"/>
      <c r="BF18">
        <f t="shared" si="12"/>
        <v>0</v>
      </c>
      <c r="BG18">
        <f t="shared" si="13"/>
        <v>0</v>
      </c>
      <c r="BH18">
        <f t="shared" si="14"/>
        <v>0</v>
      </c>
      <c r="BI18">
        <f t="shared" si="15"/>
        <v>0</v>
      </c>
      <c r="BJ18">
        <f t="shared" si="16"/>
        <v>0</v>
      </c>
      <c r="BK18">
        <f t="shared" si="17"/>
        <v>0</v>
      </c>
      <c r="BL18">
        <f t="shared" si="18"/>
        <v>0</v>
      </c>
      <c r="BM18">
        <f t="shared" si="19"/>
        <v>0</v>
      </c>
      <c r="BN18">
        <f t="shared" si="20"/>
        <v>0</v>
      </c>
    </row>
    <row r="19" spans="1:66" outlineLevel="1" x14ac:dyDescent="0.15">
      <c r="A19" s="5"/>
      <c r="B19" s="5" t="s">
        <v>61</v>
      </c>
      <c r="C19" s="6" t="s">
        <v>256</v>
      </c>
      <c r="D19" s="5">
        <v>2592758</v>
      </c>
      <c r="E19" s="7">
        <v>11</v>
      </c>
      <c r="F19" s="6">
        <v>1</v>
      </c>
      <c r="G19" s="6"/>
      <c r="I19" s="17" t="str">
        <f t="shared" si="0"/>
        <v>·</v>
      </c>
      <c r="J19" s="18" t="str">
        <f t="shared" si="1"/>
        <v>·</v>
      </c>
      <c r="K19" s="18" t="str">
        <f t="shared" si="2"/>
        <v>·</v>
      </c>
      <c r="L19" s="18" t="str">
        <f t="shared" si="3"/>
        <v>·</v>
      </c>
      <c r="M19" s="19"/>
      <c r="N19" s="18" t="str">
        <f t="shared" si="4"/>
        <v>·</v>
      </c>
      <c r="O19" s="20"/>
      <c r="P19" s="21"/>
      <c r="Q19" s="21"/>
      <c r="R19" s="21"/>
      <c r="S19" s="37"/>
      <c r="T19" s="38"/>
      <c r="U19" s="38"/>
      <c r="V19" s="38"/>
      <c r="W19" s="39"/>
      <c r="X19" s="49"/>
      <c r="Y19" s="49"/>
      <c r="AA19" s="17" t="str">
        <f t="shared" si="5"/>
        <v>·</v>
      </c>
      <c r="AB19" s="18" t="str">
        <f t="shared" si="6"/>
        <v>·</v>
      </c>
      <c r="AC19" s="18" t="str">
        <f t="shared" si="7"/>
        <v>·</v>
      </c>
      <c r="AD19" s="18" t="str">
        <f t="shared" si="8"/>
        <v>·</v>
      </c>
      <c r="AE19" s="19"/>
      <c r="AF19" s="18" t="str">
        <f t="shared" si="9"/>
        <v>·</v>
      </c>
      <c r="AG19" s="20"/>
      <c r="AH19" s="21"/>
      <c r="AI19" s="21"/>
      <c r="AJ19" s="21"/>
      <c r="AK19" s="37"/>
      <c r="AL19" s="38"/>
      <c r="AM19" s="38"/>
      <c r="AN19" s="38"/>
      <c r="AO19" s="39"/>
      <c r="AP19" s="49"/>
      <c r="AQ19" s="49"/>
      <c r="AS19" s="53" t="e">
        <f t="shared" si="10"/>
        <v>#DIV/0!</v>
      </c>
      <c r="AT19" s="53"/>
      <c r="AV19" s="54"/>
      <c r="AW19" s="54"/>
      <c r="AX19" s="54"/>
      <c r="AY19" s="61"/>
      <c r="BA19" s="54"/>
      <c r="BB19" s="54"/>
      <c r="BC19" s="54"/>
      <c r="BD19" s="61"/>
      <c r="BF19">
        <f t="shared" si="12"/>
        <v>0</v>
      </c>
      <c r="BG19">
        <f t="shared" si="13"/>
        <v>0</v>
      </c>
      <c r="BH19">
        <f t="shared" si="14"/>
        <v>0</v>
      </c>
      <c r="BI19">
        <f t="shared" si="15"/>
        <v>0</v>
      </c>
      <c r="BJ19">
        <f t="shared" si="16"/>
        <v>0</v>
      </c>
      <c r="BK19">
        <f t="shared" si="17"/>
        <v>0</v>
      </c>
      <c r="BL19">
        <f t="shared" si="18"/>
        <v>0</v>
      </c>
      <c r="BM19">
        <f t="shared" si="19"/>
        <v>0</v>
      </c>
      <c r="BN19">
        <f t="shared" si="20"/>
        <v>0</v>
      </c>
    </row>
    <row r="20" spans="1:66" outlineLevel="1" x14ac:dyDescent="0.15">
      <c r="A20" s="8"/>
      <c r="B20" s="8" t="s">
        <v>61</v>
      </c>
      <c r="C20" s="9" t="s">
        <v>257</v>
      </c>
      <c r="D20" s="8">
        <v>2592758</v>
      </c>
      <c r="E20" s="10">
        <v>11</v>
      </c>
      <c r="F20" s="9">
        <v>1</v>
      </c>
      <c r="G20" s="9"/>
      <c r="I20" s="22" t="str">
        <f t="shared" si="0"/>
        <v>·</v>
      </c>
      <c r="J20" s="23" t="str">
        <f t="shared" si="1"/>
        <v>·</v>
      </c>
      <c r="K20" s="23" t="str">
        <f t="shared" si="2"/>
        <v>·</v>
      </c>
      <c r="L20" s="23" t="str">
        <f t="shared" si="3"/>
        <v>·</v>
      </c>
      <c r="M20" s="24"/>
      <c r="N20" s="23" t="str">
        <f t="shared" si="4"/>
        <v>·</v>
      </c>
      <c r="O20" s="25"/>
      <c r="P20" s="26"/>
      <c r="Q20" s="26"/>
      <c r="R20" s="26"/>
      <c r="S20" s="40"/>
      <c r="T20" s="41"/>
      <c r="U20" s="41"/>
      <c r="V20" s="41"/>
      <c r="W20" s="42"/>
      <c r="X20" s="50"/>
      <c r="Y20" s="50"/>
      <c r="AA20" s="22" t="str">
        <f t="shared" si="5"/>
        <v>·</v>
      </c>
      <c r="AB20" s="23" t="str">
        <f t="shared" si="6"/>
        <v>·</v>
      </c>
      <c r="AC20" s="23" t="str">
        <f t="shared" si="7"/>
        <v>·</v>
      </c>
      <c r="AD20" s="23" t="str">
        <f t="shared" si="8"/>
        <v>·</v>
      </c>
      <c r="AE20" s="24"/>
      <c r="AF20" s="23" t="str">
        <f t="shared" si="9"/>
        <v>·</v>
      </c>
      <c r="AG20" s="25"/>
      <c r="AH20" s="26"/>
      <c r="AI20" s="26"/>
      <c r="AJ20" s="26"/>
      <c r="AK20" s="40"/>
      <c r="AL20" s="41"/>
      <c r="AM20" s="41"/>
      <c r="AN20" s="41"/>
      <c r="AO20" s="42"/>
      <c r="AP20" s="50"/>
      <c r="AQ20" s="50"/>
      <c r="AS20" s="55" t="e">
        <f t="shared" si="10"/>
        <v>#DIV/0!</v>
      </c>
      <c r="AT20" s="55"/>
      <c r="AV20" s="56"/>
      <c r="AW20" s="56"/>
      <c r="AX20" s="56"/>
      <c r="AY20" s="62"/>
      <c r="BA20" s="56"/>
      <c r="BB20" s="56"/>
      <c r="BC20" s="56"/>
      <c r="BD20" s="62"/>
      <c r="BF20">
        <f t="shared" si="12"/>
        <v>0</v>
      </c>
      <c r="BG20">
        <f t="shared" si="13"/>
        <v>0</v>
      </c>
      <c r="BH20">
        <f t="shared" si="14"/>
        <v>0</v>
      </c>
      <c r="BI20">
        <f t="shared" si="15"/>
        <v>0</v>
      </c>
      <c r="BJ20">
        <f t="shared" si="16"/>
        <v>0</v>
      </c>
      <c r="BK20">
        <f t="shared" si="17"/>
        <v>0</v>
      </c>
      <c r="BL20">
        <f t="shared" si="18"/>
        <v>0</v>
      </c>
      <c r="BM20">
        <f t="shared" si="19"/>
        <v>0</v>
      </c>
      <c r="BN20">
        <f t="shared" si="20"/>
        <v>0</v>
      </c>
    </row>
    <row r="21" spans="1:66" outlineLevel="1" x14ac:dyDescent="0.15">
      <c r="A21" s="5"/>
      <c r="B21" s="5" t="s">
        <v>61</v>
      </c>
      <c r="C21" s="6" t="s">
        <v>258</v>
      </c>
      <c r="D21" s="5">
        <v>2592758</v>
      </c>
      <c r="E21" s="7">
        <v>11</v>
      </c>
      <c r="F21" s="6">
        <v>1</v>
      </c>
      <c r="G21" s="6"/>
      <c r="I21" s="17" t="str">
        <f t="shared" si="0"/>
        <v>·</v>
      </c>
      <c r="J21" s="18" t="str">
        <f t="shared" si="1"/>
        <v>·</v>
      </c>
      <c r="K21" s="18" t="str">
        <f t="shared" si="2"/>
        <v>·</v>
      </c>
      <c r="L21" s="18" t="str">
        <f t="shared" si="3"/>
        <v>·</v>
      </c>
      <c r="M21" s="19"/>
      <c r="N21" s="18" t="str">
        <f t="shared" si="4"/>
        <v>·</v>
      </c>
      <c r="O21" s="20"/>
      <c r="P21" s="21"/>
      <c r="Q21" s="21"/>
      <c r="R21" s="21"/>
      <c r="S21" s="37"/>
      <c r="T21" s="38"/>
      <c r="U21" s="38"/>
      <c r="V21" s="38"/>
      <c r="W21" s="39"/>
      <c r="X21" s="49"/>
      <c r="Y21" s="49"/>
      <c r="AA21" s="17" t="str">
        <f t="shared" si="5"/>
        <v>·</v>
      </c>
      <c r="AB21" s="18" t="str">
        <f t="shared" si="6"/>
        <v>·</v>
      </c>
      <c r="AC21" s="18" t="str">
        <f t="shared" si="7"/>
        <v>·</v>
      </c>
      <c r="AD21" s="18" t="str">
        <f t="shared" si="8"/>
        <v>·</v>
      </c>
      <c r="AE21" s="19"/>
      <c r="AF21" s="18" t="str">
        <f t="shared" si="9"/>
        <v>·</v>
      </c>
      <c r="AG21" s="20"/>
      <c r="AH21" s="21"/>
      <c r="AI21" s="21"/>
      <c r="AJ21" s="21"/>
      <c r="AK21" s="37"/>
      <c r="AL21" s="38"/>
      <c r="AM21" s="38"/>
      <c r="AN21" s="38"/>
      <c r="AO21" s="39"/>
      <c r="AP21" s="49"/>
      <c r="AQ21" s="49"/>
      <c r="AS21" s="53" t="e">
        <f t="shared" si="10"/>
        <v>#DIV/0!</v>
      </c>
      <c r="AT21" s="53"/>
      <c r="AV21" s="54"/>
      <c r="AW21" s="54"/>
      <c r="AX21" s="54"/>
      <c r="AY21" s="61"/>
      <c r="BA21" s="54"/>
      <c r="BB21" s="54"/>
      <c r="BC21" s="54"/>
      <c r="BD21" s="61"/>
      <c r="BF21">
        <f t="shared" si="12"/>
        <v>0</v>
      </c>
      <c r="BG21">
        <f t="shared" si="13"/>
        <v>0</v>
      </c>
      <c r="BH21">
        <f t="shared" si="14"/>
        <v>0</v>
      </c>
      <c r="BI21">
        <f t="shared" si="15"/>
        <v>0</v>
      </c>
      <c r="BJ21">
        <f t="shared" si="16"/>
        <v>0</v>
      </c>
      <c r="BK21">
        <f t="shared" si="17"/>
        <v>0</v>
      </c>
      <c r="BL21">
        <f t="shared" si="18"/>
        <v>0</v>
      </c>
      <c r="BM21">
        <f t="shared" si="19"/>
        <v>0</v>
      </c>
      <c r="BN21">
        <f t="shared" si="20"/>
        <v>0</v>
      </c>
    </row>
    <row r="22" spans="1:66" outlineLevel="1" x14ac:dyDescent="0.15">
      <c r="A22" s="8"/>
      <c r="B22" s="14" t="s">
        <v>61</v>
      </c>
      <c r="C22" s="15" t="s">
        <v>259</v>
      </c>
      <c r="D22" s="14">
        <v>2592758</v>
      </c>
      <c r="E22" s="16">
        <v>11</v>
      </c>
      <c r="F22" s="15">
        <v>1</v>
      </c>
      <c r="G22" s="15"/>
      <c r="I22" s="32" t="str">
        <f t="shared" si="0"/>
        <v>·</v>
      </c>
      <c r="J22" s="33" t="str">
        <f t="shared" si="1"/>
        <v>·</v>
      </c>
      <c r="K22" s="33" t="str">
        <f t="shared" si="2"/>
        <v>·</v>
      </c>
      <c r="L22" s="33" t="str">
        <f t="shared" si="3"/>
        <v>·</v>
      </c>
      <c r="M22" s="34"/>
      <c r="N22" s="33" t="str">
        <f t="shared" si="4"/>
        <v>·</v>
      </c>
      <c r="O22" s="35"/>
      <c r="P22" s="36"/>
      <c r="Q22" s="36"/>
      <c r="R22" s="36"/>
      <c r="S22" s="46"/>
      <c r="T22" s="47"/>
      <c r="U22" s="47"/>
      <c r="V22" s="47"/>
      <c r="W22" s="48"/>
      <c r="X22" s="52"/>
      <c r="Y22" s="52"/>
      <c r="AA22" s="32" t="str">
        <f t="shared" si="5"/>
        <v>·</v>
      </c>
      <c r="AB22" s="33" t="str">
        <f t="shared" si="6"/>
        <v>·</v>
      </c>
      <c r="AC22" s="33" t="str">
        <f t="shared" si="7"/>
        <v>·</v>
      </c>
      <c r="AD22" s="33" t="str">
        <f t="shared" si="8"/>
        <v>·</v>
      </c>
      <c r="AE22" s="34"/>
      <c r="AF22" s="33" t="str">
        <f t="shared" si="9"/>
        <v>·</v>
      </c>
      <c r="AG22" s="35"/>
      <c r="AH22" s="36"/>
      <c r="AI22" s="36"/>
      <c r="AJ22" s="36"/>
      <c r="AK22" s="46"/>
      <c r="AL22" s="47"/>
      <c r="AM22" s="47"/>
      <c r="AN22" s="47"/>
      <c r="AO22" s="48"/>
      <c r="AP22" s="52"/>
      <c r="AQ22" s="52"/>
      <c r="AS22" s="59" t="e">
        <f t="shared" si="10"/>
        <v>#DIV/0!</v>
      </c>
      <c r="AT22" s="59"/>
      <c r="AV22" s="60"/>
      <c r="AW22" s="60"/>
      <c r="AX22" s="60"/>
      <c r="AY22" s="64"/>
      <c r="BA22" s="60"/>
      <c r="BB22" s="60"/>
      <c r="BC22" s="60"/>
      <c r="BD22" s="64"/>
      <c r="BF22">
        <f t="shared" si="12"/>
        <v>0</v>
      </c>
      <c r="BG22">
        <f t="shared" si="13"/>
        <v>0</v>
      </c>
      <c r="BH22">
        <f t="shared" si="14"/>
        <v>0</v>
      </c>
      <c r="BI22">
        <f t="shared" si="15"/>
        <v>0</v>
      </c>
      <c r="BJ22">
        <f t="shared" si="16"/>
        <v>0</v>
      </c>
      <c r="BK22">
        <f t="shared" si="17"/>
        <v>0</v>
      </c>
      <c r="BL22">
        <f t="shared" si="18"/>
        <v>0</v>
      </c>
      <c r="BM22">
        <f t="shared" si="19"/>
        <v>0</v>
      </c>
      <c r="BN22">
        <f t="shared" si="20"/>
        <v>0</v>
      </c>
    </row>
    <row r="23" spans="1:66" x14ac:dyDescent="0.15">
      <c r="A23" s="5"/>
      <c r="B23" s="5" t="s">
        <v>67</v>
      </c>
      <c r="C23" s="6" t="s">
        <v>254</v>
      </c>
      <c r="D23" s="5">
        <v>272684</v>
      </c>
      <c r="E23" s="7">
        <v>12</v>
      </c>
      <c r="F23" s="6">
        <v>1</v>
      </c>
      <c r="G23" s="6"/>
      <c r="I23" s="17" t="str">
        <f t="shared" si="0"/>
        <v>·</v>
      </c>
      <c r="J23" s="18" t="str">
        <f t="shared" si="1"/>
        <v>·</v>
      </c>
      <c r="K23" s="18" t="str">
        <f t="shared" si="2"/>
        <v>·</v>
      </c>
      <c r="L23" s="18" t="str">
        <f t="shared" si="3"/>
        <v>·</v>
      </c>
      <c r="M23" s="19"/>
      <c r="N23" s="18" t="str">
        <f t="shared" si="4"/>
        <v>·</v>
      </c>
      <c r="O23" s="20"/>
      <c r="P23" s="21"/>
      <c r="Q23" s="21"/>
      <c r="R23" s="21"/>
      <c r="S23" s="37"/>
      <c r="T23" s="38"/>
      <c r="U23" s="38"/>
      <c r="V23" s="38"/>
      <c r="W23" s="39"/>
      <c r="X23" s="49"/>
      <c r="Y23" s="49"/>
      <c r="AA23" s="17" t="str">
        <f t="shared" si="5"/>
        <v>·</v>
      </c>
      <c r="AB23" s="18" t="str">
        <f t="shared" si="6"/>
        <v>·</v>
      </c>
      <c r="AC23" s="18" t="str">
        <f t="shared" si="7"/>
        <v>·</v>
      </c>
      <c r="AD23" s="18" t="str">
        <f t="shared" si="8"/>
        <v>·</v>
      </c>
      <c r="AE23" s="19"/>
      <c r="AF23" s="18" t="str">
        <f t="shared" si="9"/>
        <v>·</v>
      </c>
      <c r="AG23" s="20"/>
      <c r="AH23" s="21"/>
      <c r="AI23" s="21"/>
      <c r="AJ23" s="21"/>
      <c r="AK23" s="37"/>
      <c r="AL23" s="38"/>
      <c r="AM23" s="38"/>
      <c r="AN23" s="38"/>
      <c r="AO23" s="39"/>
      <c r="AP23" s="49"/>
      <c r="AQ23" s="49"/>
      <c r="AS23" s="53" t="e">
        <f t="shared" si="10"/>
        <v>#DIV/0!</v>
      </c>
      <c r="AT23" s="53" t="e">
        <f t="array" ref="AT23">AVERAGE(AI23:AI28/AH23:AH28)-AVERAGE(Q23:Q28/P23:P28)</f>
        <v>#DIV/0!</v>
      </c>
      <c r="AV23" s="54" t="str">
        <f>IF(OR(ISBLANK(R23:R28),ISBLANK(AJ23:AJ28),ISBLANK(T23:T28),ISBLANK(AL23:AL28)),"·",bdRateExtend(R23:R28,T23:T28,AJ23:AJ28,AL23:AL28))</f>
        <v>·</v>
      </c>
      <c r="AW23" s="54" t="str">
        <f>IF(OR(ISBLANK(R23:R28),ISBLANK(AJ23:AJ28),ISBLANK(U23:U28),ISBLANK(AM23:AM28)),"·",bdRateExtend(R23:R28,U23:U28,AJ23:AJ28,AM23:AM28))</f>
        <v>·</v>
      </c>
      <c r="AX23" s="54" t="str">
        <f>IF(OR(ISBLANK(R23:R28),ISBLANK(AJ23:AJ28),ISBLANK(V23:V28),ISBLANK(AN23:AN28)),"·",bdRateExtend(R23:R28,V23:V28,AJ23:AJ28,AN23:AN28))</f>
        <v>·</v>
      </c>
      <c r="AY23" s="61"/>
      <c r="BA23" s="54" t="str">
        <f>IF(OR(ISBLANK(P23:P28),ISBLANK(AH23:AH28),ISBLANK(T23:T28),ISBLANK(AL23:AL28)),"·",bdRateExtend(P23:P28,T23:T28,AH23:AH28,AL23:AL28))</f>
        <v>·</v>
      </c>
      <c r="BB23" s="54" t="str">
        <f>IF(OR(ISBLANK(P23:P28),ISBLANK(AH23:AH28),ISBLANK(U23:U28),ISBLANK(AM23:AM28)),"·",bdRateExtend(P23:P28,U23:U28,AH23:AH28,AM23:AM28))</f>
        <v>·</v>
      </c>
      <c r="BC23" s="54" t="str">
        <f>IF(OR(ISBLANK(P23:P28),ISBLANK(AH23:AH28),ISBLANK(V23:V28),ISBLANK(AN23:AN28)),"·",bdRateExtend(P23:P28,V23:V28,AH23:AH28,AN23:AN28))</f>
        <v>·</v>
      </c>
      <c r="BD23" s="61"/>
      <c r="BF23">
        <f t="shared" si="12"/>
        <v>0</v>
      </c>
      <c r="BG23">
        <f t="shared" si="13"/>
        <v>0</v>
      </c>
      <c r="BH23">
        <f t="shared" si="14"/>
        <v>0</v>
      </c>
      <c r="BI23">
        <f t="shared" si="15"/>
        <v>0</v>
      </c>
      <c r="BJ23">
        <f t="shared" si="16"/>
        <v>0</v>
      </c>
      <c r="BK23">
        <f t="shared" si="17"/>
        <v>0</v>
      </c>
      <c r="BL23">
        <f t="shared" si="18"/>
        <v>0</v>
      </c>
      <c r="BM23">
        <f t="shared" si="19"/>
        <v>0</v>
      </c>
      <c r="BN23">
        <f t="shared" si="20"/>
        <v>0</v>
      </c>
    </row>
    <row r="24" spans="1:66" outlineLevel="1" x14ac:dyDescent="0.15">
      <c r="A24" s="8"/>
      <c r="B24" s="8" t="s">
        <v>67</v>
      </c>
      <c r="C24" s="9" t="s">
        <v>255</v>
      </c>
      <c r="D24" s="8">
        <v>272684</v>
      </c>
      <c r="E24" s="10">
        <v>12</v>
      </c>
      <c r="F24" s="9">
        <v>1</v>
      </c>
      <c r="G24" s="9"/>
      <c r="I24" s="22" t="str">
        <f t="shared" si="0"/>
        <v>·</v>
      </c>
      <c r="J24" s="23" t="str">
        <f t="shared" si="1"/>
        <v>·</v>
      </c>
      <c r="K24" s="23" t="str">
        <f t="shared" si="2"/>
        <v>·</v>
      </c>
      <c r="L24" s="23" t="str">
        <f t="shared" si="3"/>
        <v>·</v>
      </c>
      <c r="M24" s="24"/>
      <c r="N24" s="23" t="str">
        <f t="shared" si="4"/>
        <v>·</v>
      </c>
      <c r="O24" s="25"/>
      <c r="P24" s="26"/>
      <c r="Q24" s="26"/>
      <c r="R24" s="26"/>
      <c r="S24" s="40"/>
      <c r="T24" s="41"/>
      <c r="U24" s="41"/>
      <c r="V24" s="41"/>
      <c r="W24" s="42"/>
      <c r="X24" s="50"/>
      <c r="Y24" s="50"/>
      <c r="AA24" s="22" t="str">
        <f t="shared" si="5"/>
        <v>·</v>
      </c>
      <c r="AB24" s="23" t="str">
        <f t="shared" si="6"/>
        <v>·</v>
      </c>
      <c r="AC24" s="23" t="str">
        <f t="shared" si="7"/>
        <v>·</v>
      </c>
      <c r="AD24" s="23" t="str">
        <f t="shared" si="8"/>
        <v>·</v>
      </c>
      <c r="AE24" s="24"/>
      <c r="AF24" s="23" t="str">
        <f t="shared" si="9"/>
        <v>·</v>
      </c>
      <c r="AG24" s="25"/>
      <c r="AH24" s="26"/>
      <c r="AI24" s="26"/>
      <c r="AJ24" s="26"/>
      <c r="AK24" s="40"/>
      <c r="AL24" s="41"/>
      <c r="AM24" s="41"/>
      <c r="AN24" s="41"/>
      <c r="AO24" s="42"/>
      <c r="AP24" s="50"/>
      <c r="AQ24" s="50"/>
      <c r="AS24" s="55" t="e">
        <f t="shared" si="10"/>
        <v>#DIV/0!</v>
      </c>
      <c r="AT24" s="55"/>
      <c r="AV24" s="56"/>
      <c r="AW24" s="56"/>
      <c r="AX24" s="56"/>
      <c r="AY24" s="62"/>
      <c r="BA24" s="56"/>
      <c r="BB24" s="56"/>
      <c r="BC24" s="56"/>
      <c r="BD24" s="62"/>
      <c r="BF24">
        <f t="shared" si="12"/>
        <v>0</v>
      </c>
      <c r="BG24">
        <f t="shared" si="13"/>
        <v>0</v>
      </c>
      <c r="BH24">
        <f t="shared" si="14"/>
        <v>0</v>
      </c>
      <c r="BI24">
        <f t="shared" si="15"/>
        <v>0</v>
      </c>
      <c r="BJ24">
        <f t="shared" si="16"/>
        <v>0</v>
      </c>
      <c r="BK24">
        <f t="shared" si="17"/>
        <v>0</v>
      </c>
      <c r="BL24">
        <f t="shared" si="18"/>
        <v>0</v>
      </c>
      <c r="BM24">
        <f t="shared" si="19"/>
        <v>0</v>
      </c>
      <c r="BN24">
        <f t="shared" si="20"/>
        <v>0</v>
      </c>
    </row>
    <row r="25" spans="1:66" outlineLevel="1" x14ac:dyDescent="0.15">
      <c r="A25" s="5"/>
      <c r="B25" s="5" t="s">
        <v>67</v>
      </c>
      <c r="C25" s="6" t="s">
        <v>256</v>
      </c>
      <c r="D25" s="5">
        <v>272684</v>
      </c>
      <c r="E25" s="7">
        <v>12</v>
      </c>
      <c r="F25" s="6">
        <v>1</v>
      </c>
      <c r="G25" s="6"/>
      <c r="I25" s="17" t="str">
        <f t="shared" si="0"/>
        <v>·</v>
      </c>
      <c r="J25" s="18" t="str">
        <f t="shared" si="1"/>
        <v>·</v>
      </c>
      <c r="K25" s="18" t="str">
        <f t="shared" si="2"/>
        <v>·</v>
      </c>
      <c r="L25" s="18" t="str">
        <f t="shared" si="3"/>
        <v>·</v>
      </c>
      <c r="M25" s="19"/>
      <c r="N25" s="18" t="str">
        <f t="shared" si="4"/>
        <v>·</v>
      </c>
      <c r="O25" s="20"/>
      <c r="P25" s="21"/>
      <c r="Q25" s="21"/>
      <c r="R25" s="21"/>
      <c r="S25" s="37"/>
      <c r="T25" s="38"/>
      <c r="U25" s="38"/>
      <c r="V25" s="38"/>
      <c r="W25" s="39"/>
      <c r="X25" s="49"/>
      <c r="Y25" s="49"/>
      <c r="AA25" s="17" t="str">
        <f t="shared" si="5"/>
        <v>·</v>
      </c>
      <c r="AB25" s="18" t="str">
        <f t="shared" si="6"/>
        <v>·</v>
      </c>
      <c r="AC25" s="18" t="str">
        <f t="shared" si="7"/>
        <v>·</v>
      </c>
      <c r="AD25" s="18" t="str">
        <f t="shared" si="8"/>
        <v>·</v>
      </c>
      <c r="AE25" s="19"/>
      <c r="AF25" s="18" t="str">
        <f t="shared" si="9"/>
        <v>·</v>
      </c>
      <c r="AG25" s="20"/>
      <c r="AH25" s="21"/>
      <c r="AI25" s="21"/>
      <c r="AJ25" s="21"/>
      <c r="AK25" s="37"/>
      <c r="AL25" s="38"/>
      <c r="AM25" s="38"/>
      <c r="AN25" s="38"/>
      <c r="AO25" s="39"/>
      <c r="AP25" s="49"/>
      <c r="AQ25" s="49"/>
      <c r="AS25" s="53" t="e">
        <f t="shared" si="10"/>
        <v>#DIV/0!</v>
      </c>
      <c r="AT25" s="53"/>
      <c r="AV25" s="54"/>
      <c r="AW25" s="54"/>
      <c r="AX25" s="54"/>
      <c r="AY25" s="61"/>
      <c r="BA25" s="54"/>
      <c r="BB25" s="54"/>
      <c r="BC25" s="54"/>
      <c r="BD25" s="61"/>
      <c r="BF25">
        <f t="shared" si="12"/>
        <v>0</v>
      </c>
      <c r="BG25">
        <f t="shared" si="13"/>
        <v>0</v>
      </c>
      <c r="BH25">
        <f t="shared" si="14"/>
        <v>0</v>
      </c>
      <c r="BI25">
        <f t="shared" si="15"/>
        <v>0</v>
      </c>
      <c r="BJ25">
        <f t="shared" si="16"/>
        <v>0</v>
      </c>
      <c r="BK25">
        <f t="shared" si="17"/>
        <v>0</v>
      </c>
      <c r="BL25">
        <f t="shared" si="18"/>
        <v>0</v>
      </c>
      <c r="BM25">
        <f t="shared" si="19"/>
        <v>0</v>
      </c>
      <c r="BN25">
        <f t="shared" si="20"/>
        <v>0</v>
      </c>
    </row>
    <row r="26" spans="1:66" outlineLevel="1" x14ac:dyDescent="0.15">
      <c r="A26" s="8"/>
      <c r="B26" s="8" t="s">
        <v>67</v>
      </c>
      <c r="C26" s="9" t="s">
        <v>257</v>
      </c>
      <c r="D26" s="8">
        <v>272684</v>
      </c>
      <c r="E26" s="10">
        <v>12</v>
      </c>
      <c r="F26" s="9">
        <v>1</v>
      </c>
      <c r="G26" s="9"/>
      <c r="I26" s="22" t="str">
        <f t="shared" si="0"/>
        <v>·</v>
      </c>
      <c r="J26" s="23" t="str">
        <f t="shared" si="1"/>
        <v>·</v>
      </c>
      <c r="K26" s="23" t="str">
        <f t="shared" si="2"/>
        <v>·</v>
      </c>
      <c r="L26" s="23" t="str">
        <f t="shared" si="3"/>
        <v>·</v>
      </c>
      <c r="M26" s="24"/>
      <c r="N26" s="23" t="str">
        <f t="shared" si="4"/>
        <v>·</v>
      </c>
      <c r="O26" s="25"/>
      <c r="P26" s="26"/>
      <c r="Q26" s="26"/>
      <c r="R26" s="26"/>
      <c r="S26" s="40"/>
      <c r="T26" s="41"/>
      <c r="U26" s="41"/>
      <c r="V26" s="41"/>
      <c r="W26" s="42"/>
      <c r="X26" s="50"/>
      <c r="Y26" s="50"/>
      <c r="AA26" s="22" t="str">
        <f t="shared" si="5"/>
        <v>·</v>
      </c>
      <c r="AB26" s="23" t="str">
        <f t="shared" si="6"/>
        <v>·</v>
      </c>
      <c r="AC26" s="23" t="str">
        <f t="shared" si="7"/>
        <v>·</v>
      </c>
      <c r="AD26" s="23" t="str">
        <f t="shared" si="8"/>
        <v>·</v>
      </c>
      <c r="AE26" s="24"/>
      <c r="AF26" s="23" t="str">
        <f t="shared" si="9"/>
        <v>·</v>
      </c>
      <c r="AG26" s="25"/>
      <c r="AH26" s="26"/>
      <c r="AI26" s="26"/>
      <c r="AJ26" s="26"/>
      <c r="AK26" s="40"/>
      <c r="AL26" s="41"/>
      <c r="AM26" s="41"/>
      <c r="AN26" s="41"/>
      <c r="AO26" s="42"/>
      <c r="AP26" s="50"/>
      <c r="AQ26" s="50"/>
      <c r="AS26" s="55" t="e">
        <f t="shared" si="10"/>
        <v>#DIV/0!</v>
      </c>
      <c r="AT26" s="55"/>
      <c r="AV26" s="56"/>
      <c r="AW26" s="56"/>
      <c r="AX26" s="56"/>
      <c r="AY26" s="62"/>
      <c r="BA26" s="56"/>
      <c r="BB26" s="56"/>
      <c r="BC26" s="56"/>
      <c r="BD26" s="62"/>
      <c r="BF26">
        <f t="shared" si="12"/>
        <v>0</v>
      </c>
      <c r="BG26">
        <f t="shared" si="13"/>
        <v>0</v>
      </c>
      <c r="BH26">
        <f t="shared" si="14"/>
        <v>0</v>
      </c>
      <c r="BI26">
        <f t="shared" si="15"/>
        <v>0</v>
      </c>
      <c r="BJ26">
        <f t="shared" si="16"/>
        <v>0</v>
      </c>
      <c r="BK26">
        <f t="shared" si="17"/>
        <v>0</v>
      </c>
      <c r="BL26">
        <f t="shared" si="18"/>
        <v>0</v>
      </c>
      <c r="BM26">
        <f t="shared" si="19"/>
        <v>0</v>
      </c>
      <c r="BN26">
        <f t="shared" si="20"/>
        <v>0</v>
      </c>
    </row>
    <row r="27" spans="1:66" outlineLevel="1" x14ac:dyDescent="0.15">
      <c r="A27" s="5"/>
      <c r="B27" s="5" t="s">
        <v>67</v>
      </c>
      <c r="C27" s="6" t="s">
        <v>258</v>
      </c>
      <c r="D27" s="5">
        <v>272684</v>
      </c>
      <c r="E27" s="7">
        <v>12</v>
      </c>
      <c r="F27" s="6">
        <v>1</v>
      </c>
      <c r="G27" s="6"/>
      <c r="I27" s="17" t="str">
        <f t="shared" si="0"/>
        <v>·</v>
      </c>
      <c r="J27" s="18" t="str">
        <f t="shared" si="1"/>
        <v>·</v>
      </c>
      <c r="K27" s="18" t="str">
        <f t="shared" si="2"/>
        <v>·</v>
      </c>
      <c r="L27" s="18" t="str">
        <f t="shared" si="3"/>
        <v>·</v>
      </c>
      <c r="M27" s="19"/>
      <c r="N27" s="18" t="str">
        <f t="shared" si="4"/>
        <v>·</v>
      </c>
      <c r="O27" s="20"/>
      <c r="P27" s="21"/>
      <c r="Q27" s="21"/>
      <c r="R27" s="21"/>
      <c r="S27" s="37"/>
      <c r="T27" s="38"/>
      <c r="U27" s="38"/>
      <c r="V27" s="38"/>
      <c r="W27" s="39"/>
      <c r="X27" s="49"/>
      <c r="Y27" s="49"/>
      <c r="AA27" s="17" t="str">
        <f t="shared" si="5"/>
        <v>·</v>
      </c>
      <c r="AB27" s="18" t="str">
        <f t="shared" si="6"/>
        <v>·</v>
      </c>
      <c r="AC27" s="18" t="str">
        <f t="shared" si="7"/>
        <v>·</v>
      </c>
      <c r="AD27" s="18" t="str">
        <f t="shared" si="8"/>
        <v>·</v>
      </c>
      <c r="AE27" s="19"/>
      <c r="AF27" s="18" t="str">
        <f t="shared" si="9"/>
        <v>·</v>
      </c>
      <c r="AG27" s="20"/>
      <c r="AH27" s="21"/>
      <c r="AI27" s="21"/>
      <c r="AJ27" s="21"/>
      <c r="AK27" s="37"/>
      <c r="AL27" s="38"/>
      <c r="AM27" s="38"/>
      <c r="AN27" s="38"/>
      <c r="AO27" s="39"/>
      <c r="AP27" s="49"/>
      <c r="AQ27" s="49"/>
      <c r="AS27" s="53" t="e">
        <f t="shared" si="10"/>
        <v>#DIV/0!</v>
      </c>
      <c r="AT27" s="53"/>
      <c r="AV27" s="54"/>
      <c r="AW27" s="54"/>
      <c r="AX27" s="54"/>
      <c r="AY27" s="61"/>
      <c r="BA27" s="54"/>
      <c r="BB27" s="54"/>
      <c r="BC27" s="54"/>
      <c r="BD27" s="61"/>
      <c r="BF27">
        <f t="shared" si="12"/>
        <v>0</v>
      </c>
      <c r="BG27">
        <f t="shared" si="13"/>
        <v>0</v>
      </c>
      <c r="BH27">
        <f t="shared" si="14"/>
        <v>0</v>
      </c>
      <c r="BI27">
        <f t="shared" si="15"/>
        <v>0</v>
      </c>
      <c r="BJ27">
        <f t="shared" si="16"/>
        <v>0</v>
      </c>
      <c r="BK27">
        <f t="shared" si="17"/>
        <v>0</v>
      </c>
      <c r="BL27">
        <f t="shared" si="18"/>
        <v>0</v>
      </c>
      <c r="BM27">
        <f t="shared" si="19"/>
        <v>0</v>
      </c>
      <c r="BN27">
        <f t="shared" si="20"/>
        <v>0</v>
      </c>
    </row>
    <row r="28" spans="1:66" outlineLevel="1" x14ac:dyDescent="0.15">
      <c r="A28" s="8"/>
      <c r="B28" s="14" t="s">
        <v>67</v>
      </c>
      <c r="C28" s="15" t="s">
        <v>259</v>
      </c>
      <c r="D28" s="14">
        <v>272684</v>
      </c>
      <c r="E28" s="16">
        <v>12</v>
      </c>
      <c r="F28" s="15">
        <v>1</v>
      </c>
      <c r="G28" s="15"/>
      <c r="I28" s="32" t="str">
        <f t="shared" si="0"/>
        <v>·</v>
      </c>
      <c r="J28" s="33" t="str">
        <f t="shared" si="1"/>
        <v>·</v>
      </c>
      <c r="K28" s="33" t="str">
        <f t="shared" si="2"/>
        <v>·</v>
      </c>
      <c r="L28" s="33" t="str">
        <f t="shared" si="3"/>
        <v>·</v>
      </c>
      <c r="M28" s="34"/>
      <c r="N28" s="33" t="str">
        <f t="shared" si="4"/>
        <v>·</v>
      </c>
      <c r="O28" s="35"/>
      <c r="P28" s="36"/>
      <c r="Q28" s="36"/>
      <c r="R28" s="36"/>
      <c r="S28" s="46"/>
      <c r="T28" s="47"/>
      <c r="U28" s="47"/>
      <c r="V28" s="47"/>
      <c r="W28" s="48"/>
      <c r="X28" s="52"/>
      <c r="Y28" s="52"/>
      <c r="AA28" s="32" t="str">
        <f t="shared" si="5"/>
        <v>·</v>
      </c>
      <c r="AB28" s="33" t="str">
        <f t="shared" si="6"/>
        <v>·</v>
      </c>
      <c r="AC28" s="33" t="str">
        <f t="shared" si="7"/>
        <v>·</v>
      </c>
      <c r="AD28" s="33" t="str">
        <f t="shared" si="8"/>
        <v>·</v>
      </c>
      <c r="AE28" s="34"/>
      <c r="AF28" s="33" t="str">
        <f t="shared" si="9"/>
        <v>·</v>
      </c>
      <c r="AG28" s="35"/>
      <c r="AH28" s="36"/>
      <c r="AI28" s="36"/>
      <c r="AJ28" s="36"/>
      <c r="AK28" s="46"/>
      <c r="AL28" s="47"/>
      <c r="AM28" s="47"/>
      <c r="AN28" s="47"/>
      <c r="AO28" s="48"/>
      <c r="AP28" s="52"/>
      <c r="AQ28" s="52"/>
      <c r="AS28" s="59" t="e">
        <f t="shared" si="10"/>
        <v>#DIV/0!</v>
      </c>
      <c r="AT28" s="59"/>
      <c r="AV28" s="60"/>
      <c r="AW28" s="60"/>
      <c r="AX28" s="60"/>
      <c r="AY28" s="64"/>
      <c r="BA28" s="60"/>
      <c r="BB28" s="60"/>
      <c r="BC28" s="60"/>
      <c r="BD28" s="64"/>
      <c r="BF28">
        <f t="shared" si="12"/>
        <v>0</v>
      </c>
      <c r="BG28">
        <f t="shared" si="13"/>
        <v>0</v>
      </c>
      <c r="BH28">
        <f t="shared" si="14"/>
        <v>0</v>
      </c>
      <c r="BI28">
        <f t="shared" si="15"/>
        <v>0</v>
      </c>
      <c r="BJ28">
        <f t="shared" si="16"/>
        <v>0</v>
      </c>
      <c r="BK28">
        <f t="shared" si="17"/>
        <v>0</v>
      </c>
      <c r="BL28">
        <f t="shared" si="18"/>
        <v>0</v>
      </c>
      <c r="BM28">
        <f t="shared" si="19"/>
        <v>0</v>
      </c>
      <c r="BN28">
        <f t="shared" si="20"/>
        <v>0</v>
      </c>
    </row>
    <row r="29" spans="1:66" x14ac:dyDescent="0.15">
      <c r="A29" s="5"/>
      <c r="B29" s="5" t="s">
        <v>70</v>
      </c>
      <c r="C29" s="6" t="s">
        <v>254</v>
      </c>
      <c r="D29" s="5">
        <v>1596085</v>
      </c>
      <c r="E29" s="7">
        <v>12</v>
      </c>
      <c r="F29" s="6">
        <v>1</v>
      </c>
      <c r="G29" s="6"/>
      <c r="I29" s="17" t="str">
        <f t="shared" si="0"/>
        <v>·</v>
      </c>
      <c r="J29" s="18" t="str">
        <f t="shared" si="1"/>
        <v>·</v>
      </c>
      <c r="K29" s="18" t="str">
        <f t="shared" si="2"/>
        <v>·</v>
      </c>
      <c r="L29" s="18" t="str">
        <f t="shared" si="3"/>
        <v>·</v>
      </c>
      <c r="M29" s="19"/>
      <c r="N29" s="18" t="str">
        <f t="shared" si="4"/>
        <v>·</v>
      </c>
      <c r="O29" s="20"/>
      <c r="P29" s="21"/>
      <c r="Q29" s="21"/>
      <c r="R29" s="21"/>
      <c r="S29" s="37"/>
      <c r="T29" s="38"/>
      <c r="U29" s="38"/>
      <c r="V29" s="38"/>
      <c r="W29" s="39"/>
      <c r="X29" s="49"/>
      <c r="Y29" s="49"/>
      <c r="AA29" s="17" t="str">
        <f t="shared" si="5"/>
        <v>·</v>
      </c>
      <c r="AB29" s="18" t="str">
        <f t="shared" si="6"/>
        <v>·</v>
      </c>
      <c r="AC29" s="18" t="str">
        <f t="shared" si="7"/>
        <v>·</v>
      </c>
      <c r="AD29" s="18" t="str">
        <f t="shared" si="8"/>
        <v>·</v>
      </c>
      <c r="AE29" s="19"/>
      <c r="AF29" s="18" t="str">
        <f t="shared" si="9"/>
        <v>·</v>
      </c>
      <c r="AG29" s="20"/>
      <c r="AH29" s="21"/>
      <c r="AI29" s="21"/>
      <c r="AJ29" s="21"/>
      <c r="AK29" s="37"/>
      <c r="AL29" s="38"/>
      <c r="AM29" s="38"/>
      <c r="AN29" s="38"/>
      <c r="AO29" s="39"/>
      <c r="AP29" s="49"/>
      <c r="AQ29" s="49"/>
      <c r="AS29" s="53" t="e">
        <f t="shared" si="10"/>
        <v>#DIV/0!</v>
      </c>
      <c r="AT29" s="53" t="e">
        <f t="array" ref="AT29">AVERAGE(AI29:AI34/AH29:AH34)-AVERAGE(Q29:Q34/P29:P34)</f>
        <v>#DIV/0!</v>
      </c>
      <c r="AV29" s="54" t="str">
        <f>IF(OR(ISBLANK(R29:R34),ISBLANK(AJ29:AJ34),ISBLANK(T29:T34),ISBLANK(AL29:AL34)),"·",bdRateExtend(R29:R34,T29:T34,AJ29:AJ34,AL29:AL34))</f>
        <v>·</v>
      </c>
      <c r="AW29" s="54" t="str">
        <f>IF(OR(ISBLANK(R29:R34),ISBLANK(AJ29:AJ34),ISBLANK(U29:U34),ISBLANK(AM29:AM34)),"·",bdRateExtend(R29:R34,U29:U34,AJ29:AJ34,AM29:AM34))</f>
        <v>·</v>
      </c>
      <c r="AX29" s="54" t="str">
        <f>IF(OR(ISBLANK(R29:R34),ISBLANK(AJ29:AJ34),ISBLANK(V29:V34),ISBLANK(AN29:AN34)),"·",bdRateExtend(R29:R34,V29:V34,AJ29:AJ34,AN29:AN34))</f>
        <v>·</v>
      </c>
      <c r="AY29" s="61"/>
      <c r="BA29" s="54" t="str">
        <f>IF(OR(ISBLANK(P29:P34),ISBLANK(AH29:AH34),ISBLANK(T29:T34),ISBLANK(AL29:AL34)),"·",bdRateExtend(P29:P34,T29:T34,AH29:AH34,AL29:AL34))</f>
        <v>·</v>
      </c>
      <c r="BB29" s="54" t="str">
        <f>IF(OR(ISBLANK(P29:P34),ISBLANK(AH29:AH34),ISBLANK(U29:U34),ISBLANK(AM29:AM34)),"·",bdRateExtend(P29:P34,U29:U34,AH29:AH34,AM29:AM34))</f>
        <v>·</v>
      </c>
      <c r="BC29" s="54" t="str">
        <f>IF(OR(ISBLANK(P29:P34),ISBLANK(AH29:AH34),ISBLANK(V29:V34),ISBLANK(AN29:AN34)),"·",bdRateExtend(P29:P34,V29:V34,AH29:AH34,AN29:AN34))</f>
        <v>·</v>
      </c>
      <c r="BD29" s="61"/>
      <c r="BF29">
        <f t="shared" si="12"/>
        <v>0</v>
      </c>
      <c r="BG29">
        <f t="shared" si="13"/>
        <v>0</v>
      </c>
      <c r="BH29">
        <f t="shared" si="14"/>
        <v>0</v>
      </c>
      <c r="BI29">
        <f t="shared" si="15"/>
        <v>0</v>
      </c>
      <c r="BJ29">
        <f t="shared" si="16"/>
        <v>0</v>
      </c>
      <c r="BK29">
        <f t="shared" si="17"/>
        <v>0</v>
      </c>
      <c r="BL29">
        <f t="shared" si="18"/>
        <v>0</v>
      </c>
      <c r="BM29">
        <f t="shared" si="19"/>
        <v>0</v>
      </c>
      <c r="BN29">
        <f t="shared" si="20"/>
        <v>0</v>
      </c>
    </row>
    <row r="30" spans="1:66" outlineLevel="1" x14ac:dyDescent="0.15">
      <c r="A30" s="8"/>
      <c r="B30" s="8" t="s">
        <v>70</v>
      </c>
      <c r="C30" s="9" t="s">
        <v>255</v>
      </c>
      <c r="D30" s="8">
        <v>1596085</v>
      </c>
      <c r="E30" s="10">
        <v>12</v>
      </c>
      <c r="F30" s="9">
        <v>1</v>
      </c>
      <c r="G30" s="9"/>
      <c r="I30" s="22" t="str">
        <f t="shared" si="0"/>
        <v>·</v>
      </c>
      <c r="J30" s="23" t="str">
        <f t="shared" si="1"/>
        <v>·</v>
      </c>
      <c r="K30" s="23" t="str">
        <f t="shared" si="2"/>
        <v>·</v>
      </c>
      <c r="L30" s="23" t="str">
        <f t="shared" si="3"/>
        <v>·</v>
      </c>
      <c r="M30" s="24"/>
      <c r="N30" s="23" t="str">
        <f t="shared" si="4"/>
        <v>·</v>
      </c>
      <c r="O30" s="25"/>
      <c r="P30" s="26"/>
      <c r="Q30" s="26"/>
      <c r="R30" s="26"/>
      <c r="S30" s="40"/>
      <c r="T30" s="41"/>
      <c r="U30" s="41"/>
      <c r="V30" s="41"/>
      <c r="W30" s="42"/>
      <c r="X30" s="50"/>
      <c r="Y30" s="50"/>
      <c r="AA30" s="22" t="str">
        <f t="shared" si="5"/>
        <v>·</v>
      </c>
      <c r="AB30" s="23" t="str">
        <f t="shared" si="6"/>
        <v>·</v>
      </c>
      <c r="AC30" s="23" t="str">
        <f t="shared" si="7"/>
        <v>·</v>
      </c>
      <c r="AD30" s="23" t="str">
        <f t="shared" si="8"/>
        <v>·</v>
      </c>
      <c r="AE30" s="24"/>
      <c r="AF30" s="23" t="str">
        <f t="shared" si="9"/>
        <v>·</v>
      </c>
      <c r="AG30" s="25"/>
      <c r="AH30" s="26"/>
      <c r="AI30" s="26"/>
      <c r="AJ30" s="26"/>
      <c r="AK30" s="40"/>
      <c r="AL30" s="41"/>
      <c r="AM30" s="41"/>
      <c r="AN30" s="41"/>
      <c r="AO30" s="42"/>
      <c r="AP30" s="50"/>
      <c r="AQ30" s="50"/>
      <c r="AS30" s="55" t="e">
        <f t="shared" si="10"/>
        <v>#DIV/0!</v>
      </c>
      <c r="AT30" s="55"/>
      <c r="AV30" s="56"/>
      <c r="AW30" s="56"/>
      <c r="AX30" s="56"/>
      <c r="AY30" s="62"/>
      <c r="BA30" s="56"/>
      <c r="BB30" s="56"/>
      <c r="BC30" s="56"/>
      <c r="BD30" s="62"/>
      <c r="BF30">
        <f t="shared" si="12"/>
        <v>0</v>
      </c>
      <c r="BG30">
        <f t="shared" si="13"/>
        <v>0</v>
      </c>
      <c r="BH30">
        <f t="shared" si="14"/>
        <v>0</v>
      </c>
      <c r="BI30">
        <f t="shared" si="15"/>
        <v>0</v>
      </c>
      <c r="BJ30">
        <f t="shared" si="16"/>
        <v>0</v>
      </c>
      <c r="BK30">
        <f t="shared" si="17"/>
        <v>0</v>
      </c>
      <c r="BL30">
        <f t="shared" si="18"/>
        <v>0</v>
      </c>
      <c r="BM30">
        <f t="shared" si="19"/>
        <v>0</v>
      </c>
      <c r="BN30">
        <f t="shared" si="20"/>
        <v>0</v>
      </c>
    </row>
    <row r="31" spans="1:66" outlineLevel="1" x14ac:dyDescent="0.15">
      <c r="A31" s="5"/>
      <c r="B31" s="5" t="s">
        <v>70</v>
      </c>
      <c r="C31" s="6" t="s">
        <v>256</v>
      </c>
      <c r="D31" s="5">
        <v>1596085</v>
      </c>
      <c r="E31" s="7">
        <v>12</v>
      </c>
      <c r="F31" s="6">
        <v>1</v>
      </c>
      <c r="G31" s="6"/>
      <c r="I31" s="17" t="str">
        <f t="shared" si="0"/>
        <v>·</v>
      </c>
      <c r="J31" s="18" t="str">
        <f t="shared" si="1"/>
        <v>·</v>
      </c>
      <c r="K31" s="18" t="str">
        <f t="shared" si="2"/>
        <v>·</v>
      </c>
      <c r="L31" s="18" t="str">
        <f t="shared" si="3"/>
        <v>·</v>
      </c>
      <c r="M31" s="19"/>
      <c r="N31" s="18" t="str">
        <f t="shared" si="4"/>
        <v>·</v>
      </c>
      <c r="O31" s="20"/>
      <c r="P31" s="21"/>
      <c r="Q31" s="21"/>
      <c r="R31" s="21"/>
      <c r="S31" s="37"/>
      <c r="T31" s="38"/>
      <c r="U31" s="38"/>
      <c r="V31" s="38"/>
      <c r="W31" s="39"/>
      <c r="X31" s="49"/>
      <c r="Y31" s="49"/>
      <c r="AA31" s="17" t="str">
        <f t="shared" si="5"/>
        <v>·</v>
      </c>
      <c r="AB31" s="18" t="str">
        <f t="shared" si="6"/>
        <v>·</v>
      </c>
      <c r="AC31" s="18" t="str">
        <f t="shared" si="7"/>
        <v>·</v>
      </c>
      <c r="AD31" s="18" t="str">
        <f t="shared" si="8"/>
        <v>·</v>
      </c>
      <c r="AE31" s="19"/>
      <c r="AF31" s="18" t="str">
        <f t="shared" si="9"/>
        <v>·</v>
      </c>
      <c r="AG31" s="20"/>
      <c r="AH31" s="21"/>
      <c r="AI31" s="21"/>
      <c r="AJ31" s="21"/>
      <c r="AK31" s="37"/>
      <c r="AL31" s="38"/>
      <c r="AM31" s="38"/>
      <c r="AN31" s="38"/>
      <c r="AO31" s="39"/>
      <c r="AP31" s="49"/>
      <c r="AQ31" s="49"/>
      <c r="AS31" s="53" t="e">
        <f t="shared" si="10"/>
        <v>#DIV/0!</v>
      </c>
      <c r="AT31" s="53"/>
      <c r="AV31" s="54"/>
      <c r="AW31" s="54"/>
      <c r="AX31" s="54"/>
      <c r="AY31" s="61"/>
      <c r="BA31" s="54"/>
      <c r="BB31" s="54"/>
      <c r="BC31" s="54"/>
      <c r="BD31" s="61"/>
      <c r="BF31">
        <f t="shared" si="12"/>
        <v>0</v>
      </c>
      <c r="BG31">
        <f t="shared" si="13"/>
        <v>0</v>
      </c>
      <c r="BH31">
        <f t="shared" si="14"/>
        <v>0</v>
      </c>
      <c r="BI31">
        <f t="shared" si="15"/>
        <v>0</v>
      </c>
      <c r="BJ31">
        <f t="shared" si="16"/>
        <v>0</v>
      </c>
      <c r="BK31">
        <f t="shared" si="17"/>
        <v>0</v>
      </c>
      <c r="BL31">
        <f t="shared" si="18"/>
        <v>0</v>
      </c>
      <c r="BM31">
        <f t="shared" si="19"/>
        <v>0</v>
      </c>
      <c r="BN31">
        <f t="shared" si="20"/>
        <v>0</v>
      </c>
    </row>
    <row r="32" spans="1:66" outlineLevel="1" x14ac:dyDescent="0.15">
      <c r="A32" s="8"/>
      <c r="B32" s="8" t="s">
        <v>70</v>
      </c>
      <c r="C32" s="9" t="s">
        <v>257</v>
      </c>
      <c r="D32" s="8">
        <v>1596085</v>
      </c>
      <c r="E32" s="10">
        <v>12</v>
      </c>
      <c r="F32" s="9">
        <v>1</v>
      </c>
      <c r="G32" s="9"/>
      <c r="I32" s="22" t="str">
        <f t="shared" si="0"/>
        <v>·</v>
      </c>
      <c r="J32" s="23" t="str">
        <f t="shared" si="1"/>
        <v>·</v>
      </c>
      <c r="K32" s="23" t="str">
        <f t="shared" si="2"/>
        <v>·</v>
      </c>
      <c r="L32" s="23" t="str">
        <f t="shared" si="3"/>
        <v>·</v>
      </c>
      <c r="M32" s="24"/>
      <c r="N32" s="23" t="str">
        <f t="shared" si="4"/>
        <v>·</v>
      </c>
      <c r="O32" s="25"/>
      <c r="P32" s="26"/>
      <c r="Q32" s="26"/>
      <c r="R32" s="26"/>
      <c r="S32" s="40"/>
      <c r="T32" s="41"/>
      <c r="U32" s="41"/>
      <c r="V32" s="41"/>
      <c r="W32" s="42"/>
      <c r="X32" s="50"/>
      <c r="Y32" s="50"/>
      <c r="AA32" s="22" t="str">
        <f t="shared" si="5"/>
        <v>·</v>
      </c>
      <c r="AB32" s="23" t="str">
        <f t="shared" si="6"/>
        <v>·</v>
      </c>
      <c r="AC32" s="23" t="str">
        <f t="shared" si="7"/>
        <v>·</v>
      </c>
      <c r="AD32" s="23" t="str">
        <f t="shared" si="8"/>
        <v>·</v>
      </c>
      <c r="AE32" s="24"/>
      <c r="AF32" s="23" t="str">
        <f t="shared" si="9"/>
        <v>·</v>
      </c>
      <c r="AG32" s="25"/>
      <c r="AH32" s="26"/>
      <c r="AI32" s="26"/>
      <c r="AJ32" s="26"/>
      <c r="AK32" s="40"/>
      <c r="AL32" s="41"/>
      <c r="AM32" s="41"/>
      <c r="AN32" s="41"/>
      <c r="AO32" s="42"/>
      <c r="AP32" s="50"/>
      <c r="AQ32" s="50"/>
      <c r="AS32" s="55" t="e">
        <f t="shared" si="10"/>
        <v>#DIV/0!</v>
      </c>
      <c r="AT32" s="55"/>
      <c r="AV32" s="56"/>
      <c r="AW32" s="56"/>
      <c r="AX32" s="56"/>
      <c r="AY32" s="62"/>
      <c r="BA32" s="56"/>
      <c r="BB32" s="56"/>
      <c r="BC32" s="56"/>
      <c r="BD32" s="62"/>
      <c r="BF32">
        <f t="shared" si="12"/>
        <v>0</v>
      </c>
      <c r="BG32">
        <f t="shared" si="13"/>
        <v>0</v>
      </c>
      <c r="BH32">
        <f t="shared" si="14"/>
        <v>0</v>
      </c>
      <c r="BI32">
        <f t="shared" si="15"/>
        <v>0</v>
      </c>
      <c r="BJ32">
        <f t="shared" si="16"/>
        <v>0</v>
      </c>
      <c r="BK32">
        <f t="shared" si="17"/>
        <v>0</v>
      </c>
      <c r="BL32">
        <f t="shared" si="18"/>
        <v>0</v>
      </c>
      <c r="BM32">
        <f t="shared" si="19"/>
        <v>0</v>
      </c>
      <c r="BN32">
        <f t="shared" si="20"/>
        <v>0</v>
      </c>
    </row>
    <row r="33" spans="1:66" outlineLevel="1" x14ac:dyDescent="0.15">
      <c r="A33" s="5"/>
      <c r="B33" s="5" t="s">
        <v>70</v>
      </c>
      <c r="C33" s="6" t="s">
        <v>258</v>
      </c>
      <c r="D33" s="5">
        <v>1596085</v>
      </c>
      <c r="E33" s="7">
        <v>12</v>
      </c>
      <c r="F33" s="6">
        <v>1</v>
      </c>
      <c r="G33" s="6"/>
      <c r="I33" s="17" t="str">
        <f t="shared" si="0"/>
        <v>·</v>
      </c>
      <c r="J33" s="18" t="str">
        <f t="shared" si="1"/>
        <v>·</v>
      </c>
      <c r="K33" s="18" t="str">
        <f t="shared" si="2"/>
        <v>·</v>
      </c>
      <c r="L33" s="18" t="str">
        <f t="shared" si="3"/>
        <v>·</v>
      </c>
      <c r="M33" s="19"/>
      <c r="N33" s="18" t="str">
        <f t="shared" si="4"/>
        <v>·</v>
      </c>
      <c r="O33" s="20"/>
      <c r="P33" s="21"/>
      <c r="Q33" s="21"/>
      <c r="R33" s="21"/>
      <c r="S33" s="37"/>
      <c r="T33" s="38"/>
      <c r="U33" s="38"/>
      <c r="V33" s="38"/>
      <c r="W33" s="39"/>
      <c r="X33" s="49"/>
      <c r="Y33" s="49"/>
      <c r="AA33" s="17" t="str">
        <f t="shared" si="5"/>
        <v>·</v>
      </c>
      <c r="AB33" s="18" t="str">
        <f t="shared" si="6"/>
        <v>·</v>
      </c>
      <c r="AC33" s="18" t="str">
        <f t="shared" si="7"/>
        <v>·</v>
      </c>
      <c r="AD33" s="18" t="str">
        <f t="shared" si="8"/>
        <v>·</v>
      </c>
      <c r="AE33" s="19"/>
      <c r="AF33" s="18" t="str">
        <f t="shared" si="9"/>
        <v>·</v>
      </c>
      <c r="AG33" s="20"/>
      <c r="AH33" s="21"/>
      <c r="AI33" s="21"/>
      <c r="AJ33" s="21"/>
      <c r="AK33" s="37"/>
      <c r="AL33" s="38"/>
      <c r="AM33" s="38"/>
      <c r="AN33" s="38"/>
      <c r="AO33" s="39"/>
      <c r="AP33" s="49"/>
      <c r="AQ33" s="49"/>
      <c r="AS33" s="53" t="e">
        <f t="shared" si="10"/>
        <v>#DIV/0!</v>
      </c>
      <c r="AT33" s="53"/>
      <c r="AV33" s="54"/>
      <c r="AW33" s="54"/>
      <c r="AX33" s="54"/>
      <c r="AY33" s="61"/>
      <c r="BA33" s="54"/>
      <c r="BB33" s="54"/>
      <c r="BC33" s="54"/>
      <c r="BD33" s="61"/>
      <c r="BF33">
        <f t="shared" si="12"/>
        <v>0</v>
      </c>
      <c r="BG33">
        <f t="shared" si="13"/>
        <v>0</v>
      </c>
      <c r="BH33">
        <f t="shared" si="14"/>
        <v>0</v>
      </c>
      <c r="BI33">
        <f t="shared" si="15"/>
        <v>0</v>
      </c>
      <c r="BJ33">
        <f t="shared" si="16"/>
        <v>0</v>
      </c>
      <c r="BK33">
        <f t="shared" si="17"/>
        <v>0</v>
      </c>
      <c r="BL33">
        <f t="shared" si="18"/>
        <v>0</v>
      </c>
      <c r="BM33">
        <f t="shared" si="19"/>
        <v>0</v>
      </c>
      <c r="BN33">
        <f t="shared" si="20"/>
        <v>0</v>
      </c>
    </row>
    <row r="34" spans="1:66" outlineLevel="1" x14ac:dyDescent="0.15">
      <c r="A34" s="8"/>
      <c r="B34" s="14" t="s">
        <v>70</v>
      </c>
      <c r="C34" s="15" t="s">
        <v>259</v>
      </c>
      <c r="D34" s="14">
        <v>1596085</v>
      </c>
      <c r="E34" s="16">
        <v>12</v>
      </c>
      <c r="F34" s="15">
        <v>1</v>
      </c>
      <c r="G34" s="15"/>
      <c r="I34" s="32" t="str">
        <f t="shared" si="0"/>
        <v>·</v>
      </c>
      <c r="J34" s="33" t="str">
        <f t="shared" si="1"/>
        <v>·</v>
      </c>
      <c r="K34" s="33" t="str">
        <f t="shared" si="2"/>
        <v>·</v>
      </c>
      <c r="L34" s="33" t="str">
        <f t="shared" si="3"/>
        <v>·</v>
      </c>
      <c r="M34" s="34"/>
      <c r="N34" s="33" t="str">
        <f t="shared" si="4"/>
        <v>·</v>
      </c>
      <c r="O34" s="35"/>
      <c r="P34" s="36"/>
      <c r="Q34" s="36"/>
      <c r="R34" s="36"/>
      <c r="S34" s="46"/>
      <c r="T34" s="47"/>
      <c r="U34" s="47"/>
      <c r="V34" s="47"/>
      <c r="W34" s="48"/>
      <c r="X34" s="52"/>
      <c r="Y34" s="52"/>
      <c r="AA34" s="32" t="str">
        <f t="shared" si="5"/>
        <v>·</v>
      </c>
      <c r="AB34" s="33" t="str">
        <f t="shared" si="6"/>
        <v>·</v>
      </c>
      <c r="AC34" s="33" t="str">
        <f t="shared" si="7"/>
        <v>·</v>
      </c>
      <c r="AD34" s="33" t="str">
        <f t="shared" si="8"/>
        <v>·</v>
      </c>
      <c r="AE34" s="34"/>
      <c r="AF34" s="33" t="str">
        <f t="shared" si="9"/>
        <v>·</v>
      </c>
      <c r="AG34" s="35"/>
      <c r="AH34" s="36"/>
      <c r="AI34" s="36"/>
      <c r="AJ34" s="36"/>
      <c r="AK34" s="46"/>
      <c r="AL34" s="47"/>
      <c r="AM34" s="47"/>
      <c r="AN34" s="47"/>
      <c r="AO34" s="48"/>
      <c r="AP34" s="52"/>
      <c r="AQ34" s="52"/>
      <c r="AS34" s="59" t="e">
        <f t="shared" si="10"/>
        <v>#DIV/0!</v>
      </c>
      <c r="AT34" s="59"/>
      <c r="AV34" s="60"/>
      <c r="AW34" s="60"/>
      <c r="AX34" s="60"/>
      <c r="AY34" s="64"/>
      <c r="BA34" s="60"/>
      <c r="BB34" s="60"/>
      <c r="BC34" s="60"/>
      <c r="BD34" s="64"/>
      <c r="BF34">
        <f t="shared" si="12"/>
        <v>0</v>
      </c>
      <c r="BG34">
        <f t="shared" si="13"/>
        <v>0</v>
      </c>
      <c r="BH34">
        <f t="shared" si="14"/>
        <v>0</v>
      </c>
      <c r="BI34">
        <f t="shared" si="15"/>
        <v>0</v>
      </c>
      <c r="BJ34">
        <f t="shared" si="16"/>
        <v>0</v>
      </c>
      <c r="BK34">
        <f t="shared" si="17"/>
        <v>0</v>
      </c>
      <c r="BL34">
        <f t="shared" si="18"/>
        <v>0</v>
      </c>
      <c r="BM34">
        <f t="shared" si="19"/>
        <v>0</v>
      </c>
      <c r="BN34">
        <f t="shared" si="20"/>
        <v>0</v>
      </c>
    </row>
    <row r="35" spans="1:66" x14ac:dyDescent="0.15">
      <c r="A35" s="5"/>
      <c r="B35" s="5" t="s">
        <v>74</v>
      </c>
      <c r="C35" s="6" t="s">
        <v>254</v>
      </c>
      <c r="D35" s="5">
        <v>8907880</v>
      </c>
      <c r="E35" s="7">
        <v>14</v>
      </c>
      <c r="F35" s="6">
        <v>1</v>
      </c>
      <c r="G35" s="6"/>
      <c r="I35" s="17" t="str">
        <f t="shared" si="0"/>
        <v>·</v>
      </c>
      <c r="J35" s="18" t="str">
        <f t="shared" si="1"/>
        <v>·</v>
      </c>
      <c r="K35" s="18" t="str">
        <f t="shared" si="2"/>
        <v>·</v>
      </c>
      <c r="L35" s="18" t="str">
        <f t="shared" si="3"/>
        <v>·</v>
      </c>
      <c r="M35" s="19"/>
      <c r="N35" s="18" t="str">
        <f t="shared" si="4"/>
        <v>·</v>
      </c>
      <c r="O35" s="20"/>
      <c r="P35" s="21"/>
      <c r="Q35" s="21"/>
      <c r="R35" s="21"/>
      <c r="S35" s="37"/>
      <c r="T35" s="38"/>
      <c r="U35" s="38"/>
      <c r="V35" s="38"/>
      <c r="W35" s="39"/>
      <c r="X35" s="49"/>
      <c r="Y35" s="49"/>
      <c r="AA35" s="17" t="str">
        <f t="shared" si="5"/>
        <v>·</v>
      </c>
      <c r="AB35" s="18" t="str">
        <f t="shared" si="6"/>
        <v>·</v>
      </c>
      <c r="AC35" s="18" t="str">
        <f t="shared" si="7"/>
        <v>·</v>
      </c>
      <c r="AD35" s="18" t="str">
        <f t="shared" si="8"/>
        <v>·</v>
      </c>
      <c r="AE35" s="19"/>
      <c r="AF35" s="18" t="str">
        <f t="shared" si="9"/>
        <v>·</v>
      </c>
      <c r="AG35" s="20"/>
      <c r="AH35" s="21"/>
      <c r="AI35" s="21"/>
      <c r="AJ35" s="21"/>
      <c r="AK35" s="37"/>
      <c r="AL35" s="38"/>
      <c r="AM35" s="38"/>
      <c r="AN35" s="38"/>
      <c r="AO35" s="39"/>
      <c r="AP35" s="49"/>
      <c r="AQ35" s="49"/>
      <c r="AS35" s="53" t="e">
        <f t="shared" si="10"/>
        <v>#DIV/0!</v>
      </c>
      <c r="AT35" s="53" t="e">
        <f t="array" ref="AT35">AVERAGE(AI35:AI40/AH35:AH40)-AVERAGE(Q35:Q40/P35:P40)</f>
        <v>#DIV/0!</v>
      </c>
      <c r="AV35" s="54" t="str">
        <f>IF(OR(ISBLANK(R35:R40),ISBLANK(AJ35:AJ40),ISBLANK(T35:T40),ISBLANK(AL35:AL40)),"·",bdRateExtend(R35:R40,T35:T40,AJ35:AJ40,AL35:AL40))</f>
        <v>·</v>
      </c>
      <c r="AW35" s="54" t="str">
        <f>IF(OR(ISBLANK(R35:R40),ISBLANK(AJ35:AJ40),ISBLANK(U35:U40),ISBLANK(AM35:AM40)),"·",bdRateExtend(R35:R40,U35:U40,AJ35:AJ40,AM35:AM40))</f>
        <v>·</v>
      </c>
      <c r="AX35" s="54" t="str">
        <f>IF(OR(ISBLANK(R35:R40),ISBLANK(AJ35:AJ40),ISBLANK(V35:V40),ISBLANK(AN35:AN40)),"·",bdRateExtend(R35:R40,V35:V40,AJ35:AJ40,AN35:AN40))</f>
        <v>·</v>
      </c>
      <c r="AY35" s="61"/>
      <c r="BA35" s="54" t="str">
        <f>IF(OR(ISBLANK(P35:P40),ISBLANK(AH35:AH40),ISBLANK(T35:T40),ISBLANK(AL35:AL40)),"·",bdRateExtend(P35:P40,T35:T40,AH35:AH40,AL35:AL40))</f>
        <v>·</v>
      </c>
      <c r="BB35" s="54" t="str">
        <f>IF(OR(ISBLANK(P35:P40),ISBLANK(AH35:AH40),ISBLANK(U35:U40),ISBLANK(AM35:AM40)),"·",bdRateExtend(P35:P40,U35:U40,AH35:AH40,AM35:AM40))</f>
        <v>·</v>
      </c>
      <c r="BC35" s="54" t="str">
        <f>IF(OR(ISBLANK(P35:P40),ISBLANK(AH35:AH40),ISBLANK(V35:V40),ISBLANK(AN35:AN40)),"·",bdRateExtend(P35:P40,V35:V40,AH35:AH40,AN35:AN40))</f>
        <v>·</v>
      </c>
      <c r="BD35" s="61"/>
      <c r="BF35">
        <f t="shared" si="12"/>
        <v>0</v>
      </c>
      <c r="BG35">
        <f t="shared" si="13"/>
        <v>0</v>
      </c>
      <c r="BH35">
        <f t="shared" si="14"/>
        <v>0</v>
      </c>
      <c r="BI35">
        <f t="shared" si="15"/>
        <v>0</v>
      </c>
      <c r="BJ35">
        <f t="shared" si="16"/>
        <v>0</v>
      </c>
      <c r="BK35">
        <f t="shared" si="17"/>
        <v>0</v>
      </c>
      <c r="BL35">
        <f t="shared" si="18"/>
        <v>0</v>
      </c>
      <c r="BM35">
        <f t="shared" si="19"/>
        <v>0</v>
      </c>
      <c r="BN35">
        <f t="shared" si="20"/>
        <v>0</v>
      </c>
    </row>
    <row r="36" spans="1:66" outlineLevel="1" x14ac:dyDescent="0.15">
      <c r="A36" s="8"/>
      <c r="B36" s="8" t="s">
        <v>74</v>
      </c>
      <c r="C36" s="9" t="s">
        <v>255</v>
      </c>
      <c r="D36" s="8">
        <v>8907880</v>
      </c>
      <c r="E36" s="10">
        <v>14</v>
      </c>
      <c r="F36" s="9">
        <v>1</v>
      </c>
      <c r="G36" s="9"/>
      <c r="I36" s="22" t="str">
        <f t="shared" si="0"/>
        <v>·</v>
      </c>
      <c r="J36" s="23" t="str">
        <f t="shared" si="1"/>
        <v>·</v>
      </c>
      <c r="K36" s="23" t="str">
        <f t="shared" si="2"/>
        <v>·</v>
      </c>
      <c r="L36" s="23" t="str">
        <f t="shared" si="3"/>
        <v>·</v>
      </c>
      <c r="M36" s="24"/>
      <c r="N36" s="23" t="str">
        <f t="shared" si="4"/>
        <v>·</v>
      </c>
      <c r="O36" s="25"/>
      <c r="P36" s="26"/>
      <c r="Q36" s="26"/>
      <c r="R36" s="26"/>
      <c r="S36" s="40"/>
      <c r="T36" s="41"/>
      <c r="U36" s="41"/>
      <c r="V36" s="41"/>
      <c r="W36" s="42"/>
      <c r="X36" s="50"/>
      <c r="Y36" s="50"/>
      <c r="AA36" s="22" t="str">
        <f t="shared" si="5"/>
        <v>·</v>
      </c>
      <c r="AB36" s="23" t="str">
        <f t="shared" si="6"/>
        <v>·</v>
      </c>
      <c r="AC36" s="23" t="str">
        <f t="shared" si="7"/>
        <v>·</v>
      </c>
      <c r="AD36" s="23" t="str">
        <f t="shared" si="8"/>
        <v>·</v>
      </c>
      <c r="AE36" s="24"/>
      <c r="AF36" s="23" t="str">
        <f t="shared" si="9"/>
        <v>·</v>
      </c>
      <c r="AG36" s="25"/>
      <c r="AH36" s="26"/>
      <c r="AI36" s="26"/>
      <c r="AJ36" s="26"/>
      <c r="AK36" s="40"/>
      <c r="AL36" s="41"/>
      <c r="AM36" s="41"/>
      <c r="AN36" s="41"/>
      <c r="AO36" s="42"/>
      <c r="AP36" s="50"/>
      <c r="AQ36" s="50"/>
      <c r="AS36" s="55" t="e">
        <f t="shared" si="10"/>
        <v>#DIV/0!</v>
      </c>
      <c r="AT36" s="55"/>
      <c r="AV36" s="56"/>
      <c r="AW36" s="56"/>
      <c r="AX36" s="56"/>
      <c r="AY36" s="62"/>
      <c r="BA36" s="56"/>
      <c r="BB36" s="56"/>
      <c r="BC36" s="56"/>
      <c r="BD36" s="62"/>
      <c r="BF36">
        <f t="shared" si="12"/>
        <v>0</v>
      </c>
      <c r="BG36">
        <f t="shared" si="13"/>
        <v>0</v>
      </c>
      <c r="BH36">
        <f t="shared" si="14"/>
        <v>0</v>
      </c>
      <c r="BI36">
        <f t="shared" si="15"/>
        <v>0</v>
      </c>
      <c r="BJ36">
        <f t="shared" si="16"/>
        <v>0</v>
      </c>
      <c r="BK36">
        <f t="shared" si="17"/>
        <v>0</v>
      </c>
      <c r="BL36">
        <f t="shared" si="18"/>
        <v>0</v>
      </c>
      <c r="BM36">
        <f t="shared" si="19"/>
        <v>0</v>
      </c>
      <c r="BN36">
        <f t="shared" si="20"/>
        <v>0</v>
      </c>
    </row>
    <row r="37" spans="1:66" outlineLevel="1" x14ac:dyDescent="0.15">
      <c r="A37" s="5"/>
      <c r="B37" s="5" t="s">
        <v>74</v>
      </c>
      <c r="C37" s="6" t="s">
        <v>256</v>
      </c>
      <c r="D37" s="5">
        <v>8907880</v>
      </c>
      <c r="E37" s="7">
        <v>14</v>
      </c>
      <c r="F37" s="6">
        <v>1</v>
      </c>
      <c r="G37" s="6"/>
      <c r="I37" s="17" t="str">
        <f t="shared" si="0"/>
        <v>·</v>
      </c>
      <c r="J37" s="18" t="str">
        <f t="shared" si="1"/>
        <v>·</v>
      </c>
      <c r="K37" s="18" t="str">
        <f t="shared" si="2"/>
        <v>·</v>
      </c>
      <c r="L37" s="18" t="str">
        <f t="shared" si="3"/>
        <v>·</v>
      </c>
      <c r="M37" s="19"/>
      <c r="N37" s="18" t="str">
        <f t="shared" si="4"/>
        <v>·</v>
      </c>
      <c r="O37" s="20"/>
      <c r="P37" s="21"/>
      <c r="Q37" s="21"/>
      <c r="R37" s="21"/>
      <c r="S37" s="37"/>
      <c r="T37" s="38"/>
      <c r="U37" s="38"/>
      <c r="V37" s="38"/>
      <c r="W37" s="39"/>
      <c r="X37" s="49"/>
      <c r="Y37" s="49"/>
      <c r="AA37" s="17" t="str">
        <f t="shared" si="5"/>
        <v>·</v>
      </c>
      <c r="AB37" s="18" t="str">
        <f t="shared" si="6"/>
        <v>·</v>
      </c>
      <c r="AC37" s="18" t="str">
        <f t="shared" si="7"/>
        <v>·</v>
      </c>
      <c r="AD37" s="18" t="str">
        <f t="shared" si="8"/>
        <v>·</v>
      </c>
      <c r="AE37" s="19"/>
      <c r="AF37" s="18" t="str">
        <f t="shared" si="9"/>
        <v>·</v>
      </c>
      <c r="AG37" s="20"/>
      <c r="AH37" s="21"/>
      <c r="AI37" s="21"/>
      <c r="AJ37" s="21"/>
      <c r="AK37" s="37"/>
      <c r="AL37" s="38"/>
      <c r="AM37" s="38"/>
      <c r="AN37" s="38"/>
      <c r="AO37" s="39"/>
      <c r="AP37" s="49"/>
      <c r="AQ37" s="49"/>
      <c r="AS37" s="53" t="e">
        <f t="shared" si="10"/>
        <v>#DIV/0!</v>
      </c>
      <c r="AT37" s="53"/>
      <c r="AV37" s="54"/>
      <c r="AW37" s="54"/>
      <c r="AX37" s="54"/>
      <c r="AY37" s="61"/>
      <c r="BA37" s="54"/>
      <c r="BB37" s="54"/>
      <c r="BC37" s="54"/>
      <c r="BD37" s="61"/>
      <c r="BF37">
        <f t="shared" si="12"/>
        <v>0</v>
      </c>
      <c r="BG37">
        <f t="shared" si="13"/>
        <v>0</v>
      </c>
      <c r="BH37">
        <f t="shared" si="14"/>
        <v>0</v>
      </c>
      <c r="BI37">
        <f t="shared" si="15"/>
        <v>0</v>
      </c>
      <c r="BJ37">
        <f t="shared" si="16"/>
        <v>0</v>
      </c>
      <c r="BK37">
        <f t="shared" si="17"/>
        <v>0</v>
      </c>
      <c r="BL37">
        <f t="shared" si="18"/>
        <v>0</v>
      </c>
      <c r="BM37">
        <f t="shared" si="19"/>
        <v>0</v>
      </c>
      <c r="BN37">
        <f t="shared" si="20"/>
        <v>0</v>
      </c>
    </row>
    <row r="38" spans="1:66" outlineLevel="1" x14ac:dyDescent="0.15">
      <c r="A38" s="8"/>
      <c r="B38" s="8" t="s">
        <v>74</v>
      </c>
      <c r="C38" s="9" t="s">
        <v>257</v>
      </c>
      <c r="D38" s="8">
        <v>8907880</v>
      </c>
      <c r="E38" s="10">
        <v>14</v>
      </c>
      <c r="F38" s="9">
        <v>1</v>
      </c>
      <c r="G38" s="9"/>
      <c r="I38" s="22" t="str">
        <f t="shared" si="0"/>
        <v>·</v>
      </c>
      <c r="J38" s="23" t="str">
        <f t="shared" si="1"/>
        <v>·</v>
      </c>
      <c r="K38" s="23" t="str">
        <f t="shared" si="2"/>
        <v>·</v>
      </c>
      <c r="L38" s="23" t="str">
        <f t="shared" si="3"/>
        <v>·</v>
      </c>
      <c r="M38" s="24"/>
      <c r="N38" s="23" t="str">
        <f t="shared" si="4"/>
        <v>·</v>
      </c>
      <c r="O38" s="25"/>
      <c r="P38" s="26"/>
      <c r="Q38" s="26"/>
      <c r="R38" s="26"/>
      <c r="S38" s="40"/>
      <c r="T38" s="41"/>
      <c r="U38" s="41"/>
      <c r="V38" s="41"/>
      <c r="W38" s="42"/>
      <c r="X38" s="50"/>
      <c r="Y38" s="50"/>
      <c r="AA38" s="22" t="str">
        <f t="shared" si="5"/>
        <v>·</v>
      </c>
      <c r="AB38" s="23" t="str">
        <f t="shared" si="6"/>
        <v>·</v>
      </c>
      <c r="AC38" s="23" t="str">
        <f t="shared" si="7"/>
        <v>·</v>
      </c>
      <c r="AD38" s="23" t="str">
        <f t="shared" si="8"/>
        <v>·</v>
      </c>
      <c r="AE38" s="24"/>
      <c r="AF38" s="23" t="str">
        <f t="shared" si="9"/>
        <v>·</v>
      </c>
      <c r="AG38" s="25"/>
      <c r="AH38" s="26"/>
      <c r="AI38" s="26"/>
      <c r="AJ38" s="26"/>
      <c r="AK38" s="40"/>
      <c r="AL38" s="41"/>
      <c r="AM38" s="41"/>
      <c r="AN38" s="41"/>
      <c r="AO38" s="42"/>
      <c r="AP38" s="50"/>
      <c r="AQ38" s="50"/>
      <c r="AS38" s="55" t="e">
        <f t="shared" si="10"/>
        <v>#DIV/0!</v>
      </c>
      <c r="AT38" s="55"/>
      <c r="AV38" s="56"/>
      <c r="AW38" s="56"/>
      <c r="AX38" s="56"/>
      <c r="AY38" s="62"/>
      <c r="BA38" s="56"/>
      <c r="BB38" s="56"/>
      <c r="BC38" s="56"/>
      <c r="BD38" s="62"/>
      <c r="BF38">
        <f t="shared" si="12"/>
        <v>0</v>
      </c>
      <c r="BG38">
        <f t="shared" si="13"/>
        <v>0</v>
      </c>
      <c r="BH38">
        <f t="shared" si="14"/>
        <v>0</v>
      </c>
      <c r="BI38">
        <f t="shared" si="15"/>
        <v>0</v>
      </c>
      <c r="BJ38">
        <f t="shared" si="16"/>
        <v>0</v>
      </c>
      <c r="BK38">
        <f t="shared" si="17"/>
        <v>0</v>
      </c>
      <c r="BL38">
        <f t="shared" si="18"/>
        <v>0</v>
      </c>
      <c r="BM38">
        <f t="shared" si="19"/>
        <v>0</v>
      </c>
      <c r="BN38">
        <f t="shared" si="20"/>
        <v>0</v>
      </c>
    </row>
    <row r="39" spans="1:66" outlineLevel="1" x14ac:dyDescent="0.15">
      <c r="A39" s="5"/>
      <c r="B39" s="5" t="s">
        <v>74</v>
      </c>
      <c r="C39" s="6" t="s">
        <v>258</v>
      </c>
      <c r="D39" s="5">
        <v>8907880</v>
      </c>
      <c r="E39" s="7">
        <v>14</v>
      </c>
      <c r="F39" s="6">
        <v>1</v>
      </c>
      <c r="G39" s="6"/>
      <c r="I39" s="17" t="str">
        <f t="shared" si="0"/>
        <v>·</v>
      </c>
      <c r="J39" s="18" t="str">
        <f t="shared" si="1"/>
        <v>·</v>
      </c>
      <c r="K39" s="18" t="str">
        <f t="shared" si="2"/>
        <v>·</v>
      </c>
      <c r="L39" s="18" t="str">
        <f t="shared" si="3"/>
        <v>·</v>
      </c>
      <c r="M39" s="19"/>
      <c r="N39" s="18" t="str">
        <f t="shared" si="4"/>
        <v>·</v>
      </c>
      <c r="O39" s="20"/>
      <c r="P39" s="21"/>
      <c r="Q39" s="21"/>
      <c r="R39" s="21"/>
      <c r="S39" s="37"/>
      <c r="T39" s="38"/>
      <c r="U39" s="38"/>
      <c r="V39" s="38"/>
      <c r="W39" s="39"/>
      <c r="X39" s="49"/>
      <c r="Y39" s="49"/>
      <c r="AA39" s="17" t="str">
        <f t="shared" si="5"/>
        <v>·</v>
      </c>
      <c r="AB39" s="18" t="str">
        <f t="shared" si="6"/>
        <v>·</v>
      </c>
      <c r="AC39" s="18" t="str">
        <f t="shared" si="7"/>
        <v>·</v>
      </c>
      <c r="AD39" s="18" t="str">
        <f t="shared" si="8"/>
        <v>·</v>
      </c>
      <c r="AE39" s="19"/>
      <c r="AF39" s="18" t="str">
        <f t="shared" si="9"/>
        <v>·</v>
      </c>
      <c r="AG39" s="20"/>
      <c r="AH39" s="21"/>
      <c r="AI39" s="21"/>
      <c r="AJ39" s="21"/>
      <c r="AK39" s="37"/>
      <c r="AL39" s="38"/>
      <c r="AM39" s="38"/>
      <c r="AN39" s="38"/>
      <c r="AO39" s="39"/>
      <c r="AP39" s="49"/>
      <c r="AQ39" s="49"/>
      <c r="AS39" s="53" t="e">
        <f t="shared" si="10"/>
        <v>#DIV/0!</v>
      </c>
      <c r="AT39" s="53"/>
      <c r="AV39" s="54"/>
      <c r="AW39" s="54"/>
      <c r="AX39" s="54"/>
      <c r="AY39" s="61"/>
      <c r="BA39" s="54"/>
      <c r="BB39" s="54"/>
      <c r="BC39" s="54"/>
      <c r="BD39" s="61"/>
      <c r="BF39">
        <f t="shared" si="12"/>
        <v>0</v>
      </c>
      <c r="BG39">
        <f t="shared" si="13"/>
        <v>0</v>
      </c>
      <c r="BH39">
        <f t="shared" si="14"/>
        <v>0</v>
      </c>
      <c r="BI39">
        <f t="shared" si="15"/>
        <v>0</v>
      </c>
      <c r="BJ39">
        <f t="shared" si="16"/>
        <v>0</v>
      </c>
      <c r="BK39">
        <f t="shared" si="17"/>
        <v>0</v>
      </c>
      <c r="BL39">
        <f t="shared" si="18"/>
        <v>0</v>
      </c>
      <c r="BM39">
        <f t="shared" si="19"/>
        <v>0</v>
      </c>
      <c r="BN39">
        <f t="shared" si="20"/>
        <v>0</v>
      </c>
    </row>
    <row r="40" spans="1:66" outlineLevel="1" x14ac:dyDescent="0.15">
      <c r="A40" s="8"/>
      <c r="B40" s="14" t="s">
        <v>74</v>
      </c>
      <c r="C40" s="15" t="s">
        <v>259</v>
      </c>
      <c r="D40" s="14">
        <v>8907880</v>
      </c>
      <c r="E40" s="16">
        <v>14</v>
      </c>
      <c r="F40" s="15">
        <v>1</v>
      </c>
      <c r="G40" s="15"/>
      <c r="I40" s="32" t="str">
        <f t="shared" si="0"/>
        <v>·</v>
      </c>
      <c r="J40" s="33" t="str">
        <f t="shared" si="1"/>
        <v>·</v>
      </c>
      <c r="K40" s="33" t="str">
        <f t="shared" si="2"/>
        <v>·</v>
      </c>
      <c r="L40" s="33" t="str">
        <f t="shared" si="3"/>
        <v>·</v>
      </c>
      <c r="M40" s="34"/>
      <c r="N40" s="33" t="str">
        <f t="shared" si="4"/>
        <v>·</v>
      </c>
      <c r="O40" s="35"/>
      <c r="P40" s="36"/>
      <c r="Q40" s="36"/>
      <c r="R40" s="36"/>
      <c r="S40" s="46"/>
      <c r="T40" s="47"/>
      <c r="U40" s="47"/>
      <c r="V40" s="47"/>
      <c r="W40" s="48"/>
      <c r="X40" s="52"/>
      <c r="Y40" s="52"/>
      <c r="AA40" s="32" t="str">
        <f t="shared" si="5"/>
        <v>·</v>
      </c>
      <c r="AB40" s="33" t="str">
        <f t="shared" si="6"/>
        <v>·</v>
      </c>
      <c r="AC40" s="33" t="str">
        <f t="shared" si="7"/>
        <v>·</v>
      </c>
      <c r="AD40" s="33" t="str">
        <f t="shared" si="8"/>
        <v>·</v>
      </c>
      <c r="AE40" s="34"/>
      <c r="AF40" s="33" t="str">
        <f t="shared" si="9"/>
        <v>·</v>
      </c>
      <c r="AG40" s="35"/>
      <c r="AH40" s="36"/>
      <c r="AI40" s="36"/>
      <c r="AJ40" s="36"/>
      <c r="AK40" s="46"/>
      <c r="AL40" s="47"/>
      <c r="AM40" s="47"/>
      <c r="AN40" s="47"/>
      <c r="AO40" s="48"/>
      <c r="AP40" s="52"/>
      <c r="AQ40" s="52"/>
      <c r="AS40" s="59" t="e">
        <f t="shared" si="10"/>
        <v>#DIV/0!</v>
      </c>
      <c r="AT40" s="59"/>
      <c r="AV40" s="60"/>
      <c r="AW40" s="60"/>
      <c r="AX40" s="60"/>
      <c r="AY40" s="64"/>
      <c r="BA40" s="60"/>
      <c r="BB40" s="60"/>
      <c r="BC40" s="60"/>
      <c r="BD40" s="64"/>
      <c r="BF40">
        <f t="shared" si="12"/>
        <v>0</v>
      </c>
      <c r="BG40">
        <f t="shared" si="13"/>
        <v>0</v>
      </c>
      <c r="BH40">
        <f t="shared" si="14"/>
        <v>0</v>
      </c>
      <c r="BI40">
        <f t="shared" si="15"/>
        <v>0</v>
      </c>
      <c r="BJ40">
        <f t="shared" si="16"/>
        <v>0</v>
      </c>
      <c r="BK40">
        <f t="shared" si="17"/>
        <v>0</v>
      </c>
      <c r="BL40">
        <f t="shared" si="18"/>
        <v>0</v>
      </c>
      <c r="BM40">
        <f t="shared" si="19"/>
        <v>0</v>
      </c>
      <c r="BN40">
        <f t="shared" si="20"/>
        <v>0</v>
      </c>
    </row>
    <row r="41" spans="1:66" x14ac:dyDescent="0.15">
      <c r="A41" s="5"/>
      <c r="B41" s="5" t="s">
        <v>79</v>
      </c>
      <c r="C41" s="6" t="s">
        <v>254</v>
      </c>
      <c r="D41" s="5">
        <v>4061755</v>
      </c>
      <c r="E41" s="7">
        <v>11</v>
      </c>
      <c r="F41" s="6">
        <v>1</v>
      </c>
      <c r="G41" s="6"/>
      <c r="I41" s="17" t="str">
        <f t="shared" si="0"/>
        <v>·</v>
      </c>
      <c r="J41" s="18" t="str">
        <f t="shared" si="1"/>
        <v>·</v>
      </c>
      <c r="K41" s="18" t="str">
        <f t="shared" si="2"/>
        <v>·</v>
      </c>
      <c r="L41" s="18" t="str">
        <f t="shared" si="3"/>
        <v>·</v>
      </c>
      <c r="M41" s="19"/>
      <c r="N41" s="18" t="str">
        <f t="shared" si="4"/>
        <v>·</v>
      </c>
      <c r="O41" s="20"/>
      <c r="P41" s="21"/>
      <c r="Q41" s="21"/>
      <c r="R41" s="21"/>
      <c r="S41" s="37"/>
      <c r="T41" s="38"/>
      <c r="U41" s="38"/>
      <c r="V41" s="38"/>
      <c r="W41" s="39"/>
      <c r="X41" s="49"/>
      <c r="Y41" s="49"/>
      <c r="AA41" s="17" t="str">
        <f t="shared" si="5"/>
        <v>·</v>
      </c>
      <c r="AB41" s="18" t="str">
        <f t="shared" si="6"/>
        <v>·</v>
      </c>
      <c r="AC41" s="18" t="str">
        <f t="shared" si="7"/>
        <v>·</v>
      </c>
      <c r="AD41" s="18" t="str">
        <f t="shared" si="8"/>
        <v>·</v>
      </c>
      <c r="AE41" s="19"/>
      <c r="AF41" s="18" t="str">
        <f t="shared" si="9"/>
        <v>·</v>
      </c>
      <c r="AG41" s="20"/>
      <c r="AH41" s="21"/>
      <c r="AI41" s="21"/>
      <c r="AJ41" s="21"/>
      <c r="AK41" s="37"/>
      <c r="AL41" s="38"/>
      <c r="AM41" s="38"/>
      <c r="AN41" s="38"/>
      <c r="AO41" s="39"/>
      <c r="AP41" s="49"/>
      <c r="AQ41" s="49"/>
      <c r="AS41" s="53" t="e">
        <f t="shared" si="10"/>
        <v>#DIV/0!</v>
      </c>
      <c r="AT41" s="53" t="e">
        <f t="array" ref="AT41">AVERAGE(AI41:AI46/AH41:AH46)-AVERAGE(Q41:Q46/P41:P46)</f>
        <v>#DIV/0!</v>
      </c>
      <c r="AV41" s="54" t="str">
        <f>IF(OR(ISBLANK(R41:R46),ISBLANK(AJ41:AJ46),ISBLANK(T41:T46),ISBLANK(AL41:AL46)),"·",bdRateExtend(R41:R46,T41:T46,AJ41:AJ46,AL41:AL46))</f>
        <v>·</v>
      </c>
      <c r="AW41" s="54" t="str">
        <f>IF(OR(ISBLANK(R41:R46),ISBLANK(AJ41:AJ46),ISBLANK(U41:U46),ISBLANK(AM41:AM46)),"·",bdRateExtend(R41:R46,U41:U46,AJ41:AJ46,AM41:AM46))</f>
        <v>·</v>
      </c>
      <c r="AX41" s="54" t="str">
        <f>IF(OR(ISBLANK(R41:R46),ISBLANK(AJ41:AJ46),ISBLANK(V41:V46),ISBLANK(AN41:AN46)),"·",bdRateExtend(R41:R46,V41:V46,AJ41:AJ46,AN41:AN46))</f>
        <v>·</v>
      </c>
      <c r="AY41" s="61"/>
      <c r="BA41" s="54" t="str">
        <f>IF(OR(ISBLANK(P41:P46),ISBLANK(AH41:AH46),ISBLANK(T41:T46),ISBLANK(AL41:AL46)),"·",bdRateExtend(P41:P46,T41:T46,AH41:AH46,AL41:AL46))</f>
        <v>·</v>
      </c>
      <c r="BB41" s="54" t="str">
        <f>IF(OR(ISBLANK(P41:P46),ISBLANK(AH41:AH46),ISBLANK(U41:U46),ISBLANK(AM41:AM46)),"·",bdRateExtend(P41:P46,U41:U46,AH41:AH46,AM41:AM46))</f>
        <v>·</v>
      </c>
      <c r="BC41" s="54" t="str">
        <f>IF(OR(ISBLANK(P41:P46),ISBLANK(AH41:AH46),ISBLANK(V41:V46),ISBLANK(AN41:AN46)),"·",bdRateExtend(P41:P46,V41:V46,AH41:AH46,AN41:AN46))</f>
        <v>·</v>
      </c>
      <c r="BD41" s="61"/>
      <c r="BF41">
        <f t="shared" si="12"/>
        <v>0</v>
      </c>
      <c r="BG41">
        <f t="shared" si="13"/>
        <v>0</v>
      </c>
      <c r="BH41">
        <f t="shared" si="14"/>
        <v>0</v>
      </c>
      <c r="BI41">
        <f t="shared" si="15"/>
        <v>0</v>
      </c>
      <c r="BJ41">
        <f t="shared" si="16"/>
        <v>0</v>
      </c>
      <c r="BK41">
        <f t="shared" si="17"/>
        <v>0</v>
      </c>
      <c r="BL41">
        <f t="shared" si="18"/>
        <v>0</v>
      </c>
      <c r="BM41">
        <f t="shared" si="19"/>
        <v>0</v>
      </c>
      <c r="BN41">
        <f t="shared" si="20"/>
        <v>0</v>
      </c>
    </row>
    <row r="42" spans="1:66" outlineLevel="1" x14ac:dyDescent="0.15">
      <c r="A42" s="8"/>
      <c r="B42" s="8" t="s">
        <v>79</v>
      </c>
      <c r="C42" s="9" t="s">
        <v>255</v>
      </c>
      <c r="D42" s="8">
        <v>4061755</v>
      </c>
      <c r="E42" s="10">
        <v>11</v>
      </c>
      <c r="F42" s="9">
        <v>1</v>
      </c>
      <c r="G42" s="9"/>
      <c r="I42" s="22" t="str">
        <f t="shared" si="0"/>
        <v>·</v>
      </c>
      <c r="J42" s="23" t="str">
        <f t="shared" si="1"/>
        <v>·</v>
      </c>
      <c r="K42" s="23" t="str">
        <f t="shared" si="2"/>
        <v>·</v>
      </c>
      <c r="L42" s="23" t="str">
        <f t="shared" si="3"/>
        <v>·</v>
      </c>
      <c r="M42" s="24"/>
      <c r="N42" s="23" t="str">
        <f t="shared" si="4"/>
        <v>·</v>
      </c>
      <c r="O42" s="25"/>
      <c r="P42" s="26"/>
      <c r="Q42" s="26"/>
      <c r="R42" s="26"/>
      <c r="S42" s="40"/>
      <c r="T42" s="41"/>
      <c r="U42" s="41"/>
      <c r="V42" s="41"/>
      <c r="W42" s="42"/>
      <c r="X42" s="50"/>
      <c r="Y42" s="50"/>
      <c r="AA42" s="22" t="str">
        <f t="shared" si="5"/>
        <v>·</v>
      </c>
      <c r="AB42" s="23" t="str">
        <f t="shared" si="6"/>
        <v>·</v>
      </c>
      <c r="AC42" s="23" t="str">
        <f t="shared" si="7"/>
        <v>·</v>
      </c>
      <c r="AD42" s="23" t="str">
        <f t="shared" si="8"/>
        <v>·</v>
      </c>
      <c r="AE42" s="24"/>
      <c r="AF42" s="23" t="str">
        <f t="shared" si="9"/>
        <v>·</v>
      </c>
      <c r="AG42" s="25"/>
      <c r="AH42" s="26"/>
      <c r="AI42" s="26"/>
      <c r="AJ42" s="26"/>
      <c r="AK42" s="40"/>
      <c r="AL42" s="41"/>
      <c r="AM42" s="41"/>
      <c r="AN42" s="41"/>
      <c r="AO42" s="42"/>
      <c r="AP42" s="50"/>
      <c r="AQ42" s="50"/>
      <c r="AS42" s="55" t="e">
        <f t="shared" si="10"/>
        <v>#DIV/0!</v>
      </c>
      <c r="AT42" s="55"/>
      <c r="AV42" s="56"/>
      <c r="AW42" s="56"/>
      <c r="AX42" s="56"/>
      <c r="AY42" s="62"/>
      <c r="BA42" s="56"/>
      <c r="BB42" s="56"/>
      <c r="BC42" s="56"/>
      <c r="BD42" s="62"/>
      <c r="BF42">
        <f t="shared" si="12"/>
        <v>0</v>
      </c>
      <c r="BG42">
        <f t="shared" si="13"/>
        <v>0</v>
      </c>
      <c r="BH42">
        <f t="shared" si="14"/>
        <v>0</v>
      </c>
      <c r="BI42">
        <f t="shared" si="15"/>
        <v>0</v>
      </c>
      <c r="BJ42">
        <f t="shared" si="16"/>
        <v>0</v>
      </c>
      <c r="BK42">
        <f t="shared" si="17"/>
        <v>0</v>
      </c>
      <c r="BL42">
        <f t="shared" si="18"/>
        <v>0</v>
      </c>
      <c r="BM42">
        <f t="shared" si="19"/>
        <v>0</v>
      </c>
      <c r="BN42">
        <f t="shared" si="20"/>
        <v>0</v>
      </c>
    </row>
    <row r="43" spans="1:66" outlineLevel="1" x14ac:dyDescent="0.15">
      <c r="A43" s="5"/>
      <c r="B43" s="5" t="s">
        <v>79</v>
      </c>
      <c r="C43" s="6" t="s">
        <v>256</v>
      </c>
      <c r="D43" s="5">
        <v>4061755</v>
      </c>
      <c r="E43" s="7">
        <v>11</v>
      </c>
      <c r="F43" s="6">
        <v>1</v>
      </c>
      <c r="G43" s="6"/>
      <c r="I43" s="17" t="str">
        <f t="shared" si="0"/>
        <v>·</v>
      </c>
      <c r="J43" s="18" t="str">
        <f t="shared" si="1"/>
        <v>·</v>
      </c>
      <c r="K43" s="18" t="str">
        <f t="shared" si="2"/>
        <v>·</v>
      </c>
      <c r="L43" s="18" t="str">
        <f t="shared" si="3"/>
        <v>·</v>
      </c>
      <c r="M43" s="19"/>
      <c r="N43" s="18" t="str">
        <f t="shared" si="4"/>
        <v>·</v>
      </c>
      <c r="O43" s="20"/>
      <c r="P43" s="21"/>
      <c r="Q43" s="21"/>
      <c r="R43" s="21"/>
      <c r="S43" s="37"/>
      <c r="T43" s="38"/>
      <c r="U43" s="38"/>
      <c r="V43" s="38"/>
      <c r="W43" s="39"/>
      <c r="X43" s="49"/>
      <c r="Y43" s="49"/>
      <c r="AA43" s="17" t="str">
        <f t="shared" si="5"/>
        <v>·</v>
      </c>
      <c r="AB43" s="18" t="str">
        <f t="shared" si="6"/>
        <v>·</v>
      </c>
      <c r="AC43" s="18" t="str">
        <f t="shared" si="7"/>
        <v>·</v>
      </c>
      <c r="AD43" s="18" t="str">
        <f t="shared" si="8"/>
        <v>·</v>
      </c>
      <c r="AE43" s="19"/>
      <c r="AF43" s="18" t="str">
        <f t="shared" si="9"/>
        <v>·</v>
      </c>
      <c r="AG43" s="20"/>
      <c r="AH43" s="21"/>
      <c r="AI43" s="21"/>
      <c r="AJ43" s="21"/>
      <c r="AK43" s="37"/>
      <c r="AL43" s="38"/>
      <c r="AM43" s="38"/>
      <c r="AN43" s="38"/>
      <c r="AO43" s="39"/>
      <c r="AP43" s="49"/>
      <c r="AQ43" s="49"/>
      <c r="AS43" s="53" t="e">
        <f t="shared" si="10"/>
        <v>#DIV/0!</v>
      </c>
      <c r="AT43" s="53"/>
      <c r="AV43" s="54"/>
      <c r="AW43" s="54"/>
      <c r="AX43" s="54"/>
      <c r="AY43" s="61"/>
      <c r="BA43" s="54"/>
      <c r="BB43" s="54"/>
      <c r="BC43" s="54"/>
      <c r="BD43" s="61"/>
      <c r="BF43">
        <f t="shared" si="12"/>
        <v>0</v>
      </c>
      <c r="BG43">
        <f t="shared" si="13"/>
        <v>0</v>
      </c>
      <c r="BH43">
        <f t="shared" si="14"/>
        <v>0</v>
      </c>
      <c r="BI43">
        <f t="shared" si="15"/>
        <v>0</v>
      </c>
      <c r="BJ43">
        <f t="shared" si="16"/>
        <v>0</v>
      </c>
      <c r="BK43">
        <f t="shared" si="17"/>
        <v>0</v>
      </c>
      <c r="BL43">
        <f t="shared" si="18"/>
        <v>0</v>
      </c>
      <c r="BM43">
        <f t="shared" si="19"/>
        <v>0</v>
      </c>
      <c r="BN43">
        <f t="shared" si="20"/>
        <v>0</v>
      </c>
    </row>
    <row r="44" spans="1:66" outlineLevel="1" x14ac:dyDescent="0.15">
      <c r="A44" s="8"/>
      <c r="B44" s="8" t="s">
        <v>79</v>
      </c>
      <c r="C44" s="9" t="s">
        <v>257</v>
      </c>
      <c r="D44" s="8">
        <v>4061755</v>
      </c>
      <c r="E44" s="10">
        <v>11</v>
      </c>
      <c r="F44" s="9">
        <v>1</v>
      </c>
      <c r="G44" s="9"/>
      <c r="I44" s="22" t="str">
        <f t="shared" si="0"/>
        <v>·</v>
      </c>
      <c r="J44" s="23" t="str">
        <f t="shared" si="1"/>
        <v>·</v>
      </c>
      <c r="K44" s="23" t="str">
        <f t="shared" si="2"/>
        <v>·</v>
      </c>
      <c r="L44" s="23" t="str">
        <f t="shared" si="3"/>
        <v>·</v>
      </c>
      <c r="M44" s="24"/>
      <c r="N44" s="23" t="str">
        <f t="shared" si="4"/>
        <v>·</v>
      </c>
      <c r="O44" s="25"/>
      <c r="P44" s="26"/>
      <c r="Q44" s="26"/>
      <c r="R44" s="26"/>
      <c r="S44" s="40"/>
      <c r="T44" s="41"/>
      <c r="U44" s="41"/>
      <c r="V44" s="41"/>
      <c r="W44" s="42"/>
      <c r="X44" s="50"/>
      <c r="Y44" s="50"/>
      <c r="AA44" s="22" t="str">
        <f t="shared" si="5"/>
        <v>·</v>
      </c>
      <c r="AB44" s="23" t="str">
        <f t="shared" si="6"/>
        <v>·</v>
      </c>
      <c r="AC44" s="23" t="str">
        <f t="shared" si="7"/>
        <v>·</v>
      </c>
      <c r="AD44" s="23" t="str">
        <f t="shared" si="8"/>
        <v>·</v>
      </c>
      <c r="AE44" s="24"/>
      <c r="AF44" s="23" t="str">
        <f t="shared" si="9"/>
        <v>·</v>
      </c>
      <c r="AG44" s="25"/>
      <c r="AH44" s="26"/>
      <c r="AI44" s="26"/>
      <c r="AJ44" s="26"/>
      <c r="AK44" s="40"/>
      <c r="AL44" s="41"/>
      <c r="AM44" s="41"/>
      <c r="AN44" s="41"/>
      <c r="AO44" s="42"/>
      <c r="AP44" s="50"/>
      <c r="AQ44" s="50"/>
      <c r="AS44" s="55" t="e">
        <f t="shared" si="10"/>
        <v>#DIV/0!</v>
      </c>
      <c r="AT44" s="55"/>
      <c r="AV44" s="56"/>
      <c r="AW44" s="56"/>
      <c r="AX44" s="56"/>
      <c r="AY44" s="62"/>
      <c r="BA44" s="56"/>
      <c r="BB44" s="56"/>
      <c r="BC44" s="56"/>
      <c r="BD44" s="62"/>
      <c r="BF44">
        <f t="shared" si="12"/>
        <v>0</v>
      </c>
      <c r="BG44">
        <f t="shared" si="13"/>
        <v>0</v>
      </c>
      <c r="BH44">
        <f t="shared" si="14"/>
        <v>0</v>
      </c>
      <c r="BI44">
        <f t="shared" si="15"/>
        <v>0</v>
      </c>
      <c r="BJ44">
        <f t="shared" si="16"/>
        <v>0</v>
      </c>
      <c r="BK44">
        <f t="shared" si="17"/>
        <v>0</v>
      </c>
      <c r="BL44">
        <f t="shared" si="18"/>
        <v>0</v>
      </c>
      <c r="BM44">
        <f t="shared" si="19"/>
        <v>0</v>
      </c>
      <c r="BN44">
        <f t="shared" si="20"/>
        <v>0</v>
      </c>
    </row>
    <row r="45" spans="1:66" outlineLevel="1" x14ac:dyDescent="0.15">
      <c r="A45" s="5"/>
      <c r="B45" s="5" t="s">
        <v>79</v>
      </c>
      <c r="C45" s="6" t="s">
        <v>258</v>
      </c>
      <c r="D45" s="5">
        <v>4061755</v>
      </c>
      <c r="E45" s="7">
        <v>11</v>
      </c>
      <c r="F45" s="6">
        <v>1</v>
      </c>
      <c r="G45" s="6"/>
      <c r="I45" s="17" t="str">
        <f t="shared" si="0"/>
        <v>·</v>
      </c>
      <c r="J45" s="18" t="str">
        <f t="shared" si="1"/>
        <v>·</v>
      </c>
      <c r="K45" s="18" t="str">
        <f t="shared" si="2"/>
        <v>·</v>
      </c>
      <c r="L45" s="18" t="str">
        <f t="shared" si="3"/>
        <v>·</v>
      </c>
      <c r="M45" s="19"/>
      <c r="N45" s="18" t="str">
        <f t="shared" si="4"/>
        <v>·</v>
      </c>
      <c r="O45" s="20"/>
      <c r="P45" s="21"/>
      <c r="Q45" s="21"/>
      <c r="R45" s="21"/>
      <c r="S45" s="37"/>
      <c r="T45" s="38"/>
      <c r="U45" s="38"/>
      <c r="V45" s="38"/>
      <c r="W45" s="39"/>
      <c r="X45" s="49"/>
      <c r="Y45" s="49"/>
      <c r="AA45" s="17" t="str">
        <f t="shared" si="5"/>
        <v>·</v>
      </c>
      <c r="AB45" s="18" t="str">
        <f t="shared" si="6"/>
        <v>·</v>
      </c>
      <c r="AC45" s="18" t="str">
        <f t="shared" si="7"/>
        <v>·</v>
      </c>
      <c r="AD45" s="18" t="str">
        <f t="shared" si="8"/>
        <v>·</v>
      </c>
      <c r="AE45" s="19"/>
      <c r="AF45" s="18" t="str">
        <f t="shared" si="9"/>
        <v>·</v>
      </c>
      <c r="AG45" s="20"/>
      <c r="AH45" s="21"/>
      <c r="AI45" s="21"/>
      <c r="AJ45" s="21"/>
      <c r="AK45" s="37"/>
      <c r="AL45" s="38"/>
      <c r="AM45" s="38"/>
      <c r="AN45" s="38"/>
      <c r="AO45" s="39"/>
      <c r="AP45" s="49"/>
      <c r="AQ45" s="49"/>
      <c r="AS45" s="53" t="e">
        <f t="shared" si="10"/>
        <v>#DIV/0!</v>
      </c>
      <c r="AT45" s="53"/>
      <c r="AV45" s="54"/>
      <c r="AW45" s="54"/>
      <c r="AX45" s="54"/>
      <c r="AY45" s="61"/>
      <c r="BA45" s="54"/>
      <c r="BB45" s="54"/>
      <c r="BC45" s="54"/>
      <c r="BD45" s="61"/>
      <c r="BF45">
        <f t="shared" si="12"/>
        <v>0</v>
      </c>
      <c r="BG45">
        <f t="shared" si="13"/>
        <v>0</v>
      </c>
      <c r="BH45">
        <f t="shared" si="14"/>
        <v>0</v>
      </c>
      <c r="BI45">
        <f t="shared" si="15"/>
        <v>0</v>
      </c>
      <c r="BJ45">
        <f t="shared" si="16"/>
        <v>0</v>
      </c>
      <c r="BK45">
        <f t="shared" si="17"/>
        <v>0</v>
      </c>
      <c r="BL45">
        <f t="shared" si="18"/>
        <v>0</v>
      </c>
      <c r="BM45">
        <f t="shared" si="19"/>
        <v>0</v>
      </c>
      <c r="BN45">
        <f t="shared" si="20"/>
        <v>0</v>
      </c>
    </row>
    <row r="46" spans="1:66" outlineLevel="1" x14ac:dyDescent="0.15">
      <c r="A46" s="8"/>
      <c r="B46" s="14" t="s">
        <v>79</v>
      </c>
      <c r="C46" s="15" t="s">
        <v>259</v>
      </c>
      <c r="D46" s="14">
        <v>4061755</v>
      </c>
      <c r="E46" s="16">
        <v>11</v>
      </c>
      <c r="F46" s="15">
        <v>1</v>
      </c>
      <c r="G46" s="15"/>
      <c r="I46" s="32" t="str">
        <f t="shared" si="0"/>
        <v>·</v>
      </c>
      <c r="J46" s="33" t="str">
        <f t="shared" si="1"/>
        <v>·</v>
      </c>
      <c r="K46" s="33" t="str">
        <f t="shared" si="2"/>
        <v>·</v>
      </c>
      <c r="L46" s="33" t="str">
        <f t="shared" si="3"/>
        <v>·</v>
      </c>
      <c r="M46" s="34"/>
      <c r="N46" s="33" t="str">
        <f t="shared" si="4"/>
        <v>·</v>
      </c>
      <c r="O46" s="35"/>
      <c r="P46" s="36"/>
      <c r="Q46" s="36"/>
      <c r="R46" s="36"/>
      <c r="S46" s="46"/>
      <c r="T46" s="47"/>
      <c r="U46" s="47"/>
      <c r="V46" s="47"/>
      <c r="W46" s="48"/>
      <c r="X46" s="52"/>
      <c r="Y46" s="52"/>
      <c r="AA46" s="32" t="str">
        <f t="shared" si="5"/>
        <v>·</v>
      </c>
      <c r="AB46" s="33" t="str">
        <f t="shared" si="6"/>
        <v>·</v>
      </c>
      <c r="AC46" s="33" t="str">
        <f t="shared" si="7"/>
        <v>·</v>
      </c>
      <c r="AD46" s="33" t="str">
        <f t="shared" si="8"/>
        <v>·</v>
      </c>
      <c r="AE46" s="34"/>
      <c r="AF46" s="33" t="str">
        <f t="shared" si="9"/>
        <v>·</v>
      </c>
      <c r="AG46" s="35"/>
      <c r="AH46" s="36"/>
      <c r="AI46" s="36"/>
      <c r="AJ46" s="36"/>
      <c r="AK46" s="46"/>
      <c r="AL46" s="47"/>
      <c r="AM46" s="47"/>
      <c r="AN46" s="47"/>
      <c r="AO46" s="48"/>
      <c r="AP46" s="52"/>
      <c r="AQ46" s="52"/>
      <c r="AS46" s="59" t="e">
        <f t="shared" si="10"/>
        <v>#DIV/0!</v>
      </c>
      <c r="AT46" s="59"/>
      <c r="AV46" s="60"/>
      <c r="AW46" s="60"/>
      <c r="AX46" s="60"/>
      <c r="AY46" s="64"/>
      <c r="BA46" s="60"/>
      <c r="BB46" s="60"/>
      <c r="BC46" s="60"/>
      <c r="BD46" s="64"/>
      <c r="BF46">
        <f t="shared" si="12"/>
        <v>0</v>
      </c>
      <c r="BG46">
        <f t="shared" si="13"/>
        <v>0</v>
      </c>
      <c r="BH46">
        <f t="shared" si="14"/>
        <v>0</v>
      </c>
      <c r="BI46">
        <f t="shared" si="15"/>
        <v>0</v>
      </c>
      <c r="BJ46">
        <f t="shared" si="16"/>
        <v>0</v>
      </c>
      <c r="BK46">
        <f t="shared" si="17"/>
        <v>0</v>
      </c>
      <c r="BL46">
        <f t="shared" si="18"/>
        <v>0</v>
      </c>
      <c r="BM46">
        <f t="shared" si="19"/>
        <v>0</v>
      </c>
      <c r="BN46">
        <f t="shared" si="20"/>
        <v>0</v>
      </c>
    </row>
    <row r="47" spans="1:66" x14ac:dyDescent="0.15">
      <c r="A47" s="5"/>
      <c r="B47" s="5" t="s">
        <v>82</v>
      </c>
      <c r="C47" s="6" t="s">
        <v>254</v>
      </c>
      <c r="D47" s="5">
        <v>3614251</v>
      </c>
      <c r="E47" s="7">
        <v>12</v>
      </c>
      <c r="F47" s="6">
        <v>1</v>
      </c>
      <c r="G47" s="6"/>
      <c r="I47" s="17" t="str">
        <f t="shared" si="0"/>
        <v>·</v>
      </c>
      <c r="J47" s="18" t="str">
        <f t="shared" si="1"/>
        <v>·</v>
      </c>
      <c r="K47" s="18" t="str">
        <f t="shared" si="2"/>
        <v>·</v>
      </c>
      <c r="L47" s="18" t="str">
        <f t="shared" si="3"/>
        <v>·</v>
      </c>
      <c r="M47" s="19"/>
      <c r="N47" s="18" t="str">
        <f t="shared" si="4"/>
        <v>·</v>
      </c>
      <c r="O47" s="20"/>
      <c r="P47" s="21"/>
      <c r="Q47" s="21"/>
      <c r="R47" s="21"/>
      <c r="S47" s="37"/>
      <c r="T47" s="38"/>
      <c r="U47" s="38"/>
      <c r="V47" s="38"/>
      <c r="W47" s="39"/>
      <c r="X47" s="49"/>
      <c r="Y47" s="49"/>
      <c r="AA47" s="17" t="str">
        <f t="shared" si="5"/>
        <v>·</v>
      </c>
      <c r="AB47" s="18" t="str">
        <f t="shared" si="6"/>
        <v>·</v>
      </c>
      <c r="AC47" s="18" t="str">
        <f t="shared" si="7"/>
        <v>·</v>
      </c>
      <c r="AD47" s="18" t="str">
        <f t="shared" si="8"/>
        <v>·</v>
      </c>
      <c r="AE47" s="19"/>
      <c r="AF47" s="18" t="str">
        <f t="shared" si="9"/>
        <v>·</v>
      </c>
      <c r="AG47" s="20"/>
      <c r="AH47" s="21"/>
      <c r="AI47" s="21"/>
      <c r="AJ47" s="21"/>
      <c r="AK47" s="37"/>
      <c r="AL47" s="38"/>
      <c r="AM47" s="38"/>
      <c r="AN47" s="38"/>
      <c r="AO47" s="39"/>
      <c r="AP47" s="49"/>
      <c r="AQ47" s="49"/>
      <c r="AS47" s="53" t="e">
        <f t="shared" si="10"/>
        <v>#DIV/0!</v>
      </c>
      <c r="AT47" s="53" t="e">
        <f t="array" ref="AT47">AVERAGE(AI47:AI52/AH47:AH52)-AVERAGE(Q47:Q52/P47:P52)</f>
        <v>#DIV/0!</v>
      </c>
      <c r="AV47" s="54" t="str">
        <f>IF(OR(ISBLANK(R47:R52),ISBLANK(AJ47:AJ52),ISBLANK(T47:T52),ISBLANK(AL47:AL52)),"·",bdRateExtend(R47:R52,T47:T52,AJ47:AJ52,AL47:AL52))</f>
        <v>·</v>
      </c>
      <c r="AW47" s="54" t="str">
        <f>IF(OR(ISBLANK(R47:R52),ISBLANK(AJ47:AJ52),ISBLANK(U47:U52),ISBLANK(AM47:AM52)),"·",bdRateExtend(R47:R52,U47:U52,AJ47:AJ52,AM47:AM52))</f>
        <v>·</v>
      </c>
      <c r="AX47" s="54" t="str">
        <f>IF(OR(ISBLANK(R47:R52),ISBLANK(AJ47:AJ52),ISBLANK(V47:V52),ISBLANK(AN47:AN52)),"·",bdRateExtend(R47:R52,V47:V52,AJ47:AJ52,AN47:AN52))</f>
        <v>·</v>
      </c>
      <c r="AY47" s="61"/>
      <c r="BA47" s="54" t="str">
        <f>IF(OR(ISBLANK(P47:P52),ISBLANK(AH47:AH52),ISBLANK(T47:T52),ISBLANK(AL47:AL52)),"·",bdRateExtend(P47:P52,T47:T52,AH47:AH52,AL47:AL52))</f>
        <v>·</v>
      </c>
      <c r="BB47" s="54" t="str">
        <f>IF(OR(ISBLANK(P47:P52),ISBLANK(AH47:AH52),ISBLANK(U47:U52),ISBLANK(AM47:AM52)),"·",bdRateExtend(P47:P52,U47:U52,AH47:AH52,AM47:AM52))</f>
        <v>·</v>
      </c>
      <c r="BC47" s="54" t="str">
        <f>IF(OR(ISBLANK(P47:P52),ISBLANK(AH47:AH52),ISBLANK(V47:V52),ISBLANK(AN47:AN52)),"·",bdRateExtend(P47:P52,V47:V52,AH47:AH52,AN47:AN52))</f>
        <v>·</v>
      </c>
      <c r="BD47" s="61"/>
      <c r="BF47">
        <f t="shared" si="12"/>
        <v>0</v>
      </c>
      <c r="BG47">
        <f t="shared" si="13"/>
        <v>0</v>
      </c>
      <c r="BH47">
        <f t="shared" si="14"/>
        <v>0</v>
      </c>
      <c r="BI47">
        <f t="shared" si="15"/>
        <v>0</v>
      </c>
      <c r="BJ47">
        <f t="shared" si="16"/>
        <v>0</v>
      </c>
      <c r="BK47">
        <f t="shared" si="17"/>
        <v>0</v>
      </c>
      <c r="BL47">
        <f t="shared" si="18"/>
        <v>0</v>
      </c>
      <c r="BM47">
        <f t="shared" si="19"/>
        <v>0</v>
      </c>
      <c r="BN47">
        <f t="shared" si="20"/>
        <v>0</v>
      </c>
    </row>
    <row r="48" spans="1:66" outlineLevel="1" x14ac:dyDescent="0.15">
      <c r="A48" s="8"/>
      <c r="B48" s="8" t="s">
        <v>82</v>
      </c>
      <c r="C48" s="9" t="s">
        <v>255</v>
      </c>
      <c r="D48" s="8">
        <v>3614251</v>
      </c>
      <c r="E48" s="10">
        <v>12</v>
      </c>
      <c r="F48" s="9">
        <v>1</v>
      </c>
      <c r="G48" s="9"/>
      <c r="I48" s="22" t="str">
        <f t="shared" si="0"/>
        <v>·</v>
      </c>
      <c r="J48" s="23" t="str">
        <f t="shared" si="1"/>
        <v>·</v>
      </c>
      <c r="K48" s="23" t="str">
        <f t="shared" si="2"/>
        <v>·</v>
      </c>
      <c r="L48" s="23" t="str">
        <f t="shared" si="3"/>
        <v>·</v>
      </c>
      <c r="M48" s="24"/>
      <c r="N48" s="23" t="str">
        <f t="shared" si="4"/>
        <v>·</v>
      </c>
      <c r="O48" s="25"/>
      <c r="P48" s="26"/>
      <c r="Q48" s="26"/>
      <c r="R48" s="26"/>
      <c r="S48" s="40"/>
      <c r="T48" s="41"/>
      <c r="U48" s="41"/>
      <c r="V48" s="41"/>
      <c r="W48" s="42"/>
      <c r="X48" s="50"/>
      <c r="Y48" s="50"/>
      <c r="AA48" s="22" t="str">
        <f t="shared" si="5"/>
        <v>·</v>
      </c>
      <c r="AB48" s="23" t="str">
        <f t="shared" si="6"/>
        <v>·</v>
      </c>
      <c r="AC48" s="23" t="str">
        <f t="shared" si="7"/>
        <v>·</v>
      </c>
      <c r="AD48" s="23" t="str">
        <f t="shared" si="8"/>
        <v>·</v>
      </c>
      <c r="AE48" s="24"/>
      <c r="AF48" s="23" t="str">
        <f t="shared" si="9"/>
        <v>·</v>
      </c>
      <c r="AG48" s="25"/>
      <c r="AH48" s="26"/>
      <c r="AI48" s="26"/>
      <c r="AJ48" s="26"/>
      <c r="AK48" s="40"/>
      <c r="AL48" s="41"/>
      <c r="AM48" s="41"/>
      <c r="AN48" s="41"/>
      <c r="AO48" s="42"/>
      <c r="AP48" s="50"/>
      <c r="AQ48" s="50"/>
      <c r="AS48" s="55" t="e">
        <f t="shared" si="10"/>
        <v>#DIV/0!</v>
      </c>
      <c r="AT48" s="55"/>
      <c r="AV48" s="56"/>
      <c r="AW48" s="56"/>
      <c r="AX48" s="56"/>
      <c r="AY48" s="62"/>
      <c r="BA48" s="56"/>
      <c r="BB48" s="56"/>
      <c r="BC48" s="56"/>
      <c r="BD48" s="62"/>
      <c r="BF48">
        <f t="shared" si="12"/>
        <v>0</v>
      </c>
      <c r="BG48">
        <f t="shared" si="13"/>
        <v>0</v>
      </c>
      <c r="BH48">
        <f t="shared" si="14"/>
        <v>0</v>
      </c>
      <c r="BI48">
        <f t="shared" si="15"/>
        <v>0</v>
      </c>
      <c r="BJ48">
        <f t="shared" si="16"/>
        <v>0</v>
      </c>
      <c r="BK48">
        <f t="shared" si="17"/>
        <v>0</v>
      </c>
      <c r="BL48">
        <f t="shared" si="18"/>
        <v>0</v>
      </c>
      <c r="BM48">
        <f t="shared" si="19"/>
        <v>0</v>
      </c>
      <c r="BN48">
        <f t="shared" si="20"/>
        <v>0</v>
      </c>
    </row>
    <row r="49" spans="1:66" outlineLevel="1" x14ac:dyDescent="0.15">
      <c r="A49" s="5"/>
      <c r="B49" s="5" t="s">
        <v>82</v>
      </c>
      <c r="C49" s="6" t="s">
        <v>256</v>
      </c>
      <c r="D49" s="5">
        <v>3614251</v>
      </c>
      <c r="E49" s="7">
        <v>12</v>
      </c>
      <c r="F49" s="6">
        <v>1</v>
      </c>
      <c r="G49" s="6"/>
      <c r="I49" s="17" t="str">
        <f t="shared" si="0"/>
        <v>·</v>
      </c>
      <c r="J49" s="18" t="str">
        <f t="shared" si="1"/>
        <v>·</v>
      </c>
      <c r="K49" s="18" t="str">
        <f t="shared" si="2"/>
        <v>·</v>
      </c>
      <c r="L49" s="18" t="str">
        <f t="shared" si="3"/>
        <v>·</v>
      </c>
      <c r="M49" s="19"/>
      <c r="N49" s="18" t="str">
        <f t="shared" si="4"/>
        <v>·</v>
      </c>
      <c r="O49" s="20"/>
      <c r="P49" s="21"/>
      <c r="Q49" s="21"/>
      <c r="R49" s="21"/>
      <c r="S49" s="37"/>
      <c r="T49" s="38"/>
      <c r="U49" s="38"/>
      <c r="V49" s="38"/>
      <c r="W49" s="39"/>
      <c r="X49" s="49"/>
      <c r="Y49" s="49"/>
      <c r="AA49" s="17" t="str">
        <f t="shared" si="5"/>
        <v>·</v>
      </c>
      <c r="AB49" s="18" t="str">
        <f t="shared" si="6"/>
        <v>·</v>
      </c>
      <c r="AC49" s="18" t="str">
        <f t="shared" si="7"/>
        <v>·</v>
      </c>
      <c r="AD49" s="18" t="str">
        <f t="shared" si="8"/>
        <v>·</v>
      </c>
      <c r="AE49" s="19"/>
      <c r="AF49" s="18" t="str">
        <f t="shared" si="9"/>
        <v>·</v>
      </c>
      <c r="AG49" s="20"/>
      <c r="AH49" s="21"/>
      <c r="AI49" s="21"/>
      <c r="AJ49" s="21"/>
      <c r="AK49" s="37"/>
      <c r="AL49" s="38"/>
      <c r="AM49" s="38"/>
      <c r="AN49" s="38"/>
      <c r="AO49" s="39"/>
      <c r="AP49" s="49"/>
      <c r="AQ49" s="49"/>
      <c r="AS49" s="53" t="e">
        <f t="shared" si="10"/>
        <v>#DIV/0!</v>
      </c>
      <c r="AT49" s="53"/>
      <c r="AV49" s="54"/>
      <c r="AW49" s="54"/>
      <c r="AX49" s="54"/>
      <c r="AY49" s="61"/>
      <c r="BA49" s="54"/>
      <c r="BB49" s="54"/>
      <c r="BC49" s="54"/>
      <c r="BD49" s="61"/>
      <c r="BF49">
        <f t="shared" si="12"/>
        <v>0</v>
      </c>
      <c r="BG49">
        <f t="shared" si="13"/>
        <v>0</v>
      </c>
      <c r="BH49">
        <f t="shared" si="14"/>
        <v>0</v>
      </c>
      <c r="BI49">
        <f t="shared" si="15"/>
        <v>0</v>
      </c>
      <c r="BJ49">
        <f t="shared" si="16"/>
        <v>0</v>
      </c>
      <c r="BK49">
        <f t="shared" si="17"/>
        <v>0</v>
      </c>
      <c r="BL49">
        <f t="shared" si="18"/>
        <v>0</v>
      </c>
      <c r="BM49">
        <f t="shared" si="19"/>
        <v>0</v>
      </c>
      <c r="BN49">
        <f t="shared" si="20"/>
        <v>0</v>
      </c>
    </row>
    <row r="50" spans="1:66" outlineLevel="1" x14ac:dyDescent="0.15">
      <c r="A50" s="8"/>
      <c r="B50" s="8" t="s">
        <v>82</v>
      </c>
      <c r="C50" s="9" t="s">
        <v>257</v>
      </c>
      <c r="D50" s="8">
        <v>3614251</v>
      </c>
      <c r="E50" s="10">
        <v>12</v>
      </c>
      <c r="F50" s="9">
        <v>1</v>
      </c>
      <c r="G50" s="9"/>
      <c r="I50" s="22" t="str">
        <f t="shared" si="0"/>
        <v>·</v>
      </c>
      <c r="J50" s="23" t="str">
        <f t="shared" si="1"/>
        <v>·</v>
      </c>
      <c r="K50" s="23" t="str">
        <f t="shared" si="2"/>
        <v>·</v>
      </c>
      <c r="L50" s="23" t="str">
        <f t="shared" si="3"/>
        <v>·</v>
      </c>
      <c r="M50" s="24"/>
      <c r="N50" s="23" t="str">
        <f t="shared" si="4"/>
        <v>·</v>
      </c>
      <c r="O50" s="25"/>
      <c r="P50" s="26"/>
      <c r="Q50" s="26"/>
      <c r="R50" s="26"/>
      <c r="S50" s="40"/>
      <c r="T50" s="41"/>
      <c r="U50" s="41"/>
      <c r="V50" s="41"/>
      <c r="W50" s="42"/>
      <c r="X50" s="50"/>
      <c r="Y50" s="50"/>
      <c r="AA50" s="22" t="str">
        <f t="shared" si="5"/>
        <v>·</v>
      </c>
      <c r="AB50" s="23" t="str">
        <f t="shared" si="6"/>
        <v>·</v>
      </c>
      <c r="AC50" s="23" t="str">
        <f t="shared" si="7"/>
        <v>·</v>
      </c>
      <c r="AD50" s="23" t="str">
        <f t="shared" si="8"/>
        <v>·</v>
      </c>
      <c r="AE50" s="24"/>
      <c r="AF50" s="23" t="str">
        <f t="shared" si="9"/>
        <v>·</v>
      </c>
      <c r="AG50" s="25"/>
      <c r="AH50" s="26"/>
      <c r="AI50" s="26"/>
      <c r="AJ50" s="26"/>
      <c r="AK50" s="40"/>
      <c r="AL50" s="41"/>
      <c r="AM50" s="41"/>
      <c r="AN50" s="41"/>
      <c r="AO50" s="42"/>
      <c r="AP50" s="50"/>
      <c r="AQ50" s="50"/>
      <c r="AS50" s="55" t="e">
        <f t="shared" si="10"/>
        <v>#DIV/0!</v>
      </c>
      <c r="AT50" s="55"/>
      <c r="AV50" s="56"/>
      <c r="AW50" s="56"/>
      <c r="AX50" s="56"/>
      <c r="AY50" s="62"/>
      <c r="BA50" s="56"/>
      <c r="BB50" s="56"/>
      <c r="BC50" s="56"/>
      <c r="BD50" s="62"/>
      <c r="BF50">
        <f t="shared" si="12"/>
        <v>0</v>
      </c>
      <c r="BG50">
        <f t="shared" si="13"/>
        <v>0</v>
      </c>
      <c r="BH50">
        <f t="shared" si="14"/>
        <v>0</v>
      </c>
      <c r="BI50">
        <f t="shared" si="15"/>
        <v>0</v>
      </c>
      <c r="BJ50">
        <f t="shared" si="16"/>
        <v>0</v>
      </c>
      <c r="BK50">
        <f t="shared" si="17"/>
        <v>0</v>
      </c>
      <c r="BL50">
        <f t="shared" si="18"/>
        <v>0</v>
      </c>
      <c r="BM50">
        <f t="shared" si="19"/>
        <v>0</v>
      </c>
      <c r="BN50">
        <f t="shared" si="20"/>
        <v>0</v>
      </c>
    </row>
    <row r="51" spans="1:66" outlineLevel="1" x14ac:dyDescent="0.15">
      <c r="A51" s="5"/>
      <c r="B51" s="5" t="s">
        <v>82</v>
      </c>
      <c r="C51" s="6" t="s">
        <v>258</v>
      </c>
      <c r="D51" s="5">
        <v>3614251</v>
      </c>
      <c r="E51" s="7">
        <v>12</v>
      </c>
      <c r="F51" s="6">
        <v>1</v>
      </c>
      <c r="G51" s="6"/>
      <c r="I51" s="17" t="str">
        <f t="shared" si="0"/>
        <v>·</v>
      </c>
      <c r="J51" s="18" t="str">
        <f t="shared" si="1"/>
        <v>·</v>
      </c>
      <c r="K51" s="18" t="str">
        <f t="shared" si="2"/>
        <v>·</v>
      </c>
      <c r="L51" s="18" t="str">
        <f t="shared" si="3"/>
        <v>·</v>
      </c>
      <c r="M51" s="19"/>
      <c r="N51" s="18" t="str">
        <f t="shared" si="4"/>
        <v>·</v>
      </c>
      <c r="O51" s="20"/>
      <c r="P51" s="21"/>
      <c r="Q51" s="21"/>
      <c r="R51" s="21"/>
      <c r="S51" s="37"/>
      <c r="T51" s="38"/>
      <c r="U51" s="38"/>
      <c r="V51" s="38"/>
      <c r="W51" s="39"/>
      <c r="X51" s="49"/>
      <c r="Y51" s="49"/>
      <c r="AA51" s="17" t="str">
        <f t="shared" si="5"/>
        <v>·</v>
      </c>
      <c r="AB51" s="18" t="str">
        <f t="shared" si="6"/>
        <v>·</v>
      </c>
      <c r="AC51" s="18" t="str">
        <f t="shared" si="7"/>
        <v>·</v>
      </c>
      <c r="AD51" s="18" t="str">
        <f t="shared" si="8"/>
        <v>·</v>
      </c>
      <c r="AE51" s="19"/>
      <c r="AF51" s="18" t="str">
        <f t="shared" si="9"/>
        <v>·</v>
      </c>
      <c r="AG51" s="20"/>
      <c r="AH51" s="21"/>
      <c r="AI51" s="21"/>
      <c r="AJ51" s="21"/>
      <c r="AK51" s="37"/>
      <c r="AL51" s="38"/>
      <c r="AM51" s="38"/>
      <c r="AN51" s="38"/>
      <c r="AO51" s="39"/>
      <c r="AP51" s="49"/>
      <c r="AQ51" s="49"/>
      <c r="AS51" s="53" t="e">
        <f t="shared" si="10"/>
        <v>#DIV/0!</v>
      </c>
      <c r="AT51" s="53"/>
      <c r="AV51" s="54"/>
      <c r="AW51" s="54"/>
      <c r="AX51" s="54"/>
      <c r="AY51" s="61"/>
      <c r="BA51" s="54"/>
      <c r="BB51" s="54"/>
      <c r="BC51" s="54"/>
      <c r="BD51" s="61"/>
      <c r="BF51">
        <f t="shared" si="12"/>
        <v>0</v>
      </c>
      <c r="BG51">
        <f t="shared" si="13"/>
        <v>0</v>
      </c>
      <c r="BH51">
        <f t="shared" si="14"/>
        <v>0</v>
      </c>
      <c r="BI51">
        <f t="shared" si="15"/>
        <v>0</v>
      </c>
      <c r="BJ51">
        <f t="shared" si="16"/>
        <v>0</v>
      </c>
      <c r="BK51">
        <f t="shared" si="17"/>
        <v>0</v>
      </c>
      <c r="BL51">
        <f t="shared" si="18"/>
        <v>0</v>
      </c>
      <c r="BM51">
        <f t="shared" si="19"/>
        <v>0</v>
      </c>
      <c r="BN51">
        <f t="shared" si="20"/>
        <v>0</v>
      </c>
    </row>
    <row r="52" spans="1:66" outlineLevel="1" x14ac:dyDescent="0.15">
      <c r="A52" s="8"/>
      <c r="B52" s="14" t="s">
        <v>82</v>
      </c>
      <c r="C52" s="15" t="s">
        <v>259</v>
      </c>
      <c r="D52" s="14">
        <v>3614251</v>
      </c>
      <c r="E52" s="16">
        <v>12</v>
      </c>
      <c r="F52" s="15">
        <v>1</v>
      </c>
      <c r="G52" s="15"/>
      <c r="I52" s="32" t="str">
        <f t="shared" si="0"/>
        <v>·</v>
      </c>
      <c r="J52" s="33" t="str">
        <f t="shared" si="1"/>
        <v>·</v>
      </c>
      <c r="K52" s="33" t="str">
        <f t="shared" si="2"/>
        <v>·</v>
      </c>
      <c r="L52" s="33" t="str">
        <f t="shared" si="3"/>
        <v>·</v>
      </c>
      <c r="M52" s="34"/>
      <c r="N52" s="33" t="str">
        <f t="shared" si="4"/>
        <v>·</v>
      </c>
      <c r="O52" s="35"/>
      <c r="P52" s="36"/>
      <c r="Q52" s="36"/>
      <c r="R52" s="36"/>
      <c r="S52" s="46"/>
      <c r="T52" s="47"/>
      <c r="U52" s="47"/>
      <c r="V52" s="47"/>
      <c r="W52" s="48"/>
      <c r="X52" s="52"/>
      <c r="Y52" s="52"/>
      <c r="AA52" s="32" t="str">
        <f t="shared" si="5"/>
        <v>·</v>
      </c>
      <c r="AB52" s="33" t="str">
        <f t="shared" si="6"/>
        <v>·</v>
      </c>
      <c r="AC52" s="33" t="str">
        <f t="shared" si="7"/>
        <v>·</v>
      </c>
      <c r="AD52" s="33" t="str">
        <f t="shared" si="8"/>
        <v>·</v>
      </c>
      <c r="AE52" s="34"/>
      <c r="AF52" s="33" t="str">
        <f t="shared" si="9"/>
        <v>·</v>
      </c>
      <c r="AG52" s="35"/>
      <c r="AH52" s="36"/>
      <c r="AI52" s="36"/>
      <c r="AJ52" s="36"/>
      <c r="AK52" s="46"/>
      <c r="AL52" s="47"/>
      <c r="AM52" s="47"/>
      <c r="AN52" s="47"/>
      <c r="AO52" s="48"/>
      <c r="AP52" s="52"/>
      <c r="AQ52" s="52"/>
      <c r="AS52" s="59" t="e">
        <f t="shared" si="10"/>
        <v>#DIV/0!</v>
      </c>
      <c r="AT52" s="59"/>
      <c r="AV52" s="60"/>
      <c r="AW52" s="60"/>
      <c r="AX52" s="60"/>
      <c r="AY52" s="64"/>
      <c r="BA52" s="60"/>
      <c r="BB52" s="60"/>
      <c r="BC52" s="60"/>
      <c r="BD52" s="64"/>
      <c r="BF52">
        <f t="shared" si="12"/>
        <v>0</v>
      </c>
      <c r="BG52">
        <f t="shared" si="13"/>
        <v>0</v>
      </c>
      <c r="BH52">
        <f t="shared" si="14"/>
        <v>0</v>
      </c>
      <c r="BI52">
        <f t="shared" si="15"/>
        <v>0</v>
      </c>
      <c r="BJ52">
        <f t="shared" si="16"/>
        <v>0</v>
      </c>
      <c r="BK52">
        <f t="shared" si="17"/>
        <v>0</v>
      </c>
      <c r="BL52">
        <f t="shared" si="18"/>
        <v>0</v>
      </c>
      <c r="BM52">
        <f t="shared" si="19"/>
        <v>0</v>
      </c>
      <c r="BN52">
        <f t="shared" si="20"/>
        <v>0</v>
      </c>
    </row>
    <row r="53" spans="1:66" x14ac:dyDescent="0.15">
      <c r="A53" s="5"/>
      <c r="B53" s="5" t="s">
        <v>85</v>
      </c>
      <c r="C53" s="6" t="s">
        <v>254</v>
      </c>
      <c r="D53" s="5">
        <v>13903516</v>
      </c>
      <c r="E53" s="7">
        <v>12</v>
      </c>
      <c r="F53" s="6">
        <v>1</v>
      </c>
      <c r="G53" s="6"/>
      <c r="I53" s="17" t="str">
        <f t="shared" si="0"/>
        <v>·</v>
      </c>
      <c r="J53" s="18" t="str">
        <f t="shared" si="1"/>
        <v>·</v>
      </c>
      <c r="K53" s="18" t="str">
        <f t="shared" si="2"/>
        <v>·</v>
      </c>
      <c r="L53" s="18" t="str">
        <f t="shared" si="3"/>
        <v>·</v>
      </c>
      <c r="M53" s="19"/>
      <c r="N53" s="18" t="str">
        <f t="shared" si="4"/>
        <v>·</v>
      </c>
      <c r="O53" s="20"/>
      <c r="P53" s="21"/>
      <c r="Q53" s="21"/>
      <c r="R53" s="21"/>
      <c r="S53" s="37"/>
      <c r="T53" s="38"/>
      <c r="U53" s="38"/>
      <c r="V53" s="38"/>
      <c r="W53" s="39"/>
      <c r="X53" s="49"/>
      <c r="Y53" s="49"/>
      <c r="AA53" s="17" t="str">
        <f t="shared" si="5"/>
        <v>·</v>
      </c>
      <c r="AB53" s="18" t="str">
        <f t="shared" si="6"/>
        <v>·</v>
      </c>
      <c r="AC53" s="18" t="str">
        <f t="shared" si="7"/>
        <v>·</v>
      </c>
      <c r="AD53" s="18" t="str">
        <f t="shared" si="8"/>
        <v>·</v>
      </c>
      <c r="AE53" s="19"/>
      <c r="AF53" s="18" t="str">
        <f t="shared" si="9"/>
        <v>·</v>
      </c>
      <c r="AG53" s="20"/>
      <c r="AH53" s="21"/>
      <c r="AI53" s="21"/>
      <c r="AJ53" s="21"/>
      <c r="AK53" s="37"/>
      <c r="AL53" s="38"/>
      <c r="AM53" s="38"/>
      <c r="AN53" s="38"/>
      <c r="AO53" s="39"/>
      <c r="AP53" s="49"/>
      <c r="AQ53" s="49"/>
      <c r="AS53" s="53" t="e">
        <f t="shared" si="10"/>
        <v>#DIV/0!</v>
      </c>
      <c r="AT53" s="53" t="e">
        <f t="array" ref="AT53">AVERAGE(AI53:AI58/AH53:AH58)-AVERAGE(Q53:Q58/P53:P58)</f>
        <v>#DIV/0!</v>
      </c>
      <c r="AV53" s="54" t="str">
        <f>IF(OR(ISBLANK(R53:R58),ISBLANK(AJ53:AJ58),ISBLANK(T53:T58),ISBLANK(AL53:AL58)),"·",bdRateExtend(R53:R58,T53:T58,AJ53:AJ58,AL53:AL58))</f>
        <v>·</v>
      </c>
      <c r="AW53" s="54" t="str">
        <f>IF(OR(ISBLANK(R53:R58),ISBLANK(AJ53:AJ58),ISBLANK(U53:U58),ISBLANK(AM53:AM58)),"·",bdRateExtend(R53:R58,U53:U58,AJ53:AJ58,AM53:AM58))</f>
        <v>·</v>
      </c>
      <c r="AX53" s="54" t="str">
        <f>IF(OR(ISBLANK(R53:R58),ISBLANK(AJ53:AJ58),ISBLANK(V53:V58),ISBLANK(AN53:AN58)),"·",bdRateExtend(R53:R58,V53:V58,AJ53:AJ58,AN53:AN58))</f>
        <v>·</v>
      </c>
      <c r="AY53" s="61"/>
      <c r="BA53" s="54" t="str">
        <f>IF(OR(ISBLANK(P53:P58),ISBLANK(AH53:AH58),ISBLANK(T53:T58),ISBLANK(AL53:AL58)),"·",bdRateExtend(P53:P58,T53:T58,AH53:AH58,AL53:AL58))</f>
        <v>·</v>
      </c>
      <c r="BB53" s="54" t="str">
        <f>IF(OR(ISBLANK(P53:P58),ISBLANK(AH53:AH58),ISBLANK(U53:U58),ISBLANK(AM53:AM58)),"·",bdRateExtend(P53:P58,U53:U58,AH53:AH58,AM53:AM58))</f>
        <v>·</v>
      </c>
      <c r="BC53" s="54" t="str">
        <f>IF(OR(ISBLANK(P53:P58),ISBLANK(AH53:AH58),ISBLANK(V53:V58),ISBLANK(AN53:AN58)),"·",bdRateExtend(P53:P58,V53:V58,AH53:AH58,AN53:AN58))</f>
        <v>·</v>
      </c>
      <c r="BD53" s="61"/>
      <c r="BF53">
        <f t="shared" si="12"/>
        <v>0</v>
      </c>
      <c r="BG53">
        <f t="shared" si="13"/>
        <v>0</v>
      </c>
      <c r="BH53">
        <f t="shared" si="14"/>
        <v>0</v>
      </c>
      <c r="BI53">
        <f t="shared" si="15"/>
        <v>0</v>
      </c>
      <c r="BJ53">
        <f t="shared" si="16"/>
        <v>0</v>
      </c>
      <c r="BK53">
        <f t="shared" si="17"/>
        <v>0</v>
      </c>
      <c r="BL53">
        <f t="shared" si="18"/>
        <v>0</v>
      </c>
      <c r="BM53">
        <f t="shared" si="19"/>
        <v>0</v>
      </c>
      <c r="BN53">
        <f t="shared" si="20"/>
        <v>0</v>
      </c>
    </row>
    <row r="54" spans="1:66" outlineLevel="1" x14ac:dyDescent="0.15">
      <c r="A54" s="8"/>
      <c r="B54" s="8" t="s">
        <v>85</v>
      </c>
      <c r="C54" s="9" t="s">
        <v>255</v>
      </c>
      <c r="D54" s="8">
        <v>13903516</v>
      </c>
      <c r="E54" s="10">
        <v>12</v>
      </c>
      <c r="F54" s="9">
        <v>1</v>
      </c>
      <c r="G54" s="9"/>
      <c r="I54" s="22" t="str">
        <f t="shared" si="0"/>
        <v>·</v>
      </c>
      <c r="J54" s="23" t="str">
        <f t="shared" si="1"/>
        <v>·</v>
      </c>
      <c r="K54" s="23" t="str">
        <f t="shared" si="2"/>
        <v>·</v>
      </c>
      <c r="L54" s="23" t="str">
        <f t="shared" si="3"/>
        <v>·</v>
      </c>
      <c r="M54" s="24"/>
      <c r="N54" s="23" t="str">
        <f t="shared" si="4"/>
        <v>·</v>
      </c>
      <c r="O54" s="25"/>
      <c r="P54" s="26"/>
      <c r="Q54" s="26"/>
      <c r="R54" s="26"/>
      <c r="S54" s="40"/>
      <c r="T54" s="41"/>
      <c r="U54" s="41"/>
      <c r="V54" s="41"/>
      <c r="W54" s="42"/>
      <c r="X54" s="50"/>
      <c r="Y54" s="50"/>
      <c r="AA54" s="22" t="str">
        <f t="shared" si="5"/>
        <v>·</v>
      </c>
      <c r="AB54" s="23" t="str">
        <f t="shared" si="6"/>
        <v>·</v>
      </c>
      <c r="AC54" s="23" t="str">
        <f t="shared" si="7"/>
        <v>·</v>
      </c>
      <c r="AD54" s="23" t="str">
        <f t="shared" si="8"/>
        <v>·</v>
      </c>
      <c r="AE54" s="24"/>
      <c r="AF54" s="23" t="str">
        <f t="shared" si="9"/>
        <v>·</v>
      </c>
      <c r="AG54" s="25"/>
      <c r="AH54" s="26"/>
      <c r="AI54" s="26"/>
      <c r="AJ54" s="26"/>
      <c r="AK54" s="40"/>
      <c r="AL54" s="41"/>
      <c r="AM54" s="41"/>
      <c r="AN54" s="41"/>
      <c r="AO54" s="42"/>
      <c r="AP54" s="50"/>
      <c r="AQ54" s="50"/>
      <c r="AS54" s="55" t="e">
        <f t="shared" si="10"/>
        <v>#DIV/0!</v>
      </c>
      <c r="AT54" s="55"/>
      <c r="AV54" s="56"/>
      <c r="AW54" s="56"/>
      <c r="AX54" s="56"/>
      <c r="AY54" s="62"/>
      <c r="BA54" s="56"/>
      <c r="BB54" s="56"/>
      <c r="BC54" s="56"/>
      <c r="BD54" s="62"/>
      <c r="BF54">
        <f t="shared" si="12"/>
        <v>0</v>
      </c>
      <c r="BG54">
        <f t="shared" si="13"/>
        <v>0</v>
      </c>
      <c r="BH54">
        <f t="shared" si="14"/>
        <v>0</v>
      </c>
      <c r="BI54">
        <f t="shared" si="15"/>
        <v>0</v>
      </c>
      <c r="BJ54">
        <f t="shared" si="16"/>
        <v>0</v>
      </c>
      <c r="BK54">
        <f t="shared" si="17"/>
        <v>0</v>
      </c>
      <c r="BL54">
        <f t="shared" si="18"/>
        <v>0</v>
      </c>
      <c r="BM54">
        <f t="shared" si="19"/>
        <v>0</v>
      </c>
      <c r="BN54">
        <f t="shared" si="20"/>
        <v>0</v>
      </c>
    </row>
    <row r="55" spans="1:66" outlineLevel="1" x14ac:dyDescent="0.15">
      <c r="A55" s="5"/>
      <c r="B55" s="5" t="s">
        <v>85</v>
      </c>
      <c r="C55" s="6" t="s">
        <v>256</v>
      </c>
      <c r="D55" s="5">
        <v>13903516</v>
      </c>
      <c r="E55" s="7">
        <v>12</v>
      </c>
      <c r="F55" s="6">
        <v>1</v>
      </c>
      <c r="G55" s="6"/>
      <c r="I55" s="17" t="str">
        <f t="shared" si="0"/>
        <v>·</v>
      </c>
      <c r="J55" s="18" t="str">
        <f t="shared" si="1"/>
        <v>·</v>
      </c>
      <c r="K55" s="18" t="str">
        <f t="shared" si="2"/>
        <v>·</v>
      </c>
      <c r="L55" s="18" t="str">
        <f t="shared" si="3"/>
        <v>·</v>
      </c>
      <c r="M55" s="19"/>
      <c r="N55" s="18" t="str">
        <f t="shared" si="4"/>
        <v>·</v>
      </c>
      <c r="O55" s="20"/>
      <c r="P55" s="21"/>
      <c r="Q55" s="21"/>
      <c r="R55" s="21"/>
      <c r="S55" s="37"/>
      <c r="T55" s="38"/>
      <c r="U55" s="38"/>
      <c r="V55" s="38"/>
      <c r="W55" s="39"/>
      <c r="X55" s="49"/>
      <c r="Y55" s="49"/>
      <c r="AA55" s="17" t="str">
        <f t="shared" si="5"/>
        <v>·</v>
      </c>
      <c r="AB55" s="18" t="str">
        <f t="shared" si="6"/>
        <v>·</v>
      </c>
      <c r="AC55" s="18" t="str">
        <f t="shared" si="7"/>
        <v>·</v>
      </c>
      <c r="AD55" s="18" t="str">
        <f t="shared" si="8"/>
        <v>·</v>
      </c>
      <c r="AE55" s="19"/>
      <c r="AF55" s="18" t="str">
        <f t="shared" si="9"/>
        <v>·</v>
      </c>
      <c r="AG55" s="20"/>
      <c r="AH55" s="21"/>
      <c r="AI55" s="21"/>
      <c r="AJ55" s="21"/>
      <c r="AK55" s="37"/>
      <c r="AL55" s="38"/>
      <c r="AM55" s="38"/>
      <c r="AN55" s="38"/>
      <c r="AO55" s="39"/>
      <c r="AP55" s="49"/>
      <c r="AQ55" s="49"/>
      <c r="AS55" s="53" t="e">
        <f t="shared" si="10"/>
        <v>#DIV/0!</v>
      </c>
      <c r="AT55" s="53"/>
      <c r="AV55" s="54"/>
      <c r="AW55" s="54"/>
      <c r="AX55" s="54"/>
      <c r="AY55" s="61"/>
      <c r="BA55" s="54"/>
      <c r="BB55" s="54"/>
      <c r="BC55" s="54"/>
      <c r="BD55" s="61"/>
      <c r="BF55">
        <f t="shared" si="12"/>
        <v>0</v>
      </c>
      <c r="BG55">
        <f t="shared" si="13"/>
        <v>0</v>
      </c>
      <c r="BH55">
        <f t="shared" si="14"/>
        <v>0</v>
      </c>
      <c r="BI55">
        <f t="shared" si="15"/>
        <v>0</v>
      </c>
      <c r="BJ55">
        <f t="shared" si="16"/>
        <v>0</v>
      </c>
      <c r="BK55">
        <f t="shared" si="17"/>
        <v>0</v>
      </c>
      <c r="BL55">
        <f t="shared" si="18"/>
        <v>0</v>
      </c>
      <c r="BM55">
        <f t="shared" si="19"/>
        <v>0</v>
      </c>
      <c r="BN55">
        <f t="shared" si="20"/>
        <v>0</v>
      </c>
    </row>
    <row r="56" spans="1:66" outlineLevel="1" x14ac:dyDescent="0.15">
      <c r="A56" s="8"/>
      <c r="B56" s="8" t="s">
        <v>85</v>
      </c>
      <c r="C56" s="9" t="s">
        <v>257</v>
      </c>
      <c r="D56" s="8">
        <v>13903516</v>
      </c>
      <c r="E56" s="10">
        <v>12</v>
      </c>
      <c r="F56" s="9">
        <v>1</v>
      </c>
      <c r="G56" s="9"/>
      <c r="I56" s="22" t="str">
        <f t="shared" si="0"/>
        <v>·</v>
      </c>
      <c r="J56" s="23" t="str">
        <f t="shared" si="1"/>
        <v>·</v>
      </c>
      <c r="K56" s="23" t="str">
        <f t="shared" si="2"/>
        <v>·</v>
      </c>
      <c r="L56" s="23" t="str">
        <f t="shared" si="3"/>
        <v>·</v>
      </c>
      <c r="M56" s="24"/>
      <c r="N56" s="23" t="str">
        <f t="shared" si="4"/>
        <v>·</v>
      </c>
      <c r="O56" s="25"/>
      <c r="P56" s="26"/>
      <c r="Q56" s="26"/>
      <c r="R56" s="26"/>
      <c r="S56" s="40"/>
      <c r="T56" s="41"/>
      <c r="U56" s="41"/>
      <c r="V56" s="41"/>
      <c r="W56" s="42"/>
      <c r="X56" s="50"/>
      <c r="Y56" s="50"/>
      <c r="AA56" s="22" t="str">
        <f t="shared" si="5"/>
        <v>·</v>
      </c>
      <c r="AB56" s="23" t="str">
        <f t="shared" si="6"/>
        <v>·</v>
      </c>
      <c r="AC56" s="23" t="str">
        <f t="shared" si="7"/>
        <v>·</v>
      </c>
      <c r="AD56" s="23" t="str">
        <f t="shared" si="8"/>
        <v>·</v>
      </c>
      <c r="AE56" s="24"/>
      <c r="AF56" s="23" t="str">
        <f t="shared" si="9"/>
        <v>·</v>
      </c>
      <c r="AG56" s="25"/>
      <c r="AH56" s="26"/>
      <c r="AI56" s="26"/>
      <c r="AJ56" s="26"/>
      <c r="AK56" s="40"/>
      <c r="AL56" s="41"/>
      <c r="AM56" s="41"/>
      <c r="AN56" s="41"/>
      <c r="AO56" s="42"/>
      <c r="AP56" s="50"/>
      <c r="AQ56" s="50"/>
      <c r="AS56" s="55" t="e">
        <f t="shared" si="10"/>
        <v>#DIV/0!</v>
      </c>
      <c r="AT56" s="55"/>
      <c r="AV56" s="56"/>
      <c r="AW56" s="56"/>
      <c r="AX56" s="56"/>
      <c r="AY56" s="62"/>
      <c r="BA56" s="56"/>
      <c r="BB56" s="56"/>
      <c r="BC56" s="56"/>
      <c r="BD56" s="62"/>
      <c r="BF56">
        <f t="shared" si="12"/>
        <v>0</v>
      </c>
      <c r="BG56">
        <f t="shared" si="13"/>
        <v>0</v>
      </c>
      <c r="BH56">
        <f t="shared" si="14"/>
        <v>0</v>
      </c>
      <c r="BI56">
        <f t="shared" si="15"/>
        <v>0</v>
      </c>
      <c r="BJ56">
        <f t="shared" si="16"/>
        <v>0</v>
      </c>
      <c r="BK56">
        <f t="shared" si="17"/>
        <v>0</v>
      </c>
      <c r="BL56">
        <f t="shared" si="18"/>
        <v>0</v>
      </c>
      <c r="BM56">
        <f t="shared" si="19"/>
        <v>0</v>
      </c>
      <c r="BN56">
        <f t="shared" si="20"/>
        <v>0</v>
      </c>
    </row>
    <row r="57" spans="1:66" outlineLevel="1" x14ac:dyDescent="0.15">
      <c r="A57" s="5"/>
      <c r="B57" s="5" t="s">
        <v>85</v>
      </c>
      <c r="C57" s="6" t="s">
        <v>258</v>
      </c>
      <c r="D57" s="5">
        <v>13903516</v>
      </c>
      <c r="E57" s="7">
        <v>12</v>
      </c>
      <c r="F57" s="6">
        <v>1</v>
      </c>
      <c r="G57" s="6"/>
      <c r="I57" s="17" t="str">
        <f t="shared" si="0"/>
        <v>·</v>
      </c>
      <c r="J57" s="18" t="str">
        <f t="shared" si="1"/>
        <v>·</v>
      </c>
      <c r="K57" s="18" t="str">
        <f t="shared" si="2"/>
        <v>·</v>
      </c>
      <c r="L57" s="18" t="str">
        <f t="shared" si="3"/>
        <v>·</v>
      </c>
      <c r="M57" s="19"/>
      <c r="N57" s="18" t="str">
        <f t="shared" si="4"/>
        <v>·</v>
      </c>
      <c r="O57" s="20"/>
      <c r="P57" s="21"/>
      <c r="Q57" s="21"/>
      <c r="R57" s="21"/>
      <c r="S57" s="37"/>
      <c r="T57" s="38"/>
      <c r="U57" s="38"/>
      <c r="V57" s="38"/>
      <c r="W57" s="39"/>
      <c r="X57" s="49"/>
      <c r="Y57" s="49"/>
      <c r="AA57" s="17" t="str">
        <f t="shared" si="5"/>
        <v>·</v>
      </c>
      <c r="AB57" s="18" t="str">
        <f t="shared" si="6"/>
        <v>·</v>
      </c>
      <c r="AC57" s="18" t="str">
        <f t="shared" si="7"/>
        <v>·</v>
      </c>
      <c r="AD57" s="18" t="str">
        <f t="shared" si="8"/>
        <v>·</v>
      </c>
      <c r="AE57" s="19"/>
      <c r="AF57" s="18" t="str">
        <f t="shared" si="9"/>
        <v>·</v>
      </c>
      <c r="AG57" s="20"/>
      <c r="AH57" s="21"/>
      <c r="AI57" s="21"/>
      <c r="AJ57" s="21"/>
      <c r="AK57" s="37"/>
      <c r="AL57" s="38"/>
      <c r="AM57" s="38"/>
      <c r="AN57" s="38"/>
      <c r="AO57" s="39"/>
      <c r="AP57" s="49"/>
      <c r="AQ57" s="49"/>
      <c r="AS57" s="53" t="e">
        <f t="shared" si="10"/>
        <v>#DIV/0!</v>
      </c>
      <c r="AT57" s="53"/>
      <c r="AV57" s="54"/>
      <c r="AW57" s="54"/>
      <c r="AX57" s="54"/>
      <c r="AY57" s="61"/>
      <c r="BA57" s="54"/>
      <c r="BB57" s="54"/>
      <c r="BC57" s="54"/>
      <c r="BD57" s="61"/>
      <c r="BF57">
        <f t="shared" si="12"/>
        <v>0</v>
      </c>
      <c r="BG57">
        <f t="shared" si="13"/>
        <v>0</v>
      </c>
      <c r="BH57">
        <f t="shared" si="14"/>
        <v>0</v>
      </c>
      <c r="BI57">
        <f t="shared" si="15"/>
        <v>0</v>
      </c>
      <c r="BJ57">
        <f t="shared" si="16"/>
        <v>0</v>
      </c>
      <c r="BK57">
        <f t="shared" si="17"/>
        <v>0</v>
      </c>
      <c r="BL57">
        <f t="shared" si="18"/>
        <v>0</v>
      </c>
      <c r="BM57">
        <f t="shared" si="19"/>
        <v>0</v>
      </c>
      <c r="BN57">
        <f t="shared" si="20"/>
        <v>0</v>
      </c>
    </row>
    <row r="58" spans="1:66" outlineLevel="1" x14ac:dyDescent="0.15">
      <c r="A58" s="8"/>
      <c r="B58" s="14" t="s">
        <v>85</v>
      </c>
      <c r="C58" s="15" t="s">
        <v>259</v>
      </c>
      <c r="D58" s="14">
        <v>13903516</v>
      </c>
      <c r="E58" s="16">
        <v>12</v>
      </c>
      <c r="F58" s="15">
        <v>1</v>
      </c>
      <c r="G58" s="15"/>
      <c r="I58" s="32" t="str">
        <f t="shared" si="0"/>
        <v>·</v>
      </c>
      <c r="J58" s="33" t="str">
        <f t="shared" si="1"/>
        <v>·</v>
      </c>
      <c r="K58" s="33" t="str">
        <f t="shared" si="2"/>
        <v>·</v>
      </c>
      <c r="L58" s="33" t="str">
        <f t="shared" si="3"/>
        <v>·</v>
      </c>
      <c r="M58" s="34"/>
      <c r="N58" s="33" t="str">
        <f t="shared" si="4"/>
        <v>·</v>
      </c>
      <c r="O58" s="35"/>
      <c r="P58" s="36"/>
      <c r="Q58" s="36"/>
      <c r="R58" s="36"/>
      <c r="S58" s="46"/>
      <c r="T58" s="47"/>
      <c r="U58" s="47"/>
      <c r="V58" s="47"/>
      <c r="W58" s="48"/>
      <c r="X58" s="52"/>
      <c r="Y58" s="52"/>
      <c r="AA58" s="32" t="str">
        <f t="shared" si="5"/>
        <v>·</v>
      </c>
      <c r="AB58" s="33" t="str">
        <f t="shared" si="6"/>
        <v>·</v>
      </c>
      <c r="AC58" s="33" t="str">
        <f t="shared" si="7"/>
        <v>·</v>
      </c>
      <c r="AD58" s="33" t="str">
        <f t="shared" si="8"/>
        <v>·</v>
      </c>
      <c r="AE58" s="34"/>
      <c r="AF58" s="33" t="str">
        <f t="shared" si="9"/>
        <v>·</v>
      </c>
      <c r="AG58" s="35"/>
      <c r="AH58" s="36"/>
      <c r="AI58" s="36"/>
      <c r="AJ58" s="36"/>
      <c r="AK58" s="46"/>
      <c r="AL58" s="47"/>
      <c r="AM58" s="47"/>
      <c r="AN58" s="47"/>
      <c r="AO58" s="48"/>
      <c r="AP58" s="52"/>
      <c r="AQ58" s="52"/>
      <c r="AS58" s="59" t="e">
        <f t="shared" si="10"/>
        <v>#DIV/0!</v>
      </c>
      <c r="AT58" s="59"/>
      <c r="AV58" s="60"/>
      <c r="AW58" s="60"/>
      <c r="AX58" s="60"/>
      <c r="AY58" s="64"/>
      <c r="BA58" s="60"/>
      <c r="BB58" s="60"/>
      <c r="BC58" s="60"/>
      <c r="BD58" s="64"/>
      <c r="BF58">
        <f t="shared" si="12"/>
        <v>0</v>
      </c>
      <c r="BG58">
        <f t="shared" si="13"/>
        <v>0</v>
      </c>
      <c r="BH58">
        <f t="shared" si="14"/>
        <v>0</v>
      </c>
      <c r="BI58">
        <f t="shared" si="15"/>
        <v>0</v>
      </c>
      <c r="BJ58">
        <f t="shared" si="16"/>
        <v>0</v>
      </c>
      <c r="BK58">
        <f t="shared" si="17"/>
        <v>0</v>
      </c>
      <c r="BL58">
        <f t="shared" si="18"/>
        <v>0</v>
      </c>
      <c r="BM58">
        <f t="shared" si="19"/>
        <v>0</v>
      </c>
      <c r="BN58">
        <f t="shared" si="20"/>
        <v>0</v>
      </c>
    </row>
    <row r="59" spans="1:66" x14ac:dyDescent="0.15">
      <c r="A59" s="5"/>
      <c r="B59" s="5" t="s">
        <v>88</v>
      </c>
      <c r="C59" s="6" t="s">
        <v>254</v>
      </c>
      <c r="D59" s="5">
        <v>4848745</v>
      </c>
      <c r="E59" s="7">
        <v>12</v>
      </c>
      <c r="F59" s="6">
        <v>1</v>
      </c>
      <c r="G59" s="6"/>
      <c r="I59" s="17" t="str">
        <f t="shared" si="0"/>
        <v>·</v>
      </c>
      <c r="J59" s="18" t="str">
        <f t="shared" si="1"/>
        <v>·</v>
      </c>
      <c r="K59" s="18" t="str">
        <f t="shared" si="2"/>
        <v>·</v>
      </c>
      <c r="L59" s="18" t="str">
        <f t="shared" si="3"/>
        <v>·</v>
      </c>
      <c r="M59" s="19"/>
      <c r="N59" s="18" t="str">
        <f t="shared" si="4"/>
        <v>·</v>
      </c>
      <c r="O59" s="20"/>
      <c r="P59" s="21"/>
      <c r="Q59" s="21"/>
      <c r="R59" s="21"/>
      <c r="S59" s="37"/>
      <c r="T59" s="38"/>
      <c r="U59" s="38"/>
      <c r="V59" s="38"/>
      <c r="W59" s="39"/>
      <c r="X59" s="49"/>
      <c r="Y59" s="49"/>
      <c r="AA59" s="17" t="str">
        <f t="shared" si="5"/>
        <v>·</v>
      </c>
      <c r="AB59" s="18" t="str">
        <f t="shared" si="6"/>
        <v>·</v>
      </c>
      <c r="AC59" s="18" t="str">
        <f t="shared" si="7"/>
        <v>·</v>
      </c>
      <c r="AD59" s="18" t="str">
        <f t="shared" si="8"/>
        <v>·</v>
      </c>
      <c r="AE59" s="19"/>
      <c r="AF59" s="18" t="str">
        <f t="shared" si="9"/>
        <v>·</v>
      </c>
      <c r="AG59" s="20"/>
      <c r="AH59" s="21"/>
      <c r="AI59" s="21"/>
      <c r="AJ59" s="21"/>
      <c r="AK59" s="37"/>
      <c r="AL59" s="38"/>
      <c r="AM59" s="38"/>
      <c r="AN59" s="38"/>
      <c r="AO59" s="39"/>
      <c r="AP59" s="49"/>
      <c r="AQ59" s="49"/>
      <c r="AS59" s="53" t="e">
        <f t="shared" si="10"/>
        <v>#DIV/0!</v>
      </c>
      <c r="AT59" s="53" t="e">
        <f t="array" ref="AT59">AVERAGE(AI59:AI64/AH59:AH64)-AVERAGE(Q59:Q64/P59:P64)</f>
        <v>#DIV/0!</v>
      </c>
      <c r="AV59" s="54" t="str">
        <f>IF(OR(ISBLANK(R59:R64),ISBLANK(AJ59:AJ64),ISBLANK(T59:T64),ISBLANK(AL59:AL64)),"·",bdRateExtend(R59:R64,T59:T64,AJ59:AJ64,AL59:AL64))</f>
        <v>·</v>
      </c>
      <c r="AW59" s="54" t="str">
        <f>IF(OR(ISBLANK(R59:R64),ISBLANK(AJ59:AJ64),ISBLANK(U59:U64),ISBLANK(AM59:AM64)),"·",bdRateExtend(R59:R64,U59:U64,AJ59:AJ64,AM59:AM64))</f>
        <v>·</v>
      </c>
      <c r="AX59" s="54" t="str">
        <f>IF(OR(ISBLANK(R59:R64),ISBLANK(AJ59:AJ64),ISBLANK(V59:V64),ISBLANK(AN59:AN64)),"·",bdRateExtend(R59:R64,V59:V64,AJ59:AJ64,AN59:AN64))</f>
        <v>·</v>
      </c>
      <c r="AY59" s="61"/>
      <c r="BA59" s="54" t="str">
        <f>IF(OR(ISBLANK(P59:P64),ISBLANK(AH59:AH64),ISBLANK(T59:T64),ISBLANK(AL59:AL64)),"·",bdRateExtend(P59:P64,T59:T64,AH59:AH64,AL59:AL64))</f>
        <v>·</v>
      </c>
      <c r="BB59" s="54" t="str">
        <f>IF(OR(ISBLANK(P59:P64),ISBLANK(AH59:AH64),ISBLANK(U59:U64),ISBLANK(AM59:AM64)),"·",bdRateExtend(P59:P64,U59:U64,AH59:AH64,AM59:AM64))</f>
        <v>·</v>
      </c>
      <c r="BC59" s="54" t="str">
        <f>IF(OR(ISBLANK(P59:P64),ISBLANK(AH59:AH64),ISBLANK(V59:V64),ISBLANK(AN59:AN64)),"·",bdRateExtend(P59:P64,V59:V64,AH59:AH64,AN59:AN64))</f>
        <v>·</v>
      </c>
      <c r="BD59" s="61"/>
      <c r="BF59">
        <f t="shared" si="12"/>
        <v>0</v>
      </c>
      <c r="BG59">
        <f t="shared" si="13"/>
        <v>0</v>
      </c>
      <c r="BH59">
        <f t="shared" si="14"/>
        <v>0</v>
      </c>
      <c r="BI59">
        <f t="shared" si="15"/>
        <v>0</v>
      </c>
      <c r="BJ59">
        <f t="shared" si="16"/>
        <v>0</v>
      </c>
      <c r="BK59">
        <f t="shared" si="17"/>
        <v>0</v>
      </c>
      <c r="BL59">
        <f t="shared" si="18"/>
        <v>0</v>
      </c>
      <c r="BM59">
        <f t="shared" si="19"/>
        <v>0</v>
      </c>
      <c r="BN59">
        <f t="shared" si="20"/>
        <v>0</v>
      </c>
    </row>
    <row r="60" spans="1:66" outlineLevel="1" x14ac:dyDescent="0.15">
      <c r="A60" s="8"/>
      <c r="B60" s="8" t="s">
        <v>88</v>
      </c>
      <c r="C60" s="9" t="s">
        <v>255</v>
      </c>
      <c r="D60" s="8">
        <v>4848745</v>
      </c>
      <c r="E60" s="10">
        <v>12</v>
      </c>
      <c r="F60" s="9">
        <v>1</v>
      </c>
      <c r="G60" s="9"/>
      <c r="I60" s="22" t="str">
        <f t="shared" si="0"/>
        <v>·</v>
      </c>
      <c r="J60" s="23" t="str">
        <f t="shared" si="1"/>
        <v>·</v>
      </c>
      <c r="K60" s="23" t="str">
        <f t="shared" si="2"/>
        <v>·</v>
      </c>
      <c r="L60" s="23" t="str">
        <f t="shared" si="3"/>
        <v>·</v>
      </c>
      <c r="M60" s="24"/>
      <c r="N60" s="23" t="str">
        <f t="shared" si="4"/>
        <v>·</v>
      </c>
      <c r="O60" s="25"/>
      <c r="P60" s="26"/>
      <c r="Q60" s="26"/>
      <c r="R60" s="26"/>
      <c r="S60" s="40"/>
      <c r="T60" s="41"/>
      <c r="U60" s="41"/>
      <c r="V60" s="41"/>
      <c r="W60" s="42"/>
      <c r="X60" s="50"/>
      <c r="Y60" s="50"/>
      <c r="AA60" s="22" t="str">
        <f t="shared" si="5"/>
        <v>·</v>
      </c>
      <c r="AB60" s="23" t="str">
        <f t="shared" si="6"/>
        <v>·</v>
      </c>
      <c r="AC60" s="23" t="str">
        <f t="shared" si="7"/>
        <v>·</v>
      </c>
      <c r="AD60" s="23" t="str">
        <f t="shared" si="8"/>
        <v>·</v>
      </c>
      <c r="AE60" s="24"/>
      <c r="AF60" s="23" t="str">
        <f t="shared" si="9"/>
        <v>·</v>
      </c>
      <c r="AG60" s="25"/>
      <c r="AH60" s="26"/>
      <c r="AI60" s="26"/>
      <c r="AJ60" s="26"/>
      <c r="AK60" s="40"/>
      <c r="AL60" s="41"/>
      <c r="AM60" s="41"/>
      <c r="AN60" s="41"/>
      <c r="AO60" s="42"/>
      <c r="AP60" s="50"/>
      <c r="AQ60" s="50"/>
      <c r="AS60" s="55" t="e">
        <f t="shared" si="10"/>
        <v>#DIV/0!</v>
      </c>
      <c r="AT60" s="55"/>
      <c r="AV60" s="56"/>
      <c r="AW60" s="56"/>
      <c r="AX60" s="56"/>
      <c r="AY60" s="62"/>
      <c r="BA60" s="56"/>
      <c r="BB60" s="56"/>
      <c r="BC60" s="56"/>
      <c r="BD60" s="62"/>
      <c r="BF60">
        <f t="shared" si="12"/>
        <v>0</v>
      </c>
      <c r="BG60">
        <f t="shared" si="13"/>
        <v>0</v>
      </c>
      <c r="BH60">
        <f t="shared" si="14"/>
        <v>0</v>
      </c>
      <c r="BI60">
        <f t="shared" si="15"/>
        <v>0</v>
      </c>
      <c r="BJ60">
        <f t="shared" si="16"/>
        <v>0</v>
      </c>
      <c r="BK60">
        <f t="shared" si="17"/>
        <v>0</v>
      </c>
      <c r="BL60">
        <f t="shared" si="18"/>
        <v>0</v>
      </c>
      <c r="BM60">
        <f t="shared" si="19"/>
        <v>0</v>
      </c>
      <c r="BN60">
        <f t="shared" si="20"/>
        <v>0</v>
      </c>
    </row>
    <row r="61" spans="1:66" outlineLevel="1" x14ac:dyDescent="0.15">
      <c r="A61" s="5"/>
      <c r="B61" s="5" t="s">
        <v>88</v>
      </c>
      <c r="C61" s="6" t="s">
        <v>256</v>
      </c>
      <c r="D61" s="5">
        <v>4848745</v>
      </c>
      <c r="E61" s="7">
        <v>12</v>
      </c>
      <c r="F61" s="6">
        <v>1</v>
      </c>
      <c r="G61" s="6"/>
      <c r="I61" s="17" t="str">
        <f t="shared" si="0"/>
        <v>·</v>
      </c>
      <c r="J61" s="18" t="str">
        <f t="shared" si="1"/>
        <v>·</v>
      </c>
      <c r="K61" s="18" t="str">
        <f t="shared" si="2"/>
        <v>·</v>
      </c>
      <c r="L61" s="18" t="str">
        <f t="shared" si="3"/>
        <v>·</v>
      </c>
      <c r="M61" s="19"/>
      <c r="N61" s="18" t="str">
        <f t="shared" si="4"/>
        <v>·</v>
      </c>
      <c r="O61" s="20"/>
      <c r="P61" s="21"/>
      <c r="Q61" s="21"/>
      <c r="R61" s="21"/>
      <c r="S61" s="37"/>
      <c r="T61" s="38"/>
      <c r="U61" s="38"/>
      <c r="V61" s="38"/>
      <c r="W61" s="39"/>
      <c r="X61" s="49"/>
      <c r="Y61" s="49"/>
      <c r="AA61" s="17" t="str">
        <f t="shared" si="5"/>
        <v>·</v>
      </c>
      <c r="AB61" s="18" t="str">
        <f t="shared" si="6"/>
        <v>·</v>
      </c>
      <c r="AC61" s="18" t="str">
        <f t="shared" si="7"/>
        <v>·</v>
      </c>
      <c r="AD61" s="18" t="str">
        <f t="shared" si="8"/>
        <v>·</v>
      </c>
      <c r="AE61" s="19"/>
      <c r="AF61" s="18" t="str">
        <f t="shared" si="9"/>
        <v>·</v>
      </c>
      <c r="AG61" s="20"/>
      <c r="AH61" s="21"/>
      <c r="AI61" s="21"/>
      <c r="AJ61" s="21"/>
      <c r="AK61" s="37"/>
      <c r="AL61" s="38"/>
      <c r="AM61" s="38"/>
      <c r="AN61" s="38"/>
      <c r="AO61" s="39"/>
      <c r="AP61" s="49"/>
      <c r="AQ61" s="49"/>
      <c r="AS61" s="53" t="e">
        <f t="shared" si="10"/>
        <v>#DIV/0!</v>
      </c>
      <c r="AT61" s="53"/>
      <c r="AV61" s="54"/>
      <c r="AW61" s="54"/>
      <c r="AX61" s="54"/>
      <c r="AY61" s="61"/>
      <c r="BA61" s="54"/>
      <c r="BB61" s="54"/>
      <c r="BC61" s="54"/>
      <c r="BD61" s="61"/>
      <c r="BF61">
        <f t="shared" si="12"/>
        <v>0</v>
      </c>
      <c r="BG61">
        <f t="shared" si="13"/>
        <v>0</v>
      </c>
      <c r="BH61">
        <f t="shared" si="14"/>
        <v>0</v>
      </c>
      <c r="BI61">
        <f t="shared" si="15"/>
        <v>0</v>
      </c>
      <c r="BJ61">
        <f t="shared" si="16"/>
        <v>0</v>
      </c>
      <c r="BK61">
        <f t="shared" si="17"/>
        <v>0</v>
      </c>
      <c r="BL61">
        <f t="shared" si="18"/>
        <v>0</v>
      </c>
      <c r="BM61">
        <f t="shared" si="19"/>
        <v>0</v>
      </c>
      <c r="BN61">
        <f t="shared" si="20"/>
        <v>0</v>
      </c>
    </row>
    <row r="62" spans="1:66" outlineLevel="1" x14ac:dyDescent="0.15">
      <c r="A62" s="8"/>
      <c r="B62" s="8" t="s">
        <v>88</v>
      </c>
      <c r="C62" s="9" t="s">
        <v>257</v>
      </c>
      <c r="D62" s="8">
        <v>4848745</v>
      </c>
      <c r="E62" s="10">
        <v>12</v>
      </c>
      <c r="F62" s="9">
        <v>1</v>
      </c>
      <c r="G62" s="9"/>
      <c r="I62" s="22" t="str">
        <f t="shared" si="0"/>
        <v>·</v>
      </c>
      <c r="J62" s="23" t="str">
        <f t="shared" si="1"/>
        <v>·</v>
      </c>
      <c r="K62" s="23" t="str">
        <f t="shared" si="2"/>
        <v>·</v>
      </c>
      <c r="L62" s="23" t="str">
        <f t="shared" si="3"/>
        <v>·</v>
      </c>
      <c r="M62" s="24"/>
      <c r="N62" s="23" t="str">
        <f t="shared" si="4"/>
        <v>·</v>
      </c>
      <c r="O62" s="25"/>
      <c r="P62" s="26"/>
      <c r="Q62" s="26"/>
      <c r="R62" s="26"/>
      <c r="S62" s="40"/>
      <c r="T62" s="41"/>
      <c r="U62" s="41"/>
      <c r="V62" s="41"/>
      <c r="W62" s="42"/>
      <c r="X62" s="50"/>
      <c r="Y62" s="50"/>
      <c r="AA62" s="22" t="str">
        <f t="shared" si="5"/>
        <v>·</v>
      </c>
      <c r="AB62" s="23" t="str">
        <f t="shared" si="6"/>
        <v>·</v>
      </c>
      <c r="AC62" s="23" t="str">
        <f t="shared" si="7"/>
        <v>·</v>
      </c>
      <c r="AD62" s="23" t="str">
        <f t="shared" si="8"/>
        <v>·</v>
      </c>
      <c r="AE62" s="24"/>
      <c r="AF62" s="23" t="str">
        <f t="shared" si="9"/>
        <v>·</v>
      </c>
      <c r="AG62" s="25"/>
      <c r="AH62" s="26"/>
      <c r="AI62" s="26"/>
      <c r="AJ62" s="26"/>
      <c r="AK62" s="40"/>
      <c r="AL62" s="41"/>
      <c r="AM62" s="41"/>
      <c r="AN62" s="41"/>
      <c r="AO62" s="42"/>
      <c r="AP62" s="50"/>
      <c r="AQ62" s="50"/>
      <c r="AS62" s="55" t="e">
        <f t="shared" si="10"/>
        <v>#DIV/0!</v>
      </c>
      <c r="AT62" s="55"/>
      <c r="AV62" s="56"/>
      <c r="AW62" s="56"/>
      <c r="AX62" s="56"/>
      <c r="AY62" s="62"/>
      <c r="BA62" s="56"/>
      <c r="BB62" s="56"/>
      <c r="BC62" s="56"/>
      <c r="BD62" s="62"/>
      <c r="BF62">
        <f t="shared" si="12"/>
        <v>0</v>
      </c>
      <c r="BG62">
        <f t="shared" si="13"/>
        <v>0</v>
      </c>
      <c r="BH62">
        <f t="shared" si="14"/>
        <v>0</v>
      </c>
      <c r="BI62">
        <f t="shared" si="15"/>
        <v>0</v>
      </c>
      <c r="BJ62">
        <f t="shared" si="16"/>
        <v>0</v>
      </c>
      <c r="BK62">
        <f t="shared" si="17"/>
        <v>0</v>
      </c>
      <c r="BL62">
        <f t="shared" si="18"/>
        <v>0</v>
      </c>
      <c r="BM62">
        <f t="shared" si="19"/>
        <v>0</v>
      </c>
      <c r="BN62">
        <f t="shared" si="20"/>
        <v>0</v>
      </c>
    </row>
    <row r="63" spans="1:66" outlineLevel="1" x14ac:dyDescent="0.15">
      <c r="A63" s="5"/>
      <c r="B63" s="5" t="s">
        <v>88</v>
      </c>
      <c r="C63" s="6" t="s">
        <v>258</v>
      </c>
      <c r="D63" s="5">
        <v>4848745</v>
      </c>
      <c r="E63" s="7">
        <v>12</v>
      </c>
      <c r="F63" s="6">
        <v>1</v>
      </c>
      <c r="G63" s="6"/>
      <c r="I63" s="17" t="str">
        <f t="shared" si="0"/>
        <v>·</v>
      </c>
      <c r="J63" s="18" t="str">
        <f t="shared" si="1"/>
        <v>·</v>
      </c>
      <c r="K63" s="18" t="str">
        <f t="shared" si="2"/>
        <v>·</v>
      </c>
      <c r="L63" s="18" t="str">
        <f t="shared" si="3"/>
        <v>·</v>
      </c>
      <c r="M63" s="19"/>
      <c r="N63" s="18" t="str">
        <f t="shared" si="4"/>
        <v>·</v>
      </c>
      <c r="O63" s="20"/>
      <c r="P63" s="21"/>
      <c r="Q63" s="21"/>
      <c r="R63" s="21"/>
      <c r="S63" s="37"/>
      <c r="T63" s="38"/>
      <c r="U63" s="38"/>
      <c r="V63" s="38"/>
      <c r="W63" s="39"/>
      <c r="X63" s="49"/>
      <c r="Y63" s="49"/>
      <c r="AA63" s="17" t="str">
        <f t="shared" si="5"/>
        <v>·</v>
      </c>
      <c r="AB63" s="18" t="str">
        <f t="shared" si="6"/>
        <v>·</v>
      </c>
      <c r="AC63" s="18" t="str">
        <f t="shared" si="7"/>
        <v>·</v>
      </c>
      <c r="AD63" s="18" t="str">
        <f t="shared" si="8"/>
        <v>·</v>
      </c>
      <c r="AE63" s="19"/>
      <c r="AF63" s="18" t="str">
        <f t="shared" si="9"/>
        <v>·</v>
      </c>
      <c r="AG63" s="20"/>
      <c r="AH63" s="21"/>
      <c r="AI63" s="21"/>
      <c r="AJ63" s="21"/>
      <c r="AK63" s="37"/>
      <c r="AL63" s="38"/>
      <c r="AM63" s="38"/>
      <c r="AN63" s="38"/>
      <c r="AO63" s="39"/>
      <c r="AP63" s="49"/>
      <c r="AQ63" s="49"/>
      <c r="AS63" s="53" t="e">
        <f t="shared" si="10"/>
        <v>#DIV/0!</v>
      </c>
      <c r="AT63" s="53"/>
      <c r="AV63" s="54"/>
      <c r="AW63" s="54"/>
      <c r="AX63" s="54"/>
      <c r="AY63" s="61"/>
      <c r="BA63" s="54"/>
      <c r="BB63" s="54"/>
      <c r="BC63" s="54"/>
      <c r="BD63" s="61"/>
      <c r="BF63">
        <f t="shared" si="12"/>
        <v>0</v>
      </c>
      <c r="BG63">
        <f t="shared" si="13"/>
        <v>0</v>
      </c>
      <c r="BH63">
        <f t="shared" si="14"/>
        <v>0</v>
      </c>
      <c r="BI63">
        <f t="shared" si="15"/>
        <v>0</v>
      </c>
      <c r="BJ63">
        <f t="shared" si="16"/>
        <v>0</v>
      </c>
      <c r="BK63">
        <f t="shared" si="17"/>
        <v>0</v>
      </c>
      <c r="BL63">
        <f t="shared" si="18"/>
        <v>0</v>
      </c>
      <c r="BM63">
        <f t="shared" si="19"/>
        <v>0</v>
      </c>
      <c r="BN63">
        <f t="shared" si="20"/>
        <v>0</v>
      </c>
    </row>
    <row r="64" spans="1:66" outlineLevel="1" x14ac:dyDescent="0.15">
      <c r="A64" s="8"/>
      <c r="B64" s="14" t="s">
        <v>88</v>
      </c>
      <c r="C64" s="15" t="s">
        <v>259</v>
      </c>
      <c r="D64" s="14">
        <v>4848745</v>
      </c>
      <c r="E64" s="16">
        <v>12</v>
      </c>
      <c r="F64" s="15">
        <v>1</v>
      </c>
      <c r="G64" s="15"/>
      <c r="I64" s="32" t="str">
        <f t="shared" si="0"/>
        <v>·</v>
      </c>
      <c r="J64" s="33" t="str">
        <f t="shared" si="1"/>
        <v>·</v>
      </c>
      <c r="K64" s="33" t="str">
        <f t="shared" si="2"/>
        <v>·</v>
      </c>
      <c r="L64" s="33" t="str">
        <f t="shared" si="3"/>
        <v>·</v>
      </c>
      <c r="M64" s="34"/>
      <c r="N64" s="33" t="str">
        <f t="shared" si="4"/>
        <v>·</v>
      </c>
      <c r="O64" s="35"/>
      <c r="P64" s="36"/>
      <c r="Q64" s="36"/>
      <c r="R64" s="36"/>
      <c r="S64" s="46"/>
      <c r="T64" s="47"/>
      <c r="U64" s="47"/>
      <c r="V64" s="47"/>
      <c r="W64" s="48"/>
      <c r="X64" s="52"/>
      <c r="Y64" s="52"/>
      <c r="AA64" s="32" t="str">
        <f t="shared" si="5"/>
        <v>·</v>
      </c>
      <c r="AB64" s="33" t="str">
        <f t="shared" si="6"/>
        <v>·</v>
      </c>
      <c r="AC64" s="33" t="str">
        <f t="shared" si="7"/>
        <v>·</v>
      </c>
      <c r="AD64" s="33" t="str">
        <f t="shared" si="8"/>
        <v>·</v>
      </c>
      <c r="AE64" s="34"/>
      <c r="AF64" s="33" t="str">
        <f t="shared" si="9"/>
        <v>·</v>
      </c>
      <c r="AG64" s="35"/>
      <c r="AH64" s="36"/>
      <c r="AI64" s="36"/>
      <c r="AJ64" s="36"/>
      <c r="AK64" s="46"/>
      <c r="AL64" s="47"/>
      <c r="AM64" s="47"/>
      <c r="AN64" s="47"/>
      <c r="AO64" s="48"/>
      <c r="AP64" s="52"/>
      <c r="AQ64" s="52"/>
      <c r="AS64" s="59" t="e">
        <f t="shared" si="10"/>
        <v>#DIV/0!</v>
      </c>
      <c r="AT64" s="59"/>
      <c r="AV64" s="60"/>
      <c r="AW64" s="60"/>
      <c r="AX64" s="60"/>
      <c r="AY64" s="64"/>
      <c r="BA64" s="60"/>
      <c r="BB64" s="60"/>
      <c r="BC64" s="60"/>
      <c r="BD64" s="64"/>
      <c r="BF64">
        <f t="shared" si="12"/>
        <v>0</v>
      </c>
      <c r="BG64">
        <f t="shared" si="13"/>
        <v>0</v>
      </c>
      <c r="BH64">
        <f t="shared" si="14"/>
        <v>0</v>
      </c>
      <c r="BI64">
        <f t="shared" si="15"/>
        <v>0</v>
      </c>
      <c r="BJ64">
        <f t="shared" si="16"/>
        <v>0</v>
      </c>
      <c r="BK64">
        <f t="shared" si="17"/>
        <v>0</v>
      </c>
      <c r="BL64">
        <f t="shared" si="18"/>
        <v>0</v>
      </c>
      <c r="BM64">
        <f t="shared" si="19"/>
        <v>0</v>
      </c>
      <c r="BN64">
        <f t="shared" si="20"/>
        <v>0</v>
      </c>
    </row>
    <row r="65" spans="1:66" x14ac:dyDescent="0.15">
      <c r="A65" s="5"/>
      <c r="B65" s="5" t="s">
        <v>91</v>
      </c>
      <c r="C65" s="6" t="s">
        <v>254</v>
      </c>
      <c r="D65" s="5">
        <v>3096122</v>
      </c>
      <c r="E65" s="7">
        <v>12</v>
      </c>
      <c r="F65" s="6">
        <v>1</v>
      </c>
      <c r="G65" s="6"/>
      <c r="I65" s="17" t="str">
        <f t="shared" si="0"/>
        <v>·</v>
      </c>
      <c r="J65" s="18" t="str">
        <f t="shared" si="1"/>
        <v>·</v>
      </c>
      <c r="K65" s="18" t="str">
        <f t="shared" si="2"/>
        <v>·</v>
      </c>
      <c r="L65" s="18" t="str">
        <f t="shared" si="3"/>
        <v>·</v>
      </c>
      <c r="M65" s="19"/>
      <c r="N65" s="18" t="str">
        <f t="shared" si="4"/>
        <v>·</v>
      </c>
      <c r="O65" s="20"/>
      <c r="P65" s="21"/>
      <c r="Q65" s="21"/>
      <c r="R65" s="21"/>
      <c r="S65" s="37"/>
      <c r="T65" s="38"/>
      <c r="U65" s="38"/>
      <c r="V65" s="38"/>
      <c r="W65" s="39"/>
      <c r="X65" s="49"/>
      <c r="Y65" s="49"/>
      <c r="AA65" s="17" t="str">
        <f t="shared" si="5"/>
        <v>·</v>
      </c>
      <c r="AB65" s="18" t="str">
        <f t="shared" si="6"/>
        <v>·</v>
      </c>
      <c r="AC65" s="18" t="str">
        <f t="shared" si="7"/>
        <v>·</v>
      </c>
      <c r="AD65" s="18" t="str">
        <f t="shared" si="8"/>
        <v>·</v>
      </c>
      <c r="AE65" s="19"/>
      <c r="AF65" s="18" t="str">
        <f t="shared" si="9"/>
        <v>·</v>
      </c>
      <c r="AG65" s="20"/>
      <c r="AH65" s="21"/>
      <c r="AI65" s="21"/>
      <c r="AJ65" s="21"/>
      <c r="AK65" s="37"/>
      <c r="AL65" s="38"/>
      <c r="AM65" s="38"/>
      <c r="AN65" s="38"/>
      <c r="AO65" s="39"/>
      <c r="AP65" s="49"/>
      <c r="AQ65" s="49"/>
      <c r="AS65" s="53" t="e">
        <f t="shared" si="10"/>
        <v>#DIV/0!</v>
      </c>
      <c r="AT65" s="53" t="e">
        <f t="array" ref="AT65">AVERAGE(AI65:AI70/AH65:AH70)-AVERAGE(Q65:Q70/P65:P70)</f>
        <v>#DIV/0!</v>
      </c>
      <c r="AV65" s="54" t="str">
        <f>IF(OR(ISBLANK(R65:R70),ISBLANK(AJ65:AJ70),ISBLANK(T65:T70),ISBLANK(AL65:AL70)),"·",bdRateExtend(R65:R70,T65:T70,AJ65:AJ70,AL65:AL70))</f>
        <v>·</v>
      </c>
      <c r="AW65" s="54" t="str">
        <f>IF(OR(ISBLANK(R65:R70),ISBLANK(AJ65:AJ70),ISBLANK(U65:U70),ISBLANK(AM65:AM70)),"·",bdRateExtend(R65:R70,U65:U70,AJ65:AJ70,AM65:AM70))</f>
        <v>·</v>
      </c>
      <c r="AX65" s="54" t="str">
        <f>IF(OR(ISBLANK(R65:R70),ISBLANK(AJ65:AJ70),ISBLANK(V65:V70),ISBLANK(AN65:AN70)),"·",bdRateExtend(R65:R70,V65:V70,AJ65:AJ70,AN65:AN70))</f>
        <v>·</v>
      </c>
      <c r="AY65" s="61"/>
      <c r="BA65" s="54" t="str">
        <f>IF(OR(ISBLANK(P65:P70),ISBLANK(AH65:AH70),ISBLANK(T65:T70),ISBLANK(AL65:AL70)),"·",bdRateExtend(P65:P70,T65:T70,AH65:AH70,AL65:AL70))</f>
        <v>·</v>
      </c>
      <c r="BB65" s="54" t="str">
        <f>IF(OR(ISBLANK(P65:P70),ISBLANK(AH65:AH70),ISBLANK(U65:U70),ISBLANK(AM65:AM70)),"·",bdRateExtend(P65:P70,U65:U70,AH65:AH70,AM65:AM70))</f>
        <v>·</v>
      </c>
      <c r="BC65" s="54" t="str">
        <f>IF(OR(ISBLANK(P65:P70),ISBLANK(AH65:AH70),ISBLANK(V65:V70),ISBLANK(AN65:AN70)),"·",bdRateExtend(P65:P70,V65:V70,AH65:AH70,AN65:AN70))</f>
        <v>·</v>
      </c>
      <c r="BD65" s="61"/>
      <c r="BF65">
        <f t="shared" si="12"/>
        <v>0</v>
      </c>
      <c r="BG65">
        <f t="shared" si="13"/>
        <v>0</v>
      </c>
      <c r="BH65">
        <f t="shared" si="14"/>
        <v>0</v>
      </c>
      <c r="BI65">
        <f t="shared" si="15"/>
        <v>0</v>
      </c>
      <c r="BJ65">
        <f t="shared" si="16"/>
        <v>0</v>
      </c>
      <c r="BK65">
        <f t="shared" si="17"/>
        <v>0</v>
      </c>
      <c r="BL65">
        <f t="shared" si="18"/>
        <v>0</v>
      </c>
      <c r="BM65">
        <f t="shared" si="19"/>
        <v>0</v>
      </c>
      <c r="BN65">
        <f t="shared" si="20"/>
        <v>0</v>
      </c>
    </row>
    <row r="66" spans="1:66" outlineLevel="1" x14ac:dyDescent="0.15">
      <c r="A66" s="8"/>
      <c r="B66" s="8" t="s">
        <v>91</v>
      </c>
      <c r="C66" s="9" t="s">
        <v>255</v>
      </c>
      <c r="D66" s="8">
        <v>3096122</v>
      </c>
      <c r="E66" s="10">
        <v>12</v>
      </c>
      <c r="F66" s="9">
        <v>1</v>
      </c>
      <c r="G66" s="9"/>
      <c r="I66" s="22" t="str">
        <f t="shared" si="0"/>
        <v>·</v>
      </c>
      <c r="J66" s="23" t="str">
        <f t="shared" si="1"/>
        <v>·</v>
      </c>
      <c r="K66" s="23" t="str">
        <f t="shared" si="2"/>
        <v>·</v>
      </c>
      <c r="L66" s="23" t="str">
        <f t="shared" si="3"/>
        <v>·</v>
      </c>
      <c r="M66" s="24"/>
      <c r="N66" s="23" t="str">
        <f t="shared" si="4"/>
        <v>·</v>
      </c>
      <c r="O66" s="25"/>
      <c r="P66" s="26"/>
      <c r="Q66" s="26"/>
      <c r="R66" s="26"/>
      <c r="S66" s="40"/>
      <c r="T66" s="41"/>
      <c r="U66" s="41"/>
      <c r="V66" s="41"/>
      <c r="W66" s="42"/>
      <c r="X66" s="50"/>
      <c r="Y66" s="50"/>
      <c r="AA66" s="22" t="str">
        <f t="shared" si="5"/>
        <v>·</v>
      </c>
      <c r="AB66" s="23" t="str">
        <f t="shared" si="6"/>
        <v>·</v>
      </c>
      <c r="AC66" s="23" t="str">
        <f t="shared" si="7"/>
        <v>·</v>
      </c>
      <c r="AD66" s="23" t="str">
        <f t="shared" si="8"/>
        <v>·</v>
      </c>
      <c r="AE66" s="24"/>
      <c r="AF66" s="23" t="str">
        <f t="shared" si="9"/>
        <v>·</v>
      </c>
      <c r="AG66" s="25"/>
      <c r="AH66" s="26"/>
      <c r="AI66" s="26"/>
      <c r="AJ66" s="26"/>
      <c r="AK66" s="40"/>
      <c r="AL66" s="41"/>
      <c r="AM66" s="41"/>
      <c r="AN66" s="41"/>
      <c r="AO66" s="42"/>
      <c r="AP66" s="50"/>
      <c r="AQ66" s="50"/>
      <c r="AS66" s="55" t="e">
        <f t="shared" si="10"/>
        <v>#DIV/0!</v>
      </c>
      <c r="AT66" s="55"/>
      <c r="AV66" s="56"/>
      <c r="AW66" s="56"/>
      <c r="AX66" s="56"/>
      <c r="AY66" s="62"/>
      <c r="BA66" s="56"/>
      <c r="BB66" s="56"/>
      <c r="BC66" s="56"/>
      <c r="BD66" s="62"/>
      <c r="BF66">
        <f t="shared" si="12"/>
        <v>0</v>
      </c>
      <c r="BG66">
        <f t="shared" si="13"/>
        <v>0</v>
      </c>
      <c r="BH66">
        <f t="shared" si="14"/>
        <v>0</v>
      </c>
      <c r="BI66">
        <f t="shared" si="15"/>
        <v>0</v>
      </c>
      <c r="BJ66">
        <f t="shared" si="16"/>
        <v>0</v>
      </c>
      <c r="BK66">
        <f t="shared" si="17"/>
        <v>0</v>
      </c>
      <c r="BL66">
        <f t="shared" si="18"/>
        <v>0</v>
      </c>
      <c r="BM66">
        <f t="shared" si="19"/>
        <v>0</v>
      </c>
      <c r="BN66">
        <f t="shared" si="20"/>
        <v>0</v>
      </c>
    </row>
    <row r="67" spans="1:66" outlineLevel="1" x14ac:dyDescent="0.15">
      <c r="A67" s="5"/>
      <c r="B67" s="5" t="s">
        <v>91</v>
      </c>
      <c r="C67" s="6" t="s">
        <v>256</v>
      </c>
      <c r="D67" s="5">
        <v>3096122</v>
      </c>
      <c r="E67" s="7">
        <v>12</v>
      </c>
      <c r="F67" s="6">
        <v>1</v>
      </c>
      <c r="G67" s="6"/>
      <c r="I67" s="17" t="str">
        <f t="shared" si="0"/>
        <v>·</v>
      </c>
      <c r="J67" s="18" t="str">
        <f t="shared" si="1"/>
        <v>·</v>
      </c>
      <c r="K67" s="18" t="str">
        <f t="shared" si="2"/>
        <v>·</v>
      </c>
      <c r="L67" s="18" t="str">
        <f t="shared" si="3"/>
        <v>·</v>
      </c>
      <c r="M67" s="19"/>
      <c r="N67" s="18" t="str">
        <f t="shared" si="4"/>
        <v>·</v>
      </c>
      <c r="O67" s="20"/>
      <c r="P67" s="21"/>
      <c r="Q67" s="21"/>
      <c r="R67" s="21"/>
      <c r="S67" s="37"/>
      <c r="T67" s="38"/>
      <c r="U67" s="38"/>
      <c r="V67" s="38"/>
      <c r="W67" s="39"/>
      <c r="X67" s="49"/>
      <c r="Y67" s="49"/>
      <c r="AA67" s="17" t="str">
        <f t="shared" si="5"/>
        <v>·</v>
      </c>
      <c r="AB67" s="18" t="str">
        <f t="shared" si="6"/>
        <v>·</v>
      </c>
      <c r="AC67" s="18" t="str">
        <f t="shared" si="7"/>
        <v>·</v>
      </c>
      <c r="AD67" s="18" t="str">
        <f t="shared" si="8"/>
        <v>·</v>
      </c>
      <c r="AE67" s="19"/>
      <c r="AF67" s="18" t="str">
        <f t="shared" si="9"/>
        <v>·</v>
      </c>
      <c r="AG67" s="20"/>
      <c r="AH67" s="21"/>
      <c r="AI67" s="21"/>
      <c r="AJ67" s="21"/>
      <c r="AK67" s="37"/>
      <c r="AL67" s="38"/>
      <c r="AM67" s="38"/>
      <c r="AN67" s="38"/>
      <c r="AO67" s="39"/>
      <c r="AP67" s="49"/>
      <c r="AQ67" s="49"/>
      <c r="AS67" s="53" t="e">
        <f t="shared" si="10"/>
        <v>#DIV/0!</v>
      </c>
      <c r="AT67" s="53"/>
      <c r="AV67" s="54"/>
      <c r="AW67" s="54"/>
      <c r="AX67" s="54"/>
      <c r="AY67" s="61"/>
      <c r="BA67" s="54"/>
      <c r="BB67" s="54"/>
      <c r="BC67" s="54"/>
      <c r="BD67" s="61"/>
      <c r="BF67">
        <f t="shared" si="12"/>
        <v>0</v>
      </c>
      <c r="BG67">
        <f t="shared" si="13"/>
        <v>0</v>
      </c>
      <c r="BH67">
        <f t="shared" si="14"/>
        <v>0</v>
      </c>
      <c r="BI67">
        <f t="shared" si="15"/>
        <v>0</v>
      </c>
      <c r="BJ67">
        <f t="shared" si="16"/>
        <v>0</v>
      </c>
      <c r="BK67">
        <f t="shared" si="17"/>
        <v>0</v>
      </c>
      <c r="BL67">
        <f t="shared" si="18"/>
        <v>0</v>
      </c>
      <c r="BM67">
        <f t="shared" si="19"/>
        <v>0</v>
      </c>
      <c r="BN67">
        <f t="shared" si="20"/>
        <v>0</v>
      </c>
    </row>
    <row r="68" spans="1:66" outlineLevel="1" x14ac:dyDescent="0.15">
      <c r="A68" s="8"/>
      <c r="B68" s="8" t="s">
        <v>91</v>
      </c>
      <c r="C68" s="9" t="s">
        <v>257</v>
      </c>
      <c r="D68" s="8">
        <v>3096122</v>
      </c>
      <c r="E68" s="10">
        <v>12</v>
      </c>
      <c r="F68" s="9">
        <v>1</v>
      </c>
      <c r="G68" s="9"/>
      <c r="I68" s="22" t="str">
        <f t="shared" si="0"/>
        <v>·</v>
      </c>
      <c r="J68" s="23" t="str">
        <f t="shared" si="1"/>
        <v>·</v>
      </c>
      <c r="K68" s="23" t="str">
        <f t="shared" si="2"/>
        <v>·</v>
      </c>
      <c r="L68" s="23" t="str">
        <f t="shared" si="3"/>
        <v>·</v>
      </c>
      <c r="M68" s="24"/>
      <c r="N68" s="23" t="str">
        <f t="shared" si="4"/>
        <v>·</v>
      </c>
      <c r="O68" s="25"/>
      <c r="P68" s="26"/>
      <c r="Q68" s="26"/>
      <c r="R68" s="26"/>
      <c r="S68" s="40"/>
      <c r="T68" s="41"/>
      <c r="U68" s="41"/>
      <c r="V68" s="41"/>
      <c r="W68" s="42"/>
      <c r="X68" s="50"/>
      <c r="Y68" s="50"/>
      <c r="AA68" s="22" t="str">
        <f t="shared" si="5"/>
        <v>·</v>
      </c>
      <c r="AB68" s="23" t="str">
        <f t="shared" si="6"/>
        <v>·</v>
      </c>
      <c r="AC68" s="23" t="str">
        <f t="shared" si="7"/>
        <v>·</v>
      </c>
      <c r="AD68" s="23" t="str">
        <f t="shared" si="8"/>
        <v>·</v>
      </c>
      <c r="AE68" s="24"/>
      <c r="AF68" s="23" t="str">
        <f t="shared" si="9"/>
        <v>·</v>
      </c>
      <c r="AG68" s="25"/>
      <c r="AH68" s="26"/>
      <c r="AI68" s="26"/>
      <c r="AJ68" s="26"/>
      <c r="AK68" s="40"/>
      <c r="AL68" s="41"/>
      <c r="AM68" s="41"/>
      <c r="AN68" s="41"/>
      <c r="AO68" s="42"/>
      <c r="AP68" s="50"/>
      <c r="AQ68" s="50"/>
      <c r="AS68" s="55" t="e">
        <f t="shared" si="10"/>
        <v>#DIV/0!</v>
      </c>
      <c r="AT68" s="55"/>
      <c r="AV68" s="56"/>
      <c r="AW68" s="56"/>
      <c r="AX68" s="56"/>
      <c r="AY68" s="62"/>
      <c r="BA68" s="56"/>
      <c r="BB68" s="56"/>
      <c r="BC68" s="56"/>
      <c r="BD68" s="62"/>
      <c r="BF68">
        <f t="shared" si="12"/>
        <v>0</v>
      </c>
      <c r="BG68">
        <f t="shared" si="13"/>
        <v>0</v>
      </c>
      <c r="BH68">
        <f t="shared" si="14"/>
        <v>0</v>
      </c>
      <c r="BI68">
        <f t="shared" si="15"/>
        <v>0</v>
      </c>
      <c r="BJ68">
        <f t="shared" si="16"/>
        <v>0</v>
      </c>
      <c r="BK68">
        <f t="shared" si="17"/>
        <v>0</v>
      </c>
      <c r="BL68">
        <f t="shared" si="18"/>
        <v>0</v>
      </c>
      <c r="BM68">
        <f t="shared" si="19"/>
        <v>0</v>
      </c>
      <c r="BN68">
        <f t="shared" si="20"/>
        <v>0</v>
      </c>
    </row>
    <row r="69" spans="1:66" outlineLevel="1" x14ac:dyDescent="0.15">
      <c r="A69" s="5"/>
      <c r="B69" s="5" t="s">
        <v>91</v>
      </c>
      <c r="C69" s="6" t="s">
        <v>258</v>
      </c>
      <c r="D69" s="5">
        <v>3096122</v>
      </c>
      <c r="E69" s="7">
        <v>12</v>
      </c>
      <c r="F69" s="6">
        <v>1</v>
      </c>
      <c r="G69" s="6"/>
      <c r="I69" s="17" t="str">
        <f t="shared" ref="I69:I132" si="21">IF(OR(ISBLANK(P69),ISBLANK(G69)),"·",P69*G69/F69/1000000)</f>
        <v>·</v>
      </c>
      <c r="J69" s="18" t="str">
        <f t="shared" ref="J69:J132" si="22">IF(ISBLANK(P69),"·",P69/D69)</f>
        <v>·</v>
      </c>
      <c r="K69" s="18" t="str">
        <f t="shared" ref="K69:K132" si="23">IF(Q69="","·",Q69/D69)</f>
        <v>·</v>
      </c>
      <c r="L69" s="18" t="str">
        <f t="shared" ref="L69:L132" si="24">IF(ISBLANK(R69),"·",R69/D69)</f>
        <v>·</v>
      </c>
      <c r="M69" s="19"/>
      <c r="N69" s="18" t="str">
        <f t="shared" ref="N69:N132" si="25">IF(ISBLANK(P69),"·",P69/O69)</f>
        <v>·</v>
      </c>
      <c r="O69" s="20"/>
      <c r="P69" s="21"/>
      <c r="Q69" s="21"/>
      <c r="R69" s="21"/>
      <c r="S69" s="37"/>
      <c r="T69" s="38"/>
      <c r="U69" s="38"/>
      <c r="V69" s="38"/>
      <c r="W69" s="39"/>
      <c r="X69" s="49"/>
      <c r="Y69" s="49"/>
      <c r="AA69" s="17" t="str">
        <f t="shared" ref="AA69:AA132" si="26">IF(OR(ISBLANK(AH69),ISBLANK(G69)),"·",AH69*G69/F69/1000000)</f>
        <v>·</v>
      </c>
      <c r="AB69" s="18" t="str">
        <f t="shared" ref="AB69:AB132" si="27">IF(ISBLANK(AH69),"·",AH69/D69)</f>
        <v>·</v>
      </c>
      <c r="AC69" s="18" t="str">
        <f t="shared" ref="AC69:AC132" si="28">IF(AI69="","·",AI69/D69)</f>
        <v>·</v>
      </c>
      <c r="AD69" s="18" t="str">
        <f t="shared" ref="AD69:AD132" si="29">IF(ISBLANK(AJ69),"·",AJ69/D69)</f>
        <v>·</v>
      </c>
      <c r="AE69" s="19"/>
      <c r="AF69" s="18" t="str">
        <f t="shared" ref="AF69:AF132" si="30">IF(ISBLANK(AH69),"·",AH69/AG69)</f>
        <v>·</v>
      </c>
      <c r="AG69" s="20"/>
      <c r="AH69" s="21"/>
      <c r="AI69" s="21"/>
      <c r="AJ69" s="21"/>
      <c r="AK69" s="37"/>
      <c r="AL69" s="38"/>
      <c r="AM69" s="38"/>
      <c r="AN69" s="38"/>
      <c r="AO69" s="39"/>
      <c r="AP69" s="49"/>
      <c r="AQ69" s="49"/>
      <c r="AS69" s="53" t="e">
        <f t="shared" ref="AS69:AS132" si="31">(AI69/AH69)-(Q69/P69)</f>
        <v>#DIV/0!</v>
      </c>
      <c r="AT69" s="53"/>
      <c r="AV69" s="54"/>
      <c r="AW69" s="54"/>
      <c r="AX69" s="54"/>
      <c r="AY69" s="61"/>
      <c r="BA69" s="54"/>
      <c r="BB69" s="54"/>
      <c r="BC69" s="54"/>
      <c r="BD69" s="61"/>
      <c r="BF69">
        <f t="shared" si="12"/>
        <v>0</v>
      </c>
      <c r="BG69">
        <f t="shared" si="13"/>
        <v>0</v>
      </c>
      <c r="BH69">
        <f t="shared" si="14"/>
        <v>0</v>
      </c>
      <c r="BI69">
        <f t="shared" si="15"/>
        <v>0</v>
      </c>
      <c r="BJ69">
        <f t="shared" si="16"/>
        <v>0</v>
      </c>
      <c r="BK69">
        <f t="shared" si="17"/>
        <v>0</v>
      </c>
      <c r="BL69">
        <f t="shared" si="18"/>
        <v>0</v>
      </c>
      <c r="BM69">
        <f t="shared" si="19"/>
        <v>0</v>
      </c>
      <c r="BN69">
        <f t="shared" si="20"/>
        <v>0</v>
      </c>
    </row>
    <row r="70" spans="1:66" ht="14.25" outlineLevel="1" thickBot="1" x14ac:dyDescent="0.2">
      <c r="A70" s="8"/>
      <c r="B70" s="14" t="s">
        <v>91</v>
      </c>
      <c r="C70" s="15" t="s">
        <v>259</v>
      </c>
      <c r="D70" s="14">
        <v>3096122</v>
      </c>
      <c r="E70" s="16">
        <v>12</v>
      </c>
      <c r="F70" s="15">
        <v>1</v>
      </c>
      <c r="G70" s="15"/>
      <c r="I70" s="32" t="str">
        <f t="shared" si="21"/>
        <v>·</v>
      </c>
      <c r="J70" s="33" t="str">
        <f t="shared" si="22"/>
        <v>·</v>
      </c>
      <c r="K70" s="33" t="str">
        <f t="shared" si="23"/>
        <v>·</v>
      </c>
      <c r="L70" s="33" t="str">
        <f t="shared" si="24"/>
        <v>·</v>
      </c>
      <c r="M70" s="34"/>
      <c r="N70" s="33" t="str">
        <f t="shared" si="25"/>
        <v>·</v>
      </c>
      <c r="O70" s="35"/>
      <c r="P70" s="36"/>
      <c r="Q70" s="36"/>
      <c r="R70" s="36"/>
      <c r="S70" s="46"/>
      <c r="T70" s="47"/>
      <c r="U70" s="47"/>
      <c r="V70" s="47"/>
      <c r="W70" s="48"/>
      <c r="X70" s="52"/>
      <c r="Y70" s="52"/>
      <c r="AA70" s="32" t="str">
        <f t="shared" si="26"/>
        <v>·</v>
      </c>
      <c r="AB70" s="33" t="str">
        <f t="shared" si="27"/>
        <v>·</v>
      </c>
      <c r="AC70" s="33" t="str">
        <f t="shared" si="28"/>
        <v>·</v>
      </c>
      <c r="AD70" s="33" t="str">
        <f t="shared" si="29"/>
        <v>·</v>
      </c>
      <c r="AE70" s="34"/>
      <c r="AF70" s="33" t="str">
        <f t="shared" si="30"/>
        <v>·</v>
      </c>
      <c r="AG70" s="35"/>
      <c r="AH70" s="36"/>
      <c r="AI70" s="36"/>
      <c r="AJ70" s="36"/>
      <c r="AK70" s="46"/>
      <c r="AL70" s="47"/>
      <c r="AM70" s="47"/>
      <c r="AN70" s="47"/>
      <c r="AO70" s="48"/>
      <c r="AP70" s="52"/>
      <c r="AQ70" s="52"/>
      <c r="AS70" s="59" t="e">
        <f t="shared" si="31"/>
        <v>#DIV/0!</v>
      </c>
      <c r="AT70" s="59"/>
      <c r="AV70" s="60"/>
      <c r="AW70" s="60"/>
      <c r="AX70" s="60"/>
      <c r="AY70" s="64"/>
      <c r="BA70" s="60"/>
      <c r="BB70" s="60"/>
      <c r="BC70" s="60"/>
      <c r="BD70" s="64"/>
      <c r="BF70">
        <f t="shared" ref="BF70:BF133" si="32">AG70-O70</f>
        <v>0</v>
      </c>
      <c r="BG70">
        <f t="shared" ref="BG70:BG133" si="33">AH70-P70</f>
        <v>0</v>
      </c>
      <c r="BH70">
        <f t="shared" ref="BH70:BH133" si="34">AI70-Q70</f>
        <v>0</v>
      </c>
      <c r="BI70">
        <f t="shared" ref="BI70:BI133" si="35">AJ70-R70</f>
        <v>0</v>
      </c>
      <c r="BJ70">
        <f t="shared" ref="BJ70:BJ133" si="36">AK70-S70</f>
        <v>0</v>
      </c>
      <c r="BK70">
        <f t="shared" ref="BK70:BK133" si="37">AL70-T70</f>
        <v>0</v>
      </c>
      <c r="BL70">
        <f t="shared" ref="BL70:BL133" si="38">AM70-U70</f>
        <v>0</v>
      </c>
      <c r="BM70">
        <f t="shared" ref="BM70:BM133" si="39">AN70-V70</f>
        <v>0</v>
      </c>
      <c r="BN70">
        <f t="shared" ref="BN70:BN133" si="40">AO70-W70</f>
        <v>0</v>
      </c>
    </row>
    <row r="71" spans="1:66" x14ac:dyDescent="0.15">
      <c r="A71" s="5"/>
      <c r="B71" s="5" t="s">
        <v>94</v>
      </c>
      <c r="C71" s="6" t="s">
        <v>254</v>
      </c>
      <c r="D71" s="5">
        <v>857966</v>
      </c>
      <c r="E71" s="7">
        <v>10</v>
      </c>
      <c r="F71" s="6">
        <v>1</v>
      </c>
      <c r="G71" s="6"/>
      <c r="I71" s="17" t="str">
        <f t="shared" ref="I71:I76" si="41">IF(OR(ISBLANK(P71),ISBLANK(G71)),"·",P71*G71/F71/1000000)</f>
        <v>·</v>
      </c>
      <c r="J71" s="18" t="str">
        <f t="shared" ref="J71:J76" si="42">IF(ISBLANK(P71),"·",P71/D71)</f>
        <v>·</v>
      </c>
      <c r="K71" s="18" t="str">
        <f t="shared" ref="K71:K76" si="43">IF(Q71="","·",Q71/D71)</f>
        <v>·</v>
      </c>
      <c r="L71" s="18" t="str">
        <f t="shared" ref="L71:L76" si="44">IF(ISBLANK(R71),"·",R71/D71)</f>
        <v>·</v>
      </c>
      <c r="M71" s="19"/>
      <c r="N71" s="18" t="str">
        <f t="shared" ref="N71:N76" si="45">IF(ISBLANK(P71),"·",P71/O71)</f>
        <v>·</v>
      </c>
      <c r="O71" s="20"/>
      <c r="P71" s="21"/>
      <c r="Q71" s="21"/>
      <c r="R71" s="21"/>
      <c r="S71" s="37"/>
      <c r="T71" s="38"/>
      <c r="U71" s="38"/>
      <c r="V71" s="38"/>
      <c r="W71" s="39"/>
      <c r="X71" s="49"/>
      <c r="Y71" s="49"/>
      <c r="AA71" s="17" t="str">
        <f t="shared" ref="AA71:AA76" si="46">IF(OR(ISBLANK(AH71),ISBLANK(G71)),"·",AH71*G71/F71/1000000)</f>
        <v>·</v>
      </c>
      <c r="AB71" s="18" t="str">
        <f t="shared" ref="AB71:AB76" si="47">IF(ISBLANK(AH71),"·",AH71/D71)</f>
        <v>·</v>
      </c>
      <c r="AC71" s="18" t="str">
        <f t="shared" ref="AC71:AC76" si="48">IF(AI71="","·",AI71/D71)</f>
        <v>·</v>
      </c>
      <c r="AD71" s="18" t="str">
        <f t="shared" ref="AD71:AD76" si="49">IF(ISBLANK(AJ71),"·",AJ71/D71)</f>
        <v>·</v>
      </c>
      <c r="AE71" s="19"/>
      <c r="AF71" s="18" t="str">
        <f t="shared" ref="AF71:AF76" si="50">IF(ISBLANK(AH71),"·",AH71/AG71)</f>
        <v>·</v>
      </c>
      <c r="AG71" s="20"/>
      <c r="AH71" s="21"/>
      <c r="AI71" s="21"/>
      <c r="AJ71" s="21"/>
      <c r="AK71" s="37"/>
      <c r="AL71" s="38"/>
      <c r="AM71" s="38"/>
      <c r="AN71" s="38"/>
      <c r="AO71" s="39"/>
      <c r="AP71" s="49"/>
      <c r="AQ71" s="49"/>
      <c r="AS71" s="53" t="e">
        <f t="shared" ref="AS71:AS76" si="51">(AI71/AH71)-(Q71/P71)</f>
        <v>#DIV/0!</v>
      </c>
      <c r="AT71" s="53" t="e">
        <f t="array" ref="AT71">AVERAGE(AI71:AI76/AH71:AH76)-AVERAGE(Q71:Q76/P71:P76)</f>
        <v>#DIV/0!</v>
      </c>
      <c r="AV71" s="54" t="str">
        <f>IF(OR(ISBLANK(R71:R76),ISBLANK(AJ71:AJ76),ISBLANK(T71:T76),ISBLANK(AL71:AL76)),"·",bdRateExtend(R71:R76,T71:T76,AJ71:AJ76,AL71:AL76))</f>
        <v>·</v>
      </c>
      <c r="AW71" s="54" t="str">
        <f>IF(OR(ISBLANK(R71:R76),ISBLANK(AJ71:AJ76),ISBLANK(U71:U76),ISBLANK(AM71:AM76)),"·",bdRateExtend(R71:R76,U71:U76,AJ71:AJ76,AM71:AM76))</f>
        <v>·</v>
      </c>
      <c r="AX71" s="54" t="str">
        <f>IF(OR(ISBLANK(R71:R76),ISBLANK(AJ71:AJ76),ISBLANK(V71:V76),ISBLANK(AN71:AN76)),"·",bdRateExtend(R71:R76,V71:V76,AJ71:AJ76,AN71:AN76))</f>
        <v>·</v>
      </c>
      <c r="AY71" s="61"/>
      <c r="BA71" s="54" t="str">
        <f>IF(OR(ISBLANK(P71:P76),ISBLANK(AH71:AH76),ISBLANK(T71:T76),ISBLANK(AL71:AL76)),"·",bdRateExtend(P71:P76,T71:T76,AH71:AH76,AL71:AL76))</f>
        <v>·</v>
      </c>
      <c r="BB71" s="54" t="str">
        <f>IF(OR(ISBLANK(P71:P76),ISBLANK(AH71:AH76),ISBLANK(U71:U76),ISBLANK(AM71:AM76)),"·",bdRateExtend(P71:P76,U71:U76,AH71:AH76,AM71:AM76))</f>
        <v>·</v>
      </c>
      <c r="BC71" s="54" t="str">
        <f>IF(OR(ISBLANK(P71:P76),ISBLANK(AH71:AH76),ISBLANK(V71:V76),ISBLANK(AN71:AN76)),"·",bdRateExtend(P71:P76,V71:V76,AH71:AH76,AN71:AN76))</f>
        <v>·</v>
      </c>
      <c r="BD71" s="61"/>
      <c r="BF71">
        <f t="shared" si="32"/>
        <v>0</v>
      </c>
      <c r="BG71">
        <f t="shared" si="33"/>
        <v>0</v>
      </c>
      <c r="BH71">
        <f t="shared" si="34"/>
        <v>0</v>
      </c>
      <c r="BI71">
        <f t="shared" si="35"/>
        <v>0</v>
      </c>
      <c r="BJ71">
        <f t="shared" si="36"/>
        <v>0</v>
      </c>
      <c r="BK71">
        <f t="shared" si="37"/>
        <v>0</v>
      </c>
      <c r="BL71">
        <f t="shared" si="38"/>
        <v>0</v>
      </c>
      <c r="BM71">
        <f t="shared" si="39"/>
        <v>0</v>
      </c>
      <c r="BN71">
        <f t="shared" si="40"/>
        <v>0</v>
      </c>
    </row>
    <row r="72" spans="1:66" outlineLevel="1" x14ac:dyDescent="0.15">
      <c r="A72" s="8"/>
      <c r="B72" s="8" t="s">
        <v>94</v>
      </c>
      <c r="C72" s="9" t="s">
        <v>255</v>
      </c>
      <c r="D72" s="8">
        <v>857966</v>
      </c>
      <c r="E72" s="10">
        <v>10</v>
      </c>
      <c r="F72" s="9">
        <v>1</v>
      </c>
      <c r="G72" s="9"/>
      <c r="I72" s="22" t="str">
        <f t="shared" si="41"/>
        <v>·</v>
      </c>
      <c r="J72" s="23" t="str">
        <f t="shared" si="42"/>
        <v>·</v>
      </c>
      <c r="K72" s="23" t="str">
        <f t="shared" si="43"/>
        <v>·</v>
      </c>
      <c r="L72" s="23" t="str">
        <f t="shared" si="44"/>
        <v>·</v>
      </c>
      <c r="M72" s="24"/>
      <c r="N72" s="23" t="str">
        <f t="shared" si="45"/>
        <v>·</v>
      </c>
      <c r="O72" s="25"/>
      <c r="P72" s="26"/>
      <c r="Q72" s="26"/>
      <c r="R72" s="26"/>
      <c r="S72" s="40"/>
      <c r="T72" s="41"/>
      <c r="U72" s="41"/>
      <c r="V72" s="41"/>
      <c r="W72" s="42"/>
      <c r="X72" s="50"/>
      <c r="Y72" s="50"/>
      <c r="AA72" s="22" t="str">
        <f t="shared" si="46"/>
        <v>·</v>
      </c>
      <c r="AB72" s="23" t="str">
        <f t="shared" si="47"/>
        <v>·</v>
      </c>
      <c r="AC72" s="23" t="str">
        <f t="shared" si="48"/>
        <v>·</v>
      </c>
      <c r="AD72" s="23" t="str">
        <f t="shared" si="49"/>
        <v>·</v>
      </c>
      <c r="AE72" s="24"/>
      <c r="AF72" s="23" t="str">
        <f t="shared" si="50"/>
        <v>·</v>
      </c>
      <c r="AG72" s="25"/>
      <c r="AH72" s="26"/>
      <c r="AI72" s="26"/>
      <c r="AJ72" s="26"/>
      <c r="AK72" s="40"/>
      <c r="AL72" s="41"/>
      <c r="AM72" s="41"/>
      <c r="AN72" s="41"/>
      <c r="AO72" s="42"/>
      <c r="AP72" s="50"/>
      <c r="AQ72" s="50"/>
      <c r="AS72" s="55" t="e">
        <f t="shared" si="51"/>
        <v>#DIV/0!</v>
      </c>
      <c r="AT72" s="55"/>
      <c r="AV72" s="56"/>
      <c r="AW72" s="56"/>
      <c r="AX72" s="56"/>
      <c r="AY72" s="62"/>
      <c r="BA72" s="56"/>
      <c r="BB72" s="56"/>
      <c r="BC72" s="56"/>
      <c r="BD72" s="62"/>
      <c r="BF72">
        <f t="shared" si="32"/>
        <v>0</v>
      </c>
      <c r="BG72">
        <f t="shared" si="33"/>
        <v>0</v>
      </c>
      <c r="BH72">
        <f t="shared" si="34"/>
        <v>0</v>
      </c>
      <c r="BI72">
        <f t="shared" si="35"/>
        <v>0</v>
      </c>
      <c r="BJ72">
        <f t="shared" si="36"/>
        <v>0</v>
      </c>
      <c r="BK72">
        <f t="shared" si="37"/>
        <v>0</v>
      </c>
      <c r="BL72">
        <f t="shared" si="38"/>
        <v>0</v>
      </c>
      <c r="BM72">
        <f t="shared" si="39"/>
        <v>0</v>
      </c>
      <c r="BN72">
        <f t="shared" si="40"/>
        <v>0</v>
      </c>
    </row>
    <row r="73" spans="1:66" outlineLevel="1" x14ac:dyDescent="0.15">
      <c r="A73" s="5"/>
      <c r="B73" s="5" t="s">
        <v>94</v>
      </c>
      <c r="C73" s="6" t="s">
        <v>256</v>
      </c>
      <c r="D73" s="5">
        <v>857966</v>
      </c>
      <c r="E73" s="7">
        <v>10</v>
      </c>
      <c r="F73" s="6">
        <v>1</v>
      </c>
      <c r="G73" s="6"/>
      <c r="I73" s="17" t="str">
        <f t="shared" si="41"/>
        <v>·</v>
      </c>
      <c r="J73" s="18" t="str">
        <f t="shared" si="42"/>
        <v>·</v>
      </c>
      <c r="K73" s="18" t="str">
        <f t="shared" si="43"/>
        <v>·</v>
      </c>
      <c r="L73" s="18" t="str">
        <f t="shared" si="44"/>
        <v>·</v>
      </c>
      <c r="M73" s="19"/>
      <c r="N73" s="18" t="str">
        <f t="shared" si="45"/>
        <v>·</v>
      </c>
      <c r="O73" s="20"/>
      <c r="P73" s="21"/>
      <c r="Q73" s="21"/>
      <c r="R73" s="21"/>
      <c r="S73" s="37"/>
      <c r="T73" s="38"/>
      <c r="U73" s="38"/>
      <c r="V73" s="38"/>
      <c r="W73" s="39"/>
      <c r="X73" s="49"/>
      <c r="Y73" s="49"/>
      <c r="AA73" s="17" t="str">
        <f t="shared" si="46"/>
        <v>·</v>
      </c>
      <c r="AB73" s="18" t="str">
        <f t="shared" si="47"/>
        <v>·</v>
      </c>
      <c r="AC73" s="18" t="str">
        <f t="shared" si="48"/>
        <v>·</v>
      </c>
      <c r="AD73" s="18" t="str">
        <f t="shared" si="49"/>
        <v>·</v>
      </c>
      <c r="AE73" s="19"/>
      <c r="AF73" s="18" t="str">
        <f t="shared" si="50"/>
        <v>·</v>
      </c>
      <c r="AG73" s="20"/>
      <c r="AH73" s="21"/>
      <c r="AI73" s="21"/>
      <c r="AJ73" s="21"/>
      <c r="AK73" s="37"/>
      <c r="AL73" s="38"/>
      <c r="AM73" s="38"/>
      <c r="AN73" s="38"/>
      <c r="AO73" s="39"/>
      <c r="AP73" s="49"/>
      <c r="AQ73" s="49"/>
      <c r="AS73" s="53" t="e">
        <f t="shared" si="51"/>
        <v>#DIV/0!</v>
      </c>
      <c r="AT73" s="53"/>
      <c r="AV73" s="54"/>
      <c r="AW73" s="54"/>
      <c r="AX73" s="54"/>
      <c r="AY73" s="61"/>
      <c r="BA73" s="54"/>
      <c r="BB73" s="54"/>
      <c r="BC73" s="54"/>
      <c r="BD73" s="61"/>
      <c r="BF73">
        <f t="shared" si="32"/>
        <v>0</v>
      </c>
      <c r="BG73">
        <f t="shared" si="33"/>
        <v>0</v>
      </c>
      <c r="BH73">
        <f t="shared" si="34"/>
        <v>0</v>
      </c>
      <c r="BI73">
        <f t="shared" si="35"/>
        <v>0</v>
      </c>
      <c r="BJ73">
        <f t="shared" si="36"/>
        <v>0</v>
      </c>
      <c r="BK73">
        <f t="shared" si="37"/>
        <v>0</v>
      </c>
      <c r="BL73">
        <f t="shared" si="38"/>
        <v>0</v>
      </c>
      <c r="BM73">
        <f t="shared" si="39"/>
        <v>0</v>
      </c>
      <c r="BN73">
        <f t="shared" si="40"/>
        <v>0</v>
      </c>
    </row>
    <row r="74" spans="1:66" outlineLevel="1" x14ac:dyDescent="0.15">
      <c r="A74" s="8"/>
      <c r="B74" s="8" t="s">
        <v>94</v>
      </c>
      <c r="C74" s="9" t="s">
        <v>257</v>
      </c>
      <c r="D74" s="8">
        <v>857966</v>
      </c>
      <c r="E74" s="10">
        <v>10</v>
      </c>
      <c r="F74" s="9">
        <v>1</v>
      </c>
      <c r="G74" s="9"/>
      <c r="I74" s="22" t="str">
        <f t="shared" si="41"/>
        <v>·</v>
      </c>
      <c r="J74" s="23" t="str">
        <f t="shared" si="42"/>
        <v>·</v>
      </c>
      <c r="K74" s="23" t="str">
        <f t="shared" si="43"/>
        <v>·</v>
      </c>
      <c r="L74" s="23" t="str">
        <f t="shared" si="44"/>
        <v>·</v>
      </c>
      <c r="M74" s="24"/>
      <c r="N74" s="23" t="str">
        <f t="shared" si="45"/>
        <v>·</v>
      </c>
      <c r="O74" s="25"/>
      <c r="P74" s="26"/>
      <c r="Q74" s="26"/>
      <c r="R74" s="26"/>
      <c r="S74" s="40"/>
      <c r="T74" s="41"/>
      <c r="U74" s="41"/>
      <c r="V74" s="41"/>
      <c r="W74" s="42"/>
      <c r="X74" s="50"/>
      <c r="Y74" s="50"/>
      <c r="AA74" s="22" t="str">
        <f t="shared" si="46"/>
        <v>·</v>
      </c>
      <c r="AB74" s="23" t="str">
        <f t="shared" si="47"/>
        <v>·</v>
      </c>
      <c r="AC74" s="23" t="str">
        <f t="shared" si="48"/>
        <v>·</v>
      </c>
      <c r="AD74" s="23" t="str">
        <f t="shared" si="49"/>
        <v>·</v>
      </c>
      <c r="AE74" s="24"/>
      <c r="AF74" s="23" t="str">
        <f t="shared" si="50"/>
        <v>·</v>
      </c>
      <c r="AG74" s="25"/>
      <c r="AH74" s="26"/>
      <c r="AI74" s="26"/>
      <c r="AJ74" s="26"/>
      <c r="AK74" s="40"/>
      <c r="AL74" s="41"/>
      <c r="AM74" s="41"/>
      <c r="AN74" s="41"/>
      <c r="AO74" s="42"/>
      <c r="AP74" s="50"/>
      <c r="AQ74" s="50"/>
      <c r="AS74" s="55" t="e">
        <f t="shared" si="51"/>
        <v>#DIV/0!</v>
      </c>
      <c r="AT74" s="55"/>
      <c r="AV74" s="56"/>
      <c r="AW74" s="56"/>
      <c r="AX74" s="56"/>
      <c r="AY74" s="62"/>
      <c r="BA74" s="56"/>
      <c r="BB74" s="56"/>
      <c r="BC74" s="56"/>
      <c r="BD74" s="62"/>
      <c r="BF74">
        <f t="shared" si="32"/>
        <v>0</v>
      </c>
      <c r="BG74">
        <f t="shared" si="33"/>
        <v>0</v>
      </c>
      <c r="BH74">
        <f t="shared" si="34"/>
        <v>0</v>
      </c>
      <c r="BI74" s="84">
        <f t="shared" si="35"/>
        <v>0</v>
      </c>
      <c r="BJ74">
        <f t="shared" si="36"/>
        <v>0</v>
      </c>
      <c r="BK74">
        <f t="shared" si="37"/>
        <v>0</v>
      </c>
      <c r="BL74">
        <f t="shared" si="38"/>
        <v>0</v>
      </c>
      <c r="BM74">
        <f t="shared" si="39"/>
        <v>0</v>
      </c>
      <c r="BN74">
        <f t="shared" si="40"/>
        <v>0</v>
      </c>
    </row>
    <row r="75" spans="1:66" outlineLevel="1" x14ac:dyDescent="0.15">
      <c r="A75" s="5"/>
      <c r="B75" s="5" t="s">
        <v>94</v>
      </c>
      <c r="C75" s="6" t="s">
        <v>258</v>
      </c>
      <c r="D75" s="5">
        <v>857966</v>
      </c>
      <c r="E75" s="7">
        <v>10</v>
      </c>
      <c r="F75" s="6">
        <v>1</v>
      </c>
      <c r="G75" s="6"/>
      <c r="I75" s="17" t="str">
        <f t="shared" si="41"/>
        <v>·</v>
      </c>
      <c r="J75" s="18" t="str">
        <f t="shared" si="42"/>
        <v>·</v>
      </c>
      <c r="K75" s="18" t="str">
        <f t="shared" si="43"/>
        <v>·</v>
      </c>
      <c r="L75" s="18" t="str">
        <f t="shared" si="44"/>
        <v>·</v>
      </c>
      <c r="M75" s="19"/>
      <c r="N75" s="18" t="str">
        <f t="shared" si="45"/>
        <v>·</v>
      </c>
      <c r="O75" s="20"/>
      <c r="P75" s="21"/>
      <c r="Q75" s="21"/>
      <c r="R75" s="21"/>
      <c r="S75" s="37"/>
      <c r="T75" s="38"/>
      <c r="U75" s="38"/>
      <c r="V75" s="38"/>
      <c r="W75" s="39"/>
      <c r="X75" s="49"/>
      <c r="Y75" s="49"/>
      <c r="AA75" s="17" t="str">
        <f t="shared" si="46"/>
        <v>·</v>
      </c>
      <c r="AB75" s="18" t="str">
        <f t="shared" si="47"/>
        <v>·</v>
      </c>
      <c r="AC75" s="18" t="str">
        <f t="shared" si="48"/>
        <v>·</v>
      </c>
      <c r="AD75" s="18" t="str">
        <f t="shared" si="49"/>
        <v>·</v>
      </c>
      <c r="AE75" s="19"/>
      <c r="AF75" s="18" t="str">
        <f t="shared" si="50"/>
        <v>·</v>
      </c>
      <c r="AG75" s="20"/>
      <c r="AH75" s="21"/>
      <c r="AI75" s="21"/>
      <c r="AJ75" s="21"/>
      <c r="AK75" s="37"/>
      <c r="AL75" s="38"/>
      <c r="AM75" s="38"/>
      <c r="AN75" s="38"/>
      <c r="AO75" s="39"/>
      <c r="AP75" s="49"/>
      <c r="AQ75" s="49"/>
      <c r="AS75" s="53" t="e">
        <f t="shared" si="51"/>
        <v>#DIV/0!</v>
      </c>
      <c r="AT75" s="53"/>
      <c r="AV75" s="54"/>
      <c r="AW75" s="54"/>
      <c r="AX75" s="54"/>
      <c r="AY75" s="61"/>
      <c r="BA75" s="54"/>
      <c r="BB75" s="54"/>
      <c r="BC75" s="54"/>
      <c r="BD75" s="61"/>
      <c r="BF75">
        <f t="shared" si="32"/>
        <v>0</v>
      </c>
      <c r="BG75">
        <f t="shared" si="33"/>
        <v>0</v>
      </c>
      <c r="BH75">
        <f t="shared" si="34"/>
        <v>0</v>
      </c>
      <c r="BI75">
        <f t="shared" si="35"/>
        <v>0</v>
      </c>
      <c r="BJ75">
        <f t="shared" si="36"/>
        <v>0</v>
      </c>
      <c r="BK75">
        <f t="shared" si="37"/>
        <v>0</v>
      </c>
      <c r="BL75">
        <f t="shared" si="38"/>
        <v>0</v>
      </c>
      <c r="BM75">
        <f t="shared" si="39"/>
        <v>0</v>
      </c>
      <c r="BN75">
        <f t="shared" si="40"/>
        <v>0</v>
      </c>
    </row>
    <row r="76" spans="1:66" ht="14.25" outlineLevel="1" thickBot="1" x14ac:dyDescent="0.2">
      <c r="A76" s="8"/>
      <c r="B76" s="14" t="s">
        <v>94</v>
      </c>
      <c r="C76" s="15" t="s">
        <v>259</v>
      </c>
      <c r="D76" s="14">
        <v>857966</v>
      </c>
      <c r="E76" s="16">
        <v>10</v>
      </c>
      <c r="F76" s="15">
        <v>1</v>
      </c>
      <c r="G76" s="15"/>
      <c r="I76" s="32" t="str">
        <f t="shared" si="41"/>
        <v>·</v>
      </c>
      <c r="J76" s="33" t="str">
        <f t="shared" si="42"/>
        <v>·</v>
      </c>
      <c r="K76" s="33" t="str">
        <f t="shared" si="43"/>
        <v>·</v>
      </c>
      <c r="L76" s="33" t="str">
        <f t="shared" si="44"/>
        <v>·</v>
      </c>
      <c r="M76" s="34"/>
      <c r="N76" s="33" t="str">
        <f t="shared" si="45"/>
        <v>·</v>
      </c>
      <c r="O76" s="35"/>
      <c r="P76" s="36"/>
      <c r="Q76" s="36"/>
      <c r="R76" s="36"/>
      <c r="S76" s="46"/>
      <c r="T76" s="47"/>
      <c r="U76" s="47"/>
      <c r="V76" s="47"/>
      <c r="W76" s="48"/>
      <c r="X76" s="52"/>
      <c r="Y76" s="52"/>
      <c r="AA76" s="32" t="str">
        <f t="shared" si="46"/>
        <v>·</v>
      </c>
      <c r="AB76" s="33" t="str">
        <f t="shared" si="47"/>
        <v>·</v>
      </c>
      <c r="AC76" s="33" t="str">
        <f t="shared" si="48"/>
        <v>·</v>
      </c>
      <c r="AD76" s="33" t="str">
        <f t="shared" si="49"/>
        <v>·</v>
      </c>
      <c r="AE76" s="34"/>
      <c r="AF76" s="33" t="str">
        <f t="shared" si="50"/>
        <v>·</v>
      </c>
      <c r="AG76" s="35"/>
      <c r="AH76" s="36"/>
      <c r="AI76" s="36"/>
      <c r="AJ76" s="36"/>
      <c r="AK76" s="46"/>
      <c r="AL76" s="47"/>
      <c r="AM76" s="47"/>
      <c r="AN76" s="47"/>
      <c r="AO76" s="48"/>
      <c r="AP76" s="52"/>
      <c r="AQ76" s="52"/>
      <c r="AS76" s="59" t="e">
        <f t="shared" si="51"/>
        <v>#DIV/0!</v>
      </c>
      <c r="AT76" s="59"/>
      <c r="AV76" s="60"/>
      <c r="AW76" s="60"/>
      <c r="AX76" s="60"/>
      <c r="AY76" s="64"/>
      <c r="BA76" s="60"/>
      <c r="BB76" s="60"/>
      <c r="BC76" s="60"/>
      <c r="BD76" s="64"/>
      <c r="BF76">
        <f t="shared" si="32"/>
        <v>0</v>
      </c>
      <c r="BG76">
        <f t="shared" si="33"/>
        <v>0</v>
      </c>
      <c r="BH76">
        <f t="shared" si="34"/>
        <v>0</v>
      </c>
      <c r="BI76" s="83">
        <f t="shared" si="35"/>
        <v>0</v>
      </c>
      <c r="BJ76">
        <f t="shared" si="36"/>
        <v>0</v>
      </c>
      <c r="BK76">
        <f t="shared" si="37"/>
        <v>0</v>
      </c>
      <c r="BL76">
        <f t="shared" si="38"/>
        <v>0</v>
      </c>
      <c r="BM76">
        <f t="shared" si="39"/>
        <v>0</v>
      </c>
      <c r="BN76">
        <f t="shared" si="40"/>
        <v>0</v>
      </c>
    </row>
    <row r="77" spans="1:66" x14ac:dyDescent="0.15">
      <c r="A77" s="5"/>
      <c r="B77" s="5" t="s">
        <v>97</v>
      </c>
      <c r="C77" s="6" t="s">
        <v>254</v>
      </c>
      <c r="D77" s="5">
        <v>3017285</v>
      </c>
      <c r="E77" s="7">
        <v>12</v>
      </c>
      <c r="F77" s="6">
        <v>1</v>
      </c>
      <c r="G77" s="6"/>
      <c r="I77" s="17" t="str">
        <f t="shared" si="21"/>
        <v>·</v>
      </c>
      <c r="J77" s="18" t="str">
        <f t="shared" si="22"/>
        <v>·</v>
      </c>
      <c r="K77" s="18" t="str">
        <f t="shared" si="23"/>
        <v>·</v>
      </c>
      <c r="L77" s="18" t="str">
        <f t="shared" si="24"/>
        <v>·</v>
      </c>
      <c r="M77" s="19"/>
      <c r="N77" s="18" t="str">
        <f t="shared" si="25"/>
        <v>·</v>
      </c>
      <c r="O77" s="20"/>
      <c r="P77" s="21"/>
      <c r="Q77" s="21"/>
      <c r="R77" s="21"/>
      <c r="S77" s="37"/>
      <c r="T77" s="38"/>
      <c r="U77" s="38"/>
      <c r="V77" s="38"/>
      <c r="W77" s="39"/>
      <c r="X77" s="49"/>
      <c r="Y77" s="49"/>
      <c r="AA77" s="17" t="str">
        <f t="shared" si="26"/>
        <v>·</v>
      </c>
      <c r="AB77" s="18" t="str">
        <f t="shared" si="27"/>
        <v>·</v>
      </c>
      <c r="AC77" s="18" t="str">
        <f t="shared" si="28"/>
        <v>·</v>
      </c>
      <c r="AD77" s="18" t="str">
        <f t="shared" si="29"/>
        <v>·</v>
      </c>
      <c r="AE77" s="19"/>
      <c r="AF77" s="18" t="str">
        <f t="shared" si="30"/>
        <v>·</v>
      </c>
      <c r="AG77" s="20"/>
      <c r="AH77" s="21"/>
      <c r="AI77" s="21"/>
      <c r="AJ77" s="21"/>
      <c r="AK77" s="37"/>
      <c r="AL77" s="38"/>
      <c r="AM77" s="38"/>
      <c r="AN77" s="38"/>
      <c r="AO77" s="39"/>
      <c r="AP77" s="49"/>
      <c r="AQ77" s="49"/>
      <c r="AS77" s="53" t="e">
        <f t="shared" si="31"/>
        <v>#DIV/0!</v>
      </c>
      <c r="AT77" s="53" t="e">
        <f t="array" ref="AT77">AVERAGE(AI77:AI82/AH77:AH82)-AVERAGE(Q77:Q82/P77:P82)</f>
        <v>#DIV/0!</v>
      </c>
      <c r="AV77" s="54" t="str">
        <f>IF(OR(ISBLANK(R77:R82),ISBLANK(AJ77:AJ82),ISBLANK(T77:T82),ISBLANK(AL77:AL82)),"·",bdRateExtend(R77:R82,T77:T82,AJ77:AJ82,AL77:AL82))</f>
        <v>·</v>
      </c>
      <c r="AW77" s="54" t="str">
        <f>IF(OR(ISBLANK(R77:R82),ISBLANK(AJ77:AJ82),ISBLANK(U77:U82),ISBLANK(AM77:AM82)),"·",bdRateExtend(R77:R82,U77:U82,AJ77:AJ82,AM77:AM82))</f>
        <v>·</v>
      </c>
      <c r="AX77" s="54" t="str">
        <f>IF(OR(ISBLANK(R77:R82),ISBLANK(AJ77:AJ82),ISBLANK(V77:V82),ISBLANK(AN77:AN82)),"·",bdRateExtend(R77:R82,V77:V82,AJ77:AJ82,AN77:AN82))</f>
        <v>·</v>
      </c>
      <c r="AY77" s="61"/>
      <c r="BA77" s="54" t="str">
        <f>IF(OR(ISBLANK(P77:P82),ISBLANK(AH77:AH82),ISBLANK(T77:T82),ISBLANK(AL77:AL82)),"·",bdRateExtend(P77:P82,T77:T82,AH77:AH82,AL77:AL82))</f>
        <v>·</v>
      </c>
      <c r="BB77" s="54" t="str">
        <f>IF(OR(ISBLANK(P77:P82),ISBLANK(AH77:AH82),ISBLANK(U77:U82),ISBLANK(AM77:AM82)),"·",bdRateExtend(P77:P82,U77:U82,AH77:AH82,AM77:AM82))</f>
        <v>·</v>
      </c>
      <c r="BC77" s="54" t="str">
        <f>IF(OR(ISBLANK(P77:P82),ISBLANK(AH77:AH82),ISBLANK(V77:V82),ISBLANK(AN77:AN82)),"·",bdRateExtend(P77:P82,V77:V82,AH77:AH82,AN77:AN82))</f>
        <v>·</v>
      </c>
      <c r="BD77" s="61"/>
      <c r="BF77">
        <f t="shared" si="32"/>
        <v>0</v>
      </c>
      <c r="BG77">
        <f t="shared" si="33"/>
        <v>0</v>
      </c>
      <c r="BH77">
        <f t="shared" si="34"/>
        <v>0</v>
      </c>
      <c r="BI77">
        <f t="shared" si="35"/>
        <v>0</v>
      </c>
      <c r="BJ77">
        <f t="shared" si="36"/>
        <v>0</v>
      </c>
      <c r="BK77">
        <f t="shared" si="37"/>
        <v>0</v>
      </c>
      <c r="BL77">
        <f t="shared" si="38"/>
        <v>0</v>
      </c>
      <c r="BM77">
        <f t="shared" si="39"/>
        <v>0</v>
      </c>
      <c r="BN77">
        <f t="shared" si="40"/>
        <v>0</v>
      </c>
    </row>
    <row r="78" spans="1:66" outlineLevel="1" x14ac:dyDescent="0.15">
      <c r="A78" s="8"/>
      <c r="B78" s="8" t="s">
        <v>97</v>
      </c>
      <c r="C78" s="9" t="s">
        <v>255</v>
      </c>
      <c r="D78" s="8">
        <v>3017285</v>
      </c>
      <c r="E78" s="10">
        <v>12</v>
      </c>
      <c r="F78" s="9">
        <v>1</v>
      </c>
      <c r="G78" s="9"/>
      <c r="I78" s="22" t="str">
        <f t="shared" si="21"/>
        <v>·</v>
      </c>
      <c r="J78" s="23" t="str">
        <f t="shared" si="22"/>
        <v>·</v>
      </c>
      <c r="K78" s="23" t="str">
        <f t="shared" si="23"/>
        <v>·</v>
      </c>
      <c r="L78" s="23" t="str">
        <f t="shared" si="24"/>
        <v>·</v>
      </c>
      <c r="M78" s="24"/>
      <c r="N78" s="23" t="str">
        <f t="shared" si="25"/>
        <v>·</v>
      </c>
      <c r="O78" s="25"/>
      <c r="P78" s="26"/>
      <c r="Q78" s="26"/>
      <c r="R78" s="26"/>
      <c r="S78" s="40"/>
      <c r="T78" s="41"/>
      <c r="U78" s="41"/>
      <c r="V78" s="41"/>
      <c r="W78" s="42"/>
      <c r="X78" s="50"/>
      <c r="Y78" s="50"/>
      <c r="AA78" s="22" t="str">
        <f t="shared" si="26"/>
        <v>·</v>
      </c>
      <c r="AB78" s="23" t="str">
        <f t="shared" si="27"/>
        <v>·</v>
      </c>
      <c r="AC78" s="23" t="str">
        <f t="shared" si="28"/>
        <v>·</v>
      </c>
      <c r="AD78" s="23" t="str">
        <f t="shared" si="29"/>
        <v>·</v>
      </c>
      <c r="AE78" s="24"/>
      <c r="AF78" s="23" t="str">
        <f t="shared" si="30"/>
        <v>·</v>
      </c>
      <c r="AG78" s="25"/>
      <c r="AH78" s="26"/>
      <c r="AI78" s="26"/>
      <c r="AJ78" s="26"/>
      <c r="AK78" s="40"/>
      <c r="AL78" s="41"/>
      <c r="AM78" s="41"/>
      <c r="AN78" s="41"/>
      <c r="AO78" s="42"/>
      <c r="AP78" s="50"/>
      <c r="AQ78" s="50"/>
      <c r="AS78" s="55" t="e">
        <f t="shared" si="31"/>
        <v>#DIV/0!</v>
      </c>
      <c r="AT78" s="55"/>
      <c r="AV78" s="56"/>
      <c r="AW78" s="56"/>
      <c r="AX78" s="56"/>
      <c r="AY78" s="62"/>
      <c r="BA78" s="56"/>
      <c r="BB78" s="56"/>
      <c r="BC78" s="56"/>
      <c r="BD78" s="62"/>
      <c r="BF78">
        <f t="shared" si="32"/>
        <v>0</v>
      </c>
      <c r="BG78">
        <f t="shared" si="33"/>
        <v>0</v>
      </c>
      <c r="BH78">
        <f t="shared" si="34"/>
        <v>0</v>
      </c>
      <c r="BI78">
        <f t="shared" si="35"/>
        <v>0</v>
      </c>
      <c r="BJ78">
        <f t="shared" si="36"/>
        <v>0</v>
      </c>
      <c r="BK78">
        <f t="shared" si="37"/>
        <v>0</v>
      </c>
      <c r="BL78">
        <f t="shared" si="38"/>
        <v>0</v>
      </c>
      <c r="BM78">
        <f t="shared" si="39"/>
        <v>0</v>
      </c>
      <c r="BN78">
        <f t="shared" si="40"/>
        <v>0</v>
      </c>
    </row>
    <row r="79" spans="1:66" outlineLevel="1" x14ac:dyDescent="0.15">
      <c r="A79" s="5"/>
      <c r="B79" s="5" t="s">
        <v>97</v>
      </c>
      <c r="C79" s="6" t="s">
        <v>256</v>
      </c>
      <c r="D79" s="5">
        <v>3017285</v>
      </c>
      <c r="E79" s="7">
        <v>12</v>
      </c>
      <c r="F79" s="6">
        <v>1</v>
      </c>
      <c r="G79" s="6"/>
      <c r="I79" s="17" t="str">
        <f t="shared" si="21"/>
        <v>·</v>
      </c>
      <c r="J79" s="18" t="str">
        <f t="shared" si="22"/>
        <v>·</v>
      </c>
      <c r="K79" s="18" t="str">
        <f t="shared" si="23"/>
        <v>·</v>
      </c>
      <c r="L79" s="18" t="str">
        <f t="shared" si="24"/>
        <v>·</v>
      </c>
      <c r="M79" s="19"/>
      <c r="N79" s="18" t="str">
        <f t="shared" si="25"/>
        <v>·</v>
      </c>
      <c r="O79" s="20"/>
      <c r="P79" s="21"/>
      <c r="Q79" s="21"/>
      <c r="R79" s="21"/>
      <c r="S79" s="37"/>
      <c r="T79" s="38"/>
      <c r="U79" s="38"/>
      <c r="V79" s="38"/>
      <c r="W79" s="39"/>
      <c r="X79" s="49"/>
      <c r="Y79" s="49"/>
      <c r="AA79" s="17" t="str">
        <f t="shared" si="26"/>
        <v>·</v>
      </c>
      <c r="AB79" s="18" t="str">
        <f t="shared" si="27"/>
        <v>·</v>
      </c>
      <c r="AC79" s="18" t="str">
        <f t="shared" si="28"/>
        <v>·</v>
      </c>
      <c r="AD79" s="18" t="str">
        <f t="shared" si="29"/>
        <v>·</v>
      </c>
      <c r="AE79" s="19"/>
      <c r="AF79" s="18" t="str">
        <f t="shared" si="30"/>
        <v>·</v>
      </c>
      <c r="AG79" s="20"/>
      <c r="AH79" s="21"/>
      <c r="AI79" s="21"/>
      <c r="AJ79" s="21"/>
      <c r="AK79" s="37"/>
      <c r="AL79" s="38"/>
      <c r="AM79" s="38"/>
      <c r="AN79" s="38"/>
      <c r="AO79" s="39"/>
      <c r="AP79" s="49"/>
      <c r="AQ79" s="49"/>
      <c r="AS79" s="53" t="e">
        <f t="shared" si="31"/>
        <v>#DIV/0!</v>
      </c>
      <c r="AT79" s="53"/>
      <c r="AV79" s="54"/>
      <c r="AW79" s="54"/>
      <c r="AX79" s="54"/>
      <c r="AY79" s="61"/>
      <c r="BA79" s="54"/>
      <c r="BB79" s="54"/>
      <c r="BC79" s="54"/>
      <c r="BD79" s="61"/>
      <c r="BF79">
        <f t="shared" si="32"/>
        <v>0</v>
      </c>
      <c r="BG79">
        <f t="shared" si="33"/>
        <v>0</v>
      </c>
      <c r="BH79">
        <f t="shared" si="34"/>
        <v>0</v>
      </c>
      <c r="BI79">
        <f t="shared" si="35"/>
        <v>0</v>
      </c>
      <c r="BJ79">
        <f t="shared" si="36"/>
        <v>0</v>
      </c>
      <c r="BK79">
        <f t="shared" si="37"/>
        <v>0</v>
      </c>
      <c r="BL79">
        <f t="shared" si="38"/>
        <v>0</v>
      </c>
      <c r="BM79">
        <f t="shared" si="39"/>
        <v>0</v>
      </c>
      <c r="BN79">
        <f t="shared" si="40"/>
        <v>0</v>
      </c>
    </row>
    <row r="80" spans="1:66" outlineLevel="1" x14ac:dyDescent="0.15">
      <c r="A80" s="8"/>
      <c r="B80" s="8" t="s">
        <v>97</v>
      </c>
      <c r="C80" s="9" t="s">
        <v>257</v>
      </c>
      <c r="D80" s="8">
        <v>3017285</v>
      </c>
      <c r="E80" s="10">
        <v>12</v>
      </c>
      <c r="F80" s="9">
        <v>1</v>
      </c>
      <c r="G80" s="9"/>
      <c r="I80" s="22" t="str">
        <f t="shared" si="21"/>
        <v>·</v>
      </c>
      <c r="J80" s="23" t="str">
        <f t="shared" si="22"/>
        <v>·</v>
      </c>
      <c r="K80" s="23" t="str">
        <f t="shared" si="23"/>
        <v>·</v>
      </c>
      <c r="L80" s="23" t="str">
        <f t="shared" si="24"/>
        <v>·</v>
      </c>
      <c r="M80" s="24"/>
      <c r="N80" s="23" t="str">
        <f t="shared" si="25"/>
        <v>·</v>
      </c>
      <c r="O80" s="25"/>
      <c r="P80" s="26"/>
      <c r="Q80" s="26"/>
      <c r="R80" s="26"/>
      <c r="S80" s="40"/>
      <c r="T80" s="41"/>
      <c r="U80" s="41"/>
      <c r="V80" s="41"/>
      <c r="W80" s="42"/>
      <c r="X80" s="50"/>
      <c r="Y80" s="50"/>
      <c r="AA80" s="22" t="str">
        <f t="shared" si="26"/>
        <v>·</v>
      </c>
      <c r="AB80" s="23" t="str">
        <f t="shared" si="27"/>
        <v>·</v>
      </c>
      <c r="AC80" s="23" t="str">
        <f t="shared" si="28"/>
        <v>·</v>
      </c>
      <c r="AD80" s="23" t="str">
        <f t="shared" si="29"/>
        <v>·</v>
      </c>
      <c r="AE80" s="24"/>
      <c r="AF80" s="23" t="str">
        <f t="shared" si="30"/>
        <v>·</v>
      </c>
      <c r="AG80" s="25"/>
      <c r="AH80" s="26"/>
      <c r="AI80" s="26"/>
      <c r="AJ80" s="26"/>
      <c r="AK80" s="40"/>
      <c r="AL80" s="41"/>
      <c r="AM80" s="41"/>
      <c r="AN80" s="41"/>
      <c r="AO80" s="42"/>
      <c r="AP80" s="50"/>
      <c r="AQ80" s="50"/>
      <c r="AS80" s="55" t="e">
        <f t="shared" si="31"/>
        <v>#DIV/0!</v>
      </c>
      <c r="AT80" s="55"/>
      <c r="AV80" s="56"/>
      <c r="AW80" s="56"/>
      <c r="AX80" s="56"/>
      <c r="AY80" s="62"/>
      <c r="BA80" s="56"/>
      <c r="BB80" s="56"/>
      <c r="BC80" s="56"/>
      <c r="BD80" s="62"/>
      <c r="BF80">
        <f t="shared" si="32"/>
        <v>0</v>
      </c>
      <c r="BG80">
        <f t="shared" si="33"/>
        <v>0</v>
      </c>
      <c r="BH80">
        <f t="shared" si="34"/>
        <v>0</v>
      </c>
      <c r="BI80">
        <f t="shared" si="35"/>
        <v>0</v>
      </c>
      <c r="BJ80">
        <f t="shared" si="36"/>
        <v>0</v>
      </c>
      <c r="BK80">
        <f t="shared" si="37"/>
        <v>0</v>
      </c>
      <c r="BL80">
        <f t="shared" si="38"/>
        <v>0</v>
      </c>
      <c r="BM80">
        <f t="shared" si="39"/>
        <v>0</v>
      </c>
      <c r="BN80">
        <f t="shared" si="40"/>
        <v>0</v>
      </c>
    </row>
    <row r="81" spans="1:66" outlineLevel="1" x14ac:dyDescent="0.15">
      <c r="A81" s="5"/>
      <c r="B81" s="5" t="s">
        <v>97</v>
      </c>
      <c r="C81" s="6" t="s">
        <v>258</v>
      </c>
      <c r="D81" s="5">
        <v>3017285</v>
      </c>
      <c r="E81" s="7">
        <v>12</v>
      </c>
      <c r="F81" s="6">
        <v>1</v>
      </c>
      <c r="G81" s="6"/>
      <c r="I81" s="17" t="str">
        <f t="shared" si="21"/>
        <v>·</v>
      </c>
      <c r="J81" s="18" t="str">
        <f t="shared" si="22"/>
        <v>·</v>
      </c>
      <c r="K81" s="18" t="str">
        <f t="shared" si="23"/>
        <v>·</v>
      </c>
      <c r="L81" s="18" t="str">
        <f t="shared" si="24"/>
        <v>·</v>
      </c>
      <c r="M81" s="19"/>
      <c r="N81" s="18" t="str">
        <f t="shared" si="25"/>
        <v>·</v>
      </c>
      <c r="O81" s="20"/>
      <c r="P81" s="21"/>
      <c r="Q81" s="21"/>
      <c r="R81" s="21"/>
      <c r="S81" s="37"/>
      <c r="T81" s="38"/>
      <c r="U81" s="38"/>
      <c r="V81" s="38"/>
      <c r="W81" s="39"/>
      <c r="X81" s="49"/>
      <c r="Y81" s="49"/>
      <c r="AA81" s="17" t="str">
        <f t="shared" si="26"/>
        <v>·</v>
      </c>
      <c r="AB81" s="18" t="str">
        <f t="shared" si="27"/>
        <v>·</v>
      </c>
      <c r="AC81" s="18" t="str">
        <f t="shared" si="28"/>
        <v>·</v>
      </c>
      <c r="AD81" s="18" t="str">
        <f t="shared" si="29"/>
        <v>·</v>
      </c>
      <c r="AE81" s="19"/>
      <c r="AF81" s="18" t="str">
        <f t="shared" si="30"/>
        <v>·</v>
      </c>
      <c r="AG81" s="20"/>
      <c r="AH81" s="21"/>
      <c r="AI81" s="21"/>
      <c r="AJ81" s="21"/>
      <c r="AK81" s="37"/>
      <c r="AL81" s="38"/>
      <c r="AM81" s="38"/>
      <c r="AN81" s="38"/>
      <c r="AO81" s="39"/>
      <c r="AP81" s="49"/>
      <c r="AQ81" s="49"/>
      <c r="AS81" s="53" t="e">
        <f t="shared" si="31"/>
        <v>#DIV/0!</v>
      </c>
      <c r="AT81" s="53"/>
      <c r="AV81" s="54"/>
      <c r="AW81" s="54"/>
      <c r="AX81" s="54"/>
      <c r="AY81" s="61"/>
      <c r="BA81" s="54"/>
      <c r="BB81" s="54"/>
      <c r="BC81" s="54"/>
      <c r="BD81" s="61"/>
      <c r="BF81">
        <f t="shared" si="32"/>
        <v>0</v>
      </c>
      <c r="BG81">
        <f t="shared" si="33"/>
        <v>0</v>
      </c>
      <c r="BH81">
        <f t="shared" si="34"/>
        <v>0</v>
      </c>
      <c r="BI81">
        <f t="shared" si="35"/>
        <v>0</v>
      </c>
      <c r="BJ81">
        <f t="shared" si="36"/>
        <v>0</v>
      </c>
      <c r="BK81">
        <f t="shared" si="37"/>
        <v>0</v>
      </c>
      <c r="BL81">
        <f t="shared" si="38"/>
        <v>0</v>
      </c>
      <c r="BM81">
        <f t="shared" si="39"/>
        <v>0</v>
      </c>
      <c r="BN81">
        <f t="shared" si="40"/>
        <v>0</v>
      </c>
    </row>
    <row r="82" spans="1:66" ht="14.25" outlineLevel="1" thickBot="1" x14ac:dyDescent="0.2">
      <c r="A82" s="8"/>
      <c r="B82" s="14" t="s">
        <v>97</v>
      </c>
      <c r="C82" s="15" t="s">
        <v>259</v>
      </c>
      <c r="D82" s="14">
        <v>3017285</v>
      </c>
      <c r="E82" s="16">
        <v>12</v>
      </c>
      <c r="F82" s="15">
        <v>1</v>
      </c>
      <c r="G82" s="15"/>
      <c r="I82" s="32" t="str">
        <f t="shared" si="21"/>
        <v>·</v>
      </c>
      <c r="J82" s="33" t="str">
        <f t="shared" si="22"/>
        <v>·</v>
      </c>
      <c r="K82" s="33" t="str">
        <f t="shared" si="23"/>
        <v>·</v>
      </c>
      <c r="L82" s="33" t="str">
        <f t="shared" si="24"/>
        <v>·</v>
      </c>
      <c r="M82" s="34"/>
      <c r="N82" s="33" t="str">
        <f t="shared" si="25"/>
        <v>·</v>
      </c>
      <c r="O82" s="35"/>
      <c r="P82" s="36"/>
      <c r="Q82" s="36"/>
      <c r="R82" s="36"/>
      <c r="S82" s="46"/>
      <c r="T82" s="47"/>
      <c r="U82" s="47"/>
      <c r="V82" s="47"/>
      <c r="W82" s="48"/>
      <c r="X82" s="52"/>
      <c r="Y82" s="52"/>
      <c r="AA82" s="32" t="str">
        <f t="shared" si="26"/>
        <v>·</v>
      </c>
      <c r="AB82" s="33" t="str">
        <f t="shared" si="27"/>
        <v>·</v>
      </c>
      <c r="AC82" s="33" t="str">
        <f t="shared" si="28"/>
        <v>·</v>
      </c>
      <c r="AD82" s="33" t="str">
        <f t="shared" si="29"/>
        <v>·</v>
      </c>
      <c r="AE82" s="34"/>
      <c r="AF82" s="33" t="str">
        <f t="shared" si="30"/>
        <v>·</v>
      </c>
      <c r="AG82" s="35"/>
      <c r="AH82" s="36"/>
      <c r="AI82" s="36"/>
      <c r="AJ82" s="36"/>
      <c r="AK82" s="46"/>
      <c r="AL82" s="47"/>
      <c r="AM82" s="47"/>
      <c r="AN82" s="47"/>
      <c r="AO82" s="48"/>
      <c r="AP82" s="52"/>
      <c r="AQ82" s="52"/>
      <c r="AS82" s="59" t="e">
        <f t="shared" si="31"/>
        <v>#DIV/0!</v>
      </c>
      <c r="AT82" s="59"/>
      <c r="AV82" s="60"/>
      <c r="AW82" s="60"/>
      <c r="AX82" s="60"/>
      <c r="AY82" s="64"/>
      <c r="BA82" s="60"/>
      <c r="BB82" s="60"/>
      <c r="BC82" s="60"/>
      <c r="BD82" s="64"/>
      <c r="BF82">
        <f t="shared" si="32"/>
        <v>0</v>
      </c>
      <c r="BG82">
        <f t="shared" si="33"/>
        <v>0</v>
      </c>
      <c r="BH82">
        <f t="shared" si="34"/>
        <v>0</v>
      </c>
      <c r="BI82">
        <f t="shared" si="35"/>
        <v>0</v>
      </c>
      <c r="BJ82">
        <f t="shared" si="36"/>
        <v>0</v>
      </c>
      <c r="BK82">
        <f t="shared" si="37"/>
        <v>0</v>
      </c>
      <c r="BL82">
        <f t="shared" si="38"/>
        <v>0</v>
      </c>
      <c r="BM82">
        <f t="shared" si="39"/>
        <v>0</v>
      </c>
      <c r="BN82">
        <f t="shared" si="40"/>
        <v>0</v>
      </c>
    </row>
    <row r="83" spans="1:66" x14ac:dyDescent="0.15">
      <c r="A83" s="5"/>
      <c r="B83" s="5" t="s">
        <v>100</v>
      </c>
      <c r="C83" s="6" t="s">
        <v>254</v>
      </c>
      <c r="D83" s="5">
        <v>805285</v>
      </c>
      <c r="E83" s="7">
        <v>10</v>
      </c>
      <c r="F83" s="6">
        <v>1</v>
      </c>
      <c r="G83" s="6"/>
      <c r="I83" s="17" t="str">
        <f t="shared" si="21"/>
        <v>·</v>
      </c>
      <c r="J83" s="18" t="str">
        <f t="shared" si="22"/>
        <v>·</v>
      </c>
      <c r="K83" s="18" t="str">
        <f t="shared" si="23"/>
        <v>·</v>
      </c>
      <c r="L83" s="18" t="str">
        <f t="shared" si="24"/>
        <v>·</v>
      </c>
      <c r="M83" s="19"/>
      <c r="N83" s="18" t="str">
        <f t="shared" si="25"/>
        <v>·</v>
      </c>
      <c r="O83" s="20"/>
      <c r="P83" s="21"/>
      <c r="Q83" s="21"/>
      <c r="R83" s="21"/>
      <c r="S83" s="37"/>
      <c r="T83" s="38"/>
      <c r="U83" s="38"/>
      <c r="V83" s="38"/>
      <c r="W83" s="39"/>
      <c r="X83" s="49"/>
      <c r="Y83" s="49"/>
      <c r="AA83" s="17" t="str">
        <f t="shared" si="26"/>
        <v>·</v>
      </c>
      <c r="AB83" s="18" t="str">
        <f t="shared" si="27"/>
        <v>·</v>
      </c>
      <c r="AC83" s="18" t="str">
        <f t="shared" si="28"/>
        <v>·</v>
      </c>
      <c r="AD83" s="18" t="str">
        <f t="shared" si="29"/>
        <v>·</v>
      </c>
      <c r="AE83" s="19"/>
      <c r="AF83" s="18" t="str">
        <f t="shared" si="30"/>
        <v>·</v>
      </c>
      <c r="AG83" s="20"/>
      <c r="AH83" s="21"/>
      <c r="AI83" s="21"/>
      <c r="AJ83" s="21"/>
      <c r="AK83" s="37"/>
      <c r="AL83" s="38"/>
      <c r="AM83" s="38"/>
      <c r="AN83" s="38"/>
      <c r="AO83" s="39"/>
      <c r="AP83" s="49"/>
      <c r="AQ83" s="49"/>
      <c r="AS83" s="53" t="e">
        <f t="shared" si="31"/>
        <v>#DIV/0!</v>
      </c>
      <c r="AT83" s="53" t="e">
        <f t="array" ref="AT83">AVERAGE(AI83:AI88/AH83:AH88)-AVERAGE(Q83:Q88/P83:P88)</f>
        <v>#DIV/0!</v>
      </c>
      <c r="AV83" s="54" t="str">
        <f>IF(OR(ISBLANK(R83:R88),ISBLANK(AJ83:AJ88),ISBLANK(T83:T88),ISBLANK(AL83:AL88)),"·",bdRateExtend(R83:R88,T83:T88,AJ83:AJ88,AL83:AL88))</f>
        <v>·</v>
      </c>
      <c r="AW83" s="54" t="str">
        <f>IF(OR(ISBLANK(R83:R88),ISBLANK(AJ83:AJ88),ISBLANK(U83:U88),ISBLANK(AM83:AM88)),"·",bdRateExtend(R83:R88,U83:U88,AJ83:AJ88,AM83:AM88))</f>
        <v>·</v>
      </c>
      <c r="AX83" s="54" t="str">
        <f>IF(OR(ISBLANK(R83:R88),ISBLANK(AJ83:AJ88),ISBLANK(V83:V88),ISBLANK(AN83:AN88)),"·",bdRateExtend(R83:R88,V83:V88,AJ83:AJ88,AN83:AN88))</f>
        <v>·</v>
      </c>
      <c r="AY83" s="61"/>
      <c r="BA83" s="54" t="str">
        <f>IF(OR(ISBLANK(P83:P88),ISBLANK(AH83:AH88),ISBLANK(T83:T88),ISBLANK(AL83:AL88)),"·",bdRateExtend(P83:P88,T83:T88,AH83:AH88,AL83:AL88))</f>
        <v>·</v>
      </c>
      <c r="BB83" s="54" t="str">
        <f>IF(OR(ISBLANK(P83:P88),ISBLANK(AH83:AH88),ISBLANK(U83:U88),ISBLANK(AM83:AM88)),"·",bdRateExtend(P83:P88,U83:U88,AH83:AH88,AM83:AM88))</f>
        <v>·</v>
      </c>
      <c r="BC83" s="54" t="str">
        <f>IF(OR(ISBLANK(P83:P88),ISBLANK(AH83:AH88),ISBLANK(V83:V88),ISBLANK(AN83:AN88)),"·",bdRateExtend(P83:P88,V83:V88,AH83:AH88,AN83:AN88))</f>
        <v>·</v>
      </c>
      <c r="BD83" s="61"/>
      <c r="BF83">
        <f t="shared" si="32"/>
        <v>0</v>
      </c>
      <c r="BG83">
        <f t="shared" si="33"/>
        <v>0</v>
      </c>
      <c r="BH83">
        <f t="shared" si="34"/>
        <v>0</v>
      </c>
      <c r="BI83">
        <f t="shared" si="35"/>
        <v>0</v>
      </c>
      <c r="BJ83">
        <f t="shared" si="36"/>
        <v>0</v>
      </c>
      <c r="BK83">
        <f t="shared" si="37"/>
        <v>0</v>
      </c>
      <c r="BL83">
        <f t="shared" si="38"/>
        <v>0</v>
      </c>
      <c r="BM83">
        <f t="shared" si="39"/>
        <v>0</v>
      </c>
      <c r="BN83">
        <f t="shared" si="40"/>
        <v>0</v>
      </c>
    </row>
    <row r="84" spans="1:66" outlineLevel="1" x14ac:dyDescent="0.15">
      <c r="A84" s="8"/>
      <c r="B84" s="8" t="s">
        <v>100</v>
      </c>
      <c r="C84" s="9" t="s">
        <v>255</v>
      </c>
      <c r="D84" s="8">
        <v>805285</v>
      </c>
      <c r="E84" s="10">
        <v>10</v>
      </c>
      <c r="F84" s="9">
        <v>1</v>
      </c>
      <c r="G84" s="9"/>
      <c r="I84" s="22" t="str">
        <f t="shared" si="21"/>
        <v>·</v>
      </c>
      <c r="J84" s="23" t="str">
        <f t="shared" si="22"/>
        <v>·</v>
      </c>
      <c r="K84" s="23" t="str">
        <f t="shared" si="23"/>
        <v>·</v>
      </c>
      <c r="L84" s="23" t="str">
        <f t="shared" si="24"/>
        <v>·</v>
      </c>
      <c r="M84" s="24"/>
      <c r="N84" s="23" t="str">
        <f t="shared" si="25"/>
        <v>·</v>
      </c>
      <c r="O84" s="25"/>
      <c r="P84" s="26"/>
      <c r="Q84" s="26"/>
      <c r="R84" s="26"/>
      <c r="S84" s="40"/>
      <c r="T84" s="41"/>
      <c r="U84" s="41"/>
      <c r="V84" s="41"/>
      <c r="W84" s="42"/>
      <c r="X84" s="50"/>
      <c r="Y84" s="50"/>
      <c r="AA84" s="22" t="str">
        <f t="shared" si="26"/>
        <v>·</v>
      </c>
      <c r="AB84" s="23" t="str">
        <f t="shared" si="27"/>
        <v>·</v>
      </c>
      <c r="AC84" s="23" t="str">
        <f t="shared" si="28"/>
        <v>·</v>
      </c>
      <c r="AD84" s="23" t="str">
        <f t="shared" si="29"/>
        <v>·</v>
      </c>
      <c r="AE84" s="24"/>
      <c r="AF84" s="23" t="str">
        <f t="shared" si="30"/>
        <v>·</v>
      </c>
      <c r="AG84" s="25"/>
      <c r="AH84" s="26"/>
      <c r="AI84" s="26"/>
      <c r="AJ84" s="26"/>
      <c r="AK84" s="40"/>
      <c r="AL84" s="41"/>
      <c r="AM84" s="41"/>
      <c r="AN84" s="41"/>
      <c r="AO84" s="42"/>
      <c r="AP84" s="50"/>
      <c r="AQ84" s="50"/>
      <c r="AS84" s="55" t="e">
        <f t="shared" si="31"/>
        <v>#DIV/0!</v>
      </c>
      <c r="AT84" s="55"/>
      <c r="AV84" s="56"/>
      <c r="AW84" s="56"/>
      <c r="AX84" s="56"/>
      <c r="AY84" s="62"/>
      <c r="BA84" s="56"/>
      <c r="BB84" s="56"/>
      <c r="BC84" s="56"/>
      <c r="BD84" s="62"/>
      <c r="BF84">
        <f t="shared" si="32"/>
        <v>0</v>
      </c>
      <c r="BG84">
        <f t="shared" si="33"/>
        <v>0</v>
      </c>
      <c r="BH84">
        <f t="shared" si="34"/>
        <v>0</v>
      </c>
      <c r="BI84">
        <f t="shared" si="35"/>
        <v>0</v>
      </c>
      <c r="BJ84">
        <f t="shared" si="36"/>
        <v>0</v>
      </c>
      <c r="BK84">
        <f t="shared" si="37"/>
        <v>0</v>
      </c>
      <c r="BL84">
        <f t="shared" si="38"/>
        <v>0</v>
      </c>
      <c r="BM84">
        <f t="shared" si="39"/>
        <v>0</v>
      </c>
      <c r="BN84">
        <f t="shared" si="40"/>
        <v>0</v>
      </c>
    </row>
    <row r="85" spans="1:66" outlineLevel="1" x14ac:dyDescent="0.15">
      <c r="A85" s="5"/>
      <c r="B85" s="5" t="s">
        <v>100</v>
      </c>
      <c r="C85" s="6" t="s">
        <v>256</v>
      </c>
      <c r="D85" s="5">
        <v>805285</v>
      </c>
      <c r="E85" s="7">
        <v>10</v>
      </c>
      <c r="F85" s="6">
        <v>1</v>
      </c>
      <c r="G85" s="6"/>
      <c r="I85" s="17" t="str">
        <f t="shared" si="21"/>
        <v>·</v>
      </c>
      <c r="J85" s="18" t="str">
        <f t="shared" si="22"/>
        <v>·</v>
      </c>
      <c r="K85" s="18" t="str">
        <f t="shared" si="23"/>
        <v>·</v>
      </c>
      <c r="L85" s="18" t="str">
        <f t="shared" si="24"/>
        <v>·</v>
      </c>
      <c r="M85" s="19"/>
      <c r="N85" s="18" t="str">
        <f t="shared" si="25"/>
        <v>·</v>
      </c>
      <c r="O85" s="20"/>
      <c r="P85" s="21"/>
      <c r="Q85" s="21"/>
      <c r="R85" s="21"/>
      <c r="S85" s="37"/>
      <c r="T85" s="38"/>
      <c r="U85" s="38"/>
      <c r="V85" s="38"/>
      <c r="W85" s="39"/>
      <c r="X85" s="49"/>
      <c r="Y85" s="49"/>
      <c r="AA85" s="17" t="str">
        <f t="shared" si="26"/>
        <v>·</v>
      </c>
      <c r="AB85" s="18" t="str">
        <f t="shared" si="27"/>
        <v>·</v>
      </c>
      <c r="AC85" s="18" t="str">
        <f t="shared" si="28"/>
        <v>·</v>
      </c>
      <c r="AD85" s="18" t="str">
        <f t="shared" si="29"/>
        <v>·</v>
      </c>
      <c r="AE85" s="19"/>
      <c r="AF85" s="18" t="str">
        <f t="shared" si="30"/>
        <v>·</v>
      </c>
      <c r="AG85" s="20"/>
      <c r="AH85" s="21"/>
      <c r="AI85" s="21"/>
      <c r="AJ85" s="21"/>
      <c r="AK85" s="37"/>
      <c r="AL85" s="38"/>
      <c r="AM85" s="38"/>
      <c r="AN85" s="38"/>
      <c r="AO85" s="39"/>
      <c r="AP85" s="49"/>
      <c r="AQ85" s="49"/>
      <c r="AS85" s="53" t="e">
        <f t="shared" si="31"/>
        <v>#DIV/0!</v>
      </c>
      <c r="AT85" s="53"/>
      <c r="AV85" s="54"/>
      <c r="AW85" s="54"/>
      <c r="AX85" s="54"/>
      <c r="AY85" s="61"/>
      <c r="BA85" s="54"/>
      <c r="BB85" s="54"/>
      <c r="BC85" s="54"/>
      <c r="BD85" s="61"/>
      <c r="BF85">
        <f t="shared" si="32"/>
        <v>0</v>
      </c>
      <c r="BG85">
        <f t="shared" si="33"/>
        <v>0</v>
      </c>
      <c r="BH85">
        <f t="shared" si="34"/>
        <v>0</v>
      </c>
      <c r="BI85">
        <f t="shared" si="35"/>
        <v>0</v>
      </c>
      <c r="BJ85">
        <f t="shared" si="36"/>
        <v>0</v>
      </c>
      <c r="BK85">
        <f t="shared" si="37"/>
        <v>0</v>
      </c>
      <c r="BL85">
        <f t="shared" si="38"/>
        <v>0</v>
      </c>
      <c r="BM85">
        <f t="shared" si="39"/>
        <v>0</v>
      </c>
      <c r="BN85">
        <f t="shared" si="40"/>
        <v>0</v>
      </c>
    </row>
    <row r="86" spans="1:66" outlineLevel="1" x14ac:dyDescent="0.15">
      <c r="A86" s="8"/>
      <c r="B86" s="8" t="s">
        <v>100</v>
      </c>
      <c r="C86" s="9" t="s">
        <v>257</v>
      </c>
      <c r="D86" s="8">
        <v>805285</v>
      </c>
      <c r="E86" s="10">
        <v>10</v>
      </c>
      <c r="F86" s="9">
        <v>1</v>
      </c>
      <c r="G86" s="9"/>
      <c r="I86" s="22" t="str">
        <f t="shared" si="21"/>
        <v>·</v>
      </c>
      <c r="J86" s="23" t="str">
        <f t="shared" si="22"/>
        <v>·</v>
      </c>
      <c r="K86" s="23" t="str">
        <f t="shared" si="23"/>
        <v>·</v>
      </c>
      <c r="L86" s="23" t="str">
        <f t="shared" si="24"/>
        <v>·</v>
      </c>
      <c r="M86" s="24"/>
      <c r="N86" s="23" t="str">
        <f t="shared" si="25"/>
        <v>·</v>
      </c>
      <c r="O86" s="25"/>
      <c r="P86" s="26"/>
      <c r="Q86" s="26"/>
      <c r="R86" s="26"/>
      <c r="S86" s="40"/>
      <c r="T86" s="41"/>
      <c r="U86" s="41"/>
      <c r="V86" s="41"/>
      <c r="W86" s="42"/>
      <c r="X86" s="50"/>
      <c r="Y86" s="50"/>
      <c r="AA86" s="22" t="str">
        <f t="shared" si="26"/>
        <v>·</v>
      </c>
      <c r="AB86" s="23" t="str">
        <f t="shared" si="27"/>
        <v>·</v>
      </c>
      <c r="AC86" s="23" t="str">
        <f t="shared" si="28"/>
        <v>·</v>
      </c>
      <c r="AD86" s="23" t="str">
        <f t="shared" si="29"/>
        <v>·</v>
      </c>
      <c r="AE86" s="24"/>
      <c r="AF86" s="23" t="str">
        <f t="shared" si="30"/>
        <v>·</v>
      </c>
      <c r="AG86" s="25"/>
      <c r="AH86" s="26"/>
      <c r="AI86" s="26"/>
      <c r="AJ86" s="26"/>
      <c r="AK86" s="40"/>
      <c r="AL86" s="41"/>
      <c r="AM86" s="41"/>
      <c r="AN86" s="41"/>
      <c r="AO86" s="42"/>
      <c r="AP86" s="50"/>
      <c r="AQ86" s="50"/>
      <c r="AS86" s="55" t="e">
        <f t="shared" si="31"/>
        <v>#DIV/0!</v>
      </c>
      <c r="AT86" s="55"/>
      <c r="AV86" s="56"/>
      <c r="AW86" s="56"/>
      <c r="AX86" s="56"/>
      <c r="AY86" s="62"/>
      <c r="BA86" s="56"/>
      <c r="BB86" s="56"/>
      <c r="BC86" s="56"/>
      <c r="BD86" s="62"/>
      <c r="BF86">
        <f t="shared" si="32"/>
        <v>0</v>
      </c>
      <c r="BG86">
        <f t="shared" si="33"/>
        <v>0</v>
      </c>
      <c r="BH86">
        <f t="shared" si="34"/>
        <v>0</v>
      </c>
      <c r="BI86">
        <f t="shared" si="35"/>
        <v>0</v>
      </c>
      <c r="BJ86">
        <f t="shared" si="36"/>
        <v>0</v>
      </c>
      <c r="BK86">
        <f t="shared" si="37"/>
        <v>0</v>
      </c>
      <c r="BL86">
        <f t="shared" si="38"/>
        <v>0</v>
      </c>
      <c r="BM86">
        <f t="shared" si="39"/>
        <v>0</v>
      </c>
      <c r="BN86">
        <f t="shared" si="40"/>
        <v>0</v>
      </c>
    </row>
    <row r="87" spans="1:66" outlineLevel="1" x14ac:dyDescent="0.15">
      <c r="A87" s="5"/>
      <c r="B87" s="5" t="s">
        <v>100</v>
      </c>
      <c r="C87" s="6" t="s">
        <v>258</v>
      </c>
      <c r="D87" s="5">
        <v>805285</v>
      </c>
      <c r="E87" s="7">
        <v>10</v>
      </c>
      <c r="F87" s="6">
        <v>1</v>
      </c>
      <c r="G87" s="6"/>
      <c r="I87" s="17" t="str">
        <f t="shared" si="21"/>
        <v>·</v>
      </c>
      <c r="J87" s="18" t="str">
        <f t="shared" si="22"/>
        <v>·</v>
      </c>
      <c r="K87" s="18" t="str">
        <f t="shared" si="23"/>
        <v>·</v>
      </c>
      <c r="L87" s="18" t="str">
        <f t="shared" si="24"/>
        <v>·</v>
      </c>
      <c r="M87" s="19"/>
      <c r="N87" s="18" t="str">
        <f t="shared" si="25"/>
        <v>·</v>
      </c>
      <c r="O87" s="20"/>
      <c r="P87" s="21"/>
      <c r="Q87" s="21"/>
      <c r="R87" s="21"/>
      <c r="S87" s="37"/>
      <c r="T87" s="38"/>
      <c r="U87" s="38"/>
      <c r="V87" s="38"/>
      <c r="W87" s="39"/>
      <c r="X87" s="49"/>
      <c r="Y87" s="49"/>
      <c r="AA87" s="17" t="str">
        <f t="shared" si="26"/>
        <v>·</v>
      </c>
      <c r="AB87" s="18" t="str">
        <f t="shared" si="27"/>
        <v>·</v>
      </c>
      <c r="AC87" s="18" t="str">
        <f t="shared" si="28"/>
        <v>·</v>
      </c>
      <c r="AD87" s="18" t="str">
        <f t="shared" si="29"/>
        <v>·</v>
      </c>
      <c r="AE87" s="19"/>
      <c r="AF87" s="18" t="str">
        <f t="shared" si="30"/>
        <v>·</v>
      </c>
      <c r="AG87" s="20"/>
      <c r="AH87" s="21"/>
      <c r="AI87" s="21"/>
      <c r="AJ87" s="21"/>
      <c r="AK87" s="37"/>
      <c r="AL87" s="38"/>
      <c r="AM87" s="38"/>
      <c r="AN87" s="38"/>
      <c r="AO87" s="39"/>
      <c r="AP87" s="49"/>
      <c r="AQ87" s="49"/>
      <c r="AS87" s="53" t="e">
        <f t="shared" si="31"/>
        <v>#DIV/0!</v>
      </c>
      <c r="AT87" s="53"/>
      <c r="AV87" s="54"/>
      <c r="AW87" s="54"/>
      <c r="AX87" s="54"/>
      <c r="AY87" s="61"/>
      <c r="BA87" s="54"/>
      <c r="BB87" s="54"/>
      <c r="BC87" s="54"/>
      <c r="BD87" s="61"/>
      <c r="BF87">
        <f t="shared" si="32"/>
        <v>0</v>
      </c>
      <c r="BG87">
        <f t="shared" si="33"/>
        <v>0</v>
      </c>
      <c r="BH87">
        <f t="shared" si="34"/>
        <v>0</v>
      </c>
      <c r="BI87">
        <f t="shared" si="35"/>
        <v>0</v>
      </c>
      <c r="BJ87">
        <f t="shared" si="36"/>
        <v>0</v>
      </c>
      <c r="BK87">
        <f t="shared" si="37"/>
        <v>0</v>
      </c>
      <c r="BL87">
        <f t="shared" si="38"/>
        <v>0</v>
      </c>
      <c r="BM87">
        <f t="shared" si="39"/>
        <v>0</v>
      </c>
      <c r="BN87">
        <f t="shared" si="40"/>
        <v>0</v>
      </c>
    </row>
    <row r="88" spans="1:66" outlineLevel="1" x14ac:dyDescent="0.15">
      <c r="A88" s="8"/>
      <c r="B88" s="14" t="s">
        <v>100</v>
      </c>
      <c r="C88" s="15" t="s">
        <v>259</v>
      </c>
      <c r="D88" s="14">
        <v>805285</v>
      </c>
      <c r="E88" s="16">
        <v>10</v>
      </c>
      <c r="F88" s="15">
        <v>1</v>
      </c>
      <c r="G88" s="15"/>
      <c r="I88" s="32" t="str">
        <f t="shared" si="21"/>
        <v>·</v>
      </c>
      <c r="J88" s="33" t="str">
        <f t="shared" si="22"/>
        <v>·</v>
      </c>
      <c r="K88" s="33" t="str">
        <f t="shared" si="23"/>
        <v>·</v>
      </c>
      <c r="L88" s="33" t="str">
        <f t="shared" si="24"/>
        <v>·</v>
      </c>
      <c r="M88" s="34"/>
      <c r="N88" s="33" t="str">
        <f t="shared" si="25"/>
        <v>·</v>
      </c>
      <c r="O88" s="35"/>
      <c r="P88" s="36"/>
      <c r="Q88" s="36"/>
      <c r="R88" s="36"/>
      <c r="S88" s="46"/>
      <c r="T88" s="47"/>
      <c r="U88" s="47"/>
      <c r="V88" s="47"/>
      <c r="W88" s="48"/>
      <c r="X88" s="52"/>
      <c r="Y88" s="52"/>
      <c r="AA88" s="32" t="str">
        <f t="shared" si="26"/>
        <v>·</v>
      </c>
      <c r="AB88" s="33" t="str">
        <f t="shared" si="27"/>
        <v>·</v>
      </c>
      <c r="AC88" s="33" t="str">
        <f t="shared" si="28"/>
        <v>·</v>
      </c>
      <c r="AD88" s="33" t="str">
        <f t="shared" si="29"/>
        <v>·</v>
      </c>
      <c r="AE88" s="34"/>
      <c r="AF88" s="33" t="str">
        <f t="shared" si="30"/>
        <v>·</v>
      </c>
      <c r="AG88" s="35"/>
      <c r="AH88" s="36"/>
      <c r="AI88" s="36"/>
      <c r="AJ88" s="36"/>
      <c r="AK88" s="46"/>
      <c r="AL88" s="47"/>
      <c r="AM88" s="47"/>
      <c r="AN88" s="47"/>
      <c r="AO88" s="48"/>
      <c r="AP88" s="52"/>
      <c r="AQ88" s="52"/>
      <c r="AS88" s="59" t="e">
        <f t="shared" si="31"/>
        <v>#DIV/0!</v>
      </c>
      <c r="AT88" s="59"/>
      <c r="AV88" s="60"/>
      <c r="AW88" s="60"/>
      <c r="AX88" s="60"/>
      <c r="AY88" s="64"/>
      <c r="BA88" s="60"/>
      <c r="BB88" s="60"/>
      <c r="BC88" s="60"/>
      <c r="BD88" s="64"/>
      <c r="BF88">
        <f t="shared" si="32"/>
        <v>0</v>
      </c>
      <c r="BG88">
        <f t="shared" si="33"/>
        <v>0</v>
      </c>
      <c r="BH88">
        <f t="shared" si="34"/>
        <v>0</v>
      </c>
      <c r="BI88">
        <f t="shared" si="35"/>
        <v>0</v>
      </c>
      <c r="BJ88">
        <f t="shared" si="36"/>
        <v>0</v>
      </c>
      <c r="BK88">
        <f t="shared" si="37"/>
        <v>0</v>
      </c>
      <c r="BL88">
        <f t="shared" si="38"/>
        <v>0</v>
      </c>
      <c r="BM88">
        <f t="shared" si="39"/>
        <v>0</v>
      </c>
      <c r="BN88">
        <f t="shared" si="40"/>
        <v>0</v>
      </c>
    </row>
    <row r="89" spans="1:66" x14ac:dyDescent="0.15">
      <c r="A89" s="5"/>
      <c r="B89" s="5" t="s">
        <v>102</v>
      </c>
      <c r="C89" s="6" t="s">
        <v>254</v>
      </c>
      <c r="D89" s="5">
        <v>1000993</v>
      </c>
      <c r="E89" s="7">
        <v>10</v>
      </c>
      <c r="F89" s="6">
        <v>1</v>
      </c>
      <c r="G89" s="6"/>
      <c r="I89" s="17" t="str">
        <f t="shared" si="21"/>
        <v>·</v>
      </c>
      <c r="J89" s="18" t="str">
        <f t="shared" si="22"/>
        <v>·</v>
      </c>
      <c r="K89" s="18" t="str">
        <f t="shared" si="23"/>
        <v>·</v>
      </c>
      <c r="L89" s="18" t="str">
        <f t="shared" si="24"/>
        <v>·</v>
      </c>
      <c r="M89" s="19"/>
      <c r="N89" s="18" t="str">
        <f t="shared" si="25"/>
        <v>·</v>
      </c>
      <c r="O89" s="20"/>
      <c r="P89" s="21"/>
      <c r="Q89" s="21"/>
      <c r="R89" s="21"/>
      <c r="S89" s="37"/>
      <c r="T89" s="38"/>
      <c r="U89" s="38"/>
      <c r="V89" s="38"/>
      <c r="W89" s="39"/>
      <c r="X89" s="49"/>
      <c r="Y89" s="49"/>
      <c r="AA89" s="17" t="str">
        <f t="shared" si="26"/>
        <v>·</v>
      </c>
      <c r="AB89" s="18" t="str">
        <f t="shared" si="27"/>
        <v>·</v>
      </c>
      <c r="AC89" s="18" t="str">
        <f t="shared" si="28"/>
        <v>·</v>
      </c>
      <c r="AD89" s="18" t="str">
        <f t="shared" si="29"/>
        <v>·</v>
      </c>
      <c r="AE89" s="19"/>
      <c r="AF89" s="18" t="str">
        <f t="shared" si="30"/>
        <v>·</v>
      </c>
      <c r="AG89" s="20"/>
      <c r="AH89" s="21"/>
      <c r="AI89" s="21"/>
      <c r="AJ89" s="21"/>
      <c r="AK89" s="37"/>
      <c r="AL89" s="38"/>
      <c r="AM89" s="38"/>
      <c r="AN89" s="38"/>
      <c r="AO89" s="39"/>
      <c r="AP89" s="49"/>
      <c r="AQ89" s="49"/>
      <c r="AS89" s="53" t="e">
        <f t="shared" si="31"/>
        <v>#DIV/0!</v>
      </c>
      <c r="AT89" s="53" t="e">
        <f t="array" ref="AT89">AVERAGE(AI89:AI94/AH89:AH94)-AVERAGE(Q89:Q94/P89:P94)</f>
        <v>#DIV/0!</v>
      </c>
      <c r="AV89" s="54" t="str">
        <f>IF(OR(ISBLANK(R89:R94),ISBLANK(AJ89:AJ94),ISBLANK(T89:T94),ISBLANK(AL89:AL94)),"·",bdRateExtend(R89:R94,T89:T94,AJ89:AJ94,AL89:AL94))</f>
        <v>·</v>
      </c>
      <c r="AW89" s="54" t="str">
        <f>IF(OR(ISBLANK(R89:R94),ISBLANK(AJ89:AJ94),ISBLANK(U89:U94),ISBLANK(AM89:AM94)),"·",bdRateExtend(R89:R94,U89:U94,AJ89:AJ94,AM89:AM94))</f>
        <v>·</v>
      </c>
      <c r="AX89" s="54" t="str">
        <f>IF(OR(ISBLANK(R89:R94),ISBLANK(AJ89:AJ94),ISBLANK(V89:V94),ISBLANK(AN89:AN94)),"·",bdRateExtend(R89:R94,V89:V94,AJ89:AJ94,AN89:AN94))</f>
        <v>·</v>
      </c>
      <c r="AY89" s="61"/>
      <c r="BA89" s="54" t="str">
        <f>IF(OR(ISBLANK(P89:P94),ISBLANK(AH89:AH94),ISBLANK(T89:T94),ISBLANK(AL89:AL94)),"·",bdRateExtend(P89:P94,T89:T94,AH89:AH94,AL89:AL94))</f>
        <v>·</v>
      </c>
      <c r="BB89" s="54" t="str">
        <f>IF(OR(ISBLANK(P89:P94),ISBLANK(AH89:AH94),ISBLANK(U89:U94),ISBLANK(AM89:AM94)),"·",bdRateExtend(P89:P94,U89:U94,AH89:AH94,AM89:AM94))</f>
        <v>·</v>
      </c>
      <c r="BC89" s="54" t="str">
        <f>IF(OR(ISBLANK(P89:P94),ISBLANK(AH89:AH94),ISBLANK(V89:V94),ISBLANK(AN89:AN94)),"·",bdRateExtend(P89:P94,V89:V94,AH89:AH94,AN89:AN94))</f>
        <v>·</v>
      </c>
      <c r="BD89" s="61"/>
      <c r="BF89">
        <f t="shared" si="32"/>
        <v>0</v>
      </c>
      <c r="BG89">
        <f t="shared" si="33"/>
        <v>0</v>
      </c>
      <c r="BH89">
        <f t="shared" si="34"/>
        <v>0</v>
      </c>
      <c r="BI89">
        <f t="shared" si="35"/>
        <v>0</v>
      </c>
      <c r="BJ89">
        <f t="shared" si="36"/>
        <v>0</v>
      </c>
      <c r="BK89">
        <f t="shared" si="37"/>
        <v>0</v>
      </c>
      <c r="BL89">
        <f t="shared" si="38"/>
        <v>0</v>
      </c>
      <c r="BM89">
        <f t="shared" si="39"/>
        <v>0</v>
      </c>
      <c r="BN89">
        <f t="shared" si="40"/>
        <v>0</v>
      </c>
    </row>
    <row r="90" spans="1:66" outlineLevel="1" x14ac:dyDescent="0.15">
      <c r="A90" s="8"/>
      <c r="B90" s="8" t="s">
        <v>102</v>
      </c>
      <c r="C90" s="9" t="s">
        <v>255</v>
      </c>
      <c r="D90" s="8">
        <v>1000993</v>
      </c>
      <c r="E90" s="10">
        <v>10</v>
      </c>
      <c r="F90" s="9">
        <v>1</v>
      </c>
      <c r="G90" s="9"/>
      <c r="I90" s="22" t="str">
        <f t="shared" si="21"/>
        <v>·</v>
      </c>
      <c r="J90" s="23" t="str">
        <f t="shared" si="22"/>
        <v>·</v>
      </c>
      <c r="K90" s="23" t="str">
        <f t="shared" si="23"/>
        <v>·</v>
      </c>
      <c r="L90" s="23" t="str">
        <f t="shared" si="24"/>
        <v>·</v>
      </c>
      <c r="M90" s="24"/>
      <c r="N90" s="23" t="str">
        <f t="shared" si="25"/>
        <v>·</v>
      </c>
      <c r="O90" s="25"/>
      <c r="P90" s="26"/>
      <c r="Q90" s="26"/>
      <c r="R90" s="26"/>
      <c r="S90" s="40"/>
      <c r="T90" s="41"/>
      <c r="U90" s="41"/>
      <c r="V90" s="41"/>
      <c r="W90" s="42"/>
      <c r="X90" s="50"/>
      <c r="Y90" s="50"/>
      <c r="AA90" s="22" t="str">
        <f t="shared" si="26"/>
        <v>·</v>
      </c>
      <c r="AB90" s="23" t="str">
        <f t="shared" si="27"/>
        <v>·</v>
      </c>
      <c r="AC90" s="23" t="str">
        <f t="shared" si="28"/>
        <v>·</v>
      </c>
      <c r="AD90" s="23" t="str">
        <f t="shared" si="29"/>
        <v>·</v>
      </c>
      <c r="AE90" s="24"/>
      <c r="AF90" s="23" t="str">
        <f t="shared" si="30"/>
        <v>·</v>
      </c>
      <c r="AG90" s="25"/>
      <c r="AH90" s="26"/>
      <c r="AI90" s="26"/>
      <c r="AJ90" s="26"/>
      <c r="AK90" s="40"/>
      <c r="AL90" s="41"/>
      <c r="AM90" s="41"/>
      <c r="AN90" s="41"/>
      <c r="AO90" s="42"/>
      <c r="AP90" s="50"/>
      <c r="AQ90" s="50"/>
      <c r="AS90" s="55" t="e">
        <f t="shared" si="31"/>
        <v>#DIV/0!</v>
      </c>
      <c r="AT90" s="55"/>
      <c r="AV90" s="56"/>
      <c r="AW90" s="56"/>
      <c r="AX90" s="56"/>
      <c r="AY90" s="62"/>
      <c r="BA90" s="56"/>
      <c r="BB90" s="56"/>
      <c r="BC90" s="56"/>
      <c r="BD90" s="62"/>
      <c r="BF90">
        <f t="shared" si="32"/>
        <v>0</v>
      </c>
      <c r="BG90">
        <f t="shared" si="33"/>
        <v>0</v>
      </c>
      <c r="BH90">
        <f t="shared" si="34"/>
        <v>0</v>
      </c>
      <c r="BI90">
        <f t="shared" si="35"/>
        <v>0</v>
      </c>
      <c r="BJ90">
        <f t="shared" si="36"/>
        <v>0</v>
      </c>
      <c r="BK90">
        <f t="shared" si="37"/>
        <v>0</v>
      </c>
      <c r="BL90">
        <f t="shared" si="38"/>
        <v>0</v>
      </c>
      <c r="BM90">
        <f t="shared" si="39"/>
        <v>0</v>
      </c>
      <c r="BN90">
        <f t="shared" si="40"/>
        <v>0</v>
      </c>
    </row>
    <row r="91" spans="1:66" outlineLevel="1" x14ac:dyDescent="0.15">
      <c r="A91" s="5"/>
      <c r="B91" s="5" t="s">
        <v>102</v>
      </c>
      <c r="C91" s="6" t="s">
        <v>256</v>
      </c>
      <c r="D91" s="5">
        <v>1000993</v>
      </c>
      <c r="E91" s="7">
        <v>10</v>
      </c>
      <c r="F91" s="6">
        <v>1</v>
      </c>
      <c r="G91" s="6"/>
      <c r="I91" s="17" t="str">
        <f t="shared" si="21"/>
        <v>·</v>
      </c>
      <c r="J91" s="18" t="str">
        <f t="shared" si="22"/>
        <v>·</v>
      </c>
      <c r="K91" s="18" t="str">
        <f t="shared" si="23"/>
        <v>·</v>
      </c>
      <c r="L91" s="18" t="str">
        <f t="shared" si="24"/>
        <v>·</v>
      </c>
      <c r="M91" s="19"/>
      <c r="N91" s="18" t="str">
        <f t="shared" si="25"/>
        <v>·</v>
      </c>
      <c r="O91" s="20"/>
      <c r="P91" s="21"/>
      <c r="Q91" s="21"/>
      <c r="R91" s="21"/>
      <c r="S91" s="37"/>
      <c r="T91" s="38"/>
      <c r="U91" s="38"/>
      <c r="V91" s="38"/>
      <c r="W91" s="39"/>
      <c r="X91" s="49"/>
      <c r="Y91" s="49"/>
      <c r="AA91" s="17" t="str">
        <f t="shared" si="26"/>
        <v>·</v>
      </c>
      <c r="AB91" s="18" t="str">
        <f t="shared" si="27"/>
        <v>·</v>
      </c>
      <c r="AC91" s="18" t="str">
        <f t="shared" si="28"/>
        <v>·</v>
      </c>
      <c r="AD91" s="18" t="str">
        <f t="shared" si="29"/>
        <v>·</v>
      </c>
      <c r="AE91" s="19"/>
      <c r="AF91" s="18" t="str">
        <f t="shared" si="30"/>
        <v>·</v>
      </c>
      <c r="AG91" s="20"/>
      <c r="AH91" s="21"/>
      <c r="AI91" s="21"/>
      <c r="AJ91" s="21"/>
      <c r="AK91" s="37"/>
      <c r="AL91" s="38"/>
      <c r="AM91" s="38"/>
      <c r="AN91" s="38"/>
      <c r="AO91" s="39"/>
      <c r="AP91" s="49"/>
      <c r="AQ91" s="49"/>
      <c r="AS91" s="53" t="e">
        <f t="shared" si="31"/>
        <v>#DIV/0!</v>
      </c>
      <c r="AT91" s="53"/>
      <c r="AV91" s="54"/>
      <c r="AW91" s="54"/>
      <c r="AX91" s="54"/>
      <c r="AY91" s="61"/>
      <c r="BA91" s="54"/>
      <c r="BB91" s="54"/>
      <c r="BC91" s="54"/>
      <c r="BD91" s="61"/>
      <c r="BF91">
        <f t="shared" si="32"/>
        <v>0</v>
      </c>
      <c r="BG91">
        <f t="shared" si="33"/>
        <v>0</v>
      </c>
      <c r="BH91">
        <f t="shared" si="34"/>
        <v>0</v>
      </c>
      <c r="BI91">
        <f t="shared" si="35"/>
        <v>0</v>
      </c>
      <c r="BJ91">
        <f t="shared" si="36"/>
        <v>0</v>
      </c>
      <c r="BK91">
        <f t="shared" si="37"/>
        <v>0</v>
      </c>
      <c r="BL91">
        <f t="shared" si="38"/>
        <v>0</v>
      </c>
      <c r="BM91">
        <f t="shared" si="39"/>
        <v>0</v>
      </c>
      <c r="BN91">
        <f t="shared" si="40"/>
        <v>0</v>
      </c>
    </row>
    <row r="92" spans="1:66" outlineLevel="1" x14ac:dyDescent="0.15">
      <c r="A92" s="8"/>
      <c r="B92" s="8" t="s">
        <v>102</v>
      </c>
      <c r="C92" s="9" t="s">
        <v>257</v>
      </c>
      <c r="D92" s="8">
        <v>1000993</v>
      </c>
      <c r="E92" s="10">
        <v>10</v>
      </c>
      <c r="F92" s="9">
        <v>1</v>
      </c>
      <c r="G92" s="9"/>
      <c r="I92" s="22" t="str">
        <f t="shared" si="21"/>
        <v>·</v>
      </c>
      <c r="J92" s="23" t="str">
        <f t="shared" si="22"/>
        <v>·</v>
      </c>
      <c r="K92" s="23" t="str">
        <f t="shared" si="23"/>
        <v>·</v>
      </c>
      <c r="L92" s="23" t="str">
        <f t="shared" si="24"/>
        <v>·</v>
      </c>
      <c r="M92" s="24"/>
      <c r="N92" s="23" t="str">
        <f t="shared" si="25"/>
        <v>·</v>
      </c>
      <c r="O92" s="25"/>
      <c r="P92" s="26"/>
      <c r="Q92" s="26"/>
      <c r="R92" s="26"/>
      <c r="S92" s="40"/>
      <c r="T92" s="41"/>
      <c r="U92" s="41"/>
      <c r="V92" s="41"/>
      <c r="W92" s="42"/>
      <c r="X92" s="50"/>
      <c r="Y92" s="50"/>
      <c r="AA92" s="22" t="str">
        <f t="shared" si="26"/>
        <v>·</v>
      </c>
      <c r="AB92" s="23" t="str">
        <f t="shared" si="27"/>
        <v>·</v>
      </c>
      <c r="AC92" s="23" t="str">
        <f t="shared" si="28"/>
        <v>·</v>
      </c>
      <c r="AD92" s="23" t="str">
        <f t="shared" si="29"/>
        <v>·</v>
      </c>
      <c r="AE92" s="24"/>
      <c r="AF92" s="23" t="str">
        <f t="shared" si="30"/>
        <v>·</v>
      </c>
      <c r="AG92" s="25"/>
      <c r="AH92" s="26"/>
      <c r="AI92" s="26"/>
      <c r="AJ92" s="26"/>
      <c r="AK92" s="40"/>
      <c r="AL92" s="41"/>
      <c r="AM92" s="41"/>
      <c r="AN92" s="41"/>
      <c r="AO92" s="42"/>
      <c r="AP92" s="50"/>
      <c r="AQ92" s="50"/>
      <c r="AS92" s="55" t="e">
        <f t="shared" si="31"/>
        <v>#DIV/0!</v>
      </c>
      <c r="AT92" s="55"/>
      <c r="AV92" s="56"/>
      <c r="AW92" s="56"/>
      <c r="AX92" s="56"/>
      <c r="AY92" s="62"/>
      <c r="BA92" s="56"/>
      <c r="BB92" s="56"/>
      <c r="BC92" s="56"/>
      <c r="BD92" s="62"/>
      <c r="BF92">
        <f t="shared" si="32"/>
        <v>0</v>
      </c>
      <c r="BG92">
        <f t="shared" si="33"/>
        <v>0</v>
      </c>
      <c r="BH92">
        <f t="shared" si="34"/>
        <v>0</v>
      </c>
      <c r="BI92">
        <f t="shared" si="35"/>
        <v>0</v>
      </c>
      <c r="BJ92">
        <f t="shared" si="36"/>
        <v>0</v>
      </c>
      <c r="BK92">
        <f t="shared" si="37"/>
        <v>0</v>
      </c>
      <c r="BL92">
        <f t="shared" si="38"/>
        <v>0</v>
      </c>
      <c r="BM92">
        <f t="shared" si="39"/>
        <v>0</v>
      </c>
      <c r="BN92">
        <f t="shared" si="40"/>
        <v>0</v>
      </c>
    </row>
    <row r="93" spans="1:66" outlineLevel="1" x14ac:dyDescent="0.15">
      <c r="A93" s="5"/>
      <c r="B93" s="5" t="s">
        <v>102</v>
      </c>
      <c r="C93" s="6" t="s">
        <v>258</v>
      </c>
      <c r="D93" s="5">
        <v>1000993</v>
      </c>
      <c r="E93" s="7">
        <v>10</v>
      </c>
      <c r="F93" s="6">
        <v>1</v>
      </c>
      <c r="G93" s="6"/>
      <c r="I93" s="17" t="str">
        <f t="shared" si="21"/>
        <v>·</v>
      </c>
      <c r="J93" s="18" t="str">
        <f t="shared" si="22"/>
        <v>·</v>
      </c>
      <c r="K93" s="18" t="str">
        <f t="shared" si="23"/>
        <v>·</v>
      </c>
      <c r="L93" s="18" t="str">
        <f t="shared" si="24"/>
        <v>·</v>
      </c>
      <c r="M93" s="19"/>
      <c r="N93" s="18" t="str">
        <f t="shared" si="25"/>
        <v>·</v>
      </c>
      <c r="O93" s="20"/>
      <c r="P93" s="21"/>
      <c r="Q93" s="21"/>
      <c r="R93" s="21"/>
      <c r="S93" s="37"/>
      <c r="T93" s="38"/>
      <c r="U93" s="38"/>
      <c r="V93" s="38"/>
      <c r="W93" s="39"/>
      <c r="X93" s="49"/>
      <c r="Y93" s="49"/>
      <c r="AA93" s="17" t="str">
        <f t="shared" si="26"/>
        <v>·</v>
      </c>
      <c r="AB93" s="18" t="str">
        <f t="shared" si="27"/>
        <v>·</v>
      </c>
      <c r="AC93" s="18" t="str">
        <f t="shared" si="28"/>
        <v>·</v>
      </c>
      <c r="AD93" s="18" t="str">
        <f t="shared" si="29"/>
        <v>·</v>
      </c>
      <c r="AE93" s="19"/>
      <c r="AF93" s="18" t="str">
        <f t="shared" si="30"/>
        <v>·</v>
      </c>
      <c r="AG93" s="20"/>
      <c r="AH93" s="21"/>
      <c r="AI93" s="21"/>
      <c r="AJ93" s="21"/>
      <c r="AK93" s="37"/>
      <c r="AL93" s="38"/>
      <c r="AM93" s="38"/>
      <c r="AN93" s="38"/>
      <c r="AO93" s="39"/>
      <c r="AP93" s="49"/>
      <c r="AQ93" s="49"/>
      <c r="AS93" s="53" t="e">
        <f t="shared" si="31"/>
        <v>#DIV/0!</v>
      </c>
      <c r="AT93" s="53"/>
      <c r="AV93" s="54"/>
      <c r="AW93" s="54"/>
      <c r="AX93" s="54"/>
      <c r="AY93" s="61"/>
      <c r="BA93" s="54"/>
      <c r="BB93" s="54"/>
      <c r="BC93" s="54"/>
      <c r="BD93" s="61"/>
      <c r="BF93">
        <f t="shared" si="32"/>
        <v>0</v>
      </c>
      <c r="BG93">
        <f t="shared" si="33"/>
        <v>0</v>
      </c>
      <c r="BH93">
        <f t="shared" si="34"/>
        <v>0</v>
      </c>
      <c r="BI93">
        <f t="shared" si="35"/>
        <v>0</v>
      </c>
      <c r="BJ93">
        <f t="shared" si="36"/>
        <v>0</v>
      </c>
      <c r="BK93">
        <f t="shared" si="37"/>
        <v>0</v>
      </c>
      <c r="BL93">
        <f t="shared" si="38"/>
        <v>0</v>
      </c>
      <c r="BM93">
        <f t="shared" si="39"/>
        <v>0</v>
      </c>
      <c r="BN93">
        <f t="shared" si="40"/>
        <v>0</v>
      </c>
    </row>
    <row r="94" spans="1:66" outlineLevel="1" x14ac:dyDescent="0.15">
      <c r="A94" s="8"/>
      <c r="B94" s="14" t="s">
        <v>102</v>
      </c>
      <c r="C94" s="15" t="s">
        <v>259</v>
      </c>
      <c r="D94" s="14">
        <v>1000993</v>
      </c>
      <c r="E94" s="16">
        <v>10</v>
      </c>
      <c r="F94" s="15">
        <v>1</v>
      </c>
      <c r="G94" s="15"/>
      <c r="I94" s="32" t="str">
        <f t="shared" si="21"/>
        <v>·</v>
      </c>
      <c r="J94" s="33" t="str">
        <f t="shared" si="22"/>
        <v>·</v>
      </c>
      <c r="K94" s="33" t="str">
        <f t="shared" si="23"/>
        <v>·</v>
      </c>
      <c r="L94" s="33" t="str">
        <f t="shared" si="24"/>
        <v>·</v>
      </c>
      <c r="M94" s="34"/>
      <c r="N94" s="33" t="str">
        <f t="shared" si="25"/>
        <v>·</v>
      </c>
      <c r="O94" s="35"/>
      <c r="P94" s="36"/>
      <c r="Q94" s="36"/>
      <c r="R94" s="36"/>
      <c r="S94" s="46"/>
      <c r="T94" s="47"/>
      <c r="U94" s="47"/>
      <c r="V94" s="47"/>
      <c r="W94" s="48"/>
      <c r="X94" s="52"/>
      <c r="Y94" s="52"/>
      <c r="AA94" s="32" t="str">
        <f t="shared" si="26"/>
        <v>·</v>
      </c>
      <c r="AB94" s="33" t="str">
        <f t="shared" si="27"/>
        <v>·</v>
      </c>
      <c r="AC94" s="33" t="str">
        <f t="shared" si="28"/>
        <v>·</v>
      </c>
      <c r="AD94" s="33" t="str">
        <f t="shared" si="29"/>
        <v>·</v>
      </c>
      <c r="AE94" s="34"/>
      <c r="AF94" s="33" t="str">
        <f t="shared" si="30"/>
        <v>·</v>
      </c>
      <c r="AG94" s="35"/>
      <c r="AH94" s="36"/>
      <c r="AI94" s="36"/>
      <c r="AJ94" s="36"/>
      <c r="AK94" s="46"/>
      <c r="AL94" s="47"/>
      <c r="AM94" s="47"/>
      <c r="AN94" s="47"/>
      <c r="AO94" s="48"/>
      <c r="AP94" s="52"/>
      <c r="AQ94" s="52"/>
      <c r="AS94" s="59" t="e">
        <f t="shared" si="31"/>
        <v>#DIV/0!</v>
      </c>
      <c r="AT94" s="59"/>
      <c r="AV94" s="60"/>
      <c r="AW94" s="60"/>
      <c r="AX94" s="60"/>
      <c r="AY94" s="64"/>
      <c r="BA94" s="60"/>
      <c r="BB94" s="60"/>
      <c r="BC94" s="60"/>
      <c r="BD94" s="64"/>
      <c r="BF94">
        <f t="shared" si="32"/>
        <v>0</v>
      </c>
      <c r="BG94">
        <f t="shared" si="33"/>
        <v>0</v>
      </c>
      <c r="BH94">
        <f t="shared" si="34"/>
        <v>0</v>
      </c>
      <c r="BI94">
        <f t="shared" si="35"/>
        <v>0</v>
      </c>
      <c r="BJ94">
        <f t="shared" si="36"/>
        <v>0</v>
      </c>
      <c r="BK94">
        <f t="shared" si="37"/>
        <v>0</v>
      </c>
      <c r="BL94">
        <f t="shared" si="38"/>
        <v>0</v>
      </c>
      <c r="BM94">
        <f t="shared" si="39"/>
        <v>0</v>
      </c>
      <c r="BN94">
        <f t="shared" si="40"/>
        <v>0</v>
      </c>
    </row>
    <row r="95" spans="1:66" x14ac:dyDescent="0.15">
      <c r="A95" s="5"/>
      <c r="B95" s="5" t="s">
        <v>105</v>
      </c>
      <c r="C95" s="6" t="s">
        <v>254</v>
      </c>
      <c r="D95" s="5">
        <v>2770567</v>
      </c>
      <c r="E95" s="7">
        <v>12</v>
      </c>
      <c r="F95" s="6">
        <v>1</v>
      </c>
      <c r="G95" s="6"/>
      <c r="I95" s="17" t="str">
        <f t="shared" si="21"/>
        <v>·</v>
      </c>
      <c r="J95" s="18" t="str">
        <f t="shared" si="22"/>
        <v>·</v>
      </c>
      <c r="K95" s="18" t="str">
        <f t="shared" si="23"/>
        <v>·</v>
      </c>
      <c r="L95" s="18" t="str">
        <f t="shared" si="24"/>
        <v>·</v>
      </c>
      <c r="M95" s="19"/>
      <c r="N95" s="18" t="str">
        <f t="shared" si="25"/>
        <v>·</v>
      </c>
      <c r="O95" s="20"/>
      <c r="P95" s="21"/>
      <c r="Q95" s="21"/>
      <c r="R95" s="21"/>
      <c r="S95" s="37"/>
      <c r="T95" s="38"/>
      <c r="U95" s="38"/>
      <c r="V95" s="38"/>
      <c r="W95" s="39"/>
      <c r="X95" s="49"/>
      <c r="Y95" s="49"/>
      <c r="AA95" s="17" t="str">
        <f t="shared" si="26"/>
        <v>·</v>
      </c>
      <c r="AB95" s="18" t="str">
        <f t="shared" si="27"/>
        <v>·</v>
      </c>
      <c r="AC95" s="18" t="str">
        <f t="shared" si="28"/>
        <v>·</v>
      </c>
      <c r="AD95" s="18" t="str">
        <f t="shared" si="29"/>
        <v>·</v>
      </c>
      <c r="AE95" s="19"/>
      <c r="AF95" s="18" t="str">
        <f t="shared" si="30"/>
        <v>·</v>
      </c>
      <c r="AG95" s="20"/>
      <c r="AH95" s="21"/>
      <c r="AI95" s="21"/>
      <c r="AJ95" s="21"/>
      <c r="AK95" s="37"/>
      <c r="AL95" s="38"/>
      <c r="AM95" s="38"/>
      <c r="AN95" s="38"/>
      <c r="AO95" s="39"/>
      <c r="AP95" s="49"/>
      <c r="AQ95" s="49"/>
      <c r="AS95" s="53" t="e">
        <f t="shared" si="31"/>
        <v>#DIV/0!</v>
      </c>
      <c r="AT95" s="53" t="e">
        <f t="array" ref="AT95">AVERAGE(AI95:AI100/AH95:AH100)-AVERAGE(Q95:Q100/P95:P100)</f>
        <v>#DIV/0!</v>
      </c>
      <c r="AV95" s="54" t="str">
        <f>IF(OR(ISBLANK(R95:R100),ISBLANK(AJ95:AJ100),ISBLANK(T95:T100),ISBLANK(AL95:AL100)),"·",bdRateExtend(R95:R100,T95:T100,AJ95:AJ100,AL95:AL100))</f>
        <v>·</v>
      </c>
      <c r="AW95" s="54" t="str">
        <f>IF(OR(ISBLANK(R95:R100),ISBLANK(AJ95:AJ100),ISBLANK(U95:U100),ISBLANK(AM95:AM100)),"·",bdRateExtend(R95:R100,U95:U100,AJ95:AJ100,AM95:AM100))</f>
        <v>·</v>
      </c>
      <c r="AX95" s="54" t="str">
        <f>IF(OR(ISBLANK(R95:R100),ISBLANK(AJ95:AJ100),ISBLANK(V95:V100),ISBLANK(AN95:AN100)),"·",bdRateExtend(R95:R100,V95:V100,AJ95:AJ100,AN95:AN100))</f>
        <v>·</v>
      </c>
      <c r="AY95" s="61"/>
      <c r="BA95" s="54" t="str">
        <f>IF(OR(ISBLANK(P95:P100),ISBLANK(AH95:AH100),ISBLANK(T95:T100),ISBLANK(AL95:AL100)),"·",bdRateExtend(P95:P100,T95:T100,AH95:AH100,AL95:AL100))</f>
        <v>·</v>
      </c>
      <c r="BB95" s="54" t="str">
        <f>IF(OR(ISBLANK(P95:P100),ISBLANK(AH95:AH100),ISBLANK(U95:U100),ISBLANK(AM95:AM100)),"·",bdRateExtend(P95:P100,U95:U100,AH95:AH100,AM95:AM100))</f>
        <v>·</v>
      </c>
      <c r="BC95" s="54" t="str">
        <f>IF(OR(ISBLANK(P95:P100),ISBLANK(AH95:AH100),ISBLANK(V95:V100),ISBLANK(AN95:AN100)),"·",bdRateExtend(P95:P100,V95:V100,AH95:AH100,AN95:AN100))</f>
        <v>·</v>
      </c>
      <c r="BD95" s="61"/>
      <c r="BF95">
        <f t="shared" si="32"/>
        <v>0</v>
      </c>
      <c r="BG95">
        <f t="shared" si="33"/>
        <v>0</v>
      </c>
      <c r="BH95">
        <f t="shared" si="34"/>
        <v>0</v>
      </c>
      <c r="BI95">
        <f t="shared" si="35"/>
        <v>0</v>
      </c>
      <c r="BJ95">
        <f t="shared" si="36"/>
        <v>0</v>
      </c>
      <c r="BK95">
        <f t="shared" si="37"/>
        <v>0</v>
      </c>
      <c r="BL95">
        <f t="shared" si="38"/>
        <v>0</v>
      </c>
      <c r="BM95">
        <f t="shared" si="39"/>
        <v>0</v>
      </c>
      <c r="BN95">
        <f t="shared" si="40"/>
        <v>0</v>
      </c>
    </row>
    <row r="96" spans="1:66" outlineLevel="1" x14ac:dyDescent="0.15">
      <c r="A96" s="8"/>
      <c r="B96" s="8" t="s">
        <v>105</v>
      </c>
      <c r="C96" s="9" t="s">
        <v>255</v>
      </c>
      <c r="D96" s="8">
        <v>2770567</v>
      </c>
      <c r="E96" s="10">
        <v>12</v>
      </c>
      <c r="F96" s="9">
        <v>1</v>
      </c>
      <c r="G96" s="9"/>
      <c r="I96" s="22" t="str">
        <f t="shared" si="21"/>
        <v>·</v>
      </c>
      <c r="J96" s="23" t="str">
        <f t="shared" si="22"/>
        <v>·</v>
      </c>
      <c r="K96" s="23" t="str">
        <f t="shared" si="23"/>
        <v>·</v>
      </c>
      <c r="L96" s="23" t="str">
        <f t="shared" si="24"/>
        <v>·</v>
      </c>
      <c r="M96" s="24"/>
      <c r="N96" s="23" t="str">
        <f t="shared" si="25"/>
        <v>·</v>
      </c>
      <c r="O96" s="25"/>
      <c r="P96" s="26"/>
      <c r="Q96" s="26"/>
      <c r="R96" s="26"/>
      <c r="S96" s="40"/>
      <c r="T96" s="41"/>
      <c r="U96" s="41"/>
      <c r="V96" s="41"/>
      <c r="W96" s="42"/>
      <c r="X96" s="50"/>
      <c r="Y96" s="50"/>
      <c r="AA96" s="22" t="str">
        <f t="shared" si="26"/>
        <v>·</v>
      </c>
      <c r="AB96" s="23" t="str">
        <f t="shared" si="27"/>
        <v>·</v>
      </c>
      <c r="AC96" s="23" t="str">
        <f t="shared" si="28"/>
        <v>·</v>
      </c>
      <c r="AD96" s="23" t="str">
        <f t="shared" si="29"/>
        <v>·</v>
      </c>
      <c r="AE96" s="24"/>
      <c r="AF96" s="23" t="str">
        <f t="shared" si="30"/>
        <v>·</v>
      </c>
      <c r="AG96" s="25"/>
      <c r="AH96" s="26"/>
      <c r="AI96" s="26"/>
      <c r="AJ96" s="26"/>
      <c r="AK96" s="40"/>
      <c r="AL96" s="41"/>
      <c r="AM96" s="41"/>
      <c r="AN96" s="41"/>
      <c r="AO96" s="42"/>
      <c r="AP96" s="50"/>
      <c r="AQ96" s="50"/>
      <c r="AS96" s="55" t="e">
        <f t="shared" si="31"/>
        <v>#DIV/0!</v>
      </c>
      <c r="AT96" s="55"/>
      <c r="AV96" s="56"/>
      <c r="AW96" s="56"/>
      <c r="AX96" s="56"/>
      <c r="AY96" s="62"/>
      <c r="BA96" s="56"/>
      <c r="BB96" s="56"/>
      <c r="BC96" s="56"/>
      <c r="BD96" s="62"/>
      <c r="BF96">
        <f t="shared" si="32"/>
        <v>0</v>
      </c>
      <c r="BG96">
        <f t="shared" si="33"/>
        <v>0</v>
      </c>
      <c r="BH96">
        <f t="shared" si="34"/>
        <v>0</v>
      </c>
      <c r="BI96">
        <f t="shared" si="35"/>
        <v>0</v>
      </c>
      <c r="BJ96">
        <f t="shared" si="36"/>
        <v>0</v>
      </c>
      <c r="BK96">
        <f t="shared" si="37"/>
        <v>0</v>
      </c>
      <c r="BL96">
        <f t="shared" si="38"/>
        <v>0</v>
      </c>
      <c r="BM96">
        <f t="shared" si="39"/>
        <v>0</v>
      </c>
      <c r="BN96">
        <f t="shared" si="40"/>
        <v>0</v>
      </c>
    </row>
    <row r="97" spans="1:66" outlineLevel="1" x14ac:dyDescent="0.15">
      <c r="A97" s="5"/>
      <c r="B97" s="5" t="s">
        <v>105</v>
      </c>
      <c r="C97" s="6" t="s">
        <v>256</v>
      </c>
      <c r="D97" s="5">
        <v>2770567</v>
      </c>
      <c r="E97" s="7">
        <v>12</v>
      </c>
      <c r="F97" s="6">
        <v>1</v>
      </c>
      <c r="G97" s="6"/>
      <c r="I97" s="17" t="str">
        <f t="shared" si="21"/>
        <v>·</v>
      </c>
      <c r="J97" s="18" t="str">
        <f t="shared" si="22"/>
        <v>·</v>
      </c>
      <c r="K97" s="18" t="str">
        <f t="shared" si="23"/>
        <v>·</v>
      </c>
      <c r="L97" s="18" t="str">
        <f t="shared" si="24"/>
        <v>·</v>
      </c>
      <c r="M97" s="19"/>
      <c r="N97" s="18" t="str">
        <f t="shared" si="25"/>
        <v>·</v>
      </c>
      <c r="O97" s="20"/>
      <c r="P97" s="21"/>
      <c r="Q97" s="21"/>
      <c r="R97" s="21"/>
      <c r="S97" s="37"/>
      <c r="T97" s="38"/>
      <c r="U97" s="38"/>
      <c r="V97" s="38"/>
      <c r="W97" s="39"/>
      <c r="X97" s="49"/>
      <c r="Y97" s="49"/>
      <c r="AA97" s="17" t="str">
        <f t="shared" si="26"/>
        <v>·</v>
      </c>
      <c r="AB97" s="18" t="str">
        <f t="shared" si="27"/>
        <v>·</v>
      </c>
      <c r="AC97" s="18" t="str">
        <f t="shared" si="28"/>
        <v>·</v>
      </c>
      <c r="AD97" s="18" t="str">
        <f t="shared" si="29"/>
        <v>·</v>
      </c>
      <c r="AE97" s="19"/>
      <c r="AF97" s="18" t="str">
        <f t="shared" si="30"/>
        <v>·</v>
      </c>
      <c r="AG97" s="20"/>
      <c r="AH97" s="21"/>
      <c r="AI97" s="21"/>
      <c r="AJ97" s="21"/>
      <c r="AK97" s="37"/>
      <c r="AL97" s="38"/>
      <c r="AM97" s="38"/>
      <c r="AN97" s="38"/>
      <c r="AO97" s="39"/>
      <c r="AP97" s="49"/>
      <c r="AQ97" s="49"/>
      <c r="AS97" s="53" t="e">
        <f t="shared" si="31"/>
        <v>#DIV/0!</v>
      </c>
      <c r="AT97" s="53"/>
      <c r="AV97" s="54"/>
      <c r="AW97" s="54"/>
      <c r="AX97" s="54"/>
      <c r="AY97" s="61"/>
      <c r="BA97" s="54"/>
      <c r="BB97" s="54"/>
      <c r="BC97" s="54"/>
      <c r="BD97" s="61"/>
      <c r="BF97">
        <f t="shared" si="32"/>
        <v>0</v>
      </c>
      <c r="BG97">
        <f t="shared" si="33"/>
        <v>0</v>
      </c>
      <c r="BH97">
        <f t="shared" si="34"/>
        <v>0</v>
      </c>
      <c r="BI97">
        <f t="shared" si="35"/>
        <v>0</v>
      </c>
      <c r="BJ97">
        <f t="shared" si="36"/>
        <v>0</v>
      </c>
      <c r="BK97">
        <f t="shared" si="37"/>
        <v>0</v>
      </c>
      <c r="BL97">
        <f t="shared" si="38"/>
        <v>0</v>
      </c>
      <c r="BM97">
        <f t="shared" si="39"/>
        <v>0</v>
      </c>
      <c r="BN97">
        <f t="shared" si="40"/>
        <v>0</v>
      </c>
    </row>
    <row r="98" spans="1:66" outlineLevel="1" x14ac:dyDescent="0.15">
      <c r="A98" s="8"/>
      <c r="B98" s="8" t="s">
        <v>105</v>
      </c>
      <c r="C98" s="9" t="s">
        <v>257</v>
      </c>
      <c r="D98" s="8">
        <v>2770567</v>
      </c>
      <c r="E98" s="10">
        <v>12</v>
      </c>
      <c r="F98" s="9">
        <v>1</v>
      </c>
      <c r="G98" s="9"/>
      <c r="I98" s="22" t="str">
        <f t="shared" si="21"/>
        <v>·</v>
      </c>
      <c r="J98" s="23" t="str">
        <f t="shared" si="22"/>
        <v>·</v>
      </c>
      <c r="K98" s="23" t="str">
        <f t="shared" si="23"/>
        <v>·</v>
      </c>
      <c r="L98" s="23" t="str">
        <f t="shared" si="24"/>
        <v>·</v>
      </c>
      <c r="M98" s="24"/>
      <c r="N98" s="23" t="str">
        <f t="shared" si="25"/>
        <v>·</v>
      </c>
      <c r="O98" s="25"/>
      <c r="P98" s="26"/>
      <c r="Q98" s="26"/>
      <c r="R98" s="26"/>
      <c r="S98" s="40"/>
      <c r="T98" s="41"/>
      <c r="U98" s="41"/>
      <c r="V98" s="41"/>
      <c r="W98" s="42"/>
      <c r="X98" s="50"/>
      <c r="Y98" s="50"/>
      <c r="AA98" s="22" t="str">
        <f t="shared" si="26"/>
        <v>·</v>
      </c>
      <c r="AB98" s="23" t="str">
        <f t="shared" si="27"/>
        <v>·</v>
      </c>
      <c r="AC98" s="23" t="str">
        <f t="shared" si="28"/>
        <v>·</v>
      </c>
      <c r="AD98" s="23" t="str">
        <f t="shared" si="29"/>
        <v>·</v>
      </c>
      <c r="AE98" s="24"/>
      <c r="AF98" s="23" t="str">
        <f t="shared" si="30"/>
        <v>·</v>
      </c>
      <c r="AG98" s="25"/>
      <c r="AH98" s="26"/>
      <c r="AI98" s="26"/>
      <c r="AJ98" s="26"/>
      <c r="AK98" s="40"/>
      <c r="AL98" s="41"/>
      <c r="AM98" s="41"/>
      <c r="AN98" s="41"/>
      <c r="AO98" s="42"/>
      <c r="AP98" s="50"/>
      <c r="AQ98" s="50"/>
      <c r="AS98" s="55" t="e">
        <f t="shared" si="31"/>
        <v>#DIV/0!</v>
      </c>
      <c r="AT98" s="55"/>
      <c r="AV98" s="56"/>
      <c r="AW98" s="56"/>
      <c r="AX98" s="56"/>
      <c r="AY98" s="62"/>
      <c r="BA98" s="56"/>
      <c r="BB98" s="56"/>
      <c r="BC98" s="56"/>
      <c r="BD98" s="62"/>
      <c r="BF98">
        <f t="shared" si="32"/>
        <v>0</v>
      </c>
      <c r="BG98">
        <f t="shared" si="33"/>
        <v>0</v>
      </c>
      <c r="BH98">
        <f t="shared" si="34"/>
        <v>0</v>
      </c>
      <c r="BI98">
        <f t="shared" si="35"/>
        <v>0</v>
      </c>
      <c r="BJ98">
        <f t="shared" si="36"/>
        <v>0</v>
      </c>
      <c r="BK98">
        <f t="shared" si="37"/>
        <v>0</v>
      </c>
      <c r="BL98">
        <f t="shared" si="38"/>
        <v>0</v>
      </c>
      <c r="BM98">
        <f t="shared" si="39"/>
        <v>0</v>
      </c>
      <c r="BN98">
        <f t="shared" si="40"/>
        <v>0</v>
      </c>
    </row>
    <row r="99" spans="1:66" outlineLevel="1" x14ac:dyDescent="0.15">
      <c r="A99" s="5"/>
      <c r="B99" s="5" t="s">
        <v>105</v>
      </c>
      <c r="C99" s="6" t="s">
        <v>258</v>
      </c>
      <c r="D99" s="5">
        <v>2770567</v>
      </c>
      <c r="E99" s="7">
        <v>12</v>
      </c>
      <c r="F99" s="6">
        <v>1</v>
      </c>
      <c r="G99" s="6"/>
      <c r="I99" s="17" t="str">
        <f t="shared" si="21"/>
        <v>·</v>
      </c>
      <c r="J99" s="18" t="str">
        <f t="shared" si="22"/>
        <v>·</v>
      </c>
      <c r="K99" s="18" t="str">
        <f t="shared" si="23"/>
        <v>·</v>
      </c>
      <c r="L99" s="18" t="str">
        <f t="shared" si="24"/>
        <v>·</v>
      </c>
      <c r="M99" s="19"/>
      <c r="N99" s="18" t="str">
        <f t="shared" si="25"/>
        <v>·</v>
      </c>
      <c r="O99" s="20"/>
      <c r="P99" s="21"/>
      <c r="Q99" s="21"/>
      <c r="R99" s="21"/>
      <c r="S99" s="37"/>
      <c r="T99" s="38"/>
      <c r="U99" s="38"/>
      <c r="V99" s="38"/>
      <c r="W99" s="39"/>
      <c r="X99" s="49"/>
      <c r="Y99" s="49"/>
      <c r="AA99" s="17" t="str">
        <f t="shared" si="26"/>
        <v>·</v>
      </c>
      <c r="AB99" s="18" t="str">
        <f t="shared" si="27"/>
        <v>·</v>
      </c>
      <c r="AC99" s="18" t="str">
        <f t="shared" si="28"/>
        <v>·</v>
      </c>
      <c r="AD99" s="18" t="str">
        <f t="shared" si="29"/>
        <v>·</v>
      </c>
      <c r="AE99" s="19"/>
      <c r="AF99" s="18" t="str">
        <f t="shared" si="30"/>
        <v>·</v>
      </c>
      <c r="AG99" s="20"/>
      <c r="AH99" s="21"/>
      <c r="AI99" s="21"/>
      <c r="AJ99" s="21"/>
      <c r="AK99" s="37"/>
      <c r="AL99" s="38"/>
      <c r="AM99" s="38"/>
      <c r="AN99" s="38"/>
      <c r="AO99" s="39"/>
      <c r="AP99" s="49"/>
      <c r="AQ99" s="49"/>
      <c r="AS99" s="53" t="e">
        <f t="shared" si="31"/>
        <v>#DIV/0!</v>
      </c>
      <c r="AT99" s="53"/>
      <c r="AV99" s="54"/>
      <c r="AW99" s="54"/>
      <c r="AX99" s="54"/>
      <c r="AY99" s="61"/>
      <c r="BA99" s="54"/>
      <c r="BB99" s="54"/>
      <c r="BC99" s="54"/>
      <c r="BD99" s="61"/>
      <c r="BF99">
        <f t="shared" si="32"/>
        <v>0</v>
      </c>
      <c r="BG99">
        <f t="shared" si="33"/>
        <v>0</v>
      </c>
      <c r="BH99">
        <f t="shared" si="34"/>
        <v>0</v>
      </c>
      <c r="BI99">
        <f t="shared" si="35"/>
        <v>0</v>
      </c>
      <c r="BJ99">
        <f t="shared" si="36"/>
        <v>0</v>
      </c>
      <c r="BK99">
        <f t="shared" si="37"/>
        <v>0</v>
      </c>
      <c r="BL99">
        <f t="shared" si="38"/>
        <v>0</v>
      </c>
      <c r="BM99">
        <f t="shared" si="39"/>
        <v>0</v>
      </c>
      <c r="BN99">
        <f t="shared" si="40"/>
        <v>0</v>
      </c>
    </row>
    <row r="100" spans="1:66" outlineLevel="1" x14ac:dyDescent="0.15">
      <c r="A100" s="8"/>
      <c r="B100" s="14" t="s">
        <v>105</v>
      </c>
      <c r="C100" s="15" t="s">
        <v>259</v>
      </c>
      <c r="D100" s="14">
        <v>2770567</v>
      </c>
      <c r="E100" s="16">
        <v>12</v>
      </c>
      <c r="F100" s="15">
        <v>1</v>
      </c>
      <c r="G100" s="15"/>
      <c r="I100" s="32" t="str">
        <f t="shared" si="21"/>
        <v>·</v>
      </c>
      <c r="J100" s="33" t="str">
        <f t="shared" si="22"/>
        <v>·</v>
      </c>
      <c r="K100" s="33" t="str">
        <f t="shared" si="23"/>
        <v>·</v>
      </c>
      <c r="L100" s="33" t="str">
        <f t="shared" si="24"/>
        <v>·</v>
      </c>
      <c r="M100" s="34"/>
      <c r="N100" s="33" t="str">
        <f t="shared" si="25"/>
        <v>·</v>
      </c>
      <c r="O100" s="35"/>
      <c r="P100" s="36"/>
      <c r="Q100" s="36"/>
      <c r="R100" s="36"/>
      <c r="S100" s="46"/>
      <c r="T100" s="47"/>
      <c r="U100" s="47"/>
      <c r="V100" s="47"/>
      <c r="W100" s="48"/>
      <c r="X100" s="52"/>
      <c r="Y100" s="52"/>
      <c r="AA100" s="32" t="str">
        <f t="shared" si="26"/>
        <v>·</v>
      </c>
      <c r="AB100" s="33" t="str">
        <f t="shared" si="27"/>
        <v>·</v>
      </c>
      <c r="AC100" s="33" t="str">
        <f t="shared" si="28"/>
        <v>·</v>
      </c>
      <c r="AD100" s="33" t="str">
        <f t="shared" si="29"/>
        <v>·</v>
      </c>
      <c r="AE100" s="34"/>
      <c r="AF100" s="33" t="str">
        <f t="shared" si="30"/>
        <v>·</v>
      </c>
      <c r="AG100" s="35"/>
      <c r="AH100" s="36"/>
      <c r="AI100" s="36"/>
      <c r="AJ100" s="36"/>
      <c r="AK100" s="46"/>
      <c r="AL100" s="47"/>
      <c r="AM100" s="47"/>
      <c r="AN100" s="47"/>
      <c r="AO100" s="48"/>
      <c r="AP100" s="52"/>
      <c r="AQ100" s="52"/>
      <c r="AS100" s="59" t="e">
        <f t="shared" si="31"/>
        <v>#DIV/0!</v>
      </c>
      <c r="AT100" s="59"/>
      <c r="AV100" s="60"/>
      <c r="AW100" s="60"/>
      <c r="AX100" s="60"/>
      <c r="AY100" s="64"/>
      <c r="BA100" s="60"/>
      <c r="BB100" s="60"/>
      <c r="BC100" s="60"/>
      <c r="BD100" s="64"/>
      <c r="BF100">
        <f t="shared" si="32"/>
        <v>0</v>
      </c>
      <c r="BG100">
        <f t="shared" si="33"/>
        <v>0</v>
      </c>
      <c r="BH100">
        <f t="shared" si="34"/>
        <v>0</v>
      </c>
      <c r="BI100">
        <f t="shared" si="35"/>
        <v>0</v>
      </c>
      <c r="BJ100">
        <f t="shared" si="36"/>
        <v>0</v>
      </c>
      <c r="BK100">
        <f t="shared" si="37"/>
        <v>0</v>
      </c>
      <c r="BL100">
        <f t="shared" si="38"/>
        <v>0</v>
      </c>
      <c r="BM100">
        <f t="shared" si="39"/>
        <v>0</v>
      </c>
      <c r="BN100">
        <f t="shared" si="40"/>
        <v>0</v>
      </c>
    </row>
    <row r="101" spans="1:66" x14ac:dyDescent="0.15">
      <c r="A101" s="5"/>
      <c r="B101" s="5" t="s">
        <v>108</v>
      </c>
      <c r="C101" s="6" t="s">
        <v>254</v>
      </c>
      <c r="D101" s="5">
        <v>757691</v>
      </c>
      <c r="E101" s="7">
        <v>10</v>
      </c>
      <c r="F101" s="6">
        <v>1</v>
      </c>
      <c r="G101" s="6"/>
      <c r="I101" s="17" t="str">
        <f t="shared" si="21"/>
        <v>·</v>
      </c>
      <c r="J101" s="18" t="str">
        <f t="shared" si="22"/>
        <v>·</v>
      </c>
      <c r="K101" s="18" t="str">
        <f t="shared" si="23"/>
        <v>·</v>
      </c>
      <c r="L101" s="18" t="str">
        <f t="shared" si="24"/>
        <v>·</v>
      </c>
      <c r="M101" s="19"/>
      <c r="N101" s="18" t="str">
        <f t="shared" si="25"/>
        <v>·</v>
      </c>
      <c r="O101" s="20"/>
      <c r="P101" s="21"/>
      <c r="Q101" s="21"/>
      <c r="R101" s="21"/>
      <c r="S101" s="37"/>
      <c r="T101" s="38"/>
      <c r="U101" s="38"/>
      <c r="V101" s="38"/>
      <c r="W101" s="39"/>
      <c r="X101" s="49"/>
      <c r="Y101" s="49"/>
      <c r="AA101" s="17" t="str">
        <f t="shared" si="26"/>
        <v>·</v>
      </c>
      <c r="AB101" s="18" t="str">
        <f t="shared" si="27"/>
        <v>·</v>
      </c>
      <c r="AC101" s="18" t="str">
        <f t="shared" si="28"/>
        <v>·</v>
      </c>
      <c r="AD101" s="18" t="str">
        <f t="shared" si="29"/>
        <v>·</v>
      </c>
      <c r="AE101" s="19"/>
      <c r="AF101" s="18" t="str">
        <f t="shared" si="30"/>
        <v>·</v>
      </c>
      <c r="AG101" s="20"/>
      <c r="AH101" s="21"/>
      <c r="AI101" s="21"/>
      <c r="AJ101" s="21"/>
      <c r="AK101" s="37"/>
      <c r="AL101" s="38"/>
      <c r="AM101" s="38"/>
      <c r="AN101" s="38"/>
      <c r="AO101" s="39"/>
      <c r="AP101" s="49"/>
      <c r="AQ101" s="49"/>
      <c r="AS101" s="53" t="e">
        <f t="shared" si="31"/>
        <v>#DIV/0!</v>
      </c>
      <c r="AT101" s="53" t="e">
        <f t="array" ref="AT101">AVERAGE(AI101:AI106/AH101:AH106)-AVERAGE(Q101:Q106/P101:P106)</f>
        <v>#DIV/0!</v>
      </c>
      <c r="AV101" s="54" t="str">
        <f>IF(OR(ISBLANK(R101:R106),ISBLANK(AJ101:AJ106),ISBLANK(T101:T106),ISBLANK(AL101:AL106)),"·",bdRateExtend(R101:R106,T101:T106,AJ101:AJ106,AL101:AL106))</f>
        <v>·</v>
      </c>
      <c r="AW101" s="54" t="str">
        <f>IF(OR(ISBLANK(R101:R106),ISBLANK(AJ101:AJ106),ISBLANK(U101:U106),ISBLANK(AM101:AM106)),"·",bdRateExtend(R101:R106,U101:U106,AJ101:AJ106,AM101:AM106))</f>
        <v>·</v>
      </c>
      <c r="AX101" s="54" t="str">
        <f>IF(OR(ISBLANK(R101:R106),ISBLANK(AJ101:AJ106),ISBLANK(V101:V106),ISBLANK(AN101:AN106)),"·",bdRateExtend(R101:R106,V101:V106,AJ101:AJ106,AN101:AN106))</f>
        <v>·</v>
      </c>
      <c r="AY101" s="61"/>
      <c r="BA101" s="54" t="str">
        <f>IF(OR(ISBLANK(P101:P106),ISBLANK(AH101:AH106),ISBLANK(T101:T106),ISBLANK(AL101:AL106)),"·",bdRateExtend(P101:P106,T101:T106,AH101:AH106,AL101:AL106))</f>
        <v>·</v>
      </c>
      <c r="BB101" s="54" t="str">
        <f>IF(OR(ISBLANK(P101:P106),ISBLANK(AH101:AH106),ISBLANK(U101:U106),ISBLANK(AM101:AM106)),"·",bdRateExtend(P101:P106,U101:U106,AH101:AH106,AM101:AM106))</f>
        <v>·</v>
      </c>
      <c r="BC101" s="54" t="str">
        <f>IF(OR(ISBLANK(P101:P106),ISBLANK(AH101:AH106),ISBLANK(V101:V106),ISBLANK(AN101:AN106)),"·",bdRateExtend(P101:P106,V101:V106,AH101:AH106,AN101:AN106))</f>
        <v>·</v>
      </c>
      <c r="BD101" s="61"/>
      <c r="BF101">
        <f t="shared" si="32"/>
        <v>0</v>
      </c>
      <c r="BG101">
        <f t="shared" si="33"/>
        <v>0</v>
      </c>
      <c r="BH101">
        <f t="shared" si="34"/>
        <v>0</v>
      </c>
      <c r="BI101">
        <f t="shared" si="35"/>
        <v>0</v>
      </c>
      <c r="BJ101">
        <f t="shared" si="36"/>
        <v>0</v>
      </c>
      <c r="BK101">
        <f t="shared" si="37"/>
        <v>0</v>
      </c>
      <c r="BL101">
        <f t="shared" si="38"/>
        <v>0</v>
      </c>
      <c r="BM101">
        <f t="shared" si="39"/>
        <v>0</v>
      </c>
      <c r="BN101">
        <f t="shared" si="40"/>
        <v>0</v>
      </c>
    </row>
    <row r="102" spans="1:66" outlineLevel="1" x14ac:dyDescent="0.15">
      <c r="A102" s="8"/>
      <c r="B102" s="8" t="s">
        <v>108</v>
      </c>
      <c r="C102" s="9" t="s">
        <v>255</v>
      </c>
      <c r="D102" s="8">
        <v>757691</v>
      </c>
      <c r="E102" s="10">
        <v>10</v>
      </c>
      <c r="F102" s="9">
        <v>1</v>
      </c>
      <c r="G102" s="9"/>
      <c r="I102" s="22" t="str">
        <f t="shared" si="21"/>
        <v>·</v>
      </c>
      <c r="J102" s="23" t="str">
        <f t="shared" si="22"/>
        <v>·</v>
      </c>
      <c r="K102" s="23" t="str">
        <f t="shared" si="23"/>
        <v>·</v>
      </c>
      <c r="L102" s="23" t="str">
        <f t="shared" si="24"/>
        <v>·</v>
      </c>
      <c r="M102" s="24"/>
      <c r="N102" s="23" t="str">
        <f t="shared" si="25"/>
        <v>·</v>
      </c>
      <c r="O102" s="25"/>
      <c r="P102" s="26"/>
      <c r="Q102" s="26"/>
      <c r="R102" s="26"/>
      <c r="S102" s="40"/>
      <c r="T102" s="41"/>
      <c r="U102" s="41"/>
      <c r="V102" s="41"/>
      <c r="W102" s="42"/>
      <c r="X102" s="50"/>
      <c r="Y102" s="50"/>
      <c r="AA102" s="22" t="str">
        <f t="shared" si="26"/>
        <v>·</v>
      </c>
      <c r="AB102" s="23" t="str">
        <f t="shared" si="27"/>
        <v>·</v>
      </c>
      <c r="AC102" s="23" t="str">
        <f t="shared" si="28"/>
        <v>·</v>
      </c>
      <c r="AD102" s="23" t="str">
        <f t="shared" si="29"/>
        <v>·</v>
      </c>
      <c r="AE102" s="24"/>
      <c r="AF102" s="23" t="str">
        <f t="shared" si="30"/>
        <v>·</v>
      </c>
      <c r="AG102" s="25"/>
      <c r="AH102" s="26"/>
      <c r="AI102" s="26"/>
      <c r="AJ102" s="26"/>
      <c r="AK102" s="40"/>
      <c r="AL102" s="41"/>
      <c r="AM102" s="41"/>
      <c r="AN102" s="41"/>
      <c r="AO102" s="42"/>
      <c r="AP102" s="50"/>
      <c r="AQ102" s="50"/>
      <c r="AS102" s="55" t="e">
        <f t="shared" si="31"/>
        <v>#DIV/0!</v>
      </c>
      <c r="AT102" s="55"/>
      <c r="AV102" s="56"/>
      <c r="AW102" s="56"/>
      <c r="AX102" s="56"/>
      <c r="AY102" s="62"/>
      <c r="BA102" s="56"/>
      <c r="BB102" s="56"/>
      <c r="BC102" s="56"/>
      <c r="BD102" s="62"/>
      <c r="BF102">
        <f t="shared" si="32"/>
        <v>0</v>
      </c>
      <c r="BG102">
        <f t="shared" si="33"/>
        <v>0</v>
      </c>
      <c r="BH102">
        <f t="shared" si="34"/>
        <v>0</v>
      </c>
      <c r="BI102">
        <f t="shared" si="35"/>
        <v>0</v>
      </c>
      <c r="BJ102">
        <f t="shared" si="36"/>
        <v>0</v>
      </c>
      <c r="BK102">
        <f t="shared" si="37"/>
        <v>0</v>
      </c>
      <c r="BL102">
        <f t="shared" si="38"/>
        <v>0</v>
      </c>
      <c r="BM102">
        <f t="shared" si="39"/>
        <v>0</v>
      </c>
      <c r="BN102">
        <f t="shared" si="40"/>
        <v>0</v>
      </c>
    </row>
    <row r="103" spans="1:66" outlineLevel="1" x14ac:dyDescent="0.15">
      <c r="A103" s="5"/>
      <c r="B103" s="5" t="s">
        <v>108</v>
      </c>
      <c r="C103" s="6" t="s">
        <v>256</v>
      </c>
      <c r="D103" s="5">
        <v>757691</v>
      </c>
      <c r="E103" s="7">
        <v>10</v>
      </c>
      <c r="F103" s="6">
        <v>1</v>
      </c>
      <c r="G103" s="6"/>
      <c r="I103" s="17" t="str">
        <f t="shared" si="21"/>
        <v>·</v>
      </c>
      <c r="J103" s="18" t="str">
        <f t="shared" si="22"/>
        <v>·</v>
      </c>
      <c r="K103" s="18" t="str">
        <f t="shared" si="23"/>
        <v>·</v>
      </c>
      <c r="L103" s="18" t="str">
        <f t="shared" si="24"/>
        <v>·</v>
      </c>
      <c r="M103" s="19"/>
      <c r="N103" s="18" t="str">
        <f t="shared" si="25"/>
        <v>·</v>
      </c>
      <c r="O103" s="20"/>
      <c r="P103" s="21"/>
      <c r="Q103" s="21"/>
      <c r="R103" s="21"/>
      <c r="S103" s="37"/>
      <c r="T103" s="38"/>
      <c r="U103" s="38"/>
      <c r="V103" s="38"/>
      <c r="W103" s="39"/>
      <c r="X103" s="49"/>
      <c r="Y103" s="49"/>
      <c r="AA103" s="17" t="str">
        <f t="shared" si="26"/>
        <v>·</v>
      </c>
      <c r="AB103" s="18" t="str">
        <f t="shared" si="27"/>
        <v>·</v>
      </c>
      <c r="AC103" s="18" t="str">
        <f t="shared" si="28"/>
        <v>·</v>
      </c>
      <c r="AD103" s="18" t="str">
        <f t="shared" si="29"/>
        <v>·</v>
      </c>
      <c r="AE103" s="19"/>
      <c r="AF103" s="18" t="str">
        <f t="shared" si="30"/>
        <v>·</v>
      </c>
      <c r="AG103" s="20"/>
      <c r="AH103" s="21"/>
      <c r="AI103" s="21"/>
      <c r="AJ103" s="21"/>
      <c r="AK103" s="37"/>
      <c r="AL103" s="38"/>
      <c r="AM103" s="38"/>
      <c r="AN103" s="38"/>
      <c r="AO103" s="39"/>
      <c r="AP103" s="49"/>
      <c r="AQ103" s="49"/>
      <c r="AS103" s="53" t="e">
        <f t="shared" si="31"/>
        <v>#DIV/0!</v>
      </c>
      <c r="AT103" s="53"/>
      <c r="AV103" s="54"/>
      <c r="AW103" s="54"/>
      <c r="AX103" s="54"/>
      <c r="AY103" s="61"/>
      <c r="BA103" s="54"/>
      <c r="BB103" s="54"/>
      <c r="BC103" s="54"/>
      <c r="BD103" s="61"/>
      <c r="BF103">
        <f t="shared" si="32"/>
        <v>0</v>
      </c>
      <c r="BG103">
        <f t="shared" si="33"/>
        <v>0</v>
      </c>
      <c r="BH103">
        <f t="shared" si="34"/>
        <v>0</v>
      </c>
      <c r="BI103">
        <f t="shared" si="35"/>
        <v>0</v>
      </c>
      <c r="BJ103">
        <f t="shared" si="36"/>
        <v>0</v>
      </c>
      <c r="BK103">
        <f t="shared" si="37"/>
        <v>0</v>
      </c>
      <c r="BL103">
        <f t="shared" si="38"/>
        <v>0</v>
      </c>
      <c r="BM103">
        <f t="shared" si="39"/>
        <v>0</v>
      </c>
      <c r="BN103">
        <f t="shared" si="40"/>
        <v>0</v>
      </c>
    </row>
    <row r="104" spans="1:66" outlineLevel="1" x14ac:dyDescent="0.15">
      <c r="A104" s="8"/>
      <c r="B104" s="8" t="s">
        <v>108</v>
      </c>
      <c r="C104" s="9" t="s">
        <v>257</v>
      </c>
      <c r="D104" s="8">
        <v>757691</v>
      </c>
      <c r="E104" s="10">
        <v>10</v>
      </c>
      <c r="F104" s="9">
        <v>1</v>
      </c>
      <c r="G104" s="9"/>
      <c r="I104" s="22" t="str">
        <f t="shared" si="21"/>
        <v>·</v>
      </c>
      <c r="J104" s="23" t="str">
        <f t="shared" si="22"/>
        <v>·</v>
      </c>
      <c r="K104" s="23" t="str">
        <f t="shared" si="23"/>
        <v>·</v>
      </c>
      <c r="L104" s="23" t="str">
        <f t="shared" si="24"/>
        <v>·</v>
      </c>
      <c r="M104" s="24"/>
      <c r="N104" s="23" t="str">
        <f t="shared" si="25"/>
        <v>·</v>
      </c>
      <c r="O104" s="25"/>
      <c r="P104" s="26"/>
      <c r="Q104" s="26"/>
      <c r="R104" s="26"/>
      <c r="S104" s="40"/>
      <c r="T104" s="41"/>
      <c r="U104" s="41"/>
      <c r="V104" s="41"/>
      <c r="W104" s="42"/>
      <c r="X104" s="50"/>
      <c r="Y104" s="50"/>
      <c r="AA104" s="22" t="str">
        <f t="shared" si="26"/>
        <v>·</v>
      </c>
      <c r="AB104" s="23" t="str">
        <f t="shared" si="27"/>
        <v>·</v>
      </c>
      <c r="AC104" s="23" t="str">
        <f t="shared" si="28"/>
        <v>·</v>
      </c>
      <c r="AD104" s="23" t="str">
        <f t="shared" si="29"/>
        <v>·</v>
      </c>
      <c r="AE104" s="24"/>
      <c r="AF104" s="23" t="str">
        <f t="shared" si="30"/>
        <v>·</v>
      </c>
      <c r="AG104" s="25"/>
      <c r="AH104" s="26"/>
      <c r="AI104" s="26"/>
      <c r="AJ104" s="26"/>
      <c r="AK104" s="40"/>
      <c r="AL104" s="41"/>
      <c r="AM104" s="41"/>
      <c r="AN104" s="41"/>
      <c r="AO104" s="42"/>
      <c r="AP104" s="50"/>
      <c r="AQ104" s="50"/>
      <c r="AS104" s="55" t="e">
        <f t="shared" si="31"/>
        <v>#DIV/0!</v>
      </c>
      <c r="AT104" s="55"/>
      <c r="AV104" s="56"/>
      <c r="AW104" s="56"/>
      <c r="AX104" s="56"/>
      <c r="AY104" s="62"/>
      <c r="BA104" s="56"/>
      <c r="BB104" s="56"/>
      <c r="BC104" s="56"/>
      <c r="BD104" s="62"/>
      <c r="BF104">
        <f t="shared" si="32"/>
        <v>0</v>
      </c>
      <c r="BG104">
        <f t="shared" si="33"/>
        <v>0</v>
      </c>
      <c r="BH104">
        <f t="shared" si="34"/>
        <v>0</v>
      </c>
      <c r="BI104">
        <f t="shared" si="35"/>
        <v>0</v>
      </c>
      <c r="BJ104">
        <f t="shared" si="36"/>
        <v>0</v>
      </c>
      <c r="BK104">
        <f t="shared" si="37"/>
        <v>0</v>
      </c>
      <c r="BL104">
        <f t="shared" si="38"/>
        <v>0</v>
      </c>
      <c r="BM104">
        <f t="shared" si="39"/>
        <v>0</v>
      </c>
      <c r="BN104">
        <f t="shared" si="40"/>
        <v>0</v>
      </c>
    </row>
    <row r="105" spans="1:66" outlineLevel="1" x14ac:dyDescent="0.15">
      <c r="A105" s="5"/>
      <c r="B105" s="5" t="s">
        <v>108</v>
      </c>
      <c r="C105" s="6" t="s">
        <v>258</v>
      </c>
      <c r="D105" s="5">
        <v>757691</v>
      </c>
      <c r="E105" s="7">
        <v>10</v>
      </c>
      <c r="F105" s="6">
        <v>1</v>
      </c>
      <c r="G105" s="6"/>
      <c r="I105" s="17" t="str">
        <f t="shared" si="21"/>
        <v>·</v>
      </c>
      <c r="J105" s="18" t="str">
        <f t="shared" si="22"/>
        <v>·</v>
      </c>
      <c r="K105" s="18" t="str">
        <f t="shared" si="23"/>
        <v>·</v>
      </c>
      <c r="L105" s="18" t="str">
        <f t="shared" si="24"/>
        <v>·</v>
      </c>
      <c r="M105" s="19"/>
      <c r="N105" s="18" t="str">
        <f t="shared" si="25"/>
        <v>·</v>
      </c>
      <c r="O105" s="20"/>
      <c r="P105" s="21"/>
      <c r="Q105" s="21"/>
      <c r="R105" s="21"/>
      <c r="S105" s="37"/>
      <c r="T105" s="38"/>
      <c r="U105" s="38"/>
      <c r="V105" s="38"/>
      <c r="W105" s="39"/>
      <c r="X105" s="49"/>
      <c r="Y105" s="49"/>
      <c r="AA105" s="17" t="str">
        <f t="shared" si="26"/>
        <v>·</v>
      </c>
      <c r="AB105" s="18" t="str">
        <f t="shared" si="27"/>
        <v>·</v>
      </c>
      <c r="AC105" s="18" t="str">
        <f t="shared" si="28"/>
        <v>·</v>
      </c>
      <c r="AD105" s="18" t="str">
        <f t="shared" si="29"/>
        <v>·</v>
      </c>
      <c r="AE105" s="19"/>
      <c r="AF105" s="18" t="str">
        <f t="shared" si="30"/>
        <v>·</v>
      </c>
      <c r="AG105" s="20"/>
      <c r="AH105" s="21"/>
      <c r="AI105" s="21"/>
      <c r="AJ105" s="21"/>
      <c r="AK105" s="37"/>
      <c r="AL105" s="38"/>
      <c r="AM105" s="38"/>
      <c r="AN105" s="38"/>
      <c r="AO105" s="39"/>
      <c r="AP105" s="49"/>
      <c r="AQ105" s="49"/>
      <c r="AS105" s="53" t="e">
        <f t="shared" si="31"/>
        <v>#DIV/0!</v>
      </c>
      <c r="AT105" s="53"/>
      <c r="AV105" s="54"/>
      <c r="AW105" s="54"/>
      <c r="AX105" s="54"/>
      <c r="AY105" s="61"/>
      <c r="BA105" s="54"/>
      <c r="BB105" s="54"/>
      <c r="BC105" s="54"/>
      <c r="BD105" s="61"/>
      <c r="BF105">
        <f t="shared" si="32"/>
        <v>0</v>
      </c>
      <c r="BG105">
        <f t="shared" si="33"/>
        <v>0</v>
      </c>
      <c r="BH105">
        <f t="shared" si="34"/>
        <v>0</v>
      </c>
      <c r="BI105">
        <f t="shared" si="35"/>
        <v>0</v>
      </c>
      <c r="BJ105">
        <f t="shared" si="36"/>
        <v>0</v>
      </c>
      <c r="BK105">
        <f t="shared" si="37"/>
        <v>0</v>
      </c>
      <c r="BL105">
        <f t="shared" si="38"/>
        <v>0</v>
      </c>
      <c r="BM105">
        <f t="shared" si="39"/>
        <v>0</v>
      </c>
      <c r="BN105">
        <f t="shared" si="40"/>
        <v>0</v>
      </c>
    </row>
    <row r="106" spans="1:66" outlineLevel="1" x14ac:dyDescent="0.15">
      <c r="A106" s="8"/>
      <c r="B106" s="14" t="s">
        <v>108</v>
      </c>
      <c r="C106" s="15" t="s">
        <v>259</v>
      </c>
      <c r="D106" s="14">
        <v>757691</v>
      </c>
      <c r="E106" s="16">
        <v>10</v>
      </c>
      <c r="F106" s="15">
        <v>1</v>
      </c>
      <c r="G106" s="15"/>
      <c r="I106" s="32" t="str">
        <f t="shared" si="21"/>
        <v>·</v>
      </c>
      <c r="J106" s="33" t="str">
        <f t="shared" si="22"/>
        <v>·</v>
      </c>
      <c r="K106" s="33" t="str">
        <f t="shared" si="23"/>
        <v>·</v>
      </c>
      <c r="L106" s="33" t="str">
        <f t="shared" si="24"/>
        <v>·</v>
      </c>
      <c r="M106" s="34"/>
      <c r="N106" s="33" t="str">
        <f t="shared" si="25"/>
        <v>·</v>
      </c>
      <c r="O106" s="35"/>
      <c r="P106" s="36"/>
      <c r="Q106" s="36"/>
      <c r="R106" s="36"/>
      <c r="S106" s="46"/>
      <c r="T106" s="47"/>
      <c r="U106" s="47"/>
      <c r="V106" s="47"/>
      <c r="W106" s="48"/>
      <c r="X106" s="52"/>
      <c r="Y106" s="52"/>
      <c r="AA106" s="32" t="str">
        <f t="shared" si="26"/>
        <v>·</v>
      </c>
      <c r="AB106" s="33" t="str">
        <f t="shared" si="27"/>
        <v>·</v>
      </c>
      <c r="AC106" s="33" t="str">
        <f t="shared" si="28"/>
        <v>·</v>
      </c>
      <c r="AD106" s="33" t="str">
        <f t="shared" si="29"/>
        <v>·</v>
      </c>
      <c r="AE106" s="34"/>
      <c r="AF106" s="33" t="str">
        <f t="shared" si="30"/>
        <v>·</v>
      </c>
      <c r="AG106" s="35"/>
      <c r="AH106" s="36"/>
      <c r="AI106" s="36"/>
      <c r="AJ106" s="36"/>
      <c r="AK106" s="46"/>
      <c r="AL106" s="47"/>
      <c r="AM106" s="47"/>
      <c r="AN106" s="47"/>
      <c r="AO106" s="48"/>
      <c r="AP106" s="52"/>
      <c r="AQ106" s="52"/>
      <c r="AS106" s="59" t="e">
        <f t="shared" si="31"/>
        <v>#DIV/0!</v>
      </c>
      <c r="AT106" s="59"/>
      <c r="AV106" s="60"/>
      <c r="AW106" s="60"/>
      <c r="AX106" s="60"/>
      <c r="AY106" s="64"/>
      <c r="BA106" s="60"/>
      <c r="BB106" s="60"/>
      <c r="BC106" s="60"/>
      <c r="BD106" s="64"/>
      <c r="BF106">
        <f t="shared" si="32"/>
        <v>0</v>
      </c>
      <c r="BG106">
        <f t="shared" si="33"/>
        <v>0</v>
      </c>
      <c r="BH106">
        <f t="shared" si="34"/>
        <v>0</v>
      </c>
      <c r="BI106">
        <f t="shared" si="35"/>
        <v>0</v>
      </c>
      <c r="BJ106">
        <f t="shared" si="36"/>
        <v>0</v>
      </c>
      <c r="BK106">
        <f t="shared" si="37"/>
        <v>0</v>
      </c>
      <c r="BL106">
        <f t="shared" si="38"/>
        <v>0</v>
      </c>
      <c r="BM106">
        <f t="shared" si="39"/>
        <v>0</v>
      </c>
      <c r="BN106">
        <f t="shared" si="40"/>
        <v>0</v>
      </c>
    </row>
    <row r="107" spans="1:66" x14ac:dyDescent="0.15">
      <c r="A107" s="5"/>
      <c r="B107" s="5" t="s">
        <v>111</v>
      </c>
      <c r="C107" s="6" t="s">
        <v>254</v>
      </c>
      <c r="D107" s="5">
        <v>1009132</v>
      </c>
      <c r="E107" s="7">
        <v>12</v>
      </c>
      <c r="F107" s="6">
        <v>1</v>
      </c>
      <c r="G107" s="6"/>
      <c r="I107" s="17" t="str">
        <f t="shared" si="21"/>
        <v>·</v>
      </c>
      <c r="J107" s="18" t="str">
        <f t="shared" si="22"/>
        <v>·</v>
      </c>
      <c r="K107" s="18" t="str">
        <f t="shared" si="23"/>
        <v>·</v>
      </c>
      <c r="L107" s="18" t="str">
        <f t="shared" si="24"/>
        <v>·</v>
      </c>
      <c r="M107" s="19"/>
      <c r="N107" s="18" t="str">
        <f t="shared" si="25"/>
        <v>·</v>
      </c>
      <c r="O107" s="20"/>
      <c r="P107" s="21"/>
      <c r="Q107" s="21"/>
      <c r="R107" s="21"/>
      <c r="S107" s="37"/>
      <c r="T107" s="38"/>
      <c r="U107" s="38"/>
      <c r="V107" s="38"/>
      <c r="W107" s="39"/>
      <c r="X107" s="49"/>
      <c r="Y107" s="49"/>
      <c r="AA107" s="17" t="str">
        <f t="shared" si="26"/>
        <v>·</v>
      </c>
      <c r="AB107" s="18" t="str">
        <f t="shared" si="27"/>
        <v>·</v>
      </c>
      <c r="AC107" s="18" t="str">
        <f t="shared" si="28"/>
        <v>·</v>
      </c>
      <c r="AD107" s="18" t="str">
        <f t="shared" si="29"/>
        <v>·</v>
      </c>
      <c r="AE107" s="19"/>
      <c r="AF107" s="18" t="str">
        <f t="shared" si="30"/>
        <v>·</v>
      </c>
      <c r="AG107" s="20"/>
      <c r="AH107" s="21"/>
      <c r="AI107" s="21"/>
      <c r="AJ107" s="21"/>
      <c r="AK107" s="37"/>
      <c r="AL107" s="38"/>
      <c r="AM107" s="38"/>
      <c r="AN107" s="38"/>
      <c r="AO107" s="39"/>
      <c r="AP107" s="49"/>
      <c r="AQ107" s="49"/>
      <c r="AS107" s="53" t="e">
        <f t="shared" si="31"/>
        <v>#DIV/0!</v>
      </c>
      <c r="AT107" s="53" t="e">
        <f t="array" ref="AT107">AVERAGE(AI107:AI112/AH107:AH112)-AVERAGE(Q107:Q112/P107:P112)</f>
        <v>#DIV/0!</v>
      </c>
      <c r="AV107" s="54" t="str">
        <f>IF(OR(ISBLANK(R107:R112),ISBLANK(AJ107:AJ112),ISBLANK(T107:T112),ISBLANK(AL107:AL112)),"·",bdRateExtend(R107:R112,T107:T112,AJ107:AJ112,AL107:AL112))</f>
        <v>·</v>
      </c>
      <c r="AW107" s="54" t="str">
        <f>IF(OR(ISBLANK(R107:R112),ISBLANK(AJ107:AJ112),ISBLANK(U107:U112),ISBLANK(AM107:AM112)),"·",bdRateExtend(R107:R112,U107:U112,AJ107:AJ112,AM107:AM112))</f>
        <v>·</v>
      </c>
      <c r="AX107" s="54" t="str">
        <f>IF(OR(ISBLANK(R107:R112),ISBLANK(AJ107:AJ112),ISBLANK(V107:V112),ISBLANK(AN107:AN112)),"·",bdRateExtend(R107:R112,V107:V112,AJ107:AJ112,AN107:AN112))</f>
        <v>·</v>
      </c>
      <c r="AY107" s="61"/>
      <c r="BA107" s="54" t="str">
        <f>IF(OR(ISBLANK(P107:P112),ISBLANK(AH107:AH112),ISBLANK(T107:T112),ISBLANK(AL107:AL112)),"·",bdRateExtend(P107:P112,T107:T112,AH107:AH112,AL107:AL112))</f>
        <v>·</v>
      </c>
      <c r="BB107" s="54" t="str">
        <f>IF(OR(ISBLANK(P107:P112),ISBLANK(AH107:AH112),ISBLANK(U107:U112),ISBLANK(AM107:AM112)),"·",bdRateExtend(P107:P112,U107:U112,AH107:AH112,AM107:AM112))</f>
        <v>·</v>
      </c>
      <c r="BC107" s="54" t="str">
        <f>IF(OR(ISBLANK(P107:P112),ISBLANK(AH107:AH112),ISBLANK(V107:V112),ISBLANK(AN107:AN112)),"·",bdRateExtend(P107:P112,V107:V112,AH107:AH112,AN107:AN112))</f>
        <v>·</v>
      </c>
      <c r="BD107" s="61"/>
      <c r="BF107">
        <f t="shared" si="32"/>
        <v>0</v>
      </c>
      <c r="BG107">
        <f t="shared" si="33"/>
        <v>0</v>
      </c>
      <c r="BH107">
        <f t="shared" si="34"/>
        <v>0</v>
      </c>
      <c r="BI107">
        <f t="shared" si="35"/>
        <v>0</v>
      </c>
      <c r="BJ107">
        <f t="shared" si="36"/>
        <v>0</v>
      </c>
      <c r="BK107">
        <f t="shared" si="37"/>
        <v>0</v>
      </c>
      <c r="BL107">
        <f t="shared" si="38"/>
        <v>0</v>
      </c>
      <c r="BM107">
        <f t="shared" si="39"/>
        <v>0</v>
      </c>
      <c r="BN107">
        <f t="shared" si="40"/>
        <v>0</v>
      </c>
    </row>
    <row r="108" spans="1:66" outlineLevel="1" x14ac:dyDescent="0.15">
      <c r="A108" s="8"/>
      <c r="B108" s="8" t="s">
        <v>111</v>
      </c>
      <c r="C108" s="9" t="s">
        <v>255</v>
      </c>
      <c r="D108" s="8">
        <v>1009132</v>
      </c>
      <c r="E108" s="10">
        <v>12</v>
      </c>
      <c r="F108" s="9">
        <v>1</v>
      </c>
      <c r="G108" s="9"/>
      <c r="I108" s="22" t="str">
        <f t="shared" si="21"/>
        <v>·</v>
      </c>
      <c r="J108" s="23" t="str">
        <f t="shared" si="22"/>
        <v>·</v>
      </c>
      <c r="K108" s="23" t="str">
        <f t="shared" si="23"/>
        <v>·</v>
      </c>
      <c r="L108" s="23" t="str">
        <f t="shared" si="24"/>
        <v>·</v>
      </c>
      <c r="M108" s="24"/>
      <c r="N108" s="23" t="str">
        <f t="shared" si="25"/>
        <v>·</v>
      </c>
      <c r="O108" s="25"/>
      <c r="P108" s="26"/>
      <c r="Q108" s="26"/>
      <c r="R108" s="26"/>
      <c r="S108" s="40"/>
      <c r="T108" s="41"/>
      <c r="U108" s="41"/>
      <c r="V108" s="41"/>
      <c r="W108" s="42"/>
      <c r="X108" s="50"/>
      <c r="Y108" s="50"/>
      <c r="AA108" s="22" t="str">
        <f t="shared" si="26"/>
        <v>·</v>
      </c>
      <c r="AB108" s="23" t="str">
        <f t="shared" si="27"/>
        <v>·</v>
      </c>
      <c r="AC108" s="23" t="str">
        <f t="shared" si="28"/>
        <v>·</v>
      </c>
      <c r="AD108" s="23" t="str">
        <f t="shared" si="29"/>
        <v>·</v>
      </c>
      <c r="AE108" s="24"/>
      <c r="AF108" s="23" t="str">
        <f t="shared" si="30"/>
        <v>·</v>
      </c>
      <c r="AG108" s="25"/>
      <c r="AH108" s="26"/>
      <c r="AI108" s="26"/>
      <c r="AJ108" s="26"/>
      <c r="AK108" s="40"/>
      <c r="AL108" s="41"/>
      <c r="AM108" s="41"/>
      <c r="AN108" s="41"/>
      <c r="AO108" s="42"/>
      <c r="AP108" s="50"/>
      <c r="AQ108" s="50"/>
      <c r="AS108" s="55" t="e">
        <f t="shared" si="31"/>
        <v>#DIV/0!</v>
      </c>
      <c r="AT108" s="55"/>
      <c r="AV108" s="56"/>
      <c r="AW108" s="56"/>
      <c r="AX108" s="56"/>
      <c r="AY108" s="62"/>
      <c r="BA108" s="56"/>
      <c r="BB108" s="56"/>
      <c r="BC108" s="56"/>
      <c r="BD108" s="62"/>
      <c r="BF108">
        <f t="shared" si="32"/>
        <v>0</v>
      </c>
      <c r="BG108">
        <f t="shared" si="33"/>
        <v>0</v>
      </c>
      <c r="BH108">
        <f t="shared" si="34"/>
        <v>0</v>
      </c>
      <c r="BI108">
        <f t="shared" si="35"/>
        <v>0</v>
      </c>
      <c r="BJ108">
        <f t="shared" si="36"/>
        <v>0</v>
      </c>
      <c r="BK108">
        <f t="shared" si="37"/>
        <v>0</v>
      </c>
      <c r="BL108">
        <f t="shared" si="38"/>
        <v>0</v>
      </c>
      <c r="BM108">
        <f t="shared" si="39"/>
        <v>0</v>
      </c>
      <c r="BN108">
        <f t="shared" si="40"/>
        <v>0</v>
      </c>
    </row>
    <row r="109" spans="1:66" outlineLevel="1" x14ac:dyDescent="0.15">
      <c r="A109" s="5"/>
      <c r="B109" s="5" t="s">
        <v>111</v>
      </c>
      <c r="C109" s="6" t="s">
        <v>256</v>
      </c>
      <c r="D109" s="5">
        <v>1009132</v>
      </c>
      <c r="E109" s="7">
        <v>12</v>
      </c>
      <c r="F109" s="6">
        <v>1</v>
      </c>
      <c r="G109" s="6"/>
      <c r="I109" s="17" t="str">
        <f t="shared" si="21"/>
        <v>·</v>
      </c>
      <c r="J109" s="18" t="str">
        <f t="shared" si="22"/>
        <v>·</v>
      </c>
      <c r="K109" s="18" t="str">
        <f t="shared" si="23"/>
        <v>·</v>
      </c>
      <c r="L109" s="18" t="str">
        <f t="shared" si="24"/>
        <v>·</v>
      </c>
      <c r="M109" s="19"/>
      <c r="N109" s="18" t="str">
        <f t="shared" si="25"/>
        <v>·</v>
      </c>
      <c r="O109" s="20"/>
      <c r="P109" s="21"/>
      <c r="Q109" s="21"/>
      <c r="R109" s="21"/>
      <c r="S109" s="37"/>
      <c r="T109" s="38"/>
      <c r="U109" s="38"/>
      <c r="V109" s="38"/>
      <c r="W109" s="39"/>
      <c r="X109" s="49"/>
      <c r="Y109" s="49"/>
      <c r="AA109" s="17" t="str">
        <f t="shared" si="26"/>
        <v>·</v>
      </c>
      <c r="AB109" s="18" t="str">
        <f t="shared" si="27"/>
        <v>·</v>
      </c>
      <c r="AC109" s="18" t="str">
        <f t="shared" si="28"/>
        <v>·</v>
      </c>
      <c r="AD109" s="18" t="str">
        <f t="shared" si="29"/>
        <v>·</v>
      </c>
      <c r="AE109" s="19"/>
      <c r="AF109" s="18" t="str">
        <f t="shared" si="30"/>
        <v>·</v>
      </c>
      <c r="AG109" s="20"/>
      <c r="AH109" s="21"/>
      <c r="AI109" s="21"/>
      <c r="AJ109" s="21"/>
      <c r="AK109" s="37"/>
      <c r="AL109" s="38"/>
      <c r="AM109" s="38"/>
      <c r="AN109" s="38"/>
      <c r="AO109" s="39"/>
      <c r="AP109" s="49"/>
      <c r="AQ109" s="49"/>
      <c r="AS109" s="53" t="e">
        <f t="shared" si="31"/>
        <v>#DIV/0!</v>
      </c>
      <c r="AT109" s="53"/>
      <c r="AV109" s="54"/>
      <c r="AW109" s="54"/>
      <c r="AX109" s="54"/>
      <c r="AY109" s="61"/>
      <c r="BA109" s="54"/>
      <c r="BB109" s="54"/>
      <c r="BC109" s="54"/>
      <c r="BD109" s="61"/>
      <c r="BF109">
        <f t="shared" si="32"/>
        <v>0</v>
      </c>
      <c r="BG109">
        <f t="shared" si="33"/>
        <v>0</v>
      </c>
      <c r="BH109">
        <f t="shared" si="34"/>
        <v>0</v>
      </c>
      <c r="BI109">
        <f t="shared" si="35"/>
        <v>0</v>
      </c>
      <c r="BJ109">
        <f t="shared" si="36"/>
        <v>0</v>
      </c>
      <c r="BK109">
        <f t="shared" si="37"/>
        <v>0</v>
      </c>
      <c r="BL109">
        <f t="shared" si="38"/>
        <v>0</v>
      </c>
      <c r="BM109">
        <f t="shared" si="39"/>
        <v>0</v>
      </c>
      <c r="BN109">
        <f t="shared" si="40"/>
        <v>0</v>
      </c>
    </row>
    <row r="110" spans="1:66" outlineLevel="1" x14ac:dyDescent="0.15">
      <c r="A110" s="8"/>
      <c r="B110" s="8" t="s">
        <v>111</v>
      </c>
      <c r="C110" s="9" t="s">
        <v>257</v>
      </c>
      <c r="D110" s="8">
        <v>1009132</v>
      </c>
      <c r="E110" s="10">
        <v>12</v>
      </c>
      <c r="F110" s="9">
        <v>1</v>
      </c>
      <c r="G110" s="9"/>
      <c r="I110" s="22" t="str">
        <f t="shared" si="21"/>
        <v>·</v>
      </c>
      <c r="J110" s="23" t="str">
        <f t="shared" si="22"/>
        <v>·</v>
      </c>
      <c r="K110" s="23" t="str">
        <f t="shared" si="23"/>
        <v>·</v>
      </c>
      <c r="L110" s="23" t="str">
        <f t="shared" si="24"/>
        <v>·</v>
      </c>
      <c r="M110" s="24"/>
      <c r="N110" s="23" t="str">
        <f t="shared" si="25"/>
        <v>·</v>
      </c>
      <c r="O110" s="25"/>
      <c r="P110" s="26"/>
      <c r="Q110" s="26"/>
      <c r="R110" s="26"/>
      <c r="S110" s="40"/>
      <c r="T110" s="41"/>
      <c r="U110" s="41"/>
      <c r="V110" s="41"/>
      <c r="W110" s="42"/>
      <c r="X110" s="50"/>
      <c r="Y110" s="50"/>
      <c r="AA110" s="22" t="str">
        <f t="shared" si="26"/>
        <v>·</v>
      </c>
      <c r="AB110" s="23" t="str">
        <f t="shared" si="27"/>
        <v>·</v>
      </c>
      <c r="AC110" s="23" t="str">
        <f t="shared" si="28"/>
        <v>·</v>
      </c>
      <c r="AD110" s="23" t="str">
        <f t="shared" si="29"/>
        <v>·</v>
      </c>
      <c r="AE110" s="24"/>
      <c r="AF110" s="23" t="str">
        <f t="shared" si="30"/>
        <v>·</v>
      </c>
      <c r="AG110" s="25"/>
      <c r="AH110" s="26"/>
      <c r="AI110" s="26"/>
      <c r="AJ110" s="26"/>
      <c r="AK110" s="40"/>
      <c r="AL110" s="41"/>
      <c r="AM110" s="41"/>
      <c r="AN110" s="41"/>
      <c r="AO110" s="42"/>
      <c r="AP110" s="50"/>
      <c r="AQ110" s="50"/>
      <c r="AS110" s="55" t="e">
        <f t="shared" si="31"/>
        <v>#DIV/0!</v>
      </c>
      <c r="AT110" s="55"/>
      <c r="AV110" s="56"/>
      <c r="AW110" s="56"/>
      <c r="AX110" s="56"/>
      <c r="AY110" s="62"/>
      <c r="BA110" s="56"/>
      <c r="BB110" s="56"/>
      <c r="BC110" s="56"/>
      <c r="BD110" s="62"/>
      <c r="BF110">
        <f t="shared" si="32"/>
        <v>0</v>
      </c>
      <c r="BG110">
        <f t="shared" si="33"/>
        <v>0</v>
      </c>
      <c r="BH110">
        <f t="shared" si="34"/>
        <v>0</v>
      </c>
      <c r="BI110">
        <f t="shared" si="35"/>
        <v>0</v>
      </c>
      <c r="BJ110">
        <f t="shared" si="36"/>
        <v>0</v>
      </c>
      <c r="BK110">
        <f t="shared" si="37"/>
        <v>0</v>
      </c>
      <c r="BL110">
        <f t="shared" si="38"/>
        <v>0</v>
      </c>
      <c r="BM110">
        <f t="shared" si="39"/>
        <v>0</v>
      </c>
      <c r="BN110">
        <f t="shared" si="40"/>
        <v>0</v>
      </c>
    </row>
    <row r="111" spans="1:66" outlineLevel="1" x14ac:dyDescent="0.15">
      <c r="A111" s="5"/>
      <c r="B111" s="5" t="s">
        <v>111</v>
      </c>
      <c r="C111" s="6" t="s">
        <v>258</v>
      </c>
      <c r="D111" s="5">
        <v>1009132</v>
      </c>
      <c r="E111" s="7">
        <v>12</v>
      </c>
      <c r="F111" s="6">
        <v>1</v>
      </c>
      <c r="G111" s="6"/>
      <c r="I111" s="17" t="str">
        <f t="shared" si="21"/>
        <v>·</v>
      </c>
      <c r="J111" s="18" t="str">
        <f t="shared" si="22"/>
        <v>·</v>
      </c>
      <c r="K111" s="18" t="str">
        <f t="shared" si="23"/>
        <v>·</v>
      </c>
      <c r="L111" s="18" t="str">
        <f t="shared" si="24"/>
        <v>·</v>
      </c>
      <c r="M111" s="19"/>
      <c r="N111" s="18" t="str">
        <f t="shared" si="25"/>
        <v>·</v>
      </c>
      <c r="O111" s="20"/>
      <c r="P111" s="21"/>
      <c r="Q111" s="21"/>
      <c r="R111" s="21"/>
      <c r="S111" s="37"/>
      <c r="T111" s="38"/>
      <c r="U111" s="38"/>
      <c r="V111" s="38"/>
      <c r="W111" s="39"/>
      <c r="X111" s="49"/>
      <c r="Y111" s="49"/>
      <c r="AA111" s="17" t="str">
        <f t="shared" si="26"/>
        <v>·</v>
      </c>
      <c r="AB111" s="18" t="str">
        <f t="shared" si="27"/>
        <v>·</v>
      </c>
      <c r="AC111" s="18" t="str">
        <f t="shared" si="28"/>
        <v>·</v>
      </c>
      <c r="AD111" s="18" t="str">
        <f t="shared" si="29"/>
        <v>·</v>
      </c>
      <c r="AE111" s="19"/>
      <c r="AF111" s="18" t="str">
        <f t="shared" si="30"/>
        <v>·</v>
      </c>
      <c r="AG111" s="20"/>
      <c r="AH111" s="21"/>
      <c r="AI111" s="21"/>
      <c r="AJ111" s="21"/>
      <c r="AK111" s="37"/>
      <c r="AL111" s="38"/>
      <c r="AM111" s="38"/>
      <c r="AN111" s="38"/>
      <c r="AO111" s="39"/>
      <c r="AP111" s="49"/>
      <c r="AQ111" s="49"/>
      <c r="AS111" s="53" t="e">
        <f t="shared" si="31"/>
        <v>#DIV/0!</v>
      </c>
      <c r="AT111" s="53"/>
      <c r="AV111" s="54"/>
      <c r="AW111" s="54"/>
      <c r="AX111" s="54"/>
      <c r="AY111" s="61"/>
      <c r="BA111" s="54"/>
      <c r="BB111" s="54"/>
      <c r="BC111" s="54"/>
      <c r="BD111" s="61"/>
      <c r="BF111">
        <f t="shared" si="32"/>
        <v>0</v>
      </c>
      <c r="BG111">
        <f t="shared" si="33"/>
        <v>0</v>
      </c>
      <c r="BH111">
        <f t="shared" si="34"/>
        <v>0</v>
      </c>
      <c r="BI111">
        <f t="shared" si="35"/>
        <v>0</v>
      </c>
      <c r="BJ111">
        <f t="shared" si="36"/>
        <v>0</v>
      </c>
      <c r="BK111">
        <f t="shared" si="37"/>
        <v>0</v>
      </c>
      <c r="BL111">
        <f t="shared" si="38"/>
        <v>0</v>
      </c>
      <c r="BM111">
        <f t="shared" si="39"/>
        <v>0</v>
      </c>
      <c r="BN111">
        <f t="shared" si="40"/>
        <v>0</v>
      </c>
    </row>
    <row r="112" spans="1:66" outlineLevel="1" x14ac:dyDescent="0.15">
      <c r="A112" s="8"/>
      <c r="B112" s="14" t="s">
        <v>111</v>
      </c>
      <c r="C112" s="15" t="s">
        <v>259</v>
      </c>
      <c r="D112" s="14">
        <v>1009132</v>
      </c>
      <c r="E112" s="16">
        <v>12</v>
      </c>
      <c r="F112" s="15">
        <v>1</v>
      </c>
      <c r="G112" s="15"/>
      <c r="I112" s="32" t="str">
        <f t="shared" si="21"/>
        <v>·</v>
      </c>
      <c r="J112" s="33" t="str">
        <f t="shared" si="22"/>
        <v>·</v>
      </c>
      <c r="K112" s="33" t="str">
        <f t="shared" si="23"/>
        <v>·</v>
      </c>
      <c r="L112" s="33" t="str">
        <f t="shared" si="24"/>
        <v>·</v>
      </c>
      <c r="M112" s="34"/>
      <c r="N112" s="33" t="str">
        <f t="shared" si="25"/>
        <v>·</v>
      </c>
      <c r="O112" s="35"/>
      <c r="P112" s="36"/>
      <c r="Q112" s="36"/>
      <c r="R112" s="36"/>
      <c r="S112" s="46"/>
      <c r="T112" s="47"/>
      <c r="U112" s="47"/>
      <c r="V112" s="47"/>
      <c r="W112" s="48"/>
      <c r="X112" s="52"/>
      <c r="Y112" s="52"/>
      <c r="AA112" s="32" t="str">
        <f t="shared" si="26"/>
        <v>·</v>
      </c>
      <c r="AB112" s="33" t="str">
        <f t="shared" si="27"/>
        <v>·</v>
      </c>
      <c r="AC112" s="33" t="str">
        <f t="shared" si="28"/>
        <v>·</v>
      </c>
      <c r="AD112" s="33" t="str">
        <f t="shared" si="29"/>
        <v>·</v>
      </c>
      <c r="AE112" s="34"/>
      <c r="AF112" s="33" t="str">
        <f t="shared" si="30"/>
        <v>·</v>
      </c>
      <c r="AG112" s="35"/>
      <c r="AH112" s="36"/>
      <c r="AI112" s="36"/>
      <c r="AJ112" s="36"/>
      <c r="AK112" s="46"/>
      <c r="AL112" s="47"/>
      <c r="AM112" s="47"/>
      <c r="AN112" s="47"/>
      <c r="AO112" s="48"/>
      <c r="AP112" s="52"/>
      <c r="AQ112" s="52"/>
      <c r="AS112" s="59" t="e">
        <f t="shared" si="31"/>
        <v>#DIV/0!</v>
      </c>
      <c r="AT112" s="59"/>
      <c r="AV112" s="60"/>
      <c r="AW112" s="60"/>
      <c r="AX112" s="60"/>
      <c r="AY112" s="64"/>
      <c r="BA112" s="60"/>
      <c r="BB112" s="60"/>
      <c r="BC112" s="60"/>
      <c r="BD112" s="64"/>
      <c r="BF112">
        <f t="shared" si="32"/>
        <v>0</v>
      </c>
      <c r="BG112">
        <f t="shared" si="33"/>
        <v>0</v>
      </c>
      <c r="BH112">
        <f t="shared" si="34"/>
        <v>0</v>
      </c>
      <c r="BI112">
        <f t="shared" si="35"/>
        <v>0</v>
      </c>
      <c r="BJ112">
        <f t="shared" si="36"/>
        <v>0</v>
      </c>
      <c r="BK112">
        <f t="shared" si="37"/>
        <v>0</v>
      </c>
      <c r="BL112">
        <f t="shared" si="38"/>
        <v>0</v>
      </c>
      <c r="BM112">
        <f t="shared" si="39"/>
        <v>0</v>
      </c>
      <c r="BN112">
        <f t="shared" si="40"/>
        <v>0</v>
      </c>
    </row>
    <row r="113" spans="1:66" x14ac:dyDescent="0.15">
      <c r="A113" s="5"/>
      <c r="B113" s="5" t="s">
        <v>114</v>
      </c>
      <c r="C113" s="6" t="s">
        <v>254</v>
      </c>
      <c r="D113" s="5">
        <v>4001754</v>
      </c>
      <c r="E113" s="7">
        <v>12</v>
      </c>
      <c r="F113" s="6">
        <v>1</v>
      </c>
      <c r="G113" s="6"/>
      <c r="I113" s="17" t="str">
        <f t="shared" si="21"/>
        <v>·</v>
      </c>
      <c r="J113" s="18" t="str">
        <f t="shared" si="22"/>
        <v>·</v>
      </c>
      <c r="K113" s="18" t="str">
        <f t="shared" si="23"/>
        <v>·</v>
      </c>
      <c r="L113" s="18" t="str">
        <f t="shared" si="24"/>
        <v>·</v>
      </c>
      <c r="M113" s="19"/>
      <c r="N113" s="18" t="str">
        <f t="shared" si="25"/>
        <v>·</v>
      </c>
      <c r="O113" s="20"/>
      <c r="P113" s="21"/>
      <c r="Q113" s="21"/>
      <c r="R113" s="21"/>
      <c r="S113" s="37"/>
      <c r="T113" s="38"/>
      <c r="U113" s="38"/>
      <c r="V113" s="38"/>
      <c r="W113" s="39"/>
      <c r="X113" s="49"/>
      <c r="Y113" s="49"/>
      <c r="AA113" s="17" t="str">
        <f t="shared" si="26"/>
        <v>·</v>
      </c>
      <c r="AB113" s="18" t="str">
        <f t="shared" si="27"/>
        <v>·</v>
      </c>
      <c r="AC113" s="18" t="str">
        <f t="shared" si="28"/>
        <v>·</v>
      </c>
      <c r="AD113" s="18" t="str">
        <f t="shared" si="29"/>
        <v>·</v>
      </c>
      <c r="AE113" s="19"/>
      <c r="AF113" s="18" t="str">
        <f t="shared" si="30"/>
        <v>·</v>
      </c>
      <c r="AG113" s="20"/>
      <c r="AH113" s="21"/>
      <c r="AI113" s="21"/>
      <c r="AJ113" s="21"/>
      <c r="AK113" s="37"/>
      <c r="AL113" s="38"/>
      <c r="AM113" s="38"/>
      <c r="AN113" s="38"/>
      <c r="AO113" s="39"/>
      <c r="AP113" s="49"/>
      <c r="AQ113" s="49"/>
      <c r="AS113" s="53" t="e">
        <f t="shared" si="31"/>
        <v>#DIV/0!</v>
      </c>
      <c r="AT113" s="53" t="e">
        <f t="array" ref="AT113">AVERAGE(AI113:AI118/AH113:AH118)-AVERAGE(Q113:Q118/P113:P118)</f>
        <v>#DIV/0!</v>
      </c>
      <c r="AV113" s="54" t="str">
        <f>IF(OR(ISBLANK(R113:R118),ISBLANK(AJ113:AJ118),ISBLANK(T113:T118),ISBLANK(AL113:AL118)),"·",bdRateExtend(R113:R118,T113:T118,AJ113:AJ118,AL113:AL118))</f>
        <v>·</v>
      </c>
      <c r="AW113" s="54" t="str">
        <f>IF(OR(ISBLANK(R113:R118),ISBLANK(AJ113:AJ118),ISBLANK(U113:U118),ISBLANK(AM113:AM118)),"·",bdRateExtend(R113:R118,U113:U118,AJ113:AJ118,AM113:AM118))</f>
        <v>·</v>
      </c>
      <c r="AX113" s="54" t="str">
        <f>IF(OR(ISBLANK(R113:R118),ISBLANK(AJ113:AJ118),ISBLANK(V113:V118),ISBLANK(AN113:AN118)),"·",bdRateExtend(R113:R118,V113:V118,AJ113:AJ118,AN113:AN118))</f>
        <v>·</v>
      </c>
      <c r="AY113" s="61"/>
      <c r="BA113" s="54" t="str">
        <f>IF(OR(ISBLANK(P113:P118),ISBLANK(AH113:AH118),ISBLANK(T113:T118),ISBLANK(AL113:AL118)),"·",bdRateExtend(P113:P118,T113:T118,AH113:AH118,AL113:AL118))</f>
        <v>·</v>
      </c>
      <c r="BB113" s="54" t="str">
        <f>IF(OR(ISBLANK(P113:P118),ISBLANK(AH113:AH118),ISBLANK(U113:U118),ISBLANK(AM113:AM118)),"·",bdRateExtend(P113:P118,U113:U118,AH113:AH118,AM113:AM118))</f>
        <v>·</v>
      </c>
      <c r="BC113" s="54" t="str">
        <f>IF(OR(ISBLANK(P113:P118),ISBLANK(AH113:AH118),ISBLANK(V113:V118),ISBLANK(AN113:AN118)),"·",bdRateExtend(P113:P118,V113:V118,AH113:AH118,AN113:AN118))</f>
        <v>·</v>
      </c>
      <c r="BD113" s="61"/>
      <c r="BF113">
        <f t="shared" si="32"/>
        <v>0</v>
      </c>
      <c r="BG113">
        <f t="shared" si="33"/>
        <v>0</v>
      </c>
      <c r="BH113">
        <f t="shared" si="34"/>
        <v>0</v>
      </c>
      <c r="BI113">
        <f t="shared" si="35"/>
        <v>0</v>
      </c>
      <c r="BJ113">
        <f t="shared" si="36"/>
        <v>0</v>
      </c>
      <c r="BK113">
        <f t="shared" si="37"/>
        <v>0</v>
      </c>
      <c r="BL113">
        <f t="shared" si="38"/>
        <v>0</v>
      </c>
      <c r="BM113">
        <f t="shared" si="39"/>
        <v>0</v>
      </c>
      <c r="BN113">
        <f t="shared" si="40"/>
        <v>0</v>
      </c>
    </row>
    <row r="114" spans="1:66" outlineLevel="1" x14ac:dyDescent="0.15">
      <c r="A114" s="8"/>
      <c r="B114" s="8" t="s">
        <v>114</v>
      </c>
      <c r="C114" s="9" t="s">
        <v>255</v>
      </c>
      <c r="D114" s="8">
        <v>4001754</v>
      </c>
      <c r="E114" s="10">
        <v>12</v>
      </c>
      <c r="F114" s="9">
        <v>1</v>
      </c>
      <c r="G114" s="9"/>
      <c r="I114" s="22" t="str">
        <f t="shared" si="21"/>
        <v>·</v>
      </c>
      <c r="J114" s="23" t="str">
        <f t="shared" si="22"/>
        <v>·</v>
      </c>
      <c r="K114" s="23" t="str">
        <f t="shared" si="23"/>
        <v>·</v>
      </c>
      <c r="L114" s="23" t="str">
        <f t="shared" si="24"/>
        <v>·</v>
      </c>
      <c r="M114" s="24"/>
      <c r="N114" s="23" t="str">
        <f t="shared" si="25"/>
        <v>·</v>
      </c>
      <c r="O114" s="25"/>
      <c r="P114" s="26"/>
      <c r="Q114" s="26"/>
      <c r="R114" s="26"/>
      <c r="S114" s="40"/>
      <c r="T114" s="41"/>
      <c r="U114" s="41"/>
      <c r="V114" s="41"/>
      <c r="W114" s="42"/>
      <c r="X114" s="50"/>
      <c r="Y114" s="50"/>
      <c r="AA114" s="22" t="str">
        <f t="shared" si="26"/>
        <v>·</v>
      </c>
      <c r="AB114" s="23" t="str">
        <f t="shared" si="27"/>
        <v>·</v>
      </c>
      <c r="AC114" s="23" t="str">
        <f t="shared" si="28"/>
        <v>·</v>
      </c>
      <c r="AD114" s="23" t="str">
        <f t="shared" si="29"/>
        <v>·</v>
      </c>
      <c r="AE114" s="24"/>
      <c r="AF114" s="23" t="str">
        <f t="shared" si="30"/>
        <v>·</v>
      </c>
      <c r="AG114" s="25"/>
      <c r="AH114" s="26"/>
      <c r="AI114" s="26"/>
      <c r="AJ114" s="26"/>
      <c r="AK114" s="40"/>
      <c r="AL114" s="41"/>
      <c r="AM114" s="41"/>
      <c r="AN114" s="41"/>
      <c r="AO114" s="42"/>
      <c r="AP114" s="50"/>
      <c r="AQ114" s="50"/>
      <c r="AS114" s="55" t="e">
        <f t="shared" si="31"/>
        <v>#DIV/0!</v>
      </c>
      <c r="AT114" s="55"/>
      <c r="AV114" s="56"/>
      <c r="AW114" s="56"/>
      <c r="AX114" s="56"/>
      <c r="AY114" s="62"/>
      <c r="BA114" s="56"/>
      <c r="BB114" s="56"/>
      <c r="BC114" s="56"/>
      <c r="BD114" s="62"/>
      <c r="BF114">
        <f t="shared" si="32"/>
        <v>0</v>
      </c>
      <c r="BG114">
        <f t="shared" si="33"/>
        <v>0</v>
      </c>
      <c r="BH114">
        <f t="shared" si="34"/>
        <v>0</v>
      </c>
      <c r="BI114">
        <f t="shared" si="35"/>
        <v>0</v>
      </c>
      <c r="BJ114">
        <f t="shared" si="36"/>
        <v>0</v>
      </c>
      <c r="BK114">
        <f t="shared" si="37"/>
        <v>0</v>
      </c>
      <c r="BL114">
        <f t="shared" si="38"/>
        <v>0</v>
      </c>
      <c r="BM114">
        <f t="shared" si="39"/>
        <v>0</v>
      </c>
      <c r="BN114">
        <f t="shared" si="40"/>
        <v>0</v>
      </c>
    </row>
    <row r="115" spans="1:66" outlineLevel="1" x14ac:dyDescent="0.15">
      <c r="A115" s="5"/>
      <c r="B115" s="5" t="s">
        <v>114</v>
      </c>
      <c r="C115" s="6" t="s">
        <v>256</v>
      </c>
      <c r="D115" s="5">
        <v>4001754</v>
      </c>
      <c r="E115" s="7">
        <v>12</v>
      </c>
      <c r="F115" s="6">
        <v>1</v>
      </c>
      <c r="G115" s="6"/>
      <c r="I115" s="17" t="str">
        <f t="shared" si="21"/>
        <v>·</v>
      </c>
      <c r="J115" s="18" t="str">
        <f t="shared" si="22"/>
        <v>·</v>
      </c>
      <c r="K115" s="18" t="str">
        <f t="shared" si="23"/>
        <v>·</v>
      </c>
      <c r="L115" s="18" t="str">
        <f t="shared" si="24"/>
        <v>·</v>
      </c>
      <c r="M115" s="19"/>
      <c r="N115" s="18" t="str">
        <f t="shared" si="25"/>
        <v>·</v>
      </c>
      <c r="O115" s="20"/>
      <c r="P115" s="21"/>
      <c r="Q115" s="21"/>
      <c r="R115" s="21"/>
      <c r="S115" s="37"/>
      <c r="T115" s="38"/>
      <c r="U115" s="38"/>
      <c r="V115" s="38"/>
      <c r="W115" s="39"/>
      <c r="X115" s="49"/>
      <c r="Y115" s="49"/>
      <c r="AA115" s="17" t="str">
        <f t="shared" si="26"/>
        <v>·</v>
      </c>
      <c r="AB115" s="18" t="str">
        <f t="shared" si="27"/>
        <v>·</v>
      </c>
      <c r="AC115" s="18" t="str">
        <f t="shared" si="28"/>
        <v>·</v>
      </c>
      <c r="AD115" s="18" t="str">
        <f t="shared" si="29"/>
        <v>·</v>
      </c>
      <c r="AE115" s="19"/>
      <c r="AF115" s="18" t="str">
        <f t="shared" si="30"/>
        <v>·</v>
      </c>
      <c r="AG115" s="20"/>
      <c r="AH115" s="21"/>
      <c r="AI115" s="21"/>
      <c r="AJ115" s="21"/>
      <c r="AK115" s="37"/>
      <c r="AL115" s="38"/>
      <c r="AM115" s="38"/>
      <c r="AN115" s="38"/>
      <c r="AO115" s="39"/>
      <c r="AP115" s="49"/>
      <c r="AQ115" s="49"/>
      <c r="AS115" s="53" t="e">
        <f t="shared" si="31"/>
        <v>#DIV/0!</v>
      </c>
      <c r="AT115" s="53"/>
      <c r="AV115" s="54"/>
      <c r="AW115" s="54"/>
      <c r="AX115" s="54"/>
      <c r="AY115" s="61"/>
      <c r="BA115" s="54"/>
      <c r="BB115" s="54"/>
      <c r="BC115" s="54"/>
      <c r="BD115" s="61"/>
      <c r="BF115">
        <f t="shared" si="32"/>
        <v>0</v>
      </c>
      <c r="BG115">
        <f t="shared" si="33"/>
        <v>0</v>
      </c>
      <c r="BH115">
        <f t="shared" si="34"/>
        <v>0</v>
      </c>
      <c r="BI115">
        <f t="shared" si="35"/>
        <v>0</v>
      </c>
      <c r="BJ115">
        <f t="shared" si="36"/>
        <v>0</v>
      </c>
      <c r="BK115">
        <f t="shared" si="37"/>
        <v>0</v>
      </c>
      <c r="BL115">
        <f t="shared" si="38"/>
        <v>0</v>
      </c>
      <c r="BM115">
        <f t="shared" si="39"/>
        <v>0</v>
      </c>
      <c r="BN115">
        <f t="shared" si="40"/>
        <v>0</v>
      </c>
    </row>
    <row r="116" spans="1:66" outlineLevel="1" x14ac:dyDescent="0.15">
      <c r="A116" s="8"/>
      <c r="B116" s="8" t="s">
        <v>114</v>
      </c>
      <c r="C116" s="9" t="s">
        <v>257</v>
      </c>
      <c r="D116" s="8">
        <v>4001754</v>
      </c>
      <c r="E116" s="10">
        <v>12</v>
      </c>
      <c r="F116" s="9">
        <v>1</v>
      </c>
      <c r="G116" s="9"/>
      <c r="I116" s="22" t="str">
        <f t="shared" si="21"/>
        <v>·</v>
      </c>
      <c r="J116" s="23" t="str">
        <f t="shared" si="22"/>
        <v>·</v>
      </c>
      <c r="K116" s="23" t="str">
        <f t="shared" si="23"/>
        <v>·</v>
      </c>
      <c r="L116" s="23" t="str">
        <f t="shared" si="24"/>
        <v>·</v>
      </c>
      <c r="M116" s="24"/>
      <c r="N116" s="23" t="str">
        <f t="shared" si="25"/>
        <v>·</v>
      </c>
      <c r="O116" s="25"/>
      <c r="P116" s="26"/>
      <c r="Q116" s="26"/>
      <c r="R116" s="26"/>
      <c r="S116" s="40"/>
      <c r="T116" s="41"/>
      <c r="U116" s="41"/>
      <c r="V116" s="41"/>
      <c r="W116" s="42"/>
      <c r="X116" s="50"/>
      <c r="Y116" s="50"/>
      <c r="AA116" s="22" t="str">
        <f t="shared" si="26"/>
        <v>·</v>
      </c>
      <c r="AB116" s="23" t="str">
        <f t="shared" si="27"/>
        <v>·</v>
      </c>
      <c r="AC116" s="23" t="str">
        <f t="shared" si="28"/>
        <v>·</v>
      </c>
      <c r="AD116" s="23" t="str">
        <f t="shared" si="29"/>
        <v>·</v>
      </c>
      <c r="AE116" s="24"/>
      <c r="AF116" s="23" t="str">
        <f t="shared" si="30"/>
        <v>·</v>
      </c>
      <c r="AG116" s="25"/>
      <c r="AH116" s="26"/>
      <c r="AI116" s="26"/>
      <c r="AJ116" s="26"/>
      <c r="AK116" s="40"/>
      <c r="AL116" s="41"/>
      <c r="AM116" s="41"/>
      <c r="AN116" s="41"/>
      <c r="AO116" s="42"/>
      <c r="AP116" s="50"/>
      <c r="AQ116" s="50"/>
      <c r="AS116" s="55" t="e">
        <f t="shared" si="31"/>
        <v>#DIV/0!</v>
      </c>
      <c r="AT116" s="55"/>
      <c r="AV116" s="56"/>
      <c r="AW116" s="56"/>
      <c r="AX116" s="56"/>
      <c r="AY116" s="62"/>
      <c r="BA116" s="56"/>
      <c r="BB116" s="56"/>
      <c r="BC116" s="56"/>
      <c r="BD116" s="62"/>
      <c r="BF116">
        <f t="shared" si="32"/>
        <v>0</v>
      </c>
      <c r="BG116">
        <f t="shared" si="33"/>
        <v>0</v>
      </c>
      <c r="BH116">
        <f t="shared" si="34"/>
        <v>0</v>
      </c>
      <c r="BI116">
        <f t="shared" si="35"/>
        <v>0</v>
      </c>
      <c r="BJ116">
        <f t="shared" si="36"/>
        <v>0</v>
      </c>
      <c r="BK116">
        <f t="shared" si="37"/>
        <v>0</v>
      </c>
      <c r="BL116">
        <f t="shared" si="38"/>
        <v>0</v>
      </c>
      <c r="BM116">
        <f t="shared" si="39"/>
        <v>0</v>
      </c>
      <c r="BN116">
        <f t="shared" si="40"/>
        <v>0</v>
      </c>
    </row>
    <row r="117" spans="1:66" outlineLevel="1" x14ac:dyDescent="0.15">
      <c r="A117" s="5"/>
      <c r="B117" s="5" t="s">
        <v>114</v>
      </c>
      <c r="C117" s="6" t="s">
        <v>258</v>
      </c>
      <c r="D117" s="5">
        <v>4001754</v>
      </c>
      <c r="E117" s="7">
        <v>12</v>
      </c>
      <c r="F117" s="6">
        <v>1</v>
      </c>
      <c r="G117" s="6"/>
      <c r="I117" s="17" t="str">
        <f t="shared" si="21"/>
        <v>·</v>
      </c>
      <c r="J117" s="18" t="str">
        <f t="shared" si="22"/>
        <v>·</v>
      </c>
      <c r="K117" s="18" t="str">
        <f t="shared" si="23"/>
        <v>·</v>
      </c>
      <c r="L117" s="18" t="str">
        <f t="shared" si="24"/>
        <v>·</v>
      </c>
      <c r="M117" s="19"/>
      <c r="N117" s="18" t="str">
        <f t="shared" si="25"/>
        <v>·</v>
      </c>
      <c r="O117" s="20"/>
      <c r="P117" s="21"/>
      <c r="Q117" s="21"/>
      <c r="R117" s="21"/>
      <c r="S117" s="37"/>
      <c r="T117" s="38"/>
      <c r="U117" s="38"/>
      <c r="V117" s="38"/>
      <c r="W117" s="39"/>
      <c r="X117" s="49"/>
      <c r="Y117" s="49"/>
      <c r="AA117" s="17" t="str">
        <f t="shared" si="26"/>
        <v>·</v>
      </c>
      <c r="AB117" s="18" t="str">
        <f t="shared" si="27"/>
        <v>·</v>
      </c>
      <c r="AC117" s="18" t="str">
        <f t="shared" si="28"/>
        <v>·</v>
      </c>
      <c r="AD117" s="18" t="str">
        <f t="shared" si="29"/>
        <v>·</v>
      </c>
      <c r="AE117" s="19"/>
      <c r="AF117" s="18" t="str">
        <f t="shared" si="30"/>
        <v>·</v>
      </c>
      <c r="AG117" s="20"/>
      <c r="AH117" s="21"/>
      <c r="AI117" s="21"/>
      <c r="AJ117" s="21"/>
      <c r="AK117" s="37"/>
      <c r="AL117" s="38"/>
      <c r="AM117" s="38"/>
      <c r="AN117" s="38"/>
      <c r="AO117" s="39"/>
      <c r="AP117" s="49"/>
      <c r="AQ117" s="49"/>
      <c r="AS117" s="53" t="e">
        <f t="shared" si="31"/>
        <v>#DIV/0!</v>
      </c>
      <c r="AT117" s="53"/>
      <c r="AV117" s="54"/>
      <c r="AW117" s="54"/>
      <c r="AX117" s="54"/>
      <c r="AY117" s="61"/>
      <c r="BA117" s="54"/>
      <c r="BB117" s="54"/>
      <c r="BC117" s="54"/>
      <c r="BD117" s="61"/>
      <c r="BF117">
        <f t="shared" si="32"/>
        <v>0</v>
      </c>
      <c r="BG117">
        <f t="shared" si="33"/>
        <v>0</v>
      </c>
      <c r="BH117">
        <f t="shared" si="34"/>
        <v>0</v>
      </c>
      <c r="BI117">
        <f t="shared" si="35"/>
        <v>0</v>
      </c>
      <c r="BJ117">
        <f t="shared" si="36"/>
        <v>0</v>
      </c>
      <c r="BK117">
        <f t="shared" si="37"/>
        <v>0</v>
      </c>
      <c r="BL117">
        <f t="shared" si="38"/>
        <v>0</v>
      </c>
      <c r="BM117">
        <f t="shared" si="39"/>
        <v>0</v>
      </c>
      <c r="BN117">
        <f t="shared" si="40"/>
        <v>0</v>
      </c>
    </row>
    <row r="118" spans="1:66" outlineLevel="1" x14ac:dyDescent="0.15">
      <c r="A118" s="8"/>
      <c r="B118" s="14" t="s">
        <v>114</v>
      </c>
      <c r="C118" s="15" t="s">
        <v>259</v>
      </c>
      <c r="D118" s="14">
        <v>4001754</v>
      </c>
      <c r="E118" s="16">
        <v>12</v>
      </c>
      <c r="F118" s="15">
        <v>1</v>
      </c>
      <c r="G118" s="15"/>
      <c r="I118" s="32" t="str">
        <f t="shared" si="21"/>
        <v>·</v>
      </c>
      <c r="J118" s="33" t="str">
        <f t="shared" si="22"/>
        <v>·</v>
      </c>
      <c r="K118" s="33" t="str">
        <f t="shared" si="23"/>
        <v>·</v>
      </c>
      <c r="L118" s="33" t="str">
        <f t="shared" si="24"/>
        <v>·</v>
      </c>
      <c r="M118" s="34"/>
      <c r="N118" s="33" t="str">
        <f t="shared" si="25"/>
        <v>·</v>
      </c>
      <c r="O118" s="35"/>
      <c r="P118" s="36"/>
      <c r="Q118" s="36"/>
      <c r="R118" s="36"/>
      <c r="S118" s="46"/>
      <c r="T118" s="47"/>
      <c r="U118" s="47"/>
      <c r="V118" s="47"/>
      <c r="W118" s="48"/>
      <c r="X118" s="52"/>
      <c r="Y118" s="52"/>
      <c r="AA118" s="32" t="str">
        <f t="shared" si="26"/>
        <v>·</v>
      </c>
      <c r="AB118" s="33" t="str">
        <f t="shared" si="27"/>
        <v>·</v>
      </c>
      <c r="AC118" s="33" t="str">
        <f t="shared" si="28"/>
        <v>·</v>
      </c>
      <c r="AD118" s="33" t="str">
        <f t="shared" si="29"/>
        <v>·</v>
      </c>
      <c r="AE118" s="34"/>
      <c r="AF118" s="33" t="str">
        <f t="shared" si="30"/>
        <v>·</v>
      </c>
      <c r="AG118" s="35"/>
      <c r="AH118" s="36"/>
      <c r="AI118" s="36"/>
      <c r="AJ118" s="36"/>
      <c r="AK118" s="46"/>
      <c r="AL118" s="47"/>
      <c r="AM118" s="47"/>
      <c r="AN118" s="47"/>
      <c r="AO118" s="48"/>
      <c r="AP118" s="52"/>
      <c r="AQ118" s="52"/>
      <c r="AS118" s="59" t="e">
        <f t="shared" si="31"/>
        <v>#DIV/0!</v>
      </c>
      <c r="AT118" s="59"/>
      <c r="AV118" s="60"/>
      <c r="AW118" s="60"/>
      <c r="AX118" s="60"/>
      <c r="AY118" s="64"/>
      <c r="BA118" s="60"/>
      <c r="BB118" s="60"/>
      <c r="BC118" s="60"/>
      <c r="BD118" s="64"/>
      <c r="BF118">
        <f t="shared" si="32"/>
        <v>0</v>
      </c>
      <c r="BG118">
        <f t="shared" si="33"/>
        <v>0</v>
      </c>
      <c r="BH118">
        <f t="shared" si="34"/>
        <v>0</v>
      </c>
      <c r="BI118">
        <f t="shared" si="35"/>
        <v>0</v>
      </c>
      <c r="BJ118">
        <f t="shared" si="36"/>
        <v>0</v>
      </c>
      <c r="BK118">
        <f t="shared" si="37"/>
        <v>0</v>
      </c>
      <c r="BL118">
        <f t="shared" si="38"/>
        <v>0</v>
      </c>
      <c r="BM118">
        <f t="shared" si="39"/>
        <v>0</v>
      </c>
      <c r="BN118">
        <f t="shared" si="40"/>
        <v>0</v>
      </c>
    </row>
    <row r="119" spans="1:66" x14ac:dyDescent="0.15">
      <c r="A119" s="5"/>
      <c r="B119" s="5" t="s">
        <v>116</v>
      </c>
      <c r="C119" s="6" t="s">
        <v>254</v>
      </c>
      <c r="D119" s="5">
        <v>1089091</v>
      </c>
      <c r="E119" s="7">
        <v>10</v>
      </c>
      <c r="F119" s="6">
        <v>1</v>
      </c>
      <c r="G119" s="6"/>
      <c r="I119" s="17" t="str">
        <f t="shared" si="21"/>
        <v>·</v>
      </c>
      <c r="J119" s="18" t="str">
        <f t="shared" si="22"/>
        <v>·</v>
      </c>
      <c r="K119" s="18" t="str">
        <f t="shared" si="23"/>
        <v>·</v>
      </c>
      <c r="L119" s="18" t="str">
        <f t="shared" si="24"/>
        <v>·</v>
      </c>
      <c r="M119" s="19"/>
      <c r="N119" s="18" t="str">
        <f t="shared" si="25"/>
        <v>·</v>
      </c>
      <c r="O119" s="20"/>
      <c r="P119" s="21"/>
      <c r="Q119" s="21"/>
      <c r="R119" s="21"/>
      <c r="S119" s="37"/>
      <c r="T119" s="38"/>
      <c r="U119" s="38"/>
      <c r="V119" s="38"/>
      <c r="W119" s="39"/>
      <c r="X119" s="49"/>
      <c r="Y119" s="49"/>
      <c r="AA119" s="17" t="str">
        <f t="shared" si="26"/>
        <v>·</v>
      </c>
      <c r="AB119" s="18" t="str">
        <f t="shared" si="27"/>
        <v>·</v>
      </c>
      <c r="AC119" s="18" t="str">
        <f t="shared" si="28"/>
        <v>·</v>
      </c>
      <c r="AD119" s="18" t="str">
        <f t="shared" si="29"/>
        <v>·</v>
      </c>
      <c r="AE119" s="19"/>
      <c r="AF119" s="18" t="str">
        <f t="shared" si="30"/>
        <v>·</v>
      </c>
      <c r="AG119" s="20"/>
      <c r="AH119" s="21"/>
      <c r="AI119" s="21"/>
      <c r="AJ119" s="21"/>
      <c r="AK119" s="37"/>
      <c r="AL119" s="38"/>
      <c r="AM119" s="38"/>
      <c r="AN119" s="38"/>
      <c r="AO119" s="39"/>
      <c r="AP119" s="49"/>
      <c r="AQ119" s="49"/>
      <c r="AS119" s="53" t="e">
        <f t="shared" si="31"/>
        <v>#DIV/0!</v>
      </c>
      <c r="AT119" s="53" t="e">
        <f t="array" ref="AT119">AVERAGE(AI119:AI124/AH119:AH124)-AVERAGE(Q119:Q124/P119:P124)</f>
        <v>#DIV/0!</v>
      </c>
      <c r="AV119" s="54" t="str">
        <f>IF(OR(ISBLANK(R119:R124),ISBLANK(AJ119:AJ124),ISBLANK(T119:T124),ISBLANK(AL119:AL124)),"·",bdRateExtend(R119:R124,T119:T124,AJ119:AJ124,AL119:AL124))</f>
        <v>·</v>
      </c>
      <c r="AW119" s="54" t="str">
        <f>IF(OR(ISBLANK(R119:R124),ISBLANK(AJ119:AJ124),ISBLANK(U119:U124),ISBLANK(AM119:AM124)),"·",bdRateExtend(R119:R124,U119:U124,AJ119:AJ124,AM119:AM124))</f>
        <v>·</v>
      </c>
      <c r="AX119" s="54" t="str">
        <f>IF(OR(ISBLANK(R119:R124),ISBLANK(AJ119:AJ124),ISBLANK(V119:V124),ISBLANK(AN119:AN124)),"·",bdRateExtend(R119:R124,V119:V124,AJ119:AJ124,AN119:AN124))</f>
        <v>·</v>
      </c>
      <c r="AY119" s="61"/>
      <c r="BA119" s="54" t="str">
        <f>IF(OR(ISBLANK(P119:P124),ISBLANK(AH119:AH124),ISBLANK(T119:T124),ISBLANK(AL119:AL124)),"·",bdRateExtend(P119:P124,T119:T124,AH119:AH124,AL119:AL124))</f>
        <v>·</v>
      </c>
      <c r="BB119" s="54" t="str">
        <f>IF(OR(ISBLANK(P119:P124),ISBLANK(AH119:AH124),ISBLANK(U119:U124),ISBLANK(AM119:AM124)),"·",bdRateExtend(P119:P124,U119:U124,AH119:AH124,AM119:AM124))</f>
        <v>·</v>
      </c>
      <c r="BC119" s="54" t="str">
        <f>IF(OR(ISBLANK(P119:P124),ISBLANK(AH119:AH124),ISBLANK(V119:V124),ISBLANK(AN119:AN124)),"·",bdRateExtend(P119:P124,V119:V124,AH119:AH124,AN119:AN124))</f>
        <v>·</v>
      </c>
      <c r="BD119" s="61"/>
      <c r="BF119">
        <f t="shared" si="32"/>
        <v>0</v>
      </c>
      <c r="BG119">
        <f t="shared" si="33"/>
        <v>0</v>
      </c>
      <c r="BH119">
        <f t="shared" si="34"/>
        <v>0</v>
      </c>
      <c r="BI119">
        <f t="shared" si="35"/>
        <v>0</v>
      </c>
      <c r="BJ119">
        <f t="shared" si="36"/>
        <v>0</v>
      </c>
      <c r="BK119">
        <f t="shared" si="37"/>
        <v>0</v>
      </c>
      <c r="BL119">
        <f t="shared" si="38"/>
        <v>0</v>
      </c>
      <c r="BM119">
        <f t="shared" si="39"/>
        <v>0</v>
      </c>
      <c r="BN119">
        <f t="shared" si="40"/>
        <v>0</v>
      </c>
    </row>
    <row r="120" spans="1:66" outlineLevel="1" x14ac:dyDescent="0.15">
      <c r="A120" s="8"/>
      <c r="B120" s="8" t="s">
        <v>116</v>
      </c>
      <c r="C120" s="9" t="s">
        <v>255</v>
      </c>
      <c r="D120" s="8">
        <v>1089091</v>
      </c>
      <c r="E120" s="10">
        <v>10</v>
      </c>
      <c r="F120" s="9">
        <v>1</v>
      </c>
      <c r="G120" s="9"/>
      <c r="I120" s="22" t="str">
        <f t="shared" si="21"/>
        <v>·</v>
      </c>
      <c r="J120" s="23" t="str">
        <f t="shared" si="22"/>
        <v>·</v>
      </c>
      <c r="K120" s="23" t="str">
        <f t="shared" si="23"/>
        <v>·</v>
      </c>
      <c r="L120" s="23" t="str">
        <f t="shared" si="24"/>
        <v>·</v>
      </c>
      <c r="M120" s="24"/>
      <c r="N120" s="23" t="str">
        <f t="shared" si="25"/>
        <v>·</v>
      </c>
      <c r="O120" s="25"/>
      <c r="P120" s="26"/>
      <c r="Q120" s="26"/>
      <c r="R120" s="26"/>
      <c r="S120" s="40"/>
      <c r="T120" s="41"/>
      <c r="U120" s="41"/>
      <c r="V120" s="41"/>
      <c r="W120" s="42"/>
      <c r="X120" s="50"/>
      <c r="Y120" s="50"/>
      <c r="AA120" s="22" t="str">
        <f t="shared" si="26"/>
        <v>·</v>
      </c>
      <c r="AB120" s="23" t="str">
        <f t="shared" si="27"/>
        <v>·</v>
      </c>
      <c r="AC120" s="23" t="str">
        <f t="shared" si="28"/>
        <v>·</v>
      </c>
      <c r="AD120" s="23" t="str">
        <f t="shared" si="29"/>
        <v>·</v>
      </c>
      <c r="AE120" s="24"/>
      <c r="AF120" s="23" t="str">
        <f t="shared" si="30"/>
        <v>·</v>
      </c>
      <c r="AG120" s="25"/>
      <c r="AH120" s="26"/>
      <c r="AI120" s="26"/>
      <c r="AJ120" s="26"/>
      <c r="AK120" s="40"/>
      <c r="AL120" s="41"/>
      <c r="AM120" s="41"/>
      <c r="AN120" s="41"/>
      <c r="AO120" s="42"/>
      <c r="AP120" s="50"/>
      <c r="AQ120" s="50"/>
      <c r="AS120" s="55" t="e">
        <f t="shared" si="31"/>
        <v>#DIV/0!</v>
      </c>
      <c r="AT120" s="55"/>
      <c r="AV120" s="56"/>
      <c r="AW120" s="56"/>
      <c r="AX120" s="56"/>
      <c r="AY120" s="62"/>
      <c r="BA120" s="56"/>
      <c r="BB120" s="56"/>
      <c r="BC120" s="56"/>
      <c r="BD120" s="62"/>
      <c r="BF120">
        <f t="shared" si="32"/>
        <v>0</v>
      </c>
      <c r="BG120">
        <f t="shared" si="33"/>
        <v>0</v>
      </c>
      <c r="BH120">
        <f t="shared" si="34"/>
        <v>0</v>
      </c>
      <c r="BI120">
        <f t="shared" si="35"/>
        <v>0</v>
      </c>
      <c r="BJ120">
        <f t="shared" si="36"/>
        <v>0</v>
      </c>
      <c r="BK120">
        <f t="shared" si="37"/>
        <v>0</v>
      </c>
      <c r="BL120">
        <f t="shared" si="38"/>
        <v>0</v>
      </c>
      <c r="BM120">
        <f t="shared" si="39"/>
        <v>0</v>
      </c>
      <c r="BN120">
        <f t="shared" si="40"/>
        <v>0</v>
      </c>
    </row>
    <row r="121" spans="1:66" outlineLevel="1" x14ac:dyDescent="0.15">
      <c r="A121" s="5"/>
      <c r="B121" s="5" t="s">
        <v>116</v>
      </c>
      <c r="C121" s="6" t="s">
        <v>256</v>
      </c>
      <c r="D121" s="5">
        <v>1089091</v>
      </c>
      <c r="E121" s="7">
        <v>10</v>
      </c>
      <c r="F121" s="6">
        <v>1</v>
      </c>
      <c r="G121" s="6"/>
      <c r="I121" s="17" t="str">
        <f t="shared" si="21"/>
        <v>·</v>
      </c>
      <c r="J121" s="18" t="str">
        <f t="shared" si="22"/>
        <v>·</v>
      </c>
      <c r="K121" s="18" t="str">
        <f t="shared" si="23"/>
        <v>·</v>
      </c>
      <c r="L121" s="18" t="str">
        <f t="shared" si="24"/>
        <v>·</v>
      </c>
      <c r="M121" s="19"/>
      <c r="N121" s="18" t="str">
        <f t="shared" si="25"/>
        <v>·</v>
      </c>
      <c r="O121" s="20"/>
      <c r="P121" s="21"/>
      <c r="Q121" s="21"/>
      <c r="R121" s="21"/>
      <c r="S121" s="37"/>
      <c r="T121" s="38"/>
      <c r="U121" s="38"/>
      <c r="V121" s="38"/>
      <c r="W121" s="39"/>
      <c r="X121" s="49"/>
      <c r="Y121" s="49"/>
      <c r="AA121" s="17" t="str">
        <f t="shared" si="26"/>
        <v>·</v>
      </c>
      <c r="AB121" s="18" t="str">
        <f t="shared" si="27"/>
        <v>·</v>
      </c>
      <c r="AC121" s="18" t="str">
        <f t="shared" si="28"/>
        <v>·</v>
      </c>
      <c r="AD121" s="18" t="str">
        <f t="shared" si="29"/>
        <v>·</v>
      </c>
      <c r="AE121" s="19"/>
      <c r="AF121" s="18" t="str">
        <f t="shared" si="30"/>
        <v>·</v>
      </c>
      <c r="AG121" s="20"/>
      <c r="AH121" s="21"/>
      <c r="AI121" s="21"/>
      <c r="AJ121" s="21"/>
      <c r="AK121" s="37"/>
      <c r="AL121" s="38"/>
      <c r="AM121" s="38"/>
      <c r="AN121" s="38"/>
      <c r="AO121" s="39"/>
      <c r="AP121" s="49"/>
      <c r="AQ121" s="49"/>
      <c r="AS121" s="53" t="e">
        <f t="shared" si="31"/>
        <v>#DIV/0!</v>
      </c>
      <c r="AT121" s="53"/>
      <c r="AV121" s="54"/>
      <c r="AW121" s="54"/>
      <c r="AX121" s="54"/>
      <c r="AY121" s="61"/>
      <c r="BA121" s="54"/>
      <c r="BB121" s="54"/>
      <c r="BC121" s="54"/>
      <c r="BD121" s="61"/>
      <c r="BF121">
        <f t="shared" si="32"/>
        <v>0</v>
      </c>
      <c r="BG121">
        <f t="shared" si="33"/>
        <v>0</v>
      </c>
      <c r="BH121">
        <f t="shared" si="34"/>
        <v>0</v>
      </c>
      <c r="BI121">
        <f t="shared" si="35"/>
        <v>0</v>
      </c>
      <c r="BJ121">
        <f t="shared" si="36"/>
        <v>0</v>
      </c>
      <c r="BK121">
        <f t="shared" si="37"/>
        <v>0</v>
      </c>
      <c r="BL121">
        <f t="shared" si="38"/>
        <v>0</v>
      </c>
      <c r="BM121">
        <f t="shared" si="39"/>
        <v>0</v>
      </c>
      <c r="BN121">
        <f t="shared" si="40"/>
        <v>0</v>
      </c>
    </row>
    <row r="122" spans="1:66" outlineLevel="1" x14ac:dyDescent="0.15">
      <c r="A122" s="8"/>
      <c r="B122" s="8" t="s">
        <v>116</v>
      </c>
      <c r="C122" s="9" t="s">
        <v>257</v>
      </c>
      <c r="D122" s="8">
        <v>1089091</v>
      </c>
      <c r="E122" s="10">
        <v>10</v>
      </c>
      <c r="F122" s="9">
        <v>1</v>
      </c>
      <c r="G122" s="9"/>
      <c r="I122" s="22" t="str">
        <f t="shared" si="21"/>
        <v>·</v>
      </c>
      <c r="J122" s="23" t="str">
        <f t="shared" si="22"/>
        <v>·</v>
      </c>
      <c r="K122" s="23" t="str">
        <f t="shared" si="23"/>
        <v>·</v>
      </c>
      <c r="L122" s="23" t="str">
        <f t="shared" si="24"/>
        <v>·</v>
      </c>
      <c r="M122" s="24"/>
      <c r="N122" s="23" t="str">
        <f t="shared" si="25"/>
        <v>·</v>
      </c>
      <c r="O122" s="25"/>
      <c r="P122" s="26"/>
      <c r="Q122" s="26"/>
      <c r="R122" s="26"/>
      <c r="S122" s="40"/>
      <c r="T122" s="41"/>
      <c r="U122" s="41"/>
      <c r="V122" s="41"/>
      <c r="W122" s="42"/>
      <c r="X122" s="50"/>
      <c r="Y122" s="50"/>
      <c r="AA122" s="22" t="str">
        <f t="shared" si="26"/>
        <v>·</v>
      </c>
      <c r="AB122" s="23" t="str">
        <f t="shared" si="27"/>
        <v>·</v>
      </c>
      <c r="AC122" s="23" t="str">
        <f t="shared" si="28"/>
        <v>·</v>
      </c>
      <c r="AD122" s="23" t="str">
        <f t="shared" si="29"/>
        <v>·</v>
      </c>
      <c r="AE122" s="24"/>
      <c r="AF122" s="23" t="str">
        <f t="shared" si="30"/>
        <v>·</v>
      </c>
      <c r="AG122" s="25"/>
      <c r="AH122" s="26"/>
      <c r="AI122" s="26"/>
      <c r="AJ122" s="26"/>
      <c r="AK122" s="40"/>
      <c r="AL122" s="41"/>
      <c r="AM122" s="41"/>
      <c r="AN122" s="41"/>
      <c r="AO122" s="42"/>
      <c r="AP122" s="50"/>
      <c r="AQ122" s="50"/>
      <c r="AS122" s="55" t="e">
        <f t="shared" si="31"/>
        <v>#DIV/0!</v>
      </c>
      <c r="AT122" s="55"/>
      <c r="AV122" s="56"/>
      <c r="AW122" s="56"/>
      <c r="AX122" s="56"/>
      <c r="AY122" s="62"/>
      <c r="BA122" s="56"/>
      <c r="BB122" s="56"/>
      <c r="BC122" s="56"/>
      <c r="BD122" s="62"/>
      <c r="BF122">
        <f t="shared" si="32"/>
        <v>0</v>
      </c>
      <c r="BG122">
        <f t="shared" si="33"/>
        <v>0</v>
      </c>
      <c r="BH122">
        <f t="shared" si="34"/>
        <v>0</v>
      </c>
      <c r="BI122">
        <f t="shared" si="35"/>
        <v>0</v>
      </c>
      <c r="BJ122">
        <f t="shared" si="36"/>
        <v>0</v>
      </c>
      <c r="BK122">
        <f t="shared" si="37"/>
        <v>0</v>
      </c>
      <c r="BL122">
        <f t="shared" si="38"/>
        <v>0</v>
      </c>
      <c r="BM122">
        <f t="shared" si="39"/>
        <v>0</v>
      </c>
      <c r="BN122">
        <f t="shared" si="40"/>
        <v>0</v>
      </c>
    </row>
    <row r="123" spans="1:66" outlineLevel="1" x14ac:dyDescent="0.15">
      <c r="A123" s="5"/>
      <c r="B123" s="5" t="s">
        <v>116</v>
      </c>
      <c r="C123" s="6" t="s">
        <v>258</v>
      </c>
      <c r="D123" s="5">
        <v>1089091</v>
      </c>
      <c r="E123" s="7">
        <v>10</v>
      </c>
      <c r="F123" s="6">
        <v>1</v>
      </c>
      <c r="G123" s="6"/>
      <c r="I123" s="17" t="str">
        <f t="shared" si="21"/>
        <v>·</v>
      </c>
      <c r="J123" s="18" t="str">
        <f t="shared" si="22"/>
        <v>·</v>
      </c>
      <c r="K123" s="18" t="str">
        <f t="shared" si="23"/>
        <v>·</v>
      </c>
      <c r="L123" s="18" t="str">
        <f t="shared" si="24"/>
        <v>·</v>
      </c>
      <c r="M123" s="19"/>
      <c r="N123" s="18" t="str">
        <f t="shared" si="25"/>
        <v>·</v>
      </c>
      <c r="O123" s="20"/>
      <c r="P123" s="21"/>
      <c r="Q123" s="21"/>
      <c r="R123" s="21"/>
      <c r="S123" s="37"/>
      <c r="T123" s="38"/>
      <c r="U123" s="38"/>
      <c r="V123" s="38"/>
      <c r="W123" s="39"/>
      <c r="X123" s="49"/>
      <c r="Y123" s="49"/>
      <c r="AA123" s="17" t="str">
        <f t="shared" si="26"/>
        <v>·</v>
      </c>
      <c r="AB123" s="18" t="str">
        <f t="shared" si="27"/>
        <v>·</v>
      </c>
      <c r="AC123" s="18" t="str">
        <f t="shared" si="28"/>
        <v>·</v>
      </c>
      <c r="AD123" s="18" t="str">
        <f t="shared" si="29"/>
        <v>·</v>
      </c>
      <c r="AE123" s="19"/>
      <c r="AF123" s="18" t="str">
        <f t="shared" si="30"/>
        <v>·</v>
      </c>
      <c r="AG123" s="20"/>
      <c r="AH123" s="21"/>
      <c r="AI123" s="21"/>
      <c r="AJ123" s="21"/>
      <c r="AK123" s="37"/>
      <c r="AL123" s="38"/>
      <c r="AM123" s="38"/>
      <c r="AN123" s="38"/>
      <c r="AO123" s="39"/>
      <c r="AP123" s="49"/>
      <c r="AQ123" s="49"/>
      <c r="AS123" s="53" t="e">
        <f t="shared" si="31"/>
        <v>#DIV/0!</v>
      </c>
      <c r="AT123" s="53"/>
      <c r="AV123" s="54"/>
      <c r="AW123" s="54"/>
      <c r="AX123" s="54"/>
      <c r="AY123" s="61"/>
      <c r="BA123" s="54"/>
      <c r="BB123" s="54"/>
      <c r="BC123" s="54"/>
      <c r="BD123" s="61"/>
      <c r="BF123">
        <f t="shared" si="32"/>
        <v>0</v>
      </c>
      <c r="BG123">
        <f t="shared" si="33"/>
        <v>0</v>
      </c>
      <c r="BH123">
        <f t="shared" si="34"/>
        <v>0</v>
      </c>
      <c r="BI123">
        <f t="shared" si="35"/>
        <v>0</v>
      </c>
      <c r="BJ123">
        <f t="shared" si="36"/>
        <v>0</v>
      </c>
      <c r="BK123">
        <f t="shared" si="37"/>
        <v>0</v>
      </c>
      <c r="BL123">
        <f t="shared" si="38"/>
        <v>0</v>
      </c>
      <c r="BM123">
        <f t="shared" si="39"/>
        <v>0</v>
      </c>
      <c r="BN123">
        <f t="shared" si="40"/>
        <v>0</v>
      </c>
    </row>
    <row r="124" spans="1:66" outlineLevel="1" x14ac:dyDescent="0.15">
      <c r="A124" s="8"/>
      <c r="B124" s="14" t="s">
        <v>116</v>
      </c>
      <c r="C124" s="15" t="s">
        <v>259</v>
      </c>
      <c r="D124" s="14">
        <v>1089091</v>
      </c>
      <c r="E124" s="16">
        <v>10</v>
      </c>
      <c r="F124" s="15">
        <v>1</v>
      </c>
      <c r="G124" s="15"/>
      <c r="I124" s="32" t="str">
        <f t="shared" si="21"/>
        <v>·</v>
      </c>
      <c r="J124" s="33" t="str">
        <f t="shared" si="22"/>
        <v>·</v>
      </c>
      <c r="K124" s="33" t="str">
        <f t="shared" si="23"/>
        <v>·</v>
      </c>
      <c r="L124" s="33" t="str">
        <f t="shared" si="24"/>
        <v>·</v>
      </c>
      <c r="M124" s="34"/>
      <c r="N124" s="33" t="str">
        <f t="shared" si="25"/>
        <v>·</v>
      </c>
      <c r="O124" s="35"/>
      <c r="P124" s="36"/>
      <c r="Q124" s="36"/>
      <c r="R124" s="36"/>
      <c r="S124" s="46"/>
      <c r="T124" s="47"/>
      <c r="U124" s="47"/>
      <c r="V124" s="47"/>
      <c r="W124" s="48"/>
      <c r="X124" s="52"/>
      <c r="Y124" s="52"/>
      <c r="AA124" s="32" t="str">
        <f t="shared" si="26"/>
        <v>·</v>
      </c>
      <c r="AB124" s="33" t="str">
        <f t="shared" si="27"/>
        <v>·</v>
      </c>
      <c r="AC124" s="33" t="str">
        <f t="shared" si="28"/>
        <v>·</v>
      </c>
      <c r="AD124" s="33" t="str">
        <f t="shared" si="29"/>
        <v>·</v>
      </c>
      <c r="AE124" s="34"/>
      <c r="AF124" s="33" t="str">
        <f t="shared" si="30"/>
        <v>·</v>
      </c>
      <c r="AG124" s="35"/>
      <c r="AH124" s="36"/>
      <c r="AI124" s="36"/>
      <c r="AJ124" s="36"/>
      <c r="AK124" s="46"/>
      <c r="AL124" s="47"/>
      <c r="AM124" s="47"/>
      <c r="AN124" s="47"/>
      <c r="AO124" s="48"/>
      <c r="AP124" s="52"/>
      <c r="AQ124" s="52"/>
      <c r="AS124" s="59" t="e">
        <f t="shared" si="31"/>
        <v>#DIV/0!</v>
      </c>
      <c r="AT124" s="59"/>
      <c r="AV124" s="60"/>
      <c r="AW124" s="60"/>
      <c r="AX124" s="60"/>
      <c r="AY124" s="64"/>
      <c r="BA124" s="60"/>
      <c r="BB124" s="60"/>
      <c r="BC124" s="60"/>
      <c r="BD124" s="64"/>
      <c r="BF124">
        <f t="shared" si="32"/>
        <v>0</v>
      </c>
      <c r="BG124">
        <f t="shared" si="33"/>
        <v>0</v>
      </c>
      <c r="BH124">
        <f t="shared" si="34"/>
        <v>0</v>
      </c>
      <c r="BI124">
        <f t="shared" si="35"/>
        <v>0</v>
      </c>
      <c r="BJ124">
        <f t="shared" si="36"/>
        <v>0</v>
      </c>
      <c r="BK124">
        <f t="shared" si="37"/>
        <v>0</v>
      </c>
      <c r="BL124">
        <f t="shared" si="38"/>
        <v>0</v>
      </c>
      <c r="BM124">
        <f t="shared" si="39"/>
        <v>0</v>
      </c>
      <c r="BN124">
        <f t="shared" si="40"/>
        <v>0</v>
      </c>
    </row>
    <row r="125" spans="1:66" x14ac:dyDescent="0.15">
      <c r="A125" s="5"/>
      <c r="B125" s="5" t="s">
        <v>119</v>
      </c>
      <c r="C125" s="6" t="s">
        <v>254</v>
      </c>
      <c r="D125" s="5">
        <v>3130215</v>
      </c>
      <c r="E125" s="7">
        <v>12</v>
      </c>
      <c r="F125" s="6">
        <v>1</v>
      </c>
      <c r="G125" s="6"/>
      <c r="I125" s="17" t="str">
        <f t="shared" si="21"/>
        <v>·</v>
      </c>
      <c r="J125" s="18" t="str">
        <f t="shared" si="22"/>
        <v>·</v>
      </c>
      <c r="K125" s="18" t="str">
        <f t="shared" si="23"/>
        <v>·</v>
      </c>
      <c r="L125" s="18" t="str">
        <f t="shared" si="24"/>
        <v>·</v>
      </c>
      <c r="M125" s="19"/>
      <c r="N125" s="18" t="str">
        <f t="shared" si="25"/>
        <v>·</v>
      </c>
      <c r="O125" s="20"/>
      <c r="P125" s="21"/>
      <c r="Q125" s="21"/>
      <c r="R125" s="21"/>
      <c r="S125" s="37"/>
      <c r="T125" s="38"/>
      <c r="U125" s="38"/>
      <c r="V125" s="38"/>
      <c r="W125" s="39"/>
      <c r="X125" s="49"/>
      <c r="Y125" s="49"/>
      <c r="AA125" s="17" t="str">
        <f t="shared" si="26"/>
        <v>·</v>
      </c>
      <c r="AB125" s="18" t="str">
        <f t="shared" si="27"/>
        <v>·</v>
      </c>
      <c r="AC125" s="18" t="str">
        <f t="shared" si="28"/>
        <v>·</v>
      </c>
      <c r="AD125" s="18" t="str">
        <f t="shared" si="29"/>
        <v>·</v>
      </c>
      <c r="AE125" s="19"/>
      <c r="AF125" s="18" t="str">
        <f t="shared" si="30"/>
        <v>·</v>
      </c>
      <c r="AG125" s="20"/>
      <c r="AH125" s="21"/>
      <c r="AI125" s="21"/>
      <c r="AJ125" s="21"/>
      <c r="AK125" s="37"/>
      <c r="AL125" s="38"/>
      <c r="AM125" s="38"/>
      <c r="AN125" s="38"/>
      <c r="AO125" s="39"/>
      <c r="AP125" s="49"/>
      <c r="AQ125" s="49"/>
      <c r="AS125" s="53" t="e">
        <f t="shared" si="31"/>
        <v>#DIV/0!</v>
      </c>
      <c r="AT125" s="53" t="e">
        <f t="array" ref="AT125">AVERAGE(AI125:AI130/AH125:AH130)-AVERAGE(Q125:Q130/P125:P130)</f>
        <v>#DIV/0!</v>
      </c>
      <c r="AV125" s="54" t="str">
        <f>IF(OR(ISBLANK(R125:R130),ISBLANK(AJ125:AJ130),ISBLANK(T125:T130),ISBLANK(AL125:AL130)),"·",bdRateExtend(R125:R130,T125:T130,AJ125:AJ130,AL125:AL130))</f>
        <v>·</v>
      </c>
      <c r="AW125" s="54" t="str">
        <f>IF(OR(ISBLANK(R125:R130),ISBLANK(AJ125:AJ130),ISBLANK(U125:U130),ISBLANK(AM125:AM130)),"·",bdRateExtend(R125:R130,U125:U130,AJ125:AJ130,AM125:AM130))</f>
        <v>·</v>
      </c>
      <c r="AX125" s="54" t="str">
        <f>IF(OR(ISBLANK(R125:R130),ISBLANK(AJ125:AJ130),ISBLANK(V125:V130),ISBLANK(AN125:AN130)),"·",bdRateExtend(R125:R130,V125:V130,AJ125:AJ130,AN125:AN130))</f>
        <v>·</v>
      </c>
      <c r="AY125" s="61"/>
      <c r="BA125" s="54" t="str">
        <f>IF(OR(ISBLANK(P125:P130),ISBLANK(AH125:AH130),ISBLANK(T125:T130),ISBLANK(AL125:AL130)),"·",bdRateExtend(P125:P130,T125:T130,AH125:AH130,AL125:AL130))</f>
        <v>·</v>
      </c>
      <c r="BB125" s="54" t="str">
        <f>IF(OR(ISBLANK(P125:P130),ISBLANK(AH125:AH130),ISBLANK(U125:U130),ISBLANK(AM125:AM130)),"·",bdRateExtend(P125:P130,U125:U130,AH125:AH130,AM125:AM130))</f>
        <v>·</v>
      </c>
      <c r="BC125" s="54" t="str">
        <f>IF(OR(ISBLANK(P125:P130),ISBLANK(AH125:AH130),ISBLANK(V125:V130),ISBLANK(AN125:AN130)),"·",bdRateExtend(P125:P130,V125:V130,AH125:AH130,AN125:AN130))</f>
        <v>·</v>
      </c>
      <c r="BD125" s="61"/>
      <c r="BF125">
        <f t="shared" si="32"/>
        <v>0</v>
      </c>
      <c r="BG125">
        <f t="shared" si="33"/>
        <v>0</v>
      </c>
      <c r="BH125">
        <f t="shared" si="34"/>
        <v>0</v>
      </c>
      <c r="BI125">
        <f t="shared" si="35"/>
        <v>0</v>
      </c>
      <c r="BJ125">
        <f t="shared" si="36"/>
        <v>0</v>
      </c>
      <c r="BK125">
        <f t="shared" si="37"/>
        <v>0</v>
      </c>
      <c r="BL125">
        <f t="shared" si="38"/>
        <v>0</v>
      </c>
      <c r="BM125">
        <f t="shared" si="39"/>
        <v>0</v>
      </c>
      <c r="BN125">
        <f t="shared" si="40"/>
        <v>0</v>
      </c>
    </row>
    <row r="126" spans="1:66" outlineLevel="1" x14ac:dyDescent="0.15">
      <c r="A126" s="8"/>
      <c r="B126" s="8" t="s">
        <v>119</v>
      </c>
      <c r="C126" s="9" t="s">
        <v>255</v>
      </c>
      <c r="D126" s="8">
        <v>3130215</v>
      </c>
      <c r="E126" s="10">
        <v>12</v>
      </c>
      <c r="F126" s="9">
        <v>1</v>
      </c>
      <c r="G126" s="9"/>
      <c r="I126" s="22" t="str">
        <f t="shared" si="21"/>
        <v>·</v>
      </c>
      <c r="J126" s="23" t="str">
        <f t="shared" si="22"/>
        <v>·</v>
      </c>
      <c r="K126" s="23" t="str">
        <f t="shared" si="23"/>
        <v>·</v>
      </c>
      <c r="L126" s="23" t="str">
        <f t="shared" si="24"/>
        <v>·</v>
      </c>
      <c r="M126" s="24"/>
      <c r="N126" s="23" t="str">
        <f t="shared" si="25"/>
        <v>·</v>
      </c>
      <c r="O126" s="25"/>
      <c r="P126" s="26"/>
      <c r="Q126" s="26"/>
      <c r="R126" s="26"/>
      <c r="S126" s="40"/>
      <c r="T126" s="41"/>
      <c r="U126" s="41"/>
      <c r="V126" s="41"/>
      <c r="W126" s="42"/>
      <c r="X126" s="50"/>
      <c r="Y126" s="50"/>
      <c r="AA126" s="22" t="str">
        <f t="shared" si="26"/>
        <v>·</v>
      </c>
      <c r="AB126" s="23" t="str">
        <f t="shared" si="27"/>
        <v>·</v>
      </c>
      <c r="AC126" s="23" t="str">
        <f t="shared" si="28"/>
        <v>·</v>
      </c>
      <c r="AD126" s="23" t="str">
        <f t="shared" si="29"/>
        <v>·</v>
      </c>
      <c r="AE126" s="24"/>
      <c r="AF126" s="23" t="str">
        <f t="shared" si="30"/>
        <v>·</v>
      </c>
      <c r="AG126" s="25"/>
      <c r="AH126" s="26"/>
      <c r="AI126" s="26"/>
      <c r="AJ126" s="26"/>
      <c r="AK126" s="40"/>
      <c r="AL126" s="41"/>
      <c r="AM126" s="41"/>
      <c r="AN126" s="41"/>
      <c r="AO126" s="42"/>
      <c r="AP126" s="50"/>
      <c r="AQ126" s="50"/>
      <c r="AS126" s="55" t="e">
        <f t="shared" si="31"/>
        <v>#DIV/0!</v>
      </c>
      <c r="AT126" s="55"/>
      <c r="AV126" s="56"/>
      <c r="AW126" s="56"/>
      <c r="AX126" s="56"/>
      <c r="AY126" s="62"/>
      <c r="BA126" s="56"/>
      <c r="BB126" s="56"/>
      <c r="BC126" s="56"/>
      <c r="BD126" s="62"/>
      <c r="BF126">
        <f t="shared" si="32"/>
        <v>0</v>
      </c>
      <c r="BG126">
        <f t="shared" si="33"/>
        <v>0</v>
      </c>
      <c r="BH126">
        <f t="shared" si="34"/>
        <v>0</v>
      </c>
      <c r="BI126">
        <f t="shared" si="35"/>
        <v>0</v>
      </c>
      <c r="BJ126">
        <f t="shared" si="36"/>
        <v>0</v>
      </c>
      <c r="BK126">
        <f t="shared" si="37"/>
        <v>0</v>
      </c>
      <c r="BL126">
        <f t="shared" si="38"/>
        <v>0</v>
      </c>
      <c r="BM126">
        <f t="shared" si="39"/>
        <v>0</v>
      </c>
      <c r="BN126">
        <f t="shared" si="40"/>
        <v>0</v>
      </c>
    </row>
    <row r="127" spans="1:66" outlineLevel="1" x14ac:dyDescent="0.15">
      <c r="A127" s="5"/>
      <c r="B127" s="5" t="s">
        <v>119</v>
      </c>
      <c r="C127" s="6" t="s">
        <v>256</v>
      </c>
      <c r="D127" s="5">
        <v>3130215</v>
      </c>
      <c r="E127" s="7">
        <v>12</v>
      </c>
      <c r="F127" s="6">
        <v>1</v>
      </c>
      <c r="G127" s="6"/>
      <c r="I127" s="17" t="str">
        <f t="shared" si="21"/>
        <v>·</v>
      </c>
      <c r="J127" s="18" t="str">
        <f t="shared" si="22"/>
        <v>·</v>
      </c>
      <c r="K127" s="18" t="str">
        <f t="shared" si="23"/>
        <v>·</v>
      </c>
      <c r="L127" s="18" t="str">
        <f t="shared" si="24"/>
        <v>·</v>
      </c>
      <c r="M127" s="19"/>
      <c r="N127" s="18" t="str">
        <f t="shared" si="25"/>
        <v>·</v>
      </c>
      <c r="O127" s="20"/>
      <c r="P127" s="21"/>
      <c r="Q127" s="21"/>
      <c r="R127" s="21"/>
      <c r="S127" s="37"/>
      <c r="T127" s="38"/>
      <c r="U127" s="38"/>
      <c r="V127" s="38"/>
      <c r="W127" s="39"/>
      <c r="X127" s="49"/>
      <c r="Y127" s="49"/>
      <c r="AA127" s="17" t="str">
        <f t="shared" si="26"/>
        <v>·</v>
      </c>
      <c r="AB127" s="18" t="str">
        <f t="shared" si="27"/>
        <v>·</v>
      </c>
      <c r="AC127" s="18" t="str">
        <f t="shared" si="28"/>
        <v>·</v>
      </c>
      <c r="AD127" s="18" t="str">
        <f t="shared" si="29"/>
        <v>·</v>
      </c>
      <c r="AE127" s="19"/>
      <c r="AF127" s="18" t="str">
        <f t="shared" si="30"/>
        <v>·</v>
      </c>
      <c r="AG127" s="20"/>
      <c r="AH127" s="21"/>
      <c r="AI127" s="21"/>
      <c r="AJ127" s="21"/>
      <c r="AK127" s="37"/>
      <c r="AL127" s="38"/>
      <c r="AM127" s="38"/>
      <c r="AN127" s="38"/>
      <c r="AO127" s="39"/>
      <c r="AP127" s="49"/>
      <c r="AQ127" s="49"/>
      <c r="AS127" s="53" t="e">
        <f t="shared" si="31"/>
        <v>#DIV/0!</v>
      </c>
      <c r="AT127" s="53"/>
      <c r="AV127" s="54"/>
      <c r="AW127" s="54"/>
      <c r="AX127" s="54"/>
      <c r="AY127" s="61"/>
      <c r="BA127" s="54"/>
      <c r="BB127" s="54"/>
      <c r="BC127" s="54"/>
      <c r="BD127" s="61"/>
      <c r="BF127">
        <f t="shared" si="32"/>
        <v>0</v>
      </c>
      <c r="BG127">
        <f t="shared" si="33"/>
        <v>0</v>
      </c>
      <c r="BH127">
        <f t="shared" si="34"/>
        <v>0</v>
      </c>
      <c r="BI127">
        <f t="shared" si="35"/>
        <v>0</v>
      </c>
      <c r="BJ127">
        <f t="shared" si="36"/>
        <v>0</v>
      </c>
      <c r="BK127">
        <f t="shared" si="37"/>
        <v>0</v>
      </c>
      <c r="BL127">
        <f t="shared" si="38"/>
        <v>0</v>
      </c>
      <c r="BM127">
        <f t="shared" si="39"/>
        <v>0</v>
      </c>
      <c r="BN127">
        <f t="shared" si="40"/>
        <v>0</v>
      </c>
    </row>
    <row r="128" spans="1:66" outlineLevel="1" x14ac:dyDescent="0.15">
      <c r="A128" s="8"/>
      <c r="B128" s="8" t="s">
        <v>119</v>
      </c>
      <c r="C128" s="9" t="s">
        <v>257</v>
      </c>
      <c r="D128" s="8">
        <v>3130215</v>
      </c>
      <c r="E128" s="10">
        <v>12</v>
      </c>
      <c r="F128" s="9">
        <v>1</v>
      </c>
      <c r="G128" s="9"/>
      <c r="I128" s="22" t="str">
        <f t="shared" si="21"/>
        <v>·</v>
      </c>
      <c r="J128" s="23" t="str">
        <f t="shared" si="22"/>
        <v>·</v>
      </c>
      <c r="K128" s="23" t="str">
        <f t="shared" si="23"/>
        <v>·</v>
      </c>
      <c r="L128" s="23" t="str">
        <f t="shared" si="24"/>
        <v>·</v>
      </c>
      <c r="M128" s="24"/>
      <c r="N128" s="23" t="str">
        <f t="shared" si="25"/>
        <v>·</v>
      </c>
      <c r="O128" s="25"/>
      <c r="P128" s="26"/>
      <c r="Q128" s="26"/>
      <c r="R128" s="26"/>
      <c r="S128" s="40"/>
      <c r="T128" s="41"/>
      <c r="U128" s="41"/>
      <c r="V128" s="41"/>
      <c r="W128" s="42"/>
      <c r="X128" s="50"/>
      <c r="Y128" s="50"/>
      <c r="AA128" s="22" t="str">
        <f t="shared" si="26"/>
        <v>·</v>
      </c>
      <c r="AB128" s="23" t="str">
        <f t="shared" si="27"/>
        <v>·</v>
      </c>
      <c r="AC128" s="23" t="str">
        <f t="shared" si="28"/>
        <v>·</v>
      </c>
      <c r="AD128" s="23" t="str">
        <f t="shared" si="29"/>
        <v>·</v>
      </c>
      <c r="AE128" s="24"/>
      <c r="AF128" s="23" t="str">
        <f t="shared" si="30"/>
        <v>·</v>
      </c>
      <c r="AG128" s="25"/>
      <c r="AH128" s="26"/>
      <c r="AI128" s="26"/>
      <c r="AJ128" s="26"/>
      <c r="AK128" s="40"/>
      <c r="AL128" s="41"/>
      <c r="AM128" s="41"/>
      <c r="AN128" s="41"/>
      <c r="AO128" s="42"/>
      <c r="AP128" s="50"/>
      <c r="AQ128" s="50"/>
      <c r="AS128" s="55" t="e">
        <f t="shared" si="31"/>
        <v>#DIV/0!</v>
      </c>
      <c r="AT128" s="55"/>
      <c r="AV128" s="56"/>
      <c r="AW128" s="56"/>
      <c r="AX128" s="56"/>
      <c r="AY128" s="62"/>
      <c r="BA128" s="56"/>
      <c r="BB128" s="56"/>
      <c r="BC128" s="56"/>
      <c r="BD128" s="62"/>
      <c r="BF128">
        <f t="shared" si="32"/>
        <v>0</v>
      </c>
      <c r="BG128">
        <f t="shared" si="33"/>
        <v>0</v>
      </c>
      <c r="BH128">
        <f t="shared" si="34"/>
        <v>0</v>
      </c>
      <c r="BI128">
        <f t="shared" si="35"/>
        <v>0</v>
      </c>
      <c r="BJ128">
        <f t="shared" si="36"/>
        <v>0</v>
      </c>
      <c r="BK128">
        <f t="shared" si="37"/>
        <v>0</v>
      </c>
      <c r="BL128">
        <f t="shared" si="38"/>
        <v>0</v>
      </c>
      <c r="BM128">
        <f t="shared" si="39"/>
        <v>0</v>
      </c>
      <c r="BN128">
        <f t="shared" si="40"/>
        <v>0</v>
      </c>
    </row>
    <row r="129" spans="1:66" outlineLevel="1" x14ac:dyDescent="0.15">
      <c r="A129" s="5"/>
      <c r="B129" s="5" t="s">
        <v>119</v>
      </c>
      <c r="C129" s="6" t="s">
        <v>258</v>
      </c>
      <c r="D129" s="5">
        <v>3130215</v>
      </c>
      <c r="E129" s="7">
        <v>12</v>
      </c>
      <c r="F129" s="6">
        <v>1</v>
      </c>
      <c r="G129" s="6"/>
      <c r="I129" s="17" t="str">
        <f t="shared" si="21"/>
        <v>·</v>
      </c>
      <c r="J129" s="18" t="str">
        <f t="shared" si="22"/>
        <v>·</v>
      </c>
      <c r="K129" s="18" t="str">
        <f t="shared" si="23"/>
        <v>·</v>
      </c>
      <c r="L129" s="18" t="str">
        <f t="shared" si="24"/>
        <v>·</v>
      </c>
      <c r="M129" s="19"/>
      <c r="N129" s="18" t="str">
        <f t="shared" si="25"/>
        <v>·</v>
      </c>
      <c r="O129" s="20"/>
      <c r="P129" s="21"/>
      <c r="Q129" s="21"/>
      <c r="R129" s="21"/>
      <c r="S129" s="37"/>
      <c r="T129" s="38"/>
      <c r="U129" s="38"/>
      <c r="V129" s="38"/>
      <c r="W129" s="39"/>
      <c r="X129" s="49"/>
      <c r="Y129" s="49"/>
      <c r="AA129" s="17" t="str">
        <f t="shared" si="26"/>
        <v>·</v>
      </c>
      <c r="AB129" s="18" t="str">
        <f t="shared" si="27"/>
        <v>·</v>
      </c>
      <c r="AC129" s="18" t="str">
        <f t="shared" si="28"/>
        <v>·</v>
      </c>
      <c r="AD129" s="18" t="str">
        <f t="shared" si="29"/>
        <v>·</v>
      </c>
      <c r="AE129" s="19"/>
      <c r="AF129" s="18" t="str">
        <f t="shared" si="30"/>
        <v>·</v>
      </c>
      <c r="AG129" s="20"/>
      <c r="AH129" s="21"/>
      <c r="AI129" s="21"/>
      <c r="AJ129" s="21"/>
      <c r="AK129" s="37"/>
      <c r="AL129" s="38"/>
      <c r="AM129" s="38"/>
      <c r="AN129" s="38"/>
      <c r="AO129" s="39"/>
      <c r="AP129" s="49"/>
      <c r="AQ129" s="49"/>
      <c r="AS129" s="53" t="e">
        <f t="shared" si="31"/>
        <v>#DIV/0!</v>
      </c>
      <c r="AT129" s="53"/>
      <c r="AV129" s="54"/>
      <c r="AW129" s="54"/>
      <c r="AX129" s="54"/>
      <c r="AY129" s="61"/>
      <c r="BA129" s="54"/>
      <c r="BB129" s="54"/>
      <c r="BC129" s="54"/>
      <c r="BD129" s="61"/>
      <c r="BF129">
        <f t="shared" si="32"/>
        <v>0</v>
      </c>
      <c r="BG129">
        <f t="shared" si="33"/>
        <v>0</v>
      </c>
      <c r="BH129">
        <f t="shared" si="34"/>
        <v>0</v>
      </c>
      <c r="BI129">
        <f t="shared" si="35"/>
        <v>0</v>
      </c>
      <c r="BJ129">
        <f t="shared" si="36"/>
        <v>0</v>
      </c>
      <c r="BK129">
        <f t="shared" si="37"/>
        <v>0</v>
      </c>
      <c r="BL129">
        <f t="shared" si="38"/>
        <v>0</v>
      </c>
      <c r="BM129">
        <f t="shared" si="39"/>
        <v>0</v>
      </c>
      <c r="BN129">
        <f t="shared" si="40"/>
        <v>0</v>
      </c>
    </row>
    <row r="130" spans="1:66" outlineLevel="1" x14ac:dyDescent="0.15">
      <c r="A130" s="8"/>
      <c r="B130" s="14" t="s">
        <v>119</v>
      </c>
      <c r="C130" s="15" t="s">
        <v>259</v>
      </c>
      <c r="D130" s="14">
        <v>3130215</v>
      </c>
      <c r="E130" s="16">
        <v>12</v>
      </c>
      <c r="F130" s="15">
        <v>1</v>
      </c>
      <c r="G130" s="15"/>
      <c r="I130" s="32" t="str">
        <f t="shared" si="21"/>
        <v>·</v>
      </c>
      <c r="J130" s="33" t="str">
        <f t="shared" si="22"/>
        <v>·</v>
      </c>
      <c r="K130" s="33" t="str">
        <f t="shared" si="23"/>
        <v>·</v>
      </c>
      <c r="L130" s="33" t="str">
        <f t="shared" si="24"/>
        <v>·</v>
      </c>
      <c r="M130" s="34"/>
      <c r="N130" s="33" t="str">
        <f t="shared" si="25"/>
        <v>·</v>
      </c>
      <c r="O130" s="35"/>
      <c r="P130" s="36"/>
      <c r="Q130" s="36"/>
      <c r="R130" s="36"/>
      <c r="S130" s="46"/>
      <c r="T130" s="47"/>
      <c r="U130" s="47"/>
      <c r="V130" s="47"/>
      <c r="W130" s="48"/>
      <c r="X130" s="52"/>
      <c r="Y130" s="52"/>
      <c r="AA130" s="32" t="str">
        <f t="shared" si="26"/>
        <v>·</v>
      </c>
      <c r="AB130" s="33" t="str">
        <f t="shared" si="27"/>
        <v>·</v>
      </c>
      <c r="AC130" s="33" t="str">
        <f t="shared" si="28"/>
        <v>·</v>
      </c>
      <c r="AD130" s="33" t="str">
        <f t="shared" si="29"/>
        <v>·</v>
      </c>
      <c r="AE130" s="34"/>
      <c r="AF130" s="33" t="str">
        <f t="shared" si="30"/>
        <v>·</v>
      </c>
      <c r="AG130" s="35"/>
      <c r="AH130" s="36"/>
      <c r="AI130" s="36"/>
      <c r="AJ130" s="36"/>
      <c r="AK130" s="46"/>
      <c r="AL130" s="47"/>
      <c r="AM130" s="47"/>
      <c r="AN130" s="47"/>
      <c r="AO130" s="48"/>
      <c r="AP130" s="52"/>
      <c r="AQ130" s="52"/>
      <c r="AS130" s="59" t="e">
        <f t="shared" si="31"/>
        <v>#DIV/0!</v>
      </c>
      <c r="AT130" s="59"/>
      <c r="AV130" s="60"/>
      <c r="AW130" s="60"/>
      <c r="AX130" s="60"/>
      <c r="AY130" s="64"/>
      <c r="BA130" s="60"/>
      <c r="BB130" s="60"/>
      <c r="BC130" s="60"/>
      <c r="BD130" s="64"/>
      <c r="BF130">
        <f t="shared" si="32"/>
        <v>0</v>
      </c>
      <c r="BG130">
        <f t="shared" si="33"/>
        <v>0</v>
      </c>
      <c r="BH130">
        <f t="shared" si="34"/>
        <v>0</v>
      </c>
      <c r="BI130">
        <f t="shared" si="35"/>
        <v>0</v>
      </c>
      <c r="BJ130">
        <f t="shared" si="36"/>
        <v>0</v>
      </c>
      <c r="BK130">
        <f t="shared" si="37"/>
        <v>0</v>
      </c>
      <c r="BL130">
        <f t="shared" si="38"/>
        <v>0</v>
      </c>
      <c r="BM130">
        <f t="shared" si="39"/>
        <v>0</v>
      </c>
      <c r="BN130">
        <f t="shared" si="40"/>
        <v>0</v>
      </c>
    </row>
    <row r="131" spans="1:66" x14ac:dyDescent="0.15">
      <c r="A131" s="5"/>
      <c r="B131" s="5" t="s">
        <v>122</v>
      </c>
      <c r="C131" s="6" t="s">
        <v>254</v>
      </c>
      <c r="D131" s="5">
        <v>1995189</v>
      </c>
      <c r="E131" s="7">
        <v>13</v>
      </c>
      <c r="F131" s="6">
        <v>1</v>
      </c>
      <c r="G131" s="6"/>
      <c r="I131" s="17" t="str">
        <f t="shared" si="21"/>
        <v>·</v>
      </c>
      <c r="J131" s="18" t="str">
        <f t="shared" si="22"/>
        <v>·</v>
      </c>
      <c r="K131" s="18" t="str">
        <f t="shared" si="23"/>
        <v>·</v>
      </c>
      <c r="L131" s="18" t="str">
        <f t="shared" si="24"/>
        <v>·</v>
      </c>
      <c r="M131" s="19"/>
      <c r="N131" s="18" t="str">
        <f t="shared" si="25"/>
        <v>·</v>
      </c>
      <c r="O131" s="20"/>
      <c r="P131" s="21"/>
      <c r="Q131" s="21"/>
      <c r="R131" s="21"/>
      <c r="S131" s="37"/>
      <c r="T131" s="38"/>
      <c r="U131" s="38"/>
      <c r="V131" s="38"/>
      <c r="W131" s="39"/>
      <c r="X131" s="49"/>
      <c r="Y131" s="49"/>
      <c r="AA131" s="17" t="str">
        <f t="shared" si="26"/>
        <v>·</v>
      </c>
      <c r="AB131" s="18" t="str">
        <f t="shared" si="27"/>
        <v>·</v>
      </c>
      <c r="AC131" s="18" t="str">
        <f t="shared" si="28"/>
        <v>·</v>
      </c>
      <c r="AD131" s="18" t="str">
        <f t="shared" si="29"/>
        <v>·</v>
      </c>
      <c r="AE131" s="19"/>
      <c r="AF131" s="18" t="str">
        <f t="shared" si="30"/>
        <v>·</v>
      </c>
      <c r="AG131" s="20"/>
      <c r="AH131" s="21"/>
      <c r="AI131" s="21"/>
      <c r="AJ131" s="21"/>
      <c r="AK131" s="37"/>
      <c r="AL131" s="38"/>
      <c r="AM131" s="38"/>
      <c r="AN131" s="38"/>
      <c r="AO131" s="39"/>
      <c r="AP131" s="49"/>
      <c r="AQ131" s="49"/>
      <c r="AS131" s="53" t="e">
        <f t="shared" si="31"/>
        <v>#DIV/0!</v>
      </c>
      <c r="AT131" s="53" t="e">
        <f t="array" ref="AT131">AVERAGE(AI131:AI136/AH131:AH136)-AVERAGE(Q131:Q136/P131:P136)</f>
        <v>#DIV/0!</v>
      </c>
      <c r="AV131" s="54" t="str">
        <f>IF(OR(ISBLANK(R131:R136),ISBLANK(AJ131:AJ136),ISBLANK(T131:T136),ISBLANK(AL131:AL136)),"·",bdRateExtend(R131:R136,T131:T136,AJ131:AJ136,AL131:AL136))</f>
        <v>·</v>
      </c>
      <c r="AW131" s="54" t="str">
        <f>IF(OR(ISBLANK(R131:R136),ISBLANK(AJ131:AJ136),ISBLANK(U131:U136),ISBLANK(AM131:AM136)),"·",bdRateExtend(R131:R136,U131:U136,AJ131:AJ136,AM131:AM136))</f>
        <v>·</v>
      </c>
      <c r="AX131" s="54" t="str">
        <f>IF(OR(ISBLANK(R131:R136),ISBLANK(AJ131:AJ136),ISBLANK(V131:V136),ISBLANK(AN131:AN136)),"·",bdRateExtend(R131:R136,V131:V136,AJ131:AJ136,AN131:AN136))</f>
        <v>·</v>
      </c>
      <c r="AY131" s="61"/>
      <c r="BA131" s="54" t="str">
        <f>IF(OR(ISBLANK(P131:P136),ISBLANK(AH131:AH136),ISBLANK(T131:T136),ISBLANK(AL131:AL136)),"·",bdRateExtend(P131:P136,T131:T136,AH131:AH136,AL131:AL136))</f>
        <v>·</v>
      </c>
      <c r="BB131" s="54" t="str">
        <f>IF(OR(ISBLANK(P131:P136),ISBLANK(AH131:AH136),ISBLANK(U131:U136),ISBLANK(AM131:AM136)),"·",bdRateExtend(P131:P136,U131:U136,AH131:AH136,AM131:AM136))</f>
        <v>·</v>
      </c>
      <c r="BC131" s="54" t="str">
        <f>IF(OR(ISBLANK(P131:P136),ISBLANK(AH131:AH136),ISBLANK(V131:V136),ISBLANK(AN131:AN136)),"·",bdRateExtend(P131:P136,V131:V136,AH131:AH136,AN131:AN136))</f>
        <v>·</v>
      </c>
      <c r="BD131" s="61"/>
      <c r="BF131">
        <f t="shared" si="32"/>
        <v>0</v>
      </c>
      <c r="BG131">
        <f t="shared" si="33"/>
        <v>0</v>
      </c>
      <c r="BH131">
        <f t="shared" si="34"/>
        <v>0</v>
      </c>
      <c r="BI131">
        <f t="shared" si="35"/>
        <v>0</v>
      </c>
      <c r="BJ131">
        <f t="shared" si="36"/>
        <v>0</v>
      </c>
      <c r="BK131">
        <f t="shared" si="37"/>
        <v>0</v>
      </c>
      <c r="BL131">
        <f t="shared" si="38"/>
        <v>0</v>
      </c>
      <c r="BM131">
        <f t="shared" si="39"/>
        <v>0</v>
      </c>
      <c r="BN131">
        <f t="shared" si="40"/>
        <v>0</v>
      </c>
    </row>
    <row r="132" spans="1:66" outlineLevel="1" x14ac:dyDescent="0.15">
      <c r="A132" s="8"/>
      <c r="B132" s="8" t="s">
        <v>122</v>
      </c>
      <c r="C132" s="9" t="s">
        <v>255</v>
      </c>
      <c r="D132" s="8">
        <v>1995189</v>
      </c>
      <c r="E132" s="10">
        <v>13</v>
      </c>
      <c r="F132" s="9">
        <v>1</v>
      </c>
      <c r="G132" s="9"/>
      <c r="I132" s="22" t="str">
        <f t="shared" si="21"/>
        <v>·</v>
      </c>
      <c r="J132" s="23" t="str">
        <f t="shared" si="22"/>
        <v>·</v>
      </c>
      <c r="K132" s="23" t="str">
        <f t="shared" si="23"/>
        <v>·</v>
      </c>
      <c r="L132" s="23" t="str">
        <f t="shared" si="24"/>
        <v>·</v>
      </c>
      <c r="M132" s="24"/>
      <c r="N132" s="23" t="str">
        <f t="shared" si="25"/>
        <v>·</v>
      </c>
      <c r="O132" s="25"/>
      <c r="P132" s="26"/>
      <c r="Q132" s="26"/>
      <c r="R132" s="26"/>
      <c r="S132" s="40"/>
      <c r="T132" s="41"/>
      <c r="U132" s="41"/>
      <c r="V132" s="41"/>
      <c r="W132" s="42"/>
      <c r="X132" s="50"/>
      <c r="Y132" s="50"/>
      <c r="AA132" s="22" t="str">
        <f t="shared" si="26"/>
        <v>·</v>
      </c>
      <c r="AB132" s="23" t="str">
        <f t="shared" si="27"/>
        <v>·</v>
      </c>
      <c r="AC132" s="23" t="str">
        <f t="shared" si="28"/>
        <v>·</v>
      </c>
      <c r="AD132" s="23" t="str">
        <f t="shared" si="29"/>
        <v>·</v>
      </c>
      <c r="AE132" s="24"/>
      <c r="AF132" s="23" t="str">
        <f t="shared" si="30"/>
        <v>·</v>
      </c>
      <c r="AG132" s="25"/>
      <c r="AH132" s="26"/>
      <c r="AI132" s="26"/>
      <c r="AJ132" s="26"/>
      <c r="AK132" s="40"/>
      <c r="AL132" s="41"/>
      <c r="AM132" s="41"/>
      <c r="AN132" s="41"/>
      <c r="AO132" s="42"/>
      <c r="AP132" s="50"/>
      <c r="AQ132" s="50"/>
      <c r="AS132" s="55" t="e">
        <f t="shared" si="31"/>
        <v>#DIV/0!</v>
      </c>
      <c r="AT132" s="55"/>
      <c r="AV132" s="56"/>
      <c r="AW132" s="56"/>
      <c r="AX132" s="56"/>
      <c r="AY132" s="62"/>
      <c r="BA132" s="56"/>
      <c r="BB132" s="56"/>
      <c r="BC132" s="56"/>
      <c r="BD132" s="62"/>
      <c r="BF132">
        <f t="shared" si="32"/>
        <v>0</v>
      </c>
      <c r="BG132">
        <f t="shared" si="33"/>
        <v>0</v>
      </c>
      <c r="BH132">
        <f t="shared" si="34"/>
        <v>0</v>
      </c>
      <c r="BI132">
        <f t="shared" si="35"/>
        <v>0</v>
      </c>
      <c r="BJ132">
        <f t="shared" si="36"/>
        <v>0</v>
      </c>
      <c r="BK132">
        <f t="shared" si="37"/>
        <v>0</v>
      </c>
      <c r="BL132">
        <f t="shared" si="38"/>
        <v>0</v>
      </c>
      <c r="BM132">
        <f t="shared" si="39"/>
        <v>0</v>
      </c>
      <c r="BN132">
        <f t="shared" si="40"/>
        <v>0</v>
      </c>
    </row>
    <row r="133" spans="1:66" outlineLevel="1" x14ac:dyDescent="0.15">
      <c r="A133" s="5"/>
      <c r="B133" s="5" t="s">
        <v>122</v>
      </c>
      <c r="C133" s="6" t="s">
        <v>256</v>
      </c>
      <c r="D133" s="5">
        <v>1995189</v>
      </c>
      <c r="E133" s="7">
        <v>13</v>
      </c>
      <c r="F133" s="6">
        <v>1</v>
      </c>
      <c r="G133" s="6"/>
      <c r="I133" s="17" t="str">
        <f t="shared" ref="I133:I196" si="52">IF(OR(ISBLANK(P133),ISBLANK(G133)),"·",P133*G133/F133/1000000)</f>
        <v>·</v>
      </c>
      <c r="J133" s="18" t="str">
        <f t="shared" ref="J133:J196" si="53">IF(ISBLANK(P133),"·",P133/D133)</f>
        <v>·</v>
      </c>
      <c r="K133" s="18" t="str">
        <f t="shared" ref="K133:K196" si="54">IF(Q133="","·",Q133/D133)</f>
        <v>·</v>
      </c>
      <c r="L133" s="18" t="str">
        <f t="shared" ref="L133:L196" si="55">IF(ISBLANK(R133),"·",R133/D133)</f>
        <v>·</v>
      </c>
      <c r="M133" s="19"/>
      <c r="N133" s="18" t="str">
        <f t="shared" ref="N133:N196" si="56">IF(ISBLANK(P133),"·",P133/O133)</f>
        <v>·</v>
      </c>
      <c r="O133" s="20"/>
      <c r="P133" s="21"/>
      <c r="Q133" s="21"/>
      <c r="R133" s="21"/>
      <c r="S133" s="37"/>
      <c r="T133" s="38"/>
      <c r="U133" s="38"/>
      <c r="V133" s="38"/>
      <c r="W133" s="39"/>
      <c r="X133" s="49"/>
      <c r="Y133" s="49"/>
      <c r="AA133" s="17" t="str">
        <f t="shared" ref="AA133:AA196" si="57">IF(OR(ISBLANK(AH133),ISBLANK(G133)),"·",AH133*G133/F133/1000000)</f>
        <v>·</v>
      </c>
      <c r="AB133" s="18" t="str">
        <f t="shared" ref="AB133:AB196" si="58">IF(ISBLANK(AH133),"·",AH133/D133)</f>
        <v>·</v>
      </c>
      <c r="AC133" s="18" t="str">
        <f t="shared" ref="AC133:AC196" si="59">IF(AI133="","·",AI133/D133)</f>
        <v>·</v>
      </c>
      <c r="AD133" s="18" t="str">
        <f t="shared" ref="AD133:AD196" si="60">IF(ISBLANK(AJ133),"·",AJ133/D133)</f>
        <v>·</v>
      </c>
      <c r="AE133" s="19"/>
      <c r="AF133" s="18" t="str">
        <f t="shared" ref="AF133:AF196" si="61">IF(ISBLANK(AH133),"·",AH133/AG133)</f>
        <v>·</v>
      </c>
      <c r="AG133" s="20"/>
      <c r="AH133" s="21"/>
      <c r="AI133" s="21"/>
      <c r="AJ133" s="21"/>
      <c r="AK133" s="37"/>
      <c r="AL133" s="38"/>
      <c r="AM133" s="38"/>
      <c r="AN133" s="38"/>
      <c r="AO133" s="39"/>
      <c r="AP133" s="49"/>
      <c r="AQ133" s="49"/>
      <c r="AS133" s="53" t="e">
        <f t="shared" ref="AS133:AS196" si="62">(AI133/AH133)-(Q133/P133)</f>
        <v>#DIV/0!</v>
      </c>
      <c r="AT133" s="53"/>
      <c r="AV133" s="54"/>
      <c r="AW133" s="54"/>
      <c r="AX133" s="54"/>
      <c r="AY133" s="61"/>
      <c r="BA133" s="54"/>
      <c r="BB133" s="54"/>
      <c r="BC133" s="54"/>
      <c r="BD133" s="61"/>
      <c r="BF133">
        <f t="shared" si="32"/>
        <v>0</v>
      </c>
      <c r="BG133">
        <f t="shared" si="33"/>
        <v>0</v>
      </c>
      <c r="BH133">
        <f t="shared" si="34"/>
        <v>0</v>
      </c>
      <c r="BI133">
        <f t="shared" si="35"/>
        <v>0</v>
      </c>
      <c r="BJ133">
        <f t="shared" si="36"/>
        <v>0</v>
      </c>
      <c r="BK133">
        <f t="shared" si="37"/>
        <v>0</v>
      </c>
      <c r="BL133">
        <f t="shared" si="38"/>
        <v>0</v>
      </c>
      <c r="BM133">
        <f t="shared" si="39"/>
        <v>0</v>
      </c>
      <c r="BN133">
        <f t="shared" si="40"/>
        <v>0</v>
      </c>
    </row>
    <row r="134" spans="1:66" outlineLevel="1" x14ac:dyDescent="0.15">
      <c r="A134" s="8"/>
      <c r="B134" s="8" t="s">
        <v>122</v>
      </c>
      <c r="C134" s="9" t="s">
        <v>257</v>
      </c>
      <c r="D134" s="8">
        <v>1995189</v>
      </c>
      <c r="E134" s="10">
        <v>13</v>
      </c>
      <c r="F134" s="9">
        <v>1</v>
      </c>
      <c r="G134" s="9"/>
      <c r="I134" s="22" t="str">
        <f t="shared" si="52"/>
        <v>·</v>
      </c>
      <c r="J134" s="23" t="str">
        <f t="shared" si="53"/>
        <v>·</v>
      </c>
      <c r="K134" s="23" t="str">
        <f t="shared" si="54"/>
        <v>·</v>
      </c>
      <c r="L134" s="23" t="str">
        <f t="shared" si="55"/>
        <v>·</v>
      </c>
      <c r="M134" s="24"/>
      <c r="N134" s="23" t="str">
        <f t="shared" si="56"/>
        <v>·</v>
      </c>
      <c r="O134" s="25"/>
      <c r="P134" s="26"/>
      <c r="Q134" s="26"/>
      <c r="R134" s="26"/>
      <c r="S134" s="40"/>
      <c r="T134" s="41"/>
      <c r="U134" s="41"/>
      <c r="V134" s="41"/>
      <c r="W134" s="42"/>
      <c r="X134" s="50"/>
      <c r="Y134" s="50"/>
      <c r="AA134" s="22" t="str">
        <f t="shared" si="57"/>
        <v>·</v>
      </c>
      <c r="AB134" s="23" t="str">
        <f t="shared" si="58"/>
        <v>·</v>
      </c>
      <c r="AC134" s="23" t="str">
        <f t="shared" si="59"/>
        <v>·</v>
      </c>
      <c r="AD134" s="23" t="str">
        <f t="shared" si="60"/>
        <v>·</v>
      </c>
      <c r="AE134" s="24"/>
      <c r="AF134" s="23" t="str">
        <f t="shared" si="61"/>
        <v>·</v>
      </c>
      <c r="AG134" s="25"/>
      <c r="AH134" s="26"/>
      <c r="AI134" s="26"/>
      <c r="AJ134" s="26"/>
      <c r="AK134" s="40"/>
      <c r="AL134" s="41"/>
      <c r="AM134" s="41"/>
      <c r="AN134" s="41"/>
      <c r="AO134" s="42"/>
      <c r="AP134" s="50"/>
      <c r="AQ134" s="50"/>
      <c r="AS134" s="55" t="e">
        <f t="shared" si="62"/>
        <v>#DIV/0!</v>
      </c>
      <c r="AT134" s="55"/>
      <c r="AV134" s="56"/>
      <c r="AW134" s="56"/>
      <c r="AX134" s="56"/>
      <c r="AY134" s="62"/>
      <c r="BA134" s="56"/>
      <c r="BB134" s="56"/>
      <c r="BC134" s="56"/>
      <c r="BD134" s="62"/>
      <c r="BF134">
        <f t="shared" ref="BF134:BF197" si="63">AG134-O134</f>
        <v>0</v>
      </c>
      <c r="BG134">
        <f t="shared" ref="BG134:BG197" si="64">AH134-P134</f>
        <v>0</v>
      </c>
      <c r="BH134">
        <f t="shared" ref="BH134:BH197" si="65">AI134-Q134</f>
        <v>0</v>
      </c>
      <c r="BI134">
        <f t="shared" ref="BI134:BI197" si="66">AJ134-R134</f>
        <v>0</v>
      </c>
      <c r="BJ134">
        <f t="shared" ref="BJ134:BJ197" si="67">AK134-S134</f>
        <v>0</v>
      </c>
      <c r="BK134">
        <f t="shared" ref="BK134:BK197" si="68">AL134-T134</f>
        <v>0</v>
      </c>
      <c r="BL134">
        <f t="shared" ref="BL134:BL197" si="69">AM134-U134</f>
        <v>0</v>
      </c>
      <c r="BM134">
        <f t="shared" ref="BM134:BM197" si="70">AN134-V134</f>
        <v>0</v>
      </c>
      <c r="BN134">
        <f t="shared" ref="BN134:BN197" si="71">AO134-W134</f>
        <v>0</v>
      </c>
    </row>
    <row r="135" spans="1:66" outlineLevel="1" x14ac:dyDescent="0.15">
      <c r="A135" s="5"/>
      <c r="B135" s="5" t="s">
        <v>122</v>
      </c>
      <c r="C135" s="6" t="s">
        <v>258</v>
      </c>
      <c r="D135" s="5">
        <v>1995189</v>
      </c>
      <c r="E135" s="7">
        <v>13</v>
      </c>
      <c r="F135" s="6">
        <v>1</v>
      </c>
      <c r="G135" s="6"/>
      <c r="I135" s="17" t="str">
        <f t="shared" si="52"/>
        <v>·</v>
      </c>
      <c r="J135" s="18" t="str">
        <f t="shared" si="53"/>
        <v>·</v>
      </c>
      <c r="K135" s="18" t="str">
        <f t="shared" si="54"/>
        <v>·</v>
      </c>
      <c r="L135" s="18" t="str">
        <f t="shared" si="55"/>
        <v>·</v>
      </c>
      <c r="M135" s="19"/>
      <c r="N135" s="18" t="str">
        <f t="shared" si="56"/>
        <v>·</v>
      </c>
      <c r="O135" s="20"/>
      <c r="P135" s="21"/>
      <c r="Q135" s="21"/>
      <c r="R135" s="21"/>
      <c r="S135" s="37"/>
      <c r="T135" s="38"/>
      <c r="U135" s="38"/>
      <c r="V135" s="38"/>
      <c r="W135" s="39"/>
      <c r="X135" s="49"/>
      <c r="Y135" s="49"/>
      <c r="AA135" s="17" t="str">
        <f t="shared" si="57"/>
        <v>·</v>
      </c>
      <c r="AB135" s="18" t="str">
        <f t="shared" si="58"/>
        <v>·</v>
      </c>
      <c r="AC135" s="18" t="str">
        <f t="shared" si="59"/>
        <v>·</v>
      </c>
      <c r="AD135" s="18" t="str">
        <f t="shared" si="60"/>
        <v>·</v>
      </c>
      <c r="AE135" s="19"/>
      <c r="AF135" s="18" t="str">
        <f t="shared" si="61"/>
        <v>·</v>
      </c>
      <c r="AG135" s="20"/>
      <c r="AH135" s="21"/>
      <c r="AI135" s="21"/>
      <c r="AJ135" s="21"/>
      <c r="AK135" s="37"/>
      <c r="AL135" s="38"/>
      <c r="AM135" s="38"/>
      <c r="AN135" s="38"/>
      <c r="AO135" s="39"/>
      <c r="AP135" s="49"/>
      <c r="AQ135" s="49"/>
      <c r="AS135" s="53" t="e">
        <f t="shared" si="62"/>
        <v>#DIV/0!</v>
      </c>
      <c r="AT135" s="53"/>
      <c r="AV135" s="54"/>
      <c r="AW135" s="54"/>
      <c r="AX135" s="54"/>
      <c r="AY135" s="61"/>
      <c r="BA135" s="54"/>
      <c r="BB135" s="54"/>
      <c r="BC135" s="54"/>
      <c r="BD135" s="61"/>
      <c r="BF135">
        <f t="shared" si="63"/>
        <v>0</v>
      </c>
      <c r="BG135">
        <f t="shared" si="64"/>
        <v>0</v>
      </c>
      <c r="BH135">
        <f t="shared" si="65"/>
        <v>0</v>
      </c>
      <c r="BI135">
        <f t="shared" si="66"/>
        <v>0</v>
      </c>
      <c r="BJ135">
        <f t="shared" si="67"/>
        <v>0</v>
      </c>
      <c r="BK135">
        <f t="shared" si="68"/>
        <v>0</v>
      </c>
      <c r="BL135">
        <f t="shared" si="69"/>
        <v>0</v>
      </c>
      <c r="BM135">
        <f t="shared" si="70"/>
        <v>0</v>
      </c>
      <c r="BN135">
        <f t="shared" si="71"/>
        <v>0</v>
      </c>
    </row>
    <row r="136" spans="1:66" outlineLevel="1" x14ac:dyDescent="0.15">
      <c r="A136" s="14"/>
      <c r="B136" s="14" t="s">
        <v>122</v>
      </c>
      <c r="C136" s="15" t="s">
        <v>259</v>
      </c>
      <c r="D136" s="14">
        <v>1995189</v>
      </c>
      <c r="E136" s="16">
        <v>13</v>
      </c>
      <c r="F136" s="15">
        <v>1</v>
      </c>
      <c r="G136" s="15"/>
      <c r="I136" s="32" t="str">
        <f t="shared" si="52"/>
        <v>·</v>
      </c>
      <c r="J136" s="33" t="str">
        <f t="shared" si="53"/>
        <v>·</v>
      </c>
      <c r="K136" s="33" t="str">
        <f t="shared" si="54"/>
        <v>·</v>
      </c>
      <c r="L136" s="33" t="str">
        <f t="shared" si="55"/>
        <v>·</v>
      </c>
      <c r="M136" s="34"/>
      <c r="N136" s="33" t="str">
        <f t="shared" si="56"/>
        <v>·</v>
      </c>
      <c r="O136" s="35"/>
      <c r="P136" s="36"/>
      <c r="Q136" s="36"/>
      <c r="R136" s="36"/>
      <c r="S136" s="46"/>
      <c r="T136" s="47"/>
      <c r="U136" s="47"/>
      <c r="V136" s="47"/>
      <c r="W136" s="48"/>
      <c r="X136" s="52"/>
      <c r="Y136" s="52"/>
      <c r="AA136" s="32" t="str">
        <f t="shared" si="57"/>
        <v>·</v>
      </c>
      <c r="AB136" s="33" t="str">
        <f t="shared" si="58"/>
        <v>·</v>
      </c>
      <c r="AC136" s="33" t="str">
        <f t="shared" si="59"/>
        <v>·</v>
      </c>
      <c r="AD136" s="33" t="str">
        <f t="shared" si="60"/>
        <v>·</v>
      </c>
      <c r="AE136" s="34"/>
      <c r="AF136" s="33" t="str">
        <f t="shared" si="61"/>
        <v>·</v>
      </c>
      <c r="AG136" s="35"/>
      <c r="AH136" s="36"/>
      <c r="AI136" s="36"/>
      <c r="AJ136" s="36"/>
      <c r="AK136" s="46"/>
      <c r="AL136" s="47"/>
      <c r="AM136" s="47"/>
      <c r="AN136" s="47"/>
      <c r="AO136" s="48"/>
      <c r="AP136" s="52"/>
      <c r="AQ136" s="52"/>
      <c r="AS136" s="59" t="e">
        <f t="shared" si="62"/>
        <v>#DIV/0!</v>
      </c>
      <c r="AT136" s="59"/>
      <c r="AV136" s="60"/>
      <c r="AW136" s="60"/>
      <c r="AX136" s="60"/>
      <c r="AY136" s="64"/>
      <c r="BA136" s="60"/>
      <c r="BB136" s="60"/>
      <c r="BC136" s="60"/>
      <c r="BD136" s="64"/>
      <c r="BF136">
        <f t="shared" si="63"/>
        <v>0</v>
      </c>
      <c r="BG136">
        <f t="shared" si="64"/>
        <v>0</v>
      </c>
      <c r="BH136">
        <f t="shared" si="65"/>
        <v>0</v>
      </c>
      <c r="BI136">
        <f t="shared" si="66"/>
        <v>0</v>
      </c>
      <c r="BJ136">
        <f t="shared" si="67"/>
        <v>0</v>
      </c>
      <c r="BK136">
        <f t="shared" si="68"/>
        <v>0</v>
      </c>
      <c r="BL136">
        <f t="shared" si="69"/>
        <v>0</v>
      </c>
      <c r="BM136">
        <f t="shared" si="70"/>
        <v>0</v>
      </c>
      <c r="BN136">
        <f t="shared" si="71"/>
        <v>0</v>
      </c>
    </row>
    <row r="137" spans="1:66" x14ac:dyDescent="0.15">
      <c r="A137" s="5" t="s">
        <v>260</v>
      </c>
      <c r="B137" s="5" t="s">
        <v>125</v>
      </c>
      <c r="C137" s="6" t="s">
        <v>254</v>
      </c>
      <c r="D137" s="5">
        <v>1481746</v>
      </c>
      <c r="E137" s="7">
        <v>12</v>
      </c>
      <c r="F137" s="6">
        <v>1</v>
      </c>
      <c r="G137" s="6"/>
      <c r="I137" s="17" t="str">
        <f t="shared" si="52"/>
        <v>·</v>
      </c>
      <c r="J137" s="18" t="str">
        <f t="shared" si="53"/>
        <v>·</v>
      </c>
      <c r="K137" s="18" t="str">
        <f t="shared" si="54"/>
        <v>·</v>
      </c>
      <c r="L137" s="18" t="str">
        <f t="shared" si="55"/>
        <v>·</v>
      </c>
      <c r="M137" s="19"/>
      <c r="N137" s="18" t="str">
        <f t="shared" si="56"/>
        <v>·</v>
      </c>
      <c r="O137" s="20"/>
      <c r="P137" s="21"/>
      <c r="Q137" s="21"/>
      <c r="R137" s="21"/>
      <c r="S137" s="37"/>
      <c r="T137" s="38"/>
      <c r="U137" s="38"/>
      <c r="V137" s="38"/>
      <c r="W137" s="39"/>
      <c r="X137" s="49"/>
      <c r="Y137" s="49"/>
      <c r="AA137" s="17" t="str">
        <f t="shared" si="57"/>
        <v>·</v>
      </c>
      <c r="AB137" s="18" t="str">
        <f t="shared" si="58"/>
        <v>·</v>
      </c>
      <c r="AC137" s="18" t="str">
        <f t="shared" si="59"/>
        <v>·</v>
      </c>
      <c r="AD137" s="18" t="str">
        <f t="shared" si="60"/>
        <v>·</v>
      </c>
      <c r="AE137" s="19"/>
      <c r="AF137" s="18" t="str">
        <f t="shared" si="61"/>
        <v>·</v>
      </c>
      <c r="AG137" s="20"/>
      <c r="AH137" s="21"/>
      <c r="AI137" s="21"/>
      <c r="AJ137" s="21"/>
      <c r="AK137" s="37"/>
      <c r="AL137" s="38"/>
      <c r="AM137" s="38"/>
      <c r="AN137" s="38"/>
      <c r="AO137" s="39"/>
      <c r="AP137" s="49"/>
      <c r="AQ137" s="49"/>
      <c r="AS137" s="53" t="e">
        <f t="shared" si="62"/>
        <v>#DIV/0!</v>
      </c>
      <c r="AT137" s="53" t="e">
        <f t="array" ref="AT137">AVERAGE(AI137:AI142/AH137:AH142)-AVERAGE(Q137:Q142/P137:P142)</f>
        <v>#DIV/0!</v>
      </c>
      <c r="AV137" s="54" t="str">
        <f>IF(OR(ISBLANK(R137:R142),ISBLANK(AJ137:AJ142),ISBLANK(T137:T142),ISBLANK(AL137:AL142)),"·",bdRateExtend(R137:R142,T137:T142,AJ137:AJ142,AL137:AL142))</f>
        <v>·</v>
      </c>
      <c r="AW137" s="54" t="str">
        <f>IF(OR(ISBLANK(R137:R142),ISBLANK(AJ137:AJ142),ISBLANK(U137:U142),ISBLANK(AM137:AM142)),"·",bdRateExtend(R137:R142,U137:U142,AJ137:AJ142,AM137:AM142))</f>
        <v>·</v>
      </c>
      <c r="AX137" s="54" t="str">
        <f>IF(OR(ISBLANK(R137:R142),ISBLANK(AJ137:AJ142),ISBLANK(V137:V142),ISBLANK(AN137:AN142)),"·",bdRateExtend(R137:R142,V137:V142,AJ137:AJ142,AN137:AN142))</f>
        <v>·</v>
      </c>
      <c r="AY137" s="61"/>
      <c r="BA137" s="54" t="str">
        <f>IF(OR(ISBLANK(P137:P142),ISBLANK(AH137:AH142),ISBLANK(T137:T142),ISBLANK(AL137:AL142)),"·",bdRateExtend(P137:P142,T137:T142,AH137:AH142,AL137:AL142))</f>
        <v>·</v>
      </c>
      <c r="BB137" s="54" t="str">
        <f>IF(OR(ISBLANK(P137:P142),ISBLANK(AH137:AH142),ISBLANK(U137:U142),ISBLANK(AM137:AM142)),"·",bdRateExtend(P137:P142,U137:U142,AH137:AH142,AM137:AM142))</f>
        <v>·</v>
      </c>
      <c r="BC137" s="54" t="str">
        <f>IF(OR(ISBLANK(P137:P142),ISBLANK(AH137:AH142),ISBLANK(V137:V142),ISBLANK(AN137:AN142)),"·",bdRateExtend(P137:P142,V137:V142,AH137:AH142,AN137:AN142))</f>
        <v>·</v>
      </c>
      <c r="BD137" s="61"/>
      <c r="BF137">
        <f t="shared" si="63"/>
        <v>0</v>
      </c>
      <c r="BG137">
        <f t="shared" si="64"/>
        <v>0</v>
      </c>
      <c r="BH137">
        <f t="shared" si="65"/>
        <v>0</v>
      </c>
      <c r="BI137">
        <f t="shared" si="66"/>
        <v>0</v>
      </c>
      <c r="BJ137">
        <f t="shared" si="67"/>
        <v>0</v>
      </c>
      <c r="BK137">
        <f t="shared" si="68"/>
        <v>0</v>
      </c>
      <c r="BL137">
        <f t="shared" si="69"/>
        <v>0</v>
      </c>
      <c r="BM137">
        <f t="shared" si="70"/>
        <v>0</v>
      </c>
      <c r="BN137">
        <f t="shared" si="71"/>
        <v>0</v>
      </c>
    </row>
    <row r="138" spans="1:66" outlineLevel="1" x14ac:dyDescent="0.15">
      <c r="A138" s="8"/>
      <c r="B138" s="8" t="s">
        <v>125</v>
      </c>
      <c r="C138" s="9" t="s">
        <v>255</v>
      </c>
      <c r="D138" s="8">
        <v>1481746</v>
      </c>
      <c r="E138" s="10">
        <v>12</v>
      </c>
      <c r="F138" s="9">
        <v>1</v>
      </c>
      <c r="G138" s="9"/>
      <c r="I138" s="22" t="str">
        <f t="shared" si="52"/>
        <v>·</v>
      </c>
      <c r="J138" s="23" t="str">
        <f t="shared" si="53"/>
        <v>·</v>
      </c>
      <c r="K138" s="23" t="str">
        <f t="shared" si="54"/>
        <v>·</v>
      </c>
      <c r="L138" s="23" t="str">
        <f t="shared" si="55"/>
        <v>·</v>
      </c>
      <c r="M138" s="24"/>
      <c r="N138" s="23" t="str">
        <f t="shared" si="56"/>
        <v>·</v>
      </c>
      <c r="O138" s="25"/>
      <c r="P138" s="26"/>
      <c r="Q138" s="26"/>
      <c r="R138" s="26"/>
      <c r="S138" s="40"/>
      <c r="T138" s="41"/>
      <c r="U138" s="41"/>
      <c r="V138" s="41"/>
      <c r="W138" s="42"/>
      <c r="X138" s="50"/>
      <c r="Y138" s="50"/>
      <c r="AA138" s="22" t="str">
        <f t="shared" si="57"/>
        <v>·</v>
      </c>
      <c r="AB138" s="23" t="str">
        <f t="shared" si="58"/>
        <v>·</v>
      </c>
      <c r="AC138" s="23" t="str">
        <f t="shared" si="59"/>
        <v>·</v>
      </c>
      <c r="AD138" s="23" t="str">
        <f t="shared" si="60"/>
        <v>·</v>
      </c>
      <c r="AE138" s="24"/>
      <c r="AF138" s="23" t="str">
        <f t="shared" si="61"/>
        <v>·</v>
      </c>
      <c r="AG138" s="25"/>
      <c r="AH138" s="26"/>
      <c r="AI138" s="26"/>
      <c r="AJ138" s="26"/>
      <c r="AK138" s="40"/>
      <c r="AL138" s="41"/>
      <c r="AM138" s="41"/>
      <c r="AN138" s="41"/>
      <c r="AO138" s="42"/>
      <c r="AP138" s="50"/>
      <c r="AQ138" s="50"/>
      <c r="AS138" s="55" t="e">
        <f t="shared" si="62"/>
        <v>#DIV/0!</v>
      </c>
      <c r="AT138" s="55"/>
      <c r="AV138" s="56"/>
      <c r="AW138" s="56"/>
      <c r="AX138" s="56"/>
      <c r="AY138" s="62"/>
      <c r="BA138" s="56"/>
      <c r="BB138" s="56"/>
      <c r="BC138" s="56"/>
      <c r="BD138" s="62"/>
      <c r="BF138">
        <f t="shared" si="63"/>
        <v>0</v>
      </c>
      <c r="BG138">
        <f t="shared" si="64"/>
        <v>0</v>
      </c>
      <c r="BH138">
        <f t="shared" si="65"/>
        <v>0</v>
      </c>
      <c r="BI138">
        <f t="shared" si="66"/>
        <v>0</v>
      </c>
      <c r="BJ138">
        <f t="shared" si="67"/>
        <v>0</v>
      </c>
      <c r="BK138">
        <f t="shared" si="68"/>
        <v>0</v>
      </c>
      <c r="BL138">
        <f t="shared" si="69"/>
        <v>0</v>
      </c>
      <c r="BM138">
        <f t="shared" si="70"/>
        <v>0</v>
      </c>
      <c r="BN138">
        <f t="shared" si="71"/>
        <v>0</v>
      </c>
    </row>
    <row r="139" spans="1:66" outlineLevel="1" x14ac:dyDescent="0.15">
      <c r="A139" s="5"/>
      <c r="B139" s="5" t="s">
        <v>125</v>
      </c>
      <c r="C139" s="6" t="s">
        <v>256</v>
      </c>
      <c r="D139" s="5">
        <v>1481746</v>
      </c>
      <c r="E139" s="7">
        <v>12</v>
      </c>
      <c r="F139" s="6">
        <v>1</v>
      </c>
      <c r="G139" s="6"/>
      <c r="I139" s="17" t="str">
        <f t="shared" si="52"/>
        <v>·</v>
      </c>
      <c r="J139" s="18" t="str">
        <f t="shared" si="53"/>
        <v>·</v>
      </c>
      <c r="K139" s="18" t="str">
        <f t="shared" si="54"/>
        <v>·</v>
      </c>
      <c r="L139" s="18" t="str">
        <f t="shared" si="55"/>
        <v>·</v>
      </c>
      <c r="M139" s="19"/>
      <c r="N139" s="18" t="str">
        <f t="shared" si="56"/>
        <v>·</v>
      </c>
      <c r="O139" s="20"/>
      <c r="P139" s="21"/>
      <c r="Q139" s="21"/>
      <c r="R139" s="21"/>
      <c r="S139" s="37"/>
      <c r="T139" s="38"/>
      <c r="U139" s="38"/>
      <c r="V139" s="38"/>
      <c r="W139" s="39"/>
      <c r="X139" s="49"/>
      <c r="Y139" s="49"/>
      <c r="AA139" s="17" t="str">
        <f t="shared" si="57"/>
        <v>·</v>
      </c>
      <c r="AB139" s="18" t="str">
        <f t="shared" si="58"/>
        <v>·</v>
      </c>
      <c r="AC139" s="18" t="str">
        <f t="shared" si="59"/>
        <v>·</v>
      </c>
      <c r="AD139" s="18" t="str">
        <f t="shared" si="60"/>
        <v>·</v>
      </c>
      <c r="AE139" s="19"/>
      <c r="AF139" s="18" t="str">
        <f t="shared" si="61"/>
        <v>·</v>
      </c>
      <c r="AG139" s="20"/>
      <c r="AH139" s="21"/>
      <c r="AI139" s="21"/>
      <c r="AJ139" s="21"/>
      <c r="AK139" s="37"/>
      <c r="AL139" s="38"/>
      <c r="AM139" s="38"/>
      <c r="AN139" s="38"/>
      <c r="AO139" s="39"/>
      <c r="AP139" s="49"/>
      <c r="AQ139" s="49"/>
      <c r="AS139" s="53" t="e">
        <f t="shared" si="62"/>
        <v>#DIV/0!</v>
      </c>
      <c r="AT139" s="53"/>
      <c r="AV139" s="54"/>
      <c r="AW139" s="54"/>
      <c r="AX139" s="54"/>
      <c r="AY139" s="61"/>
      <c r="BA139" s="54"/>
      <c r="BB139" s="54"/>
      <c r="BC139" s="54"/>
      <c r="BD139" s="61"/>
      <c r="BF139">
        <f t="shared" si="63"/>
        <v>0</v>
      </c>
      <c r="BG139">
        <f t="shared" si="64"/>
        <v>0</v>
      </c>
      <c r="BH139">
        <f t="shared" si="65"/>
        <v>0</v>
      </c>
      <c r="BI139">
        <f t="shared" si="66"/>
        <v>0</v>
      </c>
      <c r="BJ139">
        <f t="shared" si="67"/>
        <v>0</v>
      </c>
      <c r="BK139">
        <f t="shared" si="68"/>
        <v>0</v>
      </c>
      <c r="BL139">
        <f t="shared" si="69"/>
        <v>0</v>
      </c>
      <c r="BM139">
        <f t="shared" si="70"/>
        <v>0</v>
      </c>
      <c r="BN139">
        <f t="shared" si="71"/>
        <v>0</v>
      </c>
    </row>
    <row r="140" spans="1:66" outlineLevel="1" x14ac:dyDescent="0.15">
      <c r="A140" s="8"/>
      <c r="B140" s="8" t="s">
        <v>125</v>
      </c>
      <c r="C140" s="9" t="s">
        <v>257</v>
      </c>
      <c r="D140" s="8">
        <v>1481746</v>
      </c>
      <c r="E140" s="10">
        <v>12</v>
      </c>
      <c r="F140" s="9">
        <v>1</v>
      </c>
      <c r="G140" s="9"/>
      <c r="I140" s="22" t="str">
        <f t="shared" si="52"/>
        <v>·</v>
      </c>
      <c r="J140" s="23" t="str">
        <f t="shared" si="53"/>
        <v>·</v>
      </c>
      <c r="K140" s="23" t="str">
        <f t="shared" si="54"/>
        <v>·</v>
      </c>
      <c r="L140" s="23" t="str">
        <f t="shared" si="55"/>
        <v>·</v>
      </c>
      <c r="M140" s="24"/>
      <c r="N140" s="23" t="str">
        <f t="shared" si="56"/>
        <v>·</v>
      </c>
      <c r="O140" s="25"/>
      <c r="P140" s="26"/>
      <c r="Q140" s="26"/>
      <c r="R140" s="26"/>
      <c r="S140" s="40"/>
      <c r="T140" s="41"/>
      <c r="U140" s="41"/>
      <c r="V140" s="41"/>
      <c r="W140" s="42"/>
      <c r="X140" s="50"/>
      <c r="Y140" s="50"/>
      <c r="AA140" s="22" t="str">
        <f t="shared" si="57"/>
        <v>·</v>
      </c>
      <c r="AB140" s="23" t="str">
        <f t="shared" si="58"/>
        <v>·</v>
      </c>
      <c r="AC140" s="23" t="str">
        <f t="shared" si="59"/>
        <v>·</v>
      </c>
      <c r="AD140" s="23" t="str">
        <f t="shared" si="60"/>
        <v>·</v>
      </c>
      <c r="AE140" s="24"/>
      <c r="AF140" s="23" t="str">
        <f t="shared" si="61"/>
        <v>·</v>
      </c>
      <c r="AG140" s="25"/>
      <c r="AH140" s="26"/>
      <c r="AI140" s="26"/>
      <c r="AJ140" s="26"/>
      <c r="AK140" s="40"/>
      <c r="AL140" s="41"/>
      <c r="AM140" s="41"/>
      <c r="AN140" s="41"/>
      <c r="AO140" s="42"/>
      <c r="AP140" s="50"/>
      <c r="AQ140" s="50"/>
      <c r="AS140" s="55" t="e">
        <f t="shared" si="62"/>
        <v>#DIV/0!</v>
      </c>
      <c r="AT140" s="55"/>
      <c r="AV140" s="56"/>
      <c r="AW140" s="56"/>
      <c r="AX140" s="56"/>
      <c r="AY140" s="62"/>
      <c r="BA140" s="56"/>
      <c r="BB140" s="56"/>
      <c r="BC140" s="56"/>
      <c r="BD140" s="62"/>
      <c r="BF140">
        <f t="shared" si="63"/>
        <v>0</v>
      </c>
      <c r="BG140">
        <f t="shared" si="64"/>
        <v>0</v>
      </c>
      <c r="BH140">
        <f t="shared" si="65"/>
        <v>0</v>
      </c>
      <c r="BI140">
        <f t="shared" si="66"/>
        <v>0</v>
      </c>
      <c r="BJ140">
        <f t="shared" si="67"/>
        <v>0</v>
      </c>
      <c r="BK140">
        <f t="shared" si="68"/>
        <v>0</v>
      </c>
      <c r="BL140">
        <f t="shared" si="69"/>
        <v>0</v>
      </c>
      <c r="BM140">
        <f t="shared" si="70"/>
        <v>0</v>
      </c>
      <c r="BN140">
        <f t="shared" si="71"/>
        <v>0</v>
      </c>
    </row>
    <row r="141" spans="1:66" outlineLevel="1" x14ac:dyDescent="0.15">
      <c r="A141" s="5"/>
      <c r="B141" s="5" t="s">
        <v>125</v>
      </c>
      <c r="C141" s="6" t="s">
        <v>258</v>
      </c>
      <c r="D141" s="5">
        <v>1481746</v>
      </c>
      <c r="E141" s="7">
        <v>12</v>
      </c>
      <c r="F141" s="6">
        <v>1</v>
      </c>
      <c r="G141" s="6"/>
      <c r="I141" s="17" t="str">
        <f t="shared" si="52"/>
        <v>·</v>
      </c>
      <c r="J141" s="18" t="str">
        <f t="shared" si="53"/>
        <v>·</v>
      </c>
      <c r="K141" s="18" t="str">
        <f t="shared" si="54"/>
        <v>·</v>
      </c>
      <c r="L141" s="18" t="str">
        <f t="shared" si="55"/>
        <v>·</v>
      </c>
      <c r="M141" s="19"/>
      <c r="N141" s="18" t="str">
        <f t="shared" si="56"/>
        <v>·</v>
      </c>
      <c r="O141" s="20"/>
      <c r="P141" s="21"/>
      <c r="Q141" s="21"/>
      <c r="R141" s="21"/>
      <c r="S141" s="37"/>
      <c r="T141" s="38"/>
      <c r="U141" s="38"/>
      <c r="V141" s="38"/>
      <c r="W141" s="39"/>
      <c r="X141" s="49"/>
      <c r="Y141" s="49"/>
      <c r="AA141" s="17" t="str">
        <f t="shared" si="57"/>
        <v>·</v>
      </c>
      <c r="AB141" s="18" t="str">
        <f t="shared" si="58"/>
        <v>·</v>
      </c>
      <c r="AC141" s="18" t="str">
        <f t="shared" si="59"/>
        <v>·</v>
      </c>
      <c r="AD141" s="18" t="str">
        <f t="shared" si="60"/>
        <v>·</v>
      </c>
      <c r="AE141" s="19"/>
      <c r="AF141" s="18" t="str">
        <f t="shared" si="61"/>
        <v>·</v>
      </c>
      <c r="AG141" s="20"/>
      <c r="AH141" s="21"/>
      <c r="AI141" s="21"/>
      <c r="AJ141" s="21"/>
      <c r="AK141" s="37"/>
      <c r="AL141" s="38"/>
      <c r="AM141" s="38"/>
      <c r="AN141" s="38"/>
      <c r="AO141" s="39"/>
      <c r="AP141" s="49"/>
      <c r="AQ141" s="49"/>
      <c r="AS141" s="53" t="e">
        <f t="shared" si="62"/>
        <v>#DIV/0!</v>
      </c>
      <c r="AT141" s="53"/>
      <c r="AV141" s="54"/>
      <c r="AW141" s="54"/>
      <c r="AX141" s="54"/>
      <c r="AY141" s="61"/>
      <c r="BA141" s="54"/>
      <c r="BB141" s="54"/>
      <c r="BC141" s="54"/>
      <c r="BD141" s="61"/>
      <c r="BF141">
        <f t="shared" si="63"/>
        <v>0</v>
      </c>
      <c r="BG141">
        <f t="shared" si="64"/>
        <v>0</v>
      </c>
      <c r="BH141">
        <f t="shared" si="65"/>
        <v>0</v>
      </c>
      <c r="BI141">
        <f t="shared" si="66"/>
        <v>0</v>
      </c>
      <c r="BJ141">
        <f t="shared" si="67"/>
        <v>0</v>
      </c>
      <c r="BK141">
        <f t="shared" si="68"/>
        <v>0</v>
      </c>
      <c r="BL141">
        <f t="shared" si="69"/>
        <v>0</v>
      </c>
      <c r="BM141">
        <f t="shared" si="70"/>
        <v>0</v>
      </c>
      <c r="BN141">
        <f t="shared" si="71"/>
        <v>0</v>
      </c>
    </row>
    <row r="142" spans="1:66" outlineLevel="1" x14ac:dyDescent="0.15">
      <c r="A142" s="8"/>
      <c r="B142" s="14" t="s">
        <v>125</v>
      </c>
      <c r="C142" s="15" t="s">
        <v>259</v>
      </c>
      <c r="D142" s="14">
        <v>1481746</v>
      </c>
      <c r="E142" s="16">
        <v>12</v>
      </c>
      <c r="F142" s="15">
        <v>1</v>
      </c>
      <c r="G142" s="15"/>
      <c r="I142" s="32" t="str">
        <f t="shared" si="52"/>
        <v>·</v>
      </c>
      <c r="J142" s="33" t="str">
        <f t="shared" si="53"/>
        <v>·</v>
      </c>
      <c r="K142" s="33" t="str">
        <f t="shared" si="54"/>
        <v>·</v>
      </c>
      <c r="L142" s="33" t="str">
        <f t="shared" si="55"/>
        <v>·</v>
      </c>
      <c r="M142" s="34"/>
      <c r="N142" s="33" t="str">
        <f t="shared" si="56"/>
        <v>·</v>
      </c>
      <c r="O142" s="35"/>
      <c r="P142" s="36"/>
      <c r="Q142" s="36"/>
      <c r="R142" s="36"/>
      <c r="S142" s="46"/>
      <c r="T142" s="47"/>
      <c r="U142" s="47"/>
      <c r="V142" s="47"/>
      <c r="W142" s="48"/>
      <c r="X142" s="52"/>
      <c r="Y142" s="52"/>
      <c r="AA142" s="32" t="str">
        <f t="shared" si="57"/>
        <v>·</v>
      </c>
      <c r="AB142" s="33" t="str">
        <f t="shared" si="58"/>
        <v>·</v>
      </c>
      <c r="AC142" s="33" t="str">
        <f t="shared" si="59"/>
        <v>·</v>
      </c>
      <c r="AD142" s="33" t="str">
        <f t="shared" si="60"/>
        <v>·</v>
      </c>
      <c r="AE142" s="34"/>
      <c r="AF142" s="33" t="str">
        <f t="shared" si="61"/>
        <v>·</v>
      </c>
      <c r="AG142" s="35"/>
      <c r="AH142" s="36"/>
      <c r="AI142" s="36"/>
      <c r="AJ142" s="36"/>
      <c r="AK142" s="46"/>
      <c r="AL142" s="47"/>
      <c r="AM142" s="47"/>
      <c r="AN142" s="47"/>
      <c r="AO142" s="48"/>
      <c r="AP142" s="52"/>
      <c r="AQ142" s="52"/>
      <c r="AS142" s="59" t="e">
        <f t="shared" si="62"/>
        <v>#DIV/0!</v>
      </c>
      <c r="AT142" s="59"/>
      <c r="AV142" s="60"/>
      <c r="AW142" s="60"/>
      <c r="AX142" s="60"/>
      <c r="AY142" s="64"/>
      <c r="BA142" s="60"/>
      <c r="BB142" s="60"/>
      <c r="BC142" s="60"/>
      <c r="BD142" s="64"/>
      <c r="BF142">
        <f t="shared" si="63"/>
        <v>0</v>
      </c>
      <c r="BG142">
        <f t="shared" si="64"/>
        <v>0</v>
      </c>
      <c r="BH142">
        <f t="shared" si="65"/>
        <v>0</v>
      </c>
      <c r="BI142">
        <f t="shared" si="66"/>
        <v>0</v>
      </c>
      <c r="BJ142">
        <f t="shared" si="67"/>
        <v>0</v>
      </c>
      <c r="BK142">
        <f t="shared" si="68"/>
        <v>0</v>
      </c>
      <c r="BL142">
        <f t="shared" si="69"/>
        <v>0</v>
      </c>
      <c r="BM142">
        <f t="shared" si="70"/>
        <v>0</v>
      </c>
      <c r="BN142">
        <f t="shared" si="71"/>
        <v>0</v>
      </c>
    </row>
    <row r="143" spans="1:66" x14ac:dyDescent="0.15">
      <c r="A143" s="5"/>
      <c r="B143" s="5" t="s">
        <v>128</v>
      </c>
      <c r="C143" s="6" t="s">
        <v>254</v>
      </c>
      <c r="D143" s="5">
        <v>1530552</v>
      </c>
      <c r="E143" s="7">
        <v>20</v>
      </c>
      <c r="F143" s="6">
        <v>1</v>
      </c>
      <c r="G143" s="6"/>
      <c r="I143" s="17" t="str">
        <f t="shared" si="52"/>
        <v>·</v>
      </c>
      <c r="J143" s="18" t="str">
        <f t="shared" si="53"/>
        <v>·</v>
      </c>
      <c r="K143" s="18" t="str">
        <f t="shared" si="54"/>
        <v>·</v>
      </c>
      <c r="L143" s="18" t="str">
        <f t="shared" si="55"/>
        <v>·</v>
      </c>
      <c r="M143" s="19"/>
      <c r="N143" s="18" t="str">
        <f t="shared" si="56"/>
        <v>·</v>
      </c>
      <c r="O143" s="20"/>
      <c r="P143" s="21"/>
      <c r="Q143" s="21"/>
      <c r="R143" s="21"/>
      <c r="S143" s="37"/>
      <c r="T143" s="38"/>
      <c r="U143" s="38"/>
      <c r="V143" s="38"/>
      <c r="W143" s="39"/>
      <c r="X143" s="49"/>
      <c r="Y143" s="49"/>
      <c r="AA143" s="17" t="str">
        <f t="shared" si="57"/>
        <v>·</v>
      </c>
      <c r="AB143" s="18" t="str">
        <f t="shared" si="58"/>
        <v>·</v>
      </c>
      <c r="AC143" s="18" t="str">
        <f t="shared" si="59"/>
        <v>·</v>
      </c>
      <c r="AD143" s="18" t="str">
        <f t="shared" si="60"/>
        <v>·</v>
      </c>
      <c r="AE143" s="19"/>
      <c r="AF143" s="18" t="str">
        <f t="shared" si="61"/>
        <v>·</v>
      </c>
      <c r="AG143" s="20"/>
      <c r="AH143" s="21"/>
      <c r="AI143" s="21"/>
      <c r="AJ143" s="21"/>
      <c r="AK143" s="37"/>
      <c r="AL143" s="38"/>
      <c r="AM143" s="38"/>
      <c r="AN143" s="38"/>
      <c r="AO143" s="39"/>
      <c r="AP143" s="49"/>
      <c r="AQ143" s="49"/>
      <c r="AS143" s="53" t="e">
        <f t="shared" si="62"/>
        <v>#DIV/0!</v>
      </c>
      <c r="AT143" s="53" t="e">
        <f t="array" ref="AT143">AVERAGE(AI143:AI148/AH143:AH148)-AVERAGE(Q143:Q148/P143:P148)</f>
        <v>#DIV/0!</v>
      </c>
      <c r="AV143" s="54" t="str">
        <f>IF(OR(ISBLANK(R143:R148),ISBLANK(AJ143:AJ148),ISBLANK(T143:T148),ISBLANK(AL143:AL148)),"·",bdRateExtend(R143:R148,T143:T148,AJ143:AJ148,AL143:AL148))</f>
        <v>·</v>
      </c>
      <c r="AW143" s="54" t="str">
        <f>IF(OR(ISBLANK(R143:R148),ISBLANK(AJ143:AJ148),ISBLANK(U143:U148),ISBLANK(AM143:AM148)),"·",bdRateExtend(R143:R148,U143:U148,AJ143:AJ148,AM143:AM148))</f>
        <v>·</v>
      </c>
      <c r="AX143" s="54" t="str">
        <f>IF(OR(ISBLANK(R143:R148),ISBLANK(AJ143:AJ148),ISBLANK(V143:V148),ISBLANK(AN143:AN148)),"·",bdRateExtend(R143:R148,V143:V148,AJ143:AJ148,AN143:AN148))</f>
        <v>·</v>
      </c>
      <c r="AY143" s="61"/>
      <c r="BA143" s="54" t="str">
        <f>IF(OR(ISBLANK(P143:P148),ISBLANK(AH143:AH148),ISBLANK(T143:T148),ISBLANK(AL143:AL148)),"·",bdRateExtend(P143:P148,T143:T148,AH143:AH148,AL143:AL148))</f>
        <v>·</v>
      </c>
      <c r="BB143" s="54" t="str">
        <f>IF(OR(ISBLANK(P143:P148),ISBLANK(AH143:AH148),ISBLANK(U143:U148),ISBLANK(AM143:AM148)),"·",bdRateExtend(P143:P148,U143:U148,AH143:AH148,AM143:AM148))</f>
        <v>·</v>
      </c>
      <c r="BC143" s="54" t="str">
        <f>IF(OR(ISBLANK(P143:P148),ISBLANK(AH143:AH148),ISBLANK(V143:V148),ISBLANK(AN143:AN148)),"·",bdRateExtend(P143:P148,V143:V148,AH143:AH148,AN143:AN148))</f>
        <v>·</v>
      </c>
      <c r="BD143" s="61"/>
      <c r="BF143">
        <f t="shared" si="63"/>
        <v>0</v>
      </c>
      <c r="BG143">
        <f t="shared" si="64"/>
        <v>0</v>
      </c>
      <c r="BH143">
        <f t="shared" si="65"/>
        <v>0</v>
      </c>
      <c r="BI143">
        <f t="shared" si="66"/>
        <v>0</v>
      </c>
      <c r="BJ143">
        <f t="shared" si="67"/>
        <v>0</v>
      </c>
      <c r="BK143">
        <f t="shared" si="68"/>
        <v>0</v>
      </c>
      <c r="BL143">
        <f t="shared" si="69"/>
        <v>0</v>
      </c>
      <c r="BM143">
        <f t="shared" si="70"/>
        <v>0</v>
      </c>
      <c r="BN143">
        <f t="shared" si="71"/>
        <v>0</v>
      </c>
    </row>
    <row r="144" spans="1:66" outlineLevel="1" x14ac:dyDescent="0.15">
      <c r="A144" s="8"/>
      <c r="B144" s="8" t="s">
        <v>128</v>
      </c>
      <c r="C144" s="9" t="s">
        <v>255</v>
      </c>
      <c r="D144" s="8">
        <v>1530552</v>
      </c>
      <c r="E144" s="10">
        <v>20</v>
      </c>
      <c r="F144" s="9">
        <v>1</v>
      </c>
      <c r="G144" s="9"/>
      <c r="I144" s="22" t="str">
        <f t="shared" si="52"/>
        <v>·</v>
      </c>
      <c r="J144" s="23" t="str">
        <f t="shared" si="53"/>
        <v>·</v>
      </c>
      <c r="K144" s="23" t="str">
        <f t="shared" si="54"/>
        <v>·</v>
      </c>
      <c r="L144" s="23" t="str">
        <f t="shared" si="55"/>
        <v>·</v>
      </c>
      <c r="M144" s="24"/>
      <c r="N144" s="23" t="str">
        <f t="shared" si="56"/>
        <v>·</v>
      </c>
      <c r="O144" s="25"/>
      <c r="P144" s="26"/>
      <c r="Q144" s="26"/>
      <c r="R144" s="26"/>
      <c r="S144" s="40"/>
      <c r="T144" s="41"/>
      <c r="U144" s="41"/>
      <c r="V144" s="41"/>
      <c r="W144" s="42"/>
      <c r="X144" s="50"/>
      <c r="Y144" s="50"/>
      <c r="AA144" s="22" t="str">
        <f t="shared" si="57"/>
        <v>·</v>
      </c>
      <c r="AB144" s="23" t="str">
        <f t="shared" si="58"/>
        <v>·</v>
      </c>
      <c r="AC144" s="23" t="str">
        <f t="shared" si="59"/>
        <v>·</v>
      </c>
      <c r="AD144" s="23" t="str">
        <f t="shared" si="60"/>
        <v>·</v>
      </c>
      <c r="AE144" s="24"/>
      <c r="AF144" s="23" t="str">
        <f t="shared" si="61"/>
        <v>·</v>
      </c>
      <c r="AG144" s="25"/>
      <c r="AH144" s="26"/>
      <c r="AI144" s="26"/>
      <c r="AJ144" s="26"/>
      <c r="AK144" s="40"/>
      <c r="AL144" s="41"/>
      <c r="AM144" s="41"/>
      <c r="AN144" s="41"/>
      <c r="AO144" s="42"/>
      <c r="AP144" s="50"/>
      <c r="AQ144" s="50"/>
      <c r="AS144" s="55" t="e">
        <f t="shared" si="62"/>
        <v>#DIV/0!</v>
      </c>
      <c r="AT144" s="55"/>
      <c r="AV144" s="56"/>
      <c r="AW144" s="56"/>
      <c r="AX144" s="56"/>
      <c r="AY144" s="62"/>
      <c r="BA144" s="56"/>
      <c r="BB144" s="56"/>
      <c r="BC144" s="56"/>
      <c r="BD144" s="62"/>
      <c r="BF144">
        <f t="shared" si="63"/>
        <v>0</v>
      </c>
      <c r="BG144">
        <f t="shared" si="64"/>
        <v>0</v>
      </c>
      <c r="BH144">
        <f t="shared" si="65"/>
        <v>0</v>
      </c>
      <c r="BI144">
        <f t="shared" si="66"/>
        <v>0</v>
      </c>
      <c r="BJ144">
        <f t="shared" si="67"/>
        <v>0</v>
      </c>
      <c r="BK144">
        <f t="shared" si="68"/>
        <v>0</v>
      </c>
      <c r="BL144">
        <f t="shared" si="69"/>
        <v>0</v>
      </c>
      <c r="BM144">
        <f t="shared" si="70"/>
        <v>0</v>
      </c>
      <c r="BN144">
        <f t="shared" si="71"/>
        <v>0</v>
      </c>
    </row>
    <row r="145" spans="1:66" outlineLevel="1" x14ac:dyDescent="0.15">
      <c r="A145" s="5"/>
      <c r="B145" s="5" t="s">
        <v>128</v>
      </c>
      <c r="C145" s="6" t="s">
        <v>256</v>
      </c>
      <c r="D145" s="5">
        <v>1530552</v>
      </c>
      <c r="E145" s="7">
        <v>20</v>
      </c>
      <c r="F145" s="6">
        <v>1</v>
      </c>
      <c r="G145" s="6"/>
      <c r="I145" s="17" t="str">
        <f t="shared" si="52"/>
        <v>·</v>
      </c>
      <c r="J145" s="18" t="str">
        <f t="shared" si="53"/>
        <v>·</v>
      </c>
      <c r="K145" s="18" t="str">
        <f t="shared" si="54"/>
        <v>·</v>
      </c>
      <c r="L145" s="18" t="str">
        <f t="shared" si="55"/>
        <v>·</v>
      </c>
      <c r="M145" s="19"/>
      <c r="N145" s="18" t="str">
        <f t="shared" si="56"/>
        <v>·</v>
      </c>
      <c r="O145" s="20"/>
      <c r="P145" s="21"/>
      <c r="Q145" s="21"/>
      <c r="R145" s="21"/>
      <c r="S145" s="37"/>
      <c r="T145" s="38"/>
      <c r="U145" s="38"/>
      <c r="V145" s="38"/>
      <c r="W145" s="39"/>
      <c r="X145" s="49"/>
      <c r="Y145" s="49"/>
      <c r="AA145" s="17" t="str">
        <f t="shared" si="57"/>
        <v>·</v>
      </c>
      <c r="AB145" s="18" t="str">
        <f t="shared" si="58"/>
        <v>·</v>
      </c>
      <c r="AC145" s="18" t="str">
        <f t="shared" si="59"/>
        <v>·</v>
      </c>
      <c r="AD145" s="18" t="str">
        <f t="shared" si="60"/>
        <v>·</v>
      </c>
      <c r="AE145" s="19"/>
      <c r="AF145" s="18" t="str">
        <f t="shared" si="61"/>
        <v>·</v>
      </c>
      <c r="AG145" s="20"/>
      <c r="AH145" s="21"/>
      <c r="AI145" s="21"/>
      <c r="AJ145" s="21"/>
      <c r="AK145" s="37"/>
      <c r="AL145" s="38"/>
      <c r="AM145" s="38"/>
      <c r="AN145" s="38"/>
      <c r="AO145" s="39"/>
      <c r="AP145" s="49"/>
      <c r="AQ145" s="49"/>
      <c r="AS145" s="53" t="e">
        <f t="shared" si="62"/>
        <v>#DIV/0!</v>
      </c>
      <c r="AT145" s="53"/>
      <c r="AV145" s="54"/>
      <c r="AW145" s="54"/>
      <c r="AX145" s="54"/>
      <c r="AY145" s="61"/>
      <c r="BA145" s="54"/>
      <c r="BB145" s="54"/>
      <c r="BC145" s="54"/>
      <c r="BD145" s="61"/>
      <c r="BF145">
        <f t="shared" si="63"/>
        <v>0</v>
      </c>
      <c r="BG145">
        <f t="shared" si="64"/>
        <v>0</v>
      </c>
      <c r="BH145">
        <f t="shared" si="65"/>
        <v>0</v>
      </c>
      <c r="BI145">
        <f t="shared" si="66"/>
        <v>0</v>
      </c>
      <c r="BJ145">
        <f t="shared" si="67"/>
        <v>0</v>
      </c>
      <c r="BK145">
        <f t="shared" si="68"/>
        <v>0</v>
      </c>
      <c r="BL145">
        <f t="shared" si="69"/>
        <v>0</v>
      </c>
      <c r="BM145">
        <f t="shared" si="70"/>
        <v>0</v>
      </c>
      <c r="BN145">
        <f t="shared" si="71"/>
        <v>0</v>
      </c>
    </row>
    <row r="146" spans="1:66" outlineLevel="1" x14ac:dyDescent="0.15">
      <c r="A146" s="8"/>
      <c r="B146" s="8" t="s">
        <v>128</v>
      </c>
      <c r="C146" s="9" t="s">
        <v>257</v>
      </c>
      <c r="D146" s="8">
        <v>1530552</v>
      </c>
      <c r="E146" s="10">
        <v>20</v>
      </c>
      <c r="F146" s="9">
        <v>1</v>
      </c>
      <c r="G146" s="9"/>
      <c r="I146" s="22" t="str">
        <f t="shared" si="52"/>
        <v>·</v>
      </c>
      <c r="J146" s="23" t="str">
        <f t="shared" si="53"/>
        <v>·</v>
      </c>
      <c r="K146" s="23" t="str">
        <f t="shared" si="54"/>
        <v>·</v>
      </c>
      <c r="L146" s="23" t="str">
        <f t="shared" si="55"/>
        <v>·</v>
      </c>
      <c r="M146" s="24"/>
      <c r="N146" s="23" t="str">
        <f t="shared" si="56"/>
        <v>·</v>
      </c>
      <c r="O146" s="25"/>
      <c r="P146" s="26"/>
      <c r="Q146" s="26"/>
      <c r="R146" s="26"/>
      <c r="S146" s="40"/>
      <c r="T146" s="41"/>
      <c r="U146" s="41"/>
      <c r="V146" s="41"/>
      <c r="W146" s="42"/>
      <c r="X146" s="50"/>
      <c r="Y146" s="50"/>
      <c r="AA146" s="22" t="str">
        <f t="shared" si="57"/>
        <v>·</v>
      </c>
      <c r="AB146" s="23" t="str">
        <f t="shared" si="58"/>
        <v>·</v>
      </c>
      <c r="AC146" s="23" t="str">
        <f t="shared" si="59"/>
        <v>·</v>
      </c>
      <c r="AD146" s="23" t="str">
        <f t="shared" si="60"/>
        <v>·</v>
      </c>
      <c r="AE146" s="24"/>
      <c r="AF146" s="23" t="str">
        <f t="shared" si="61"/>
        <v>·</v>
      </c>
      <c r="AG146" s="25"/>
      <c r="AH146" s="26"/>
      <c r="AI146" s="26"/>
      <c r="AJ146" s="26"/>
      <c r="AK146" s="40"/>
      <c r="AL146" s="41"/>
      <c r="AM146" s="41"/>
      <c r="AN146" s="41"/>
      <c r="AO146" s="42"/>
      <c r="AP146" s="50"/>
      <c r="AQ146" s="50"/>
      <c r="AS146" s="55" t="e">
        <f t="shared" si="62"/>
        <v>#DIV/0!</v>
      </c>
      <c r="AT146" s="55"/>
      <c r="AV146" s="56"/>
      <c r="AW146" s="56"/>
      <c r="AX146" s="56"/>
      <c r="AY146" s="62"/>
      <c r="BA146" s="56"/>
      <c r="BB146" s="56"/>
      <c r="BC146" s="56"/>
      <c r="BD146" s="62"/>
      <c r="BF146">
        <f t="shared" si="63"/>
        <v>0</v>
      </c>
      <c r="BG146">
        <f t="shared" si="64"/>
        <v>0</v>
      </c>
      <c r="BH146">
        <f t="shared" si="65"/>
        <v>0</v>
      </c>
      <c r="BI146">
        <f t="shared" si="66"/>
        <v>0</v>
      </c>
      <c r="BJ146">
        <f t="shared" si="67"/>
        <v>0</v>
      </c>
      <c r="BK146">
        <f t="shared" si="68"/>
        <v>0</v>
      </c>
      <c r="BL146">
        <f t="shared" si="69"/>
        <v>0</v>
      </c>
      <c r="BM146">
        <f t="shared" si="70"/>
        <v>0</v>
      </c>
      <c r="BN146">
        <f t="shared" si="71"/>
        <v>0</v>
      </c>
    </row>
    <row r="147" spans="1:66" outlineLevel="1" x14ac:dyDescent="0.15">
      <c r="A147" s="5"/>
      <c r="B147" s="5" t="s">
        <v>128</v>
      </c>
      <c r="C147" s="6" t="s">
        <v>258</v>
      </c>
      <c r="D147" s="5">
        <v>1530552</v>
      </c>
      <c r="E147" s="7">
        <v>20</v>
      </c>
      <c r="F147" s="6">
        <v>1</v>
      </c>
      <c r="G147" s="6"/>
      <c r="I147" s="17" t="str">
        <f t="shared" si="52"/>
        <v>·</v>
      </c>
      <c r="J147" s="18" t="str">
        <f t="shared" si="53"/>
        <v>·</v>
      </c>
      <c r="K147" s="18" t="str">
        <f t="shared" si="54"/>
        <v>·</v>
      </c>
      <c r="L147" s="18" t="str">
        <f t="shared" si="55"/>
        <v>·</v>
      </c>
      <c r="M147" s="19"/>
      <c r="N147" s="18" t="str">
        <f t="shared" si="56"/>
        <v>·</v>
      </c>
      <c r="O147" s="20"/>
      <c r="P147" s="21"/>
      <c r="Q147" s="21"/>
      <c r="R147" s="21"/>
      <c r="S147" s="37"/>
      <c r="T147" s="38"/>
      <c r="U147" s="38"/>
      <c r="V147" s="38"/>
      <c r="W147" s="39"/>
      <c r="X147" s="49"/>
      <c r="Y147" s="49"/>
      <c r="AA147" s="17" t="str">
        <f t="shared" si="57"/>
        <v>·</v>
      </c>
      <c r="AB147" s="18" t="str">
        <f t="shared" si="58"/>
        <v>·</v>
      </c>
      <c r="AC147" s="18" t="str">
        <f t="shared" si="59"/>
        <v>·</v>
      </c>
      <c r="AD147" s="18" t="str">
        <f t="shared" si="60"/>
        <v>·</v>
      </c>
      <c r="AE147" s="19"/>
      <c r="AF147" s="18" t="str">
        <f t="shared" si="61"/>
        <v>·</v>
      </c>
      <c r="AG147" s="20"/>
      <c r="AH147" s="21"/>
      <c r="AI147" s="21"/>
      <c r="AJ147" s="21"/>
      <c r="AK147" s="37"/>
      <c r="AL147" s="38"/>
      <c r="AM147" s="38"/>
      <c r="AN147" s="38"/>
      <c r="AO147" s="39"/>
      <c r="AP147" s="49"/>
      <c r="AQ147" s="49"/>
      <c r="AS147" s="53" t="e">
        <f t="shared" si="62"/>
        <v>#DIV/0!</v>
      </c>
      <c r="AT147" s="53"/>
      <c r="AV147" s="54"/>
      <c r="AW147" s="54"/>
      <c r="AX147" s="54"/>
      <c r="AY147" s="61"/>
      <c r="BA147" s="54"/>
      <c r="BB147" s="54"/>
      <c r="BC147" s="54"/>
      <c r="BD147" s="61"/>
      <c r="BF147">
        <f t="shared" si="63"/>
        <v>0</v>
      </c>
      <c r="BG147">
        <f t="shared" si="64"/>
        <v>0</v>
      </c>
      <c r="BH147">
        <f t="shared" si="65"/>
        <v>0</v>
      </c>
      <c r="BI147">
        <f t="shared" si="66"/>
        <v>0</v>
      </c>
      <c r="BJ147">
        <f t="shared" si="67"/>
        <v>0</v>
      </c>
      <c r="BK147">
        <f t="shared" si="68"/>
        <v>0</v>
      </c>
      <c r="BL147">
        <f t="shared" si="69"/>
        <v>0</v>
      </c>
      <c r="BM147">
        <f t="shared" si="70"/>
        <v>0</v>
      </c>
      <c r="BN147">
        <f t="shared" si="71"/>
        <v>0</v>
      </c>
    </row>
    <row r="148" spans="1:66" outlineLevel="1" x14ac:dyDescent="0.15">
      <c r="A148" s="8"/>
      <c r="B148" s="14" t="s">
        <v>128</v>
      </c>
      <c r="C148" s="15" t="s">
        <v>259</v>
      </c>
      <c r="D148" s="14">
        <v>1530552</v>
      </c>
      <c r="E148" s="16">
        <v>20</v>
      </c>
      <c r="F148" s="15">
        <v>1</v>
      </c>
      <c r="G148" s="15"/>
      <c r="I148" s="32" t="str">
        <f t="shared" si="52"/>
        <v>·</v>
      </c>
      <c r="J148" s="33" t="str">
        <f t="shared" si="53"/>
        <v>·</v>
      </c>
      <c r="K148" s="33" t="str">
        <f t="shared" si="54"/>
        <v>·</v>
      </c>
      <c r="L148" s="33" t="str">
        <f t="shared" si="55"/>
        <v>·</v>
      </c>
      <c r="M148" s="34"/>
      <c r="N148" s="33" t="str">
        <f t="shared" si="56"/>
        <v>·</v>
      </c>
      <c r="O148" s="35"/>
      <c r="P148" s="36"/>
      <c r="Q148" s="36"/>
      <c r="R148" s="36"/>
      <c r="S148" s="46"/>
      <c r="T148" s="47"/>
      <c r="U148" s="47"/>
      <c r="V148" s="47"/>
      <c r="W148" s="48"/>
      <c r="X148" s="52"/>
      <c r="Y148" s="52"/>
      <c r="AA148" s="32" t="str">
        <f t="shared" si="57"/>
        <v>·</v>
      </c>
      <c r="AB148" s="33" t="str">
        <f t="shared" si="58"/>
        <v>·</v>
      </c>
      <c r="AC148" s="33" t="str">
        <f t="shared" si="59"/>
        <v>·</v>
      </c>
      <c r="AD148" s="33" t="str">
        <f t="shared" si="60"/>
        <v>·</v>
      </c>
      <c r="AE148" s="34"/>
      <c r="AF148" s="33" t="str">
        <f t="shared" si="61"/>
        <v>·</v>
      </c>
      <c r="AG148" s="35"/>
      <c r="AH148" s="36"/>
      <c r="AI148" s="36"/>
      <c r="AJ148" s="36"/>
      <c r="AK148" s="46"/>
      <c r="AL148" s="47"/>
      <c r="AM148" s="47"/>
      <c r="AN148" s="47"/>
      <c r="AO148" s="48"/>
      <c r="AP148" s="52"/>
      <c r="AQ148" s="52"/>
      <c r="AS148" s="59" t="e">
        <f t="shared" si="62"/>
        <v>#DIV/0!</v>
      </c>
      <c r="AT148" s="59"/>
      <c r="AV148" s="60"/>
      <c r="AW148" s="60"/>
      <c r="AX148" s="60"/>
      <c r="AY148" s="64"/>
      <c r="BA148" s="60"/>
      <c r="BB148" s="60"/>
      <c r="BC148" s="60"/>
      <c r="BD148" s="64"/>
      <c r="BF148">
        <f t="shared" si="63"/>
        <v>0</v>
      </c>
      <c r="BG148">
        <f t="shared" si="64"/>
        <v>0</v>
      </c>
      <c r="BH148">
        <f t="shared" si="65"/>
        <v>0</v>
      </c>
      <c r="BI148">
        <f t="shared" si="66"/>
        <v>0</v>
      </c>
      <c r="BJ148">
        <f t="shared" si="67"/>
        <v>0</v>
      </c>
      <c r="BK148">
        <f t="shared" si="68"/>
        <v>0</v>
      </c>
      <c r="BL148">
        <f t="shared" si="69"/>
        <v>0</v>
      </c>
      <c r="BM148">
        <f t="shared" si="70"/>
        <v>0</v>
      </c>
      <c r="BN148">
        <f t="shared" si="71"/>
        <v>0</v>
      </c>
    </row>
    <row r="149" spans="1:66" x14ac:dyDescent="0.15">
      <c r="A149" s="5"/>
      <c r="B149" s="5" t="s">
        <v>131</v>
      </c>
      <c r="C149" s="6" t="s">
        <v>254</v>
      </c>
      <c r="D149" s="5">
        <v>272689</v>
      </c>
      <c r="E149" s="7">
        <v>20</v>
      </c>
      <c r="F149" s="6">
        <v>1</v>
      </c>
      <c r="G149" s="6"/>
      <c r="I149" s="17" t="str">
        <f t="shared" si="52"/>
        <v>·</v>
      </c>
      <c r="J149" s="18" t="str">
        <f t="shared" si="53"/>
        <v>·</v>
      </c>
      <c r="K149" s="18" t="str">
        <f t="shared" si="54"/>
        <v>·</v>
      </c>
      <c r="L149" s="18" t="str">
        <f t="shared" si="55"/>
        <v>·</v>
      </c>
      <c r="M149" s="19"/>
      <c r="N149" s="18" t="str">
        <f t="shared" si="56"/>
        <v>·</v>
      </c>
      <c r="O149" s="20"/>
      <c r="P149" s="21"/>
      <c r="Q149" s="21"/>
      <c r="R149" s="21"/>
      <c r="S149" s="37"/>
      <c r="T149" s="38"/>
      <c r="U149" s="38"/>
      <c r="V149" s="38"/>
      <c r="W149" s="39"/>
      <c r="X149" s="49"/>
      <c r="Y149" s="49"/>
      <c r="AA149" s="17" t="str">
        <f t="shared" si="57"/>
        <v>·</v>
      </c>
      <c r="AB149" s="18" t="str">
        <f t="shared" si="58"/>
        <v>·</v>
      </c>
      <c r="AC149" s="18" t="str">
        <f t="shared" si="59"/>
        <v>·</v>
      </c>
      <c r="AD149" s="18" t="str">
        <f t="shared" si="60"/>
        <v>·</v>
      </c>
      <c r="AE149" s="19"/>
      <c r="AF149" s="18" t="str">
        <f t="shared" si="61"/>
        <v>·</v>
      </c>
      <c r="AG149" s="20"/>
      <c r="AH149" s="21"/>
      <c r="AI149" s="21"/>
      <c r="AJ149" s="21"/>
      <c r="AK149" s="37"/>
      <c r="AL149" s="38"/>
      <c r="AM149" s="38"/>
      <c r="AN149" s="38"/>
      <c r="AO149" s="39"/>
      <c r="AP149" s="49"/>
      <c r="AQ149" s="49"/>
      <c r="AS149" s="53" t="e">
        <f t="shared" si="62"/>
        <v>#DIV/0!</v>
      </c>
      <c r="AT149" s="53" t="e">
        <f t="array" ref="AT149">AVERAGE(AI149:AI154/AH149:AH154)-AVERAGE(Q149:Q154/P149:P154)</f>
        <v>#DIV/0!</v>
      </c>
      <c r="AV149" s="54" t="str">
        <f>IF(OR(ISBLANK(R149:R154),ISBLANK(AJ149:AJ154),ISBLANK(T149:T154),ISBLANK(AL149:AL154)),"·",bdRateExtend(R149:R154,T149:T154,AJ149:AJ154,AL149:AL154))</f>
        <v>·</v>
      </c>
      <c r="AW149" s="54" t="str">
        <f>IF(OR(ISBLANK(R149:R154),ISBLANK(AJ149:AJ154),ISBLANK(U149:U154),ISBLANK(AM149:AM154)),"·",bdRateExtend(R149:R154,U149:U154,AJ149:AJ154,AM149:AM154))</f>
        <v>·</v>
      </c>
      <c r="AX149" s="54" t="str">
        <f>IF(OR(ISBLANK(R149:R154),ISBLANK(AJ149:AJ154),ISBLANK(V149:V154),ISBLANK(AN149:AN154)),"·",bdRateExtend(R149:R154,V149:V154,AJ149:AJ154,AN149:AN154))</f>
        <v>·</v>
      </c>
      <c r="AY149" s="61"/>
      <c r="BA149" s="54" t="str">
        <f>IF(OR(ISBLANK(P149:P154),ISBLANK(AH149:AH154),ISBLANK(T149:T154),ISBLANK(AL149:AL154)),"·",bdRateExtend(P149:P154,T149:T154,AH149:AH154,AL149:AL154))</f>
        <v>·</v>
      </c>
      <c r="BB149" s="54" t="str">
        <f>IF(OR(ISBLANK(P149:P154),ISBLANK(AH149:AH154),ISBLANK(U149:U154),ISBLANK(AM149:AM154)),"·",bdRateExtend(P149:P154,U149:U154,AH149:AH154,AM149:AM154))</f>
        <v>·</v>
      </c>
      <c r="BC149" s="54" t="str">
        <f>IF(OR(ISBLANK(P149:P154),ISBLANK(AH149:AH154),ISBLANK(V149:V154),ISBLANK(AN149:AN154)),"·",bdRateExtend(P149:P154,V149:V154,AH149:AH154,AN149:AN154))</f>
        <v>·</v>
      </c>
      <c r="BD149" s="61"/>
      <c r="BF149">
        <f t="shared" si="63"/>
        <v>0</v>
      </c>
      <c r="BG149">
        <f t="shared" si="64"/>
        <v>0</v>
      </c>
      <c r="BH149">
        <f t="shared" si="65"/>
        <v>0</v>
      </c>
      <c r="BI149">
        <f t="shared" si="66"/>
        <v>0</v>
      </c>
      <c r="BJ149">
        <f t="shared" si="67"/>
        <v>0</v>
      </c>
      <c r="BK149">
        <f t="shared" si="68"/>
        <v>0</v>
      </c>
      <c r="BL149">
        <f t="shared" si="69"/>
        <v>0</v>
      </c>
      <c r="BM149">
        <f t="shared" si="70"/>
        <v>0</v>
      </c>
      <c r="BN149">
        <f t="shared" si="71"/>
        <v>0</v>
      </c>
    </row>
    <row r="150" spans="1:66" outlineLevel="1" x14ac:dyDescent="0.15">
      <c r="A150" s="8"/>
      <c r="B150" s="8" t="s">
        <v>131</v>
      </c>
      <c r="C150" s="9" t="s">
        <v>255</v>
      </c>
      <c r="D150" s="8">
        <v>272689</v>
      </c>
      <c r="E150" s="10">
        <v>20</v>
      </c>
      <c r="F150" s="9">
        <v>1</v>
      </c>
      <c r="G150" s="9"/>
      <c r="I150" s="22" t="str">
        <f t="shared" si="52"/>
        <v>·</v>
      </c>
      <c r="J150" s="23" t="str">
        <f t="shared" si="53"/>
        <v>·</v>
      </c>
      <c r="K150" s="23" t="str">
        <f t="shared" si="54"/>
        <v>·</v>
      </c>
      <c r="L150" s="23" t="str">
        <f t="shared" si="55"/>
        <v>·</v>
      </c>
      <c r="M150" s="24"/>
      <c r="N150" s="23" t="str">
        <f t="shared" si="56"/>
        <v>·</v>
      </c>
      <c r="O150" s="25"/>
      <c r="P150" s="26"/>
      <c r="Q150" s="26"/>
      <c r="R150" s="26"/>
      <c r="S150" s="40"/>
      <c r="T150" s="41"/>
      <c r="U150" s="41"/>
      <c r="V150" s="41"/>
      <c r="W150" s="42"/>
      <c r="X150" s="50"/>
      <c r="Y150" s="50"/>
      <c r="AA150" s="22" t="str">
        <f t="shared" si="57"/>
        <v>·</v>
      </c>
      <c r="AB150" s="23" t="str">
        <f t="shared" si="58"/>
        <v>·</v>
      </c>
      <c r="AC150" s="23" t="str">
        <f t="shared" si="59"/>
        <v>·</v>
      </c>
      <c r="AD150" s="23" t="str">
        <f t="shared" si="60"/>
        <v>·</v>
      </c>
      <c r="AE150" s="24"/>
      <c r="AF150" s="23" t="str">
        <f t="shared" si="61"/>
        <v>·</v>
      </c>
      <c r="AG150" s="25"/>
      <c r="AH150" s="26"/>
      <c r="AI150" s="26"/>
      <c r="AJ150" s="26"/>
      <c r="AK150" s="40"/>
      <c r="AL150" s="41"/>
      <c r="AM150" s="41"/>
      <c r="AN150" s="41"/>
      <c r="AO150" s="42"/>
      <c r="AP150" s="50"/>
      <c r="AQ150" s="50"/>
      <c r="AS150" s="55" t="e">
        <f t="shared" si="62"/>
        <v>#DIV/0!</v>
      </c>
      <c r="AT150" s="55"/>
      <c r="AV150" s="56"/>
      <c r="AW150" s="56"/>
      <c r="AX150" s="56"/>
      <c r="AY150" s="62"/>
      <c r="BA150" s="56"/>
      <c r="BB150" s="56"/>
      <c r="BC150" s="56"/>
      <c r="BD150" s="62"/>
      <c r="BF150">
        <f t="shared" si="63"/>
        <v>0</v>
      </c>
      <c r="BG150">
        <f t="shared" si="64"/>
        <v>0</v>
      </c>
      <c r="BH150">
        <f t="shared" si="65"/>
        <v>0</v>
      </c>
      <c r="BI150">
        <f t="shared" si="66"/>
        <v>0</v>
      </c>
      <c r="BJ150">
        <f t="shared" si="67"/>
        <v>0</v>
      </c>
      <c r="BK150">
        <f t="shared" si="68"/>
        <v>0</v>
      </c>
      <c r="BL150">
        <f t="shared" si="69"/>
        <v>0</v>
      </c>
      <c r="BM150">
        <f t="shared" si="70"/>
        <v>0</v>
      </c>
      <c r="BN150">
        <f t="shared" si="71"/>
        <v>0</v>
      </c>
    </row>
    <row r="151" spans="1:66" outlineLevel="1" x14ac:dyDescent="0.15">
      <c r="A151" s="5"/>
      <c r="B151" s="5" t="s">
        <v>131</v>
      </c>
      <c r="C151" s="6" t="s">
        <v>256</v>
      </c>
      <c r="D151" s="5">
        <v>272689</v>
      </c>
      <c r="E151" s="7">
        <v>20</v>
      </c>
      <c r="F151" s="6">
        <v>1</v>
      </c>
      <c r="G151" s="6"/>
      <c r="I151" s="17" t="str">
        <f t="shared" si="52"/>
        <v>·</v>
      </c>
      <c r="J151" s="18" t="str">
        <f t="shared" si="53"/>
        <v>·</v>
      </c>
      <c r="K151" s="18" t="str">
        <f t="shared" si="54"/>
        <v>·</v>
      </c>
      <c r="L151" s="18" t="str">
        <f t="shared" si="55"/>
        <v>·</v>
      </c>
      <c r="M151" s="19"/>
      <c r="N151" s="18" t="str">
        <f t="shared" si="56"/>
        <v>·</v>
      </c>
      <c r="O151" s="20"/>
      <c r="P151" s="21"/>
      <c r="Q151" s="21"/>
      <c r="R151" s="21"/>
      <c r="S151" s="37"/>
      <c r="T151" s="38"/>
      <c r="U151" s="38"/>
      <c r="V151" s="38"/>
      <c r="W151" s="39"/>
      <c r="X151" s="49"/>
      <c r="Y151" s="49"/>
      <c r="AA151" s="17" t="str">
        <f t="shared" si="57"/>
        <v>·</v>
      </c>
      <c r="AB151" s="18" t="str">
        <f t="shared" si="58"/>
        <v>·</v>
      </c>
      <c r="AC151" s="18" t="str">
        <f t="shared" si="59"/>
        <v>·</v>
      </c>
      <c r="AD151" s="18" t="str">
        <f t="shared" si="60"/>
        <v>·</v>
      </c>
      <c r="AE151" s="19"/>
      <c r="AF151" s="18" t="str">
        <f t="shared" si="61"/>
        <v>·</v>
      </c>
      <c r="AG151" s="20"/>
      <c r="AH151" s="21"/>
      <c r="AI151" s="21"/>
      <c r="AJ151" s="21"/>
      <c r="AK151" s="37"/>
      <c r="AL151" s="38"/>
      <c r="AM151" s="38"/>
      <c r="AN151" s="38"/>
      <c r="AO151" s="39"/>
      <c r="AP151" s="49"/>
      <c r="AQ151" s="49"/>
      <c r="AS151" s="53" t="e">
        <f t="shared" si="62"/>
        <v>#DIV/0!</v>
      </c>
      <c r="AT151" s="53"/>
      <c r="AV151" s="54"/>
      <c r="AW151" s="54"/>
      <c r="AX151" s="54"/>
      <c r="AY151" s="61"/>
      <c r="BA151" s="54"/>
      <c r="BB151" s="54"/>
      <c r="BC151" s="54"/>
      <c r="BD151" s="61"/>
      <c r="BF151">
        <f t="shared" si="63"/>
        <v>0</v>
      </c>
      <c r="BG151">
        <f t="shared" si="64"/>
        <v>0</v>
      </c>
      <c r="BH151">
        <f t="shared" si="65"/>
        <v>0</v>
      </c>
      <c r="BI151">
        <f t="shared" si="66"/>
        <v>0</v>
      </c>
      <c r="BJ151">
        <f t="shared" si="67"/>
        <v>0</v>
      </c>
      <c r="BK151">
        <f t="shared" si="68"/>
        <v>0</v>
      </c>
      <c r="BL151">
        <f t="shared" si="69"/>
        <v>0</v>
      </c>
      <c r="BM151">
        <f t="shared" si="70"/>
        <v>0</v>
      </c>
      <c r="BN151">
        <f t="shared" si="71"/>
        <v>0</v>
      </c>
    </row>
    <row r="152" spans="1:66" outlineLevel="1" x14ac:dyDescent="0.15">
      <c r="A152" s="8"/>
      <c r="B152" s="8" t="s">
        <v>131</v>
      </c>
      <c r="C152" s="9" t="s">
        <v>257</v>
      </c>
      <c r="D152" s="8">
        <v>272689</v>
      </c>
      <c r="E152" s="10">
        <v>20</v>
      </c>
      <c r="F152" s="9">
        <v>1</v>
      </c>
      <c r="G152" s="9"/>
      <c r="I152" s="22" t="str">
        <f t="shared" si="52"/>
        <v>·</v>
      </c>
      <c r="J152" s="23" t="str">
        <f t="shared" si="53"/>
        <v>·</v>
      </c>
      <c r="K152" s="23" t="str">
        <f t="shared" si="54"/>
        <v>·</v>
      </c>
      <c r="L152" s="23" t="str">
        <f t="shared" si="55"/>
        <v>·</v>
      </c>
      <c r="M152" s="24"/>
      <c r="N152" s="23" t="str">
        <f t="shared" si="56"/>
        <v>·</v>
      </c>
      <c r="O152" s="25"/>
      <c r="P152" s="26"/>
      <c r="Q152" s="26"/>
      <c r="R152" s="26"/>
      <c r="S152" s="40"/>
      <c r="T152" s="41"/>
      <c r="U152" s="41"/>
      <c r="V152" s="41"/>
      <c r="W152" s="42"/>
      <c r="X152" s="50"/>
      <c r="Y152" s="50"/>
      <c r="AA152" s="22" t="str">
        <f t="shared" si="57"/>
        <v>·</v>
      </c>
      <c r="AB152" s="23" t="str">
        <f t="shared" si="58"/>
        <v>·</v>
      </c>
      <c r="AC152" s="23" t="str">
        <f t="shared" si="59"/>
        <v>·</v>
      </c>
      <c r="AD152" s="23" t="str">
        <f t="shared" si="60"/>
        <v>·</v>
      </c>
      <c r="AE152" s="24"/>
      <c r="AF152" s="23" t="str">
        <f t="shared" si="61"/>
        <v>·</v>
      </c>
      <c r="AG152" s="25"/>
      <c r="AH152" s="26"/>
      <c r="AI152" s="26"/>
      <c r="AJ152" s="26"/>
      <c r="AK152" s="40"/>
      <c r="AL152" s="41"/>
      <c r="AM152" s="41"/>
      <c r="AN152" s="41"/>
      <c r="AO152" s="42"/>
      <c r="AP152" s="50"/>
      <c r="AQ152" s="50"/>
      <c r="AS152" s="55" t="e">
        <f t="shared" si="62"/>
        <v>#DIV/0!</v>
      </c>
      <c r="AT152" s="55"/>
      <c r="AV152" s="56"/>
      <c r="AW152" s="56"/>
      <c r="AX152" s="56"/>
      <c r="AY152" s="62"/>
      <c r="BA152" s="56"/>
      <c r="BB152" s="56"/>
      <c r="BC152" s="56"/>
      <c r="BD152" s="62"/>
      <c r="BF152">
        <f t="shared" si="63"/>
        <v>0</v>
      </c>
      <c r="BG152">
        <f t="shared" si="64"/>
        <v>0</v>
      </c>
      <c r="BH152">
        <f t="shared" si="65"/>
        <v>0</v>
      </c>
      <c r="BI152">
        <f t="shared" si="66"/>
        <v>0</v>
      </c>
      <c r="BJ152">
        <f t="shared" si="67"/>
        <v>0</v>
      </c>
      <c r="BK152">
        <f t="shared" si="68"/>
        <v>0</v>
      </c>
      <c r="BL152">
        <f t="shared" si="69"/>
        <v>0</v>
      </c>
      <c r="BM152">
        <f t="shared" si="70"/>
        <v>0</v>
      </c>
      <c r="BN152">
        <f t="shared" si="71"/>
        <v>0</v>
      </c>
    </row>
    <row r="153" spans="1:66" outlineLevel="1" x14ac:dyDescent="0.15">
      <c r="A153" s="5"/>
      <c r="B153" s="5" t="s">
        <v>131</v>
      </c>
      <c r="C153" s="6" t="s">
        <v>258</v>
      </c>
      <c r="D153" s="5">
        <v>272689</v>
      </c>
      <c r="E153" s="7">
        <v>20</v>
      </c>
      <c r="F153" s="6">
        <v>1</v>
      </c>
      <c r="G153" s="6"/>
      <c r="I153" s="17" t="str">
        <f t="shared" si="52"/>
        <v>·</v>
      </c>
      <c r="J153" s="18" t="str">
        <f t="shared" si="53"/>
        <v>·</v>
      </c>
      <c r="K153" s="18" t="str">
        <f t="shared" si="54"/>
        <v>·</v>
      </c>
      <c r="L153" s="18" t="str">
        <f t="shared" si="55"/>
        <v>·</v>
      </c>
      <c r="M153" s="19"/>
      <c r="N153" s="18" t="str">
        <f t="shared" si="56"/>
        <v>·</v>
      </c>
      <c r="O153" s="20"/>
      <c r="P153" s="21"/>
      <c r="Q153" s="21"/>
      <c r="R153" s="21"/>
      <c r="S153" s="37"/>
      <c r="T153" s="38"/>
      <c r="U153" s="38"/>
      <c r="V153" s="38"/>
      <c r="W153" s="39"/>
      <c r="X153" s="49"/>
      <c r="Y153" s="49"/>
      <c r="AA153" s="17" t="str">
        <f t="shared" si="57"/>
        <v>·</v>
      </c>
      <c r="AB153" s="18" t="str">
        <f t="shared" si="58"/>
        <v>·</v>
      </c>
      <c r="AC153" s="18" t="str">
        <f t="shared" si="59"/>
        <v>·</v>
      </c>
      <c r="AD153" s="18" t="str">
        <f t="shared" si="60"/>
        <v>·</v>
      </c>
      <c r="AE153" s="19"/>
      <c r="AF153" s="18" t="str">
        <f t="shared" si="61"/>
        <v>·</v>
      </c>
      <c r="AG153" s="20"/>
      <c r="AH153" s="21"/>
      <c r="AI153" s="21"/>
      <c r="AJ153" s="21"/>
      <c r="AK153" s="37"/>
      <c r="AL153" s="38"/>
      <c r="AM153" s="38"/>
      <c r="AN153" s="38"/>
      <c r="AO153" s="39"/>
      <c r="AP153" s="49"/>
      <c r="AQ153" s="49"/>
      <c r="AS153" s="53" t="e">
        <f t="shared" si="62"/>
        <v>#DIV/0!</v>
      </c>
      <c r="AT153" s="53"/>
      <c r="AV153" s="54"/>
      <c r="AW153" s="54"/>
      <c r="AX153" s="54"/>
      <c r="AY153" s="61"/>
      <c r="BA153" s="54"/>
      <c r="BB153" s="54"/>
      <c r="BC153" s="54"/>
      <c r="BD153" s="61"/>
      <c r="BF153">
        <f t="shared" si="63"/>
        <v>0</v>
      </c>
      <c r="BG153">
        <f t="shared" si="64"/>
        <v>0</v>
      </c>
      <c r="BH153">
        <f t="shared" si="65"/>
        <v>0</v>
      </c>
      <c r="BI153">
        <f t="shared" si="66"/>
        <v>0</v>
      </c>
      <c r="BJ153">
        <f t="shared" si="67"/>
        <v>0</v>
      </c>
      <c r="BK153">
        <f t="shared" si="68"/>
        <v>0</v>
      </c>
      <c r="BL153">
        <f t="shared" si="69"/>
        <v>0</v>
      </c>
      <c r="BM153">
        <f t="shared" si="70"/>
        <v>0</v>
      </c>
      <c r="BN153">
        <f t="shared" si="71"/>
        <v>0</v>
      </c>
    </row>
    <row r="154" spans="1:66" outlineLevel="1" x14ac:dyDescent="0.15">
      <c r="A154" s="8"/>
      <c r="B154" s="14" t="s">
        <v>131</v>
      </c>
      <c r="C154" s="15" t="s">
        <v>259</v>
      </c>
      <c r="D154" s="14">
        <v>272689</v>
      </c>
      <c r="E154" s="16">
        <v>20</v>
      </c>
      <c r="F154" s="15">
        <v>1</v>
      </c>
      <c r="G154" s="15"/>
      <c r="I154" s="32" t="str">
        <f t="shared" si="52"/>
        <v>·</v>
      </c>
      <c r="J154" s="33" t="str">
        <f t="shared" si="53"/>
        <v>·</v>
      </c>
      <c r="K154" s="33" t="str">
        <f t="shared" si="54"/>
        <v>·</v>
      </c>
      <c r="L154" s="33" t="str">
        <f t="shared" si="55"/>
        <v>·</v>
      </c>
      <c r="M154" s="34"/>
      <c r="N154" s="33" t="str">
        <f t="shared" si="56"/>
        <v>·</v>
      </c>
      <c r="O154" s="35"/>
      <c r="P154" s="36"/>
      <c r="Q154" s="36"/>
      <c r="R154" s="36"/>
      <c r="S154" s="46"/>
      <c r="T154" s="47"/>
      <c r="U154" s="47"/>
      <c r="V154" s="47"/>
      <c r="W154" s="48"/>
      <c r="X154" s="52"/>
      <c r="Y154" s="52"/>
      <c r="AA154" s="32" t="str">
        <f t="shared" si="57"/>
        <v>·</v>
      </c>
      <c r="AB154" s="33" t="str">
        <f t="shared" si="58"/>
        <v>·</v>
      </c>
      <c r="AC154" s="33" t="str">
        <f t="shared" si="59"/>
        <v>·</v>
      </c>
      <c r="AD154" s="33" t="str">
        <f t="shared" si="60"/>
        <v>·</v>
      </c>
      <c r="AE154" s="34"/>
      <c r="AF154" s="33" t="str">
        <f t="shared" si="61"/>
        <v>·</v>
      </c>
      <c r="AG154" s="35"/>
      <c r="AH154" s="36"/>
      <c r="AI154" s="36"/>
      <c r="AJ154" s="36"/>
      <c r="AK154" s="46"/>
      <c r="AL154" s="47"/>
      <c r="AM154" s="47"/>
      <c r="AN154" s="47"/>
      <c r="AO154" s="48"/>
      <c r="AP154" s="52"/>
      <c r="AQ154" s="52"/>
      <c r="AS154" s="59" t="e">
        <f t="shared" si="62"/>
        <v>#DIV/0!</v>
      </c>
      <c r="AT154" s="59"/>
      <c r="AV154" s="60"/>
      <c r="AW154" s="60"/>
      <c r="AX154" s="60"/>
      <c r="AY154" s="64"/>
      <c r="BA154" s="60"/>
      <c r="BB154" s="60"/>
      <c r="BC154" s="60"/>
      <c r="BD154" s="64"/>
      <c r="BF154">
        <f t="shared" si="63"/>
        <v>0</v>
      </c>
      <c r="BG154">
        <f t="shared" si="64"/>
        <v>0</v>
      </c>
      <c r="BH154">
        <f t="shared" si="65"/>
        <v>0</v>
      </c>
      <c r="BI154">
        <f t="shared" si="66"/>
        <v>0</v>
      </c>
      <c r="BJ154">
        <f t="shared" si="67"/>
        <v>0</v>
      </c>
      <c r="BK154">
        <f t="shared" si="68"/>
        <v>0</v>
      </c>
      <c r="BL154">
        <f t="shared" si="69"/>
        <v>0</v>
      </c>
      <c r="BM154">
        <f t="shared" si="70"/>
        <v>0</v>
      </c>
      <c r="BN154">
        <f t="shared" si="71"/>
        <v>0</v>
      </c>
    </row>
    <row r="155" spans="1:66" x14ac:dyDescent="0.15">
      <c r="A155" s="5"/>
      <c r="B155" s="5" t="s">
        <v>134</v>
      </c>
      <c r="C155" s="6" t="s">
        <v>254</v>
      </c>
      <c r="D155" s="5">
        <v>1602990</v>
      </c>
      <c r="E155" s="7">
        <v>20</v>
      </c>
      <c r="F155" s="6">
        <v>1</v>
      </c>
      <c r="G155" s="6"/>
      <c r="I155" s="17" t="str">
        <f t="shared" si="52"/>
        <v>·</v>
      </c>
      <c r="J155" s="18" t="str">
        <f t="shared" si="53"/>
        <v>·</v>
      </c>
      <c r="K155" s="18" t="str">
        <f t="shared" si="54"/>
        <v>·</v>
      </c>
      <c r="L155" s="18" t="str">
        <f t="shared" si="55"/>
        <v>·</v>
      </c>
      <c r="M155" s="19"/>
      <c r="N155" s="18" t="str">
        <f t="shared" si="56"/>
        <v>·</v>
      </c>
      <c r="O155" s="20"/>
      <c r="P155" s="21"/>
      <c r="Q155" s="21"/>
      <c r="R155" s="21"/>
      <c r="S155" s="37"/>
      <c r="T155" s="38"/>
      <c r="U155" s="38"/>
      <c r="V155" s="38"/>
      <c r="W155" s="39"/>
      <c r="X155" s="49"/>
      <c r="Y155" s="49"/>
      <c r="AA155" s="17" t="str">
        <f t="shared" si="57"/>
        <v>·</v>
      </c>
      <c r="AB155" s="18" t="str">
        <f t="shared" si="58"/>
        <v>·</v>
      </c>
      <c r="AC155" s="18" t="str">
        <f t="shared" si="59"/>
        <v>·</v>
      </c>
      <c r="AD155" s="18" t="str">
        <f t="shared" si="60"/>
        <v>·</v>
      </c>
      <c r="AE155" s="19"/>
      <c r="AF155" s="18" t="str">
        <f t="shared" si="61"/>
        <v>·</v>
      </c>
      <c r="AG155" s="20"/>
      <c r="AH155" s="21"/>
      <c r="AI155" s="21"/>
      <c r="AJ155" s="21"/>
      <c r="AK155" s="37"/>
      <c r="AL155" s="38"/>
      <c r="AM155" s="38"/>
      <c r="AN155" s="38"/>
      <c r="AO155" s="39"/>
      <c r="AP155" s="49"/>
      <c r="AQ155" s="49"/>
      <c r="AS155" s="53" t="e">
        <f t="shared" si="62"/>
        <v>#DIV/0!</v>
      </c>
      <c r="AT155" s="53" t="e">
        <f t="array" ref="AT155">AVERAGE(AI155:AI160/AH155:AH160)-AVERAGE(Q155:Q160/P155:P160)</f>
        <v>#DIV/0!</v>
      </c>
      <c r="AV155" s="54" t="str">
        <f>IF(OR(ISBLANK(R155:R160),ISBLANK(AJ155:AJ160),ISBLANK(T155:T160),ISBLANK(AL155:AL160)),"·",bdRateExtend(R155:R160,T155:T160,AJ155:AJ160,AL155:AL160))</f>
        <v>·</v>
      </c>
      <c r="AW155" s="54" t="str">
        <f>IF(OR(ISBLANK(R155:R160),ISBLANK(AJ155:AJ160),ISBLANK(U155:U160),ISBLANK(AM155:AM160)),"·",bdRateExtend(R155:R160,U155:U160,AJ155:AJ160,AM155:AM160))</f>
        <v>·</v>
      </c>
      <c r="AX155" s="54" t="str">
        <f>IF(OR(ISBLANK(R155:R160),ISBLANK(AJ155:AJ160),ISBLANK(V155:V160),ISBLANK(AN155:AN160)),"·",bdRateExtend(R155:R160,V155:V160,AJ155:AJ160,AN155:AN160))</f>
        <v>·</v>
      </c>
      <c r="AY155" s="61"/>
      <c r="BA155" s="54" t="str">
        <f>IF(OR(ISBLANK(P155:P160),ISBLANK(AH155:AH160),ISBLANK(T155:T160),ISBLANK(AL155:AL160)),"·",bdRateExtend(P155:P160,T155:T160,AH155:AH160,AL155:AL160))</f>
        <v>·</v>
      </c>
      <c r="BB155" s="54" t="str">
        <f>IF(OR(ISBLANK(P155:P160),ISBLANK(AH155:AH160),ISBLANK(U155:U160),ISBLANK(AM155:AM160)),"·",bdRateExtend(P155:P160,U155:U160,AH155:AH160,AM155:AM160))</f>
        <v>·</v>
      </c>
      <c r="BC155" s="54" t="str">
        <f>IF(OR(ISBLANK(P155:P160),ISBLANK(AH155:AH160),ISBLANK(V155:V160),ISBLANK(AN155:AN160)),"·",bdRateExtend(P155:P160,V155:V160,AH155:AH160,AN155:AN160))</f>
        <v>·</v>
      </c>
      <c r="BD155" s="61"/>
      <c r="BF155">
        <f t="shared" si="63"/>
        <v>0</v>
      </c>
      <c r="BG155">
        <f t="shared" si="64"/>
        <v>0</v>
      </c>
      <c r="BH155">
        <f t="shared" si="65"/>
        <v>0</v>
      </c>
      <c r="BI155">
        <f t="shared" si="66"/>
        <v>0</v>
      </c>
      <c r="BJ155">
        <f t="shared" si="67"/>
        <v>0</v>
      </c>
      <c r="BK155">
        <f t="shared" si="68"/>
        <v>0</v>
      </c>
      <c r="BL155">
        <f t="shared" si="69"/>
        <v>0</v>
      </c>
      <c r="BM155">
        <f t="shared" si="70"/>
        <v>0</v>
      </c>
      <c r="BN155">
        <f t="shared" si="71"/>
        <v>0</v>
      </c>
    </row>
    <row r="156" spans="1:66" outlineLevel="1" x14ac:dyDescent="0.15">
      <c r="A156" s="8"/>
      <c r="B156" s="8" t="s">
        <v>134</v>
      </c>
      <c r="C156" s="9" t="s">
        <v>255</v>
      </c>
      <c r="D156" s="8">
        <v>1602990</v>
      </c>
      <c r="E156" s="10">
        <v>20</v>
      </c>
      <c r="F156" s="9">
        <v>1</v>
      </c>
      <c r="G156" s="9"/>
      <c r="I156" s="22" t="str">
        <f t="shared" si="52"/>
        <v>·</v>
      </c>
      <c r="J156" s="23" t="str">
        <f t="shared" si="53"/>
        <v>·</v>
      </c>
      <c r="K156" s="23" t="str">
        <f t="shared" si="54"/>
        <v>·</v>
      </c>
      <c r="L156" s="23" t="str">
        <f t="shared" si="55"/>
        <v>·</v>
      </c>
      <c r="M156" s="24"/>
      <c r="N156" s="23" t="str">
        <f t="shared" si="56"/>
        <v>·</v>
      </c>
      <c r="O156" s="25"/>
      <c r="P156" s="26"/>
      <c r="Q156" s="26"/>
      <c r="R156" s="26"/>
      <c r="S156" s="40"/>
      <c r="T156" s="41"/>
      <c r="U156" s="41"/>
      <c r="V156" s="41"/>
      <c r="W156" s="42"/>
      <c r="X156" s="50"/>
      <c r="Y156" s="50"/>
      <c r="AA156" s="22" t="str">
        <f t="shared" si="57"/>
        <v>·</v>
      </c>
      <c r="AB156" s="23" t="str">
        <f t="shared" si="58"/>
        <v>·</v>
      </c>
      <c r="AC156" s="23" t="str">
        <f t="shared" si="59"/>
        <v>·</v>
      </c>
      <c r="AD156" s="23" t="str">
        <f t="shared" si="60"/>
        <v>·</v>
      </c>
      <c r="AE156" s="24"/>
      <c r="AF156" s="23" t="str">
        <f t="shared" si="61"/>
        <v>·</v>
      </c>
      <c r="AG156" s="25"/>
      <c r="AH156" s="26"/>
      <c r="AI156" s="26"/>
      <c r="AJ156" s="26"/>
      <c r="AK156" s="40"/>
      <c r="AL156" s="41"/>
      <c r="AM156" s="41"/>
      <c r="AN156" s="41"/>
      <c r="AO156" s="42"/>
      <c r="AP156" s="50"/>
      <c r="AQ156" s="50"/>
      <c r="AS156" s="55" t="e">
        <f t="shared" si="62"/>
        <v>#DIV/0!</v>
      </c>
      <c r="AT156" s="55"/>
      <c r="AV156" s="56"/>
      <c r="AW156" s="56"/>
      <c r="AX156" s="56"/>
      <c r="AY156" s="62"/>
      <c r="BA156" s="56"/>
      <c r="BB156" s="56"/>
      <c r="BC156" s="56"/>
      <c r="BD156" s="62"/>
      <c r="BF156">
        <f t="shared" si="63"/>
        <v>0</v>
      </c>
      <c r="BG156">
        <f t="shared" si="64"/>
        <v>0</v>
      </c>
      <c r="BH156">
        <f t="shared" si="65"/>
        <v>0</v>
      </c>
      <c r="BI156">
        <f t="shared" si="66"/>
        <v>0</v>
      </c>
      <c r="BJ156">
        <f t="shared" si="67"/>
        <v>0</v>
      </c>
      <c r="BK156">
        <f t="shared" si="68"/>
        <v>0</v>
      </c>
      <c r="BL156">
        <f t="shared" si="69"/>
        <v>0</v>
      </c>
      <c r="BM156">
        <f t="shared" si="70"/>
        <v>0</v>
      </c>
      <c r="BN156">
        <f t="shared" si="71"/>
        <v>0</v>
      </c>
    </row>
    <row r="157" spans="1:66" outlineLevel="1" x14ac:dyDescent="0.15">
      <c r="A157" s="5"/>
      <c r="B157" s="5" t="s">
        <v>134</v>
      </c>
      <c r="C157" s="6" t="s">
        <v>256</v>
      </c>
      <c r="D157" s="5">
        <v>1602990</v>
      </c>
      <c r="E157" s="7">
        <v>20</v>
      </c>
      <c r="F157" s="6">
        <v>1</v>
      </c>
      <c r="G157" s="6"/>
      <c r="I157" s="17" t="str">
        <f t="shared" si="52"/>
        <v>·</v>
      </c>
      <c r="J157" s="18" t="str">
        <f t="shared" si="53"/>
        <v>·</v>
      </c>
      <c r="K157" s="18" t="str">
        <f t="shared" si="54"/>
        <v>·</v>
      </c>
      <c r="L157" s="18" t="str">
        <f t="shared" si="55"/>
        <v>·</v>
      </c>
      <c r="M157" s="19"/>
      <c r="N157" s="18" t="str">
        <f t="shared" si="56"/>
        <v>·</v>
      </c>
      <c r="O157" s="20"/>
      <c r="P157" s="21"/>
      <c r="Q157" s="21"/>
      <c r="R157" s="21"/>
      <c r="S157" s="37"/>
      <c r="T157" s="38"/>
      <c r="U157" s="38"/>
      <c r="V157" s="38"/>
      <c r="W157" s="39"/>
      <c r="X157" s="49"/>
      <c r="Y157" s="49"/>
      <c r="AA157" s="17" t="str">
        <f t="shared" si="57"/>
        <v>·</v>
      </c>
      <c r="AB157" s="18" t="str">
        <f t="shared" si="58"/>
        <v>·</v>
      </c>
      <c r="AC157" s="18" t="str">
        <f t="shared" si="59"/>
        <v>·</v>
      </c>
      <c r="AD157" s="18" t="str">
        <f t="shared" si="60"/>
        <v>·</v>
      </c>
      <c r="AE157" s="19"/>
      <c r="AF157" s="18" t="str">
        <f t="shared" si="61"/>
        <v>·</v>
      </c>
      <c r="AG157" s="20"/>
      <c r="AH157" s="21"/>
      <c r="AI157" s="21"/>
      <c r="AJ157" s="21"/>
      <c r="AK157" s="37"/>
      <c r="AL157" s="38"/>
      <c r="AM157" s="38"/>
      <c r="AN157" s="38"/>
      <c r="AO157" s="39"/>
      <c r="AP157" s="49"/>
      <c r="AQ157" s="49"/>
      <c r="AS157" s="53" t="e">
        <f t="shared" si="62"/>
        <v>#DIV/0!</v>
      </c>
      <c r="AT157" s="53"/>
      <c r="AV157" s="54"/>
      <c r="AW157" s="54"/>
      <c r="AX157" s="54"/>
      <c r="AY157" s="61"/>
      <c r="BA157" s="54"/>
      <c r="BB157" s="54"/>
      <c r="BC157" s="54"/>
      <c r="BD157" s="61"/>
      <c r="BF157">
        <f t="shared" si="63"/>
        <v>0</v>
      </c>
      <c r="BG157">
        <f t="shared" si="64"/>
        <v>0</v>
      </c>
      <c r="BH157">
        <f t="shared" si="65"/>
        <v>0</v>
      </c>
      <c r="BI157">
        <f t="shared" si="66"/>
        <v>0</v>
      </c>
      <c r="BJ157">
        <f t="shared" si="67"/>
        <v>0</v>
      </c>
      <c r="BK157">
        <f t="shared" si="68"/>
        <v>0</v>
      </c>
      <c r="BL157">
        <f t="shared" si="69"/>
        <v>0</v>
      </c>
      <c r="BM157">
        <f t="shared" si="70"/>
        <v>0</v>
      </c>
      <c r="BN157">
        <f t="shared" si="71"/>
        <v>0</v>
      </c>
    </row>
    <row r="158" spans="1:66" outlineLevel="1" x14ac:dyDescent="0.15">
      <c r="A158" s="8"/>
      <c r="B158" s="8" t="s">
        <v>134</v>
      </c>
      <c r="C158" s="9" t="s">
        <v>257</v>
      </c>
      <c r="D158" s="8">
        <v>1602990</v>
      </c>
      <c r="E158" s="10">
        <v>20</v>
      </c>
      <c r="F158" s="9">
        <v>1</v>
      </c>
      <c r="G158" s="9"/>
      <c r="I158" s="22" t="str">
        <f t="shared" si="52"/>
        <v>·</v>
      </c>
      <c r="J158" s="23" t="str">
        <f t="shared" si="53"/>
        <v>·</v>
      </c>
      <c r="K158" s="23" t="str">
        <f t="shared" si="54"/>
        <v>·</v>
      </c>
      <c r="L158" s="23" t="str">
        <f t="shared" si="55"/>
        <v>·</v>
      </c>
      <c r="M158" s="24"/>
      <c r="N158" s="23" t="str">
        <f t="shared" si="56"/>
        <v>·</v>
      </c>
      <c r="O158" s="25"/>
      <c r="P158" s="26"/>
      <c r="Q158" s="26"/>
      <c r="R158" s="26"/>
      <c r="S158" s="40"/>
      <c r="T158" s="41"/>
      <c r="U158" s="41"/>
      <c r="V158" s="41"/>
      <c r="W158" s="42"/>
      <c r="X158" s="50"/>
      <c r="Y158" s="50"/>
      <c r="AA158" s="22" t="str">
        <f t="shared" si="57"/>
        <v>·</v>
      </c>
      <c r="AB158" s="23" t="str">
        <f t="shared" si="58"/>
        <v>·</v>
      </c>
      <c r="AC158" s="23" t="str">
        <f t="shared" si="59"/>
        <v>·</v>
      </c>
      <c r="AD158" s="23" t="str">
        <f t="shared" si="60"/>
        <v>·</v>
      </c>
      <c r="AE158" s="24"/>
      <c r="AF158" s="23" t="str">
        <f t="shared" si="61"/>
        <v>·</v>
      </c>
      <c r="AG158" s="25"/>
      <c r="AH158" s="26"/>
      <c r="AI158" s="26"/>
      <c r="AJ158" s="26"/>
      <c r="AK158" s="40"/>
      <c r="AL158" s="41"/>
      <c r="AM158" s="41"/>
      <c r="AN158" s="41"/>
      <c r="AO158" s="42"/>
      <c r="AP158" s="50"/>
      <c r="AQ158" s="50"/>
      <c r="AS158" s="55" t="e">
        <f t="shared" si="62"/>
        <v>#DIV/0!</v>
      </c>
      <c r="AT158" s="55"/>
      <c r="AV158" s="56"/>
      <c r="AW158" s="56"/>
      <c r="AX158" s="56"/>
      <c r="AY158" s="62"/>
      <c r="BA158" s="56"/>
      <c r="BB158" s="56"/>
      <c r="BC158" s="56"/>
      <c r="BD158" s="62"/>
      <c r="BF158">
        <f t="shared" si="63"/>
        <v>0</v>
      </c>
      <c r="BG158">
        <f t="shared" si="64"/>
        <v>0</v>
      </c>
      <c r="BH158">
        <f t="shared" si="65"/>
        <v>0</v>
      </c>
      <c r="BI158">
        <f t="shared" si="66"/>
        <v>0</v>
      </c>
      <c r="BJ158">
        <f t="shared" si="67"/>
        <v>0</v>
      </c>
      <c r="BK158">
        <f t="shared" si="68"/>
        <v>0</v>
      </c>
      <c r="BL158">
        <f t="shared" si="69"/>
        <v>0</v>
      </c>
      <c r="BM158">
        <f t="shared" si="70"/>
        <v>0</v>
      </c>
      <c r="BN158">
        <f t="shared" si="71"/>
        <v>0</v>
      </c>
    </row>
    <row r="159" spans="1:66" outlineLevel="1" x14ac:dyDescent="0.15">
      <c r="A159" s="5"/>
      <c r="B159" s="5" t="s">
        <v>134</v>
      </c>
      <c r="C159" s="6" t="s">
        <v>258</v>
      </c>
      <c r="D159" s="5">
        <v>1602990</v>
      </c>
      <c r="E159" s="7">
        <v>20</v>
      </c>
      <c r="F159" s="6">
        <v>1</v>
      </c>
      <c r="G159" s="6"/>
      <c r="I159" s="17" t="str">
        <f t="shared" si="52"/>
        <v>·</v>
      </c>
      <c r="J159" s="18" t="str">
        <f t="shared" si="53"/>
        <v>·</v>
      </c>
      <c r="K159" s="18" t="str">
        <f t="shared" si="54"/>
        <v>·</v>
      </c>
      <c r="L159" s="18" t="str">
        <f t="shared" si="55"/>
        <v>·</v>
      </c>
      <c r="M159" s="19"/>
      <c r="N159" s="18" t="str">
        <f t="shared" si="56"/>
        <v>·</v>
      </c>
      <c r="O159" s="20"/>
      <c r="P159" s="21"/>
      <c r="Q159" s="21"/>
      <c r="R159" s="21"/>
      <c r="S159" s="37"/>
      <c r="T159" s="38"/>
      <c r="U159" s="38"/>
      <c r="V159" s="38"/>
      <c r="W159" s="39"/>
      <c r="X159" s="49"/>
      <c r="Y159" s="49"/>
      <c r="AA159" s="17" t="str">
        <f t="shared" si="57"/>
        <v>·</v>
      </c>
      <c r="AB159" s="18" t="str">
        <f t="shared" si="58"/>
        <v>·</v>
      </c>
      <c r="AC159" s="18" t="str">
        <f t="shared" si="59"/>
        <v>·</v>
      </c>
      <c r="AD159" s="18" t="str">
        <f t="shared" si="60"/>
        <v>·</v>
      </c>
      <c r="AE159" s="19"/>
      <c r="AF159" s="18" t="str">
        <f t="shared" si="61"/>
        <v>·</v>
      </c>
      <c r="AG159" s="20"/>
      <c r="AH159" s="21"/>
      <c r="AI159" s="21"/>
      <c r="AJ159" s="21"/>
      <c r="AK159" s="37"/>
      <c r="AL159" s="38"/>
      <c r="AM159" s="38"/>
      <c r="AN159" s="38"/>
      <c r="AO159" s="39"/>
      <c r="AP159" s="49"/>
      <c r="AQ159" s="49"/>
      <c r="AS159" s="53" t="e">
        <f t="shared" si="62"/>
        <v>#DIV/0!</v>
      </c>
      <c r="AT159" s="53"/>
      <c r="AV159" s="54"/>
      <c r="AW159" s="54"/>
      <c r="AX159" s="54"/>
      <c r="AY159" s="61"/>
      <c r="BA159" s="54"/>
      <c r="BB159" s="54"/>
      <c r="BC159" s="54"/>
      <c r="BD159" s="61"/>
      <c r="BF159">
        <f t="shared" si="63"/>
        <v>0</v>
      </c>
      <c r="BG159">
        <f t="shared" si="64"/>
        <v>0</v>
      </c>
      <c r="BH159">
        <f t="shared" si="65"/>
        <v>0</v>
      </c>
      <c r="BI159">
        <f t="shared" si="66"/>
        <v>0</v>
      </c>
      <c r="BJ159">
        <f t="shared" si="67"/>
        <v>0</v>
      </c>
      <c r="BK159">
        <f t="shared" si="68"/>
        <v>0</v>
      </c>
      <c r="BL159">
        <f t="shared" si="69"/>
        <v>0</v>
      </c>
      <c r="BM159">
        <f t="shared" si="70"/>
        <v>0</v>
      </c>
      <c r="BN159">
        <f t="shared" si="71"/>
        <v>0</v>
      </c>
    </row>
    <row r="160" spans="1:66" outlineLevel="1" x14ac:dyDescent="0.15">
      <c r="A160" s="8"/>
      <c r="B160" s="14" t="s">
        <v>134</v>
      </c>
      <c r="C160" s="15" t="s">
        <v>259</v>
      </c>
      <c r="D160" s="14">
        <v>1602990</v>
      </c>
      <c r="E160" s="16">
        <v>20</v>
      </c>
      <c r="F160" s="15">
        <v>1</v>
      </c>
      <c r="G160" s="15"/>
      <c r="I160" s="32" t="str">
        <f t="shared" si="52"/>
        <v>·</v>
      </c>
      <c r="J160" s="33" t="str">
        <f t="shared" si="53"/>
        <v>·</v>
      </c>
      <c r="K160" s="33" t="str">
        <f t="shared" si="54"/>
        <v>·</v>
      </c>
      <c r="L160" s="33" t="str">
        <f t="shared" si="55"/>
        <v>·</v>
      </c>
      <c r="M160" s="34"/>
      <c r="N160" s="33" t="str">
        <f t="shared" si="56"/>
        <v>·</v>
      </c>
      <c r="O160" s="35"/>
      <c r="P160" s="36"/>
      <c r="Q160" s="36"/>
      <c r="R160" s="36"/>
      <c r="S160" s="46"/>
      <c r="T160" s="47"/>
      <c r="U160" s="47"/>
      <c r="V160" s="47"/>
      <c r="W160" s="48"/>
      <c r="X160" s="52"/>
      <c r="Y160" s="52"/>
      <c r="AA160" s="32" t="str">
        <f t="shared" si="57"/>
        <v>·</v>
      </c>
      <c r="AB160" s="33" t="str">
        <f t="shared" si="58"/>
        <v>·</v>
      </c>
      <c r="AC160" s="33" t="str">
        <f t="shared" si="59"/>
        <v>·</v>
      </c>
      <c r="AD160" s="33" t="str">
        <f t="shared" si="60"/>
        <v>·</v>
      </c>
      <c r="AE160" s="34"/>
      <c r="AF160" s="33" t="str">
        <f t="shared" si="61"/>
        <v>·</v>
      </c>
      <c r="AG160" s="35"/>
      <c r="AH160" s="36"/>
      <c r="AI160" s="36"/>
      <c r="AJ160" s="36"/>
      <c r="AK160" s="46"/>
      <c r="AL160" s="47"/>
      <c r="AM160" s="47"/>
      <c r="AN160" s="47"/>
      <c r="AO160" s="48"/>
      <c r="AP160" s="52"/>
      <c r="AQ160" s="52"/>
      <c r="AS160" s="59" t="e">
        <f t="shared" si="62"/>
        <v>#DIV/0!</v>
      </c>
      <c r="AT160" s="59"/>
      <c r="AV160" s="60"/>
      <c r="AW160" s="60"/>
      <c r="AX160" s="60"/>
      <c r="AY160" s="64"/>
      <c r="BA160" s="60"/>
      <c r="BB160" s="60"/>
      <c r="BC160" s="60"/>
      <c r="BD160" s="64"/>
      <c r="BF160">
        <f t="shared" si="63"/>
        <v>0</v>
      </c>
      <c r="BG160">
        <f t="shared" si="64"/>
        <v>0</v>
      </c>
      <c r="BH160">
        <f t="shared" si="65"/>
        <v>0</v>
      </c>
      <c r="BI160">
        <f t="shared" si="66"/>
        <v>0</v>
      </c>
      <c r="BJ160">
        <f t="shared" si="67"/>
        <v>0</v>
      </c>
      <c r="BK160">
        <f t="shared" si="68"/>
        <v>0</v>
      </c>
      <c r="BL160">
        <f t="shared" si="69"/>
        <v>0</v>
      </c>
      <c r="BM160">
        <f t="shared" si="70"/>
        <v>0</v>
      </c>
      <c r="BN160">
        <f t="shared" si="71"/>
        <v>0</v>
      </c>
    </row>
    <row r="161" spans="1:66" x14ac:dyDescent="0.15">
      <c r="A161" s="5"/>
      <c r="B161" s="5" t="s">
        <v>137</v>
      </c>
      <c r="C161" s="6" t="s">
        <v>254</v>
      </c>
      <c r="D161" s="5">
        <v>8929532</v>
      </c>
      <c r="E161" s="7">
        <v>20</v>
      </c>
      <c r="F161" s="6">
        <v>1</v>
      </c>
      <c r="G161" s="6"/>
      <c r="I161" s="17" t="str">
        <f t="shared" si="52"/>
        <v>·</v>
      </c>
      <c r="J161" s="18" t="str">
        <f t="shared" si="53"/>
        <v>·</v>
      </c>
      <c r="K161" s="18" t="str">
        <f t="shared" si="54"/>
        <v>·</v>
      </c>
      <c r="L161" s="18" t="str">
        <f t="shared" si="55"/>
        <v>·</v>
      </c>
      <c r="M161" s="19"/>
      <c r="N161" s="18" t="str">
        <f t="shared" si="56"/>
        <v>·</v>
      </c>
      <c r="O161" s="20"/>
      <c r="P161" s="21"/>
      <c r="Q161" s="21"/>
      <c r="R161" s="21"/>
      <c r="S161" s="37"/>
      <c r="T161" s="38"/>
      <c r="U161" s="38"/>
      <c r="V161" s="38"/>
      <c r="W161" s="39"/>
      <c r="X161" s="49"/>
      <c r="Y161" s="49"/>
      <c r="AA161" s="17" t="str">
        <f t="shared" si="57"/>
        <v>·</v>
      </c>
      <c r="AB161" s="18" t="str">
        <f t="shared" si="58"/>
        <v>·</v>
      </c>
      <c r="AC161" s="18" t="str">
        <f t="shared" si="59"/>
        <v>·</v>
      </c>
      <c r="AD161" s="18" t="str">
        <f t="shared" si="60"/>
        <v>·</v>
      </c>
      <c r="AE161" s="19"/>
      <c r="AF161" s="18" t="str">
        <f t="shared" si="61"/>
        <v>·</v>
      </c>
      <c r="AG161" s="20"/>
      <c r="AH161" s="21"/>
      <c r="AI161" s="21"/>
      <c r="AJ161" s="21"/>
      <c r="AK161" s="37"/>
      <c r="AL161" s="38"/>
      <c r="AM161" s="38"/>
      <c r="AN161" s="38"/>
      <c r="AO161" s="39"/>
      <c r="AP161" s="49"/>
      <c r="AQ161" s="49"/>
      <c r="AS161" s="53" t="e">
        <f t="shared" si="62"/>
        <v>#DIV/0!</v>
      </c>
      <c r="AT161" s="53" t="e">
        <f t="array" ref="AT161">AVERAGE(AI161:AI166/AH161:AH166)-AVERAGE(Q161:Q166/P161:P166)</f>
        <v>#DIV/0!</v>
      </c>
      <c r="AV161" s="54" t="str">
        <f>IF(OR(ISBLANK(R161:R166),ISBLANK(AJ161:AJ166),ISBLANK(T161:T166),ISBLANK(AL161:AL166)),"·",bdRateExtend(R161:R166,T161:T166,AJ161:AJ166,AL161:AL166))</f>
        <v>·</v>
      </c>
      <c r="AW161" s="54" t="str">
        <f>IF(OR(ISBLANK(R161:R166),ISBLANK(AJ161:AJ166),ISBLANK(U161:U166),ISBLANK(AM161:AM166)),"·",bdRateExtend(R161:R166,U161:U166,AJ161:AJ166,AM161:AM166))</f>
        <v>·</v>
      </c>
      <c r="AX161" s="54" t="str">
        <f>IF(OR(ISBLANK(R161:R166),ISBLANK(AJ161:AJ166),ISBLANK(V161:V166),ISBLANK(AN161:AN166)),"·",bdRateExtend(R161:R166,V161:V166,AJ161:AJ166,AN161:AN166))</f>
        <v>·</v>
      </c>
      <c r="AY161" s="61"/>
      <c r="BA161" s="54" t="str">
        <f>IF(OR(ISBLANK(P161:P166),ISBLANK(AH161:AH166),ISBLANK(T161:T166),ISBLANK(AL161:AL166)),"·",bdRateExtend(P161:P166,T161:T166,AH161:AH166,AL161:AL166))</f>
        <v>·</v>
      </c>
      <c r="BB161" s="54" t="str">
        <f>IF(OR(ISBLANK(P161:P166),ISBLANK(AH161:AH166),ISBLANK(U161:U166),ISBLANK(AM161:AM166)),"·",bdRateExtend(P161:P166,U161:U166,AH161:AH166,AM161:AM166))</f>
        <v>·</v>
      </c>
      <c r="BC161" s="54" t="str">
        <f>IF(OR(ISBLANK(P161:P166),ISBLANK(AH161:AH166),ISBLANK(V161:V166),ISBLANK(AN161:AN166)),"·",bdRateExtend(P161:P166,V161:V166,AH161:AH166,AN161:AN166))</f>
        <v>·</v>
      </c>
      <c r="BD161" s="61"/>
      <c r="BF161">
        <f t="shared" si="63"/>
        <v>0</v>
      </c>
      <c r="BG161">
        <f t="shared" si="64"/>
        <v>0</v>
      </c>
      <c r="BH161">
        <f t="shared" si="65"/>
        <v>0</v>
      </c>
      <c r="BI161">
        <f t="shared" si="66"/>
        <v>0</v>
      </c>
      <c r="BJ161">
        <f t="shared" si="67"/>
        <v>0</v>
      </c>
      <c r="BK161">
        <f t="shared" si="68"/>
        <v>0</v>
      </c>
      <c r="BL161">
        <f t="shared" si="69"/>
        <v>0</v>
      </c>
      <c r="BM161">
        <f t="shared" si="70"/>
        <v>0</v>
      </c>
      <c r="BN161">
        <f t="shared" si="71"/>
        <v>0</v>
      </c>
    </row>
    <row r="162" spans="1:66" outlineLevel="1" x14ac:dyDescent="0.15">
      <c r="A162" s="8"/>
      <c r="B162" s="8" t="s">
        <v>137</v>
      </c>
      <c r="C162" s="9" t="s">
        <v>255</v>
      </c>
      <c r="D162" s="8">
        <v>8929532</v>
      </c>
      <c r="E162" s="10">
        <v>20</v>
      </c>
      <c r="F162" s="9">
        <v>1</v>
      </c>
      <c r="G162" s="9"/>
      <c r="I162" s="22" t="str">
        <f t="shared" si="52"/>
        <v>·</v>
      </c>
      <c r="J162" s="23" t="str">
        <f t="shared" si="53"/>
        <v>·</v>
      </c>
      <c r="K162" s="23" t="str">
        <f t="shared" si="54"/>
        <v>·</v>
      </c>
      <c r="L162" s="23" t="str">
        <f t="shared" si="55"/>
        <v>·</v>
      </c>
      <c r="M162" s="24"/>
      <c r="N162" s="23" t="str">
        <f t="shared" si="56"/>
        <v>·</v>
      </c>
      <c r="O162" s="25"/>
      <c r="P162" s="26"/>
      <c r="Q162" s="26"/>
      <c r="R162" s="26"/>
      <c r="S162" s="40"/>
      <c r="T162" s="41"/>
      <c r="U162" s="41"/>
      <c r="V162" s="41"/>
      <c r="W162" s="42"/>
      <c r="X162" s="50"/>
      <c r="Y162" s="50"/>
      <c r="AA162" s="22" t="str">
        <f t="shared" si="57"/>
        <v>·</v>
      </c>
      <c r="AB162" s="23" t="str">
        <f t="shared" si="58"/>
        <v>·</v>
      </c>
      <c r="AC162" s="23" t="str">
        <f t="shared" si="59"/>
        <v>·</v>
      </c>
      <c r="AD162" s="23" t="str">
        <f t="shared" si="60"/>
        <v>·</v>
      </c>
      <c r="AE162" s="24"/>
      <c r="AF162" s="23" t="str">
        <f t="shared" si="61"/>
        <v>·</v>
      </c>
      <c r="AG162" s="25"/>
      <c r="AH162" s="26"/>
      <c r="AI162" s="26"/>
      <c r="AJ162" s="26"/>
      <c r="AK162" s="40"/>
      <c r="AL162" s="41"/>
      <c r="AM162" s="41"/>
      <c r="AN162" s="41"/>
      <c r="AO162" s="42"/>
      <c r="AP162" s="50"/>
      <c r="AQ162" s="50"/>
      <c r="AS162" s="55" t="e">
        <f t="shared" si="62"/>
        <v>#DIV/0!</v>
      </c>
      <c r="AT162" s="55"/>
      <c r="AV162" s="56"/>
      <c r="AW162" s="56"/>
      <c r="AX162" s="56"/>
      <c r="AY162" s="62"/>
      <c r="BA162" s="56"/>
      <c r="BB162" s="56"/>
      <c r="BC162" s="56"/>
      <c r="BD162" s="62"/>
      <c r="BF162">
        <f t="shared" si="63"/>
        <v>0</v>
      </c>
      <c r="BG162">
        <f t="shared" si="64"/>
        <v>0</v>
      </c>
      <c r="BH162">
        <f t="shared" si="65"/>
        <v>0</v>
      </c>
      <c r="BI162">
        <f t="shared" si="66"/>
        <v>0</v>
      </c>
      <c r="BJ162">
        <f t="shared" si="67"/>
        <v>0</v>
      </c>
      <c r="BK162">
        <f t="shared" si="68"/>
        <v>0</v>
      </c>
      <c r="BL162">
        <f t="shared" si="69"/>
        <v>0</v>
      </c>
      <c r="BM162">
        <f t="shared" si="70"/>
        <v>0</v>
      </c>
      <c r="BN162">
        <f t="shared" si="71"/>
        <v>0</v>
      </c>
    </row>
    <row r="163" spans="1:66" outlineLevel="1" x14ac:dyDescent="0.15">
      <c r="A163" s="5"/>
      <c r="B163" s="5" t="s">
        <v>137</v>
      </c>
      <c r="C163" s="6" t="s">
        <v>256</v>
      </c>
      <c r="D163" s="5">
        <v>8929532</v>
      </c>
      <c r="E163" s="7">
        <v>20</v>
      </c>
      <c r="F163" s="6">
        <v>1</v>
      </c>
      <c r="G163" s="6"/>
      <c r="I163" s="17" t="str">
        <f t="shared" si="52"/>
        <v>·</v>
      </c>
      <c r="J163" s="18" t="str">
        <f t="shared" si="53"/>
        <v>·</v>
      </c>
      <c r="K163" s="18" t="str">
        <f t="shared" si="54"/>
        <v>·</v>
      </c>
      <c r="L163" s="18" t="str">
        <f t="shared" si="55"/>
        <v>·</v>
      </c>
      <c r="M163" s="19"/>
      <c r="N163" s="18" t="str">
        <f t="shared" si="56"/>
        <v>·</v>
      </c>
      <c r="O163" s="20"/>
      <c r="P163" s="21"/>
      <c r="Q163" s="21"/>
      <c r="R163" s="21"/>
      <c r="S163" s="37"/>
      <c r="T163" s="38"/>
      <c r="U163" s="38"/>
      <c r="V163" s="38"/>
      <c r="W163" s="39"/>
      <c r="X163" s="49"/>
      <c r="Y163" s="49"/>
      <c r="AA163" s="17" t="str">
        <f t="shared" si="57"/>
        <v>·</v>
      </c>
      <c r="AB163" s="18" t="str">
        <f t="shared" si="58"/>
        <v>·</v>
      </c>
      <c r="AC163" s="18" t="str">
        <f t="shared" si="59"/>
        <v>·</v>
      </c>
      <c r="AD163" s="18" t="str">
        <f t="shared" si="60"/>
        <v>·</v>
      </c>
      <c r="AE163" s="19"/>
      <c r="AF163" s="18" t="str">
        <f t="shared" si="61"/>
        <v>·</v>
      </c>
      <c r="AG163" s="20"/>
      <c r="AH163" s="21"/>
      <c r="AI163" s="21"/>
      <c r="AJ163" s="21"/>
      <c r="AK163" s="37"/>
      <c r="AL163" s="38"/>
      <c r="AM163" s="38"/>
      <c r="AN163" s="38"/>
      <c r="AO163" s="39"/>
      <c r="AP163" s="49"/>
      <c r="AQ163" s="49"/>
      <c r="AS163" s="53" t="e">
        <f t="shared" si="62"/>
        <v>#DIV/0!</v>
      </c>
      <c r="AT163" s="53"/>
      <c r="AV163" s="54"/>
      <c r="AW163" s="54"/>
      <c r="AX163" s="54"/>
      <c r="AY163" s="61"/>
      <c r="BA163" s="54"/>
      <c r="BB163" s="54"/>
      <c r="BC163" s="54"/>
      <c r="BD163" s="61"/>
      <c r="BF163">
        <f t="shared" si="63"/>
        <v>0</v>
      </c>
      <c r="BG163">
        <f t="shared" si="64"/>
        <v>0</v>
      </c>
      <c r="BH163">
        <f t="shared" si="65"/>
        <v>0</v>
      </c>
      <c r="BI163">
        <f t="shared" si="66"/>
        <v>0</v>
      </c>
      <c r="BJ163">
        <f t="shared" si="67"/>
        <v>0</v>
      </c>
      <c r="BK163">
        <f t="shared" si="68"/>
        <v>0</v>
      </c>
      <c r="BL163">
        <f t="shared" si="69"/>
        <v>0</v>
      </c>
      <c r="BM163">
        <f t="shared" si="70"/>
        <v>0</v>
      </c>
      <c r="BN163">
        <f t="shared" si="71"/>
        <v>0</v>
      </c>
    </row>
    <row r="164" spans="1:66" outlineLevel="1" x14ac:dyDescent="0.15">
      <c r="A164" s="8"/>
      <c r="B164" s="8" t="s">
        <v>137</v>
      </c>
      <c r="C164" s="9" t="s">
        <v>257</v>
      </c>
      <c r="D164" s="8">
        <v>8929532</v>
      </c>
      <c r="E164" s="10">
        <v>20</v>
      </c>
      <c r="F164" s="9">
        <v>1</v>
      </c>
      <c r="G164" s="9"/>
      <c r="I164" s="22" t="str">
        <f t="shared" si="52"/>
        <v>·</v>
      </c>
      <c r="J164" s="23" t="str">
        <f t="shared" si="53"/>
        <v>·</v>
      </c>
      <c r="K164" s="23" t="str">
        <f t="shared" si="54"/>
        <v>·</v>
      </c>
      <c r="L164" s="23" t="str">
        <f t="shared" si="55"/>
        <v>·</v>
      </c>
      <c r="M164" s="24"/>
      <c r="N164" s="23" t="str">
        <f t="shared" si="56"/>
        <v>·</v>
      </c>
      <c r="O164" s="25"/>
      <c r="P164" s="26"/>
      <c r="Q164" s="26"/>
      <c r="R164" s="26"/>
      <c r="S164" s="40"/>
      <c r="T164" s="41"/>
      <c r="U164" s="41"/>
      <c r="V164" s="41"/>
      <c r="W164" s="42"/>
      <c r="X164" s="50"/>
      <c r="Y164" s="50"/>
      <c r="AA164" s="22" t="str">
        <f t="shared" si="57"/>
        <v>·</v>
      </c>
      <c r="AB164" s="23" t="str">
        <f t="shared" si="58"/>
        <v>·</v>
      </c>
      <c r="AC164" s="23" t="str">
        <f t="shared" si="59"/>
        <v>·</v>
      </c>
      <c r="AD164" s="23" t="str">
        <f t="shared" si="60"/>
        <v>·</v>
      </c>
      <c r="AE164" s="24"/>
      <c r="AF164" s="23" t="str">
        <f t="shared" si="61"/>
        <v>·</v>
      </c>
      <c r="AG164" s="25"/>
      <c r="AH164" s="26"/>
      <c r="AI164" s="26"/>
      <c r="AJ164" s="26"/>
      <c r="AK164" s="40"/>
      <c r="AL164" s="41"/>
      <c r="AM164" s="41"/>
      <c r="AN164" s="41"/>
      <c r="AO164" s="42"/>
      <c r="AP164" s="50"/>
      <c r="AQ164" s="50"/>
      <c r="AS164" s="55" t="e">
        <f t="shared" si="62"/>
        <v>#DIV/0!</v>
      </c>
      <c r="AT164" s="55"/>
      <c r="AV164" s="56"/>
      <c r="AW164" s="56"/>
      <c r="AX164" s="56"/>
      <c r="AY164" s="62"/>
      <c r="BA164" s="56"/>
      <c r="BB164" s="56"/>
      <c r="BC164" s="56"/>
      <c r="BD164" s="62"/>
      <c r="BF164">
        <f t="shared" si="63"/>
        <v>0</v>
      </c>
      <c r="BG164">
        <f t="shared" si="64"/>
        <v>0</v>
      </c>
      <c r="BH164">
        <f t="shared" si="65"/>
        <v>0</v>
      </c>
      <c r="BI164">
        <f t="shared" si="66"/>
        <v>0</v>
      </c>
      <c r="BJ164">
        <f t="shared" si="67"/>
        <v>0</v>
      </c>
      <c r="BK164">
        <f t="shared" si="68"/>
        <v>0</v>
      </c>
      <c r="BL164">
        <f t="shared" si="69"/>
        <v>0</v>
      </c>
      <c r="BM164">
        <f t="shared" si="70"/>
        <v>0</v>
      </c>
      <c r="BN164">
        <f t="shared" si="71"/>
        <v>0</v>
      </c>
    </row>
    <row r="165" spans="1:66" outlineLevel="1" x14ac:dyDescent="0.15">
      <c r="A165" s="5"/>
      <c r="B165" s="5" t="s">
        <v>137</v>
      </c>
      <c r="C165" s="6" t="s">
        <v>258</v>
      </c>
      <c r="D165" s="5">
        <v>8929532</v>
      </c>
      <c r="E165" s="7">
        <v>20</v>
      </c>
      <c r="F165" s="6">
        <v>1</v>
      </c>
      <c r="G165" s="6"/>
      <c r="I165" s="17" t="str">
        <f t="shared" si="52"/>
        <v>·</v>
      </c>
      <c r="J165" s="18" t="str">
        <f t="shared" si="53"/>
        <v>·</v>
      </c>
      <c r="K165" s="18" t="str">
        <f t="shared" si="54"/>
        <v>·</v>
      </c>
      <c r="L165" s="18" t="str">
        <f t="shared" si="55"/>
        <v>·</v>
      </c>
      <c r="M165" s="19"/>
      <c r="N165" s="18" t="str">
        <f t="shared" si="56"/>
        <v>·</v>
      </c>
      <c r="O165" s="20"/>
      <c r="P165" s="21"/>
      <c r="Q165" s="21"/>
      <c r="R165" s="21"/>
      <c r="S165" s="37"/>
      <c r="T165" s="38"/>
      <c r="U165" s="38"/>
      <c r="V165" s="38"/>
      <c r="W165" s="39"/>
      <c r="X165" s="49"/>
      <c r="Y165" s="49"/>
      <c r="AA165" s="17" t="str">
        <f t="shared" si="57"/>
        <v>·</v>
      </c>
      <c r="AB165" s="18" t="str">
        <f t="shared" si="58"/>
        <v>·</v>
      </c>
      <c r="AC165" s="18" t="str">
        <f t="shared" si="59"/>
        <v>·</v>
      </c>
      <c r="AD165" s="18" t="str">
        <f t="shared" si="60"/>
        <v>·</v>
      </c>
      <c r="AE165" s="19"/>
      <c r="AF165" s="18" t="str">
        <f t="shared" si="61"/>
        <v>·</v>
      </c>
      <c r="AG165" s="20"/>
      <c r="AH165" s="21"/>
      <c r="AI165" s="21"/>
      <c r="AJ165" s="21"/>
      <c r="AK165" s="37"/>
      <c r="AL165" s="38"/>
      <c r="AM165" s="38"/>
      <c r="AN165" s="38"/>
      <c r="AO165" s="39"/>
      <c r="AP165" s="49"/>
      <c r="AQ165" s="49"/>
      <c r="AS165" s="53" t="e">
        <f t="shared" si="62"/>
        <v>#DIV/0!</v>
      </c>
      <c r="AT165" s="53"/>
      <c r="AV165" s="54"/>
      <c r="AW165" s="54"/>
      <c r="AX165" s="54"/>
      <c r="AY165" s="61"/>
      <c r="BA165" s="54"/>
      <c r="BB165" s="54"/>
      <c r="BC165" s="54"/>
      <c r="BD165" s="61"/>
      <c r="BF165">
        <f t="shared" si="63"/>
        <v>0</v>
      </c>
      <c r="BG165">
        <f t="shared" si="64"/>
        <v>0</v>
      </c>
      <c r="BH165">
        <f t="shared" si="65"/>
        <v>0</v>
      </c>
      <c r="BI165">
        <f t="shared" si="66"/>
        <v>0</v>
      </c>
      <c r="BJ165">
        <f t="shared" si="67"/>
        <v>0</v>
      </c>
      <c r="BK165">
        <f t="shared" si="68"/>
        <v>0</v>
      </c>
      <c r="BL165">
        <f t="shared" si="69"/>
        <v>0</v>
      </c>
      <c r="BM165">
        <f t="shared" si="70"/>
        <v>0</v>
      </c>
      <c r="BN165">
        <f t="shared" si="71"/>
        <v>0</v>
      </c>
    </row>
    <row r="166" spans="1:66" outlineLevel="1" x14ac:dyDescent="0.15">
      <c r="A166" s="8"/>
      <c r="B166" s="14" t="s">
        <v>137</v>
      </c>
      <c r="C166" s="15" t="s">
        <v>259</v>
      </c>
      <c r="D166" s="14">
        <v>8929532</v>
      </c>
      <c r="E166" s="16">
        <v>20</v>
      </c>
      <c r="F166" s="15">
        <v>1</v>
      </c>
      <c r="G166" s="15"/>
      <c r="I166" s="32" t="str">
        <f t="shared" si="52"/>
        <v>·</v>
      </c>
      <c r="J166" s="33" t="str">
        <f t="shared" si="53"/>
        <v>·</v>
      </c>
      <c r="K166" s="33" t="str">
        <f t="shared" si="54"/>
        <v>·</v>
      </c>
      <c r="L166" s="33" t="str">
        <f t="shared" si="55"/>
        <v>·</v>
      </c>
      <c r="M166" s="34"/>
      <c r="N166" s="33" t="str">
        <f t="shared" si="56"/>
        <v>·</v>
      </c>
      <c r="O166" s="35"/>
      <c r="P166" s="36"/>
      <c r="Q166" s="36"/>
      <c r="R166" s="36"/>
      <c r="S166" s="46"/>
      <c r="T166" s="47"/>
      <c r="U166" s="47"/>
      <c r="V166" s="47"/>
      <c r="W166" s="48"/>
      <c r="X166" s="52"/>
      <c r="Y166" s="52"/>
      <c r="AA166" s="32" t="str">
        <f t="shared" si="57"/>
        <v>·</v>
      </c>
      <c r="AB166" s="33" t="str">
        <f t="shared" si="58"/>
        <v>·</v>
      </c>
      <c r="AC166" s="33" t="str">
        <f t="shared" si="59"/>
        <v>·</v>
      </c>
      <c r="AD166" s="33" t="str">
        <f t="shared" si="60"/>
        <v>·</v>
      </c>
      <c r="AE166" s="34"/>
      <c r="AF166" s="33" t="str">
        <f t="shared" si="61"/>
        <v>·</v>
      </c>
      <c r="AG166" s="35"/>
      <c r="AH166" s="36"/>
      <c r="AI166" s="36"/>
      <c r="AJ166" s="36"/>
      <c r="AK166" s="46"/>
      <c r="AL166" s="47"/>
      <c r="AM166" s="47"/>
      <c r="AN166" s="47"/>
      <c r="AO166" s="48"/>
      <c r="AP166" s="52"/>
      <c r="AQ166" s="52"/>
      <c r="AS166" s="59" t="e">
        <f t="shared" si="62"/>
        <v>#DIV/0!</v>
      </c>
      <c r="AT166" s="59"/>
      <c r="AV166" s="60"/>
      <c r="AW166" s="60"/>
      <c r="AX166" s="60"/>
      <c r="AY166" s="64"/>
      <c r="BA166" s="60"/>
      <c r="BB166" s="60"/>
      <c r="BC166" s="60"/>
      <c r="BD166" s="64"/>
      <c r="BF166">
        <f t="shared" si="63"/>
        <v>0</v>
      </c>
      <c r="BG166">
        <f t="shared" si="64"/>
        <v>0</v>
      </c>
      <c r="BH166">
        <f t="shared" si="65"/>
        <v>0</v>
      </c>
      <c r="BI166">
        <f t="shared" si="66"/>
        <v>0</v>
      </c>
      <c r="BJ166">
        <f t="shared" si="67"/>
        <v>0</v>
      </c>
      <c r="BK166">
        <f t="shared" si="68"/>
        <v>0</v>
      </c>
      <c r="BL166">
        <f t="shared" si="69"/>
        <v>0</v>
      </c>
      <c r="BM166">
        <f t="shared" si="70"/>
        <v>0</v>
      </c>
      <c r="BN166">
        <f t="shared" si="71"/>
        <v>0</v>
      </c>
    </row>
    <row r="167" spans="1:66" x14ac:dyDescent="0.15">
      <c r="A167" s="5"/>
      <c r="B167" s="5" t="s">
        <v>140</v>
      </c>
      <c r="C167" s="6" t="s">
        <v>254</v>
      </c>
      <c r="D167" s="5">
        <v>19702134</v>
      </c>
      <c r="E167" s="7">
        <v>14</v>
      </c>
      <c r="F167" s="6">
        <v>1</v>
      </c>
      <c r="G167" s="6"/>
      <c r="I167" s="17" t="str">
        <f t="shared" si="52"/>
        <v>·</v>
      </c>
      <c r="J167" s="18" t="str">
        <f t="shared" si="53"/>
        <v>·</v>
      </c>
      <c r="K167" s="18" t="str">
        <f t="shared" si="54"/>
        <v>·</v>
      </c>
      <c r="L167" s="18" t="str">
        <f t="shared" si="55"/>
        <v>·</v>
      </c>
      <c r="M167" s="19"/>
      <c r="N167" s="18" t="str">
        <f t="shared" si="56"/>
        <v>·</v>
      </c>
      <c r="O167" s="20"/>
      <c r="P167" s="21"/>
      <c r="Q167" s="21"/>
      <c r="R167" s="21"/>
      <c r="S167" s="37"/>
      <c r="T167" s="38"/>
      <c r="U167" s="38"/>
      <c r="V167" s="38"/>
      <c r="W167" s="39"/>
      <c r="X167" s="49"/>
      <c r="Y167" s="49"/>
      <c r="AA167" s="17" t="str">
        <f t="shared" si="57"/>
        <v>·</v>
      </c>
      <c r="AB167" s="18" t="str">
        <f t="shared" si="58"/>
        <v>·</v>
      </c>
      <c r="AC167" s="18" t="str">
        <f t="shared" si="59"/>
        <v>·</v>
      </c>
      <c r="AD167" s="18" t="str">
        <f t="shared" si="60"/>
        <v>·</v>
      </c>
      <c r="AE167" s="19"/>
      <c r="AF167" s="18" t="str">
        <f t="shared" si="61"/>
        <v>·</v>
      </c>
      <c r="AG167" s="20"/>
      <c r="AH167" s="21"/>
      <c r="AI167" s="21"/>
      <c r="AJ167" s="21"/>
      <c r="AK167" s="37"/>
      <c r="AL167" s="38"/>
      <c r="AM167" s="38"/>
      <c r="AN167" s="38"/>
      <c r="AO167" s="39"/>
      <c r="AP167" s="49"/>
      <c r="AQ167" s="49"/>
      <c r="AS167" s="53" t="e">
        <f t="shared" si="62"/>
        <v>#DIV/0!</v>
      </c>
      <c r="AT167" s="53" t="e">
        <f t="array" ref="AT167">AVERAGE(AI167:AI172/AH167:AH172)-AVERAGE(Q167:Q172/P167:P172)</f>
        <v>#DIV/0!</v>
      </c>
      <c r="AV167" s="54" t="str">
        <f>IF(OR(ISBLANK(R167:R172),ISBLANK(AJ167:AJ172),ISBLANK(T167:T172),ISBLANK(AL167:AL172)),"·",bdRateExtend(R167:R172,T167:T172,AJ167:AJ172,AL167:AL172))</f>
        <v>·</v>
      </c>
      <c r="AW167" s="54" t="str">
        <f>IF(OR(ISBLANK(R167:R172),ISBLANK(AJ167:AJ172),ISBLANK(U167:U172),ISBLANK(AM167:AM172)),"·",bdRateExtend(R167:R172,U167:U172,AJ167:AJ172,AM167:AM172))</f>
        <v>·</v>
      </c>
      <c r="AX167" s="54" t="str">
        <f>IF(OR(ISBLANK(R167:R172),ISBLANK(AJ167:AJ172),ISBLANK(V167:V172),ISBLANK(AN167:AN172)),"·",bdRateExtend(R167:R172,V167:V172,AJ167:AJ172,AN167:AN172))</f>
        <v>·</v>
      </c>
      <c r="AY167" s="61"/>
      <c r="BA167" s="54" t="str">
        <f>IF(OR(ISBLANK(P167:P172),ISBLANK(AH167:AH172),ISBLANK(T167:T172),ISBLANK(AL167:AL172)),"·",bdRateExtend(P167:P172,T167:T172,AH167:AH172,AL167:AL172))</f>
        <v>·</v>
      </c>
      <c r="BB167" s="54" t="str">
        <f>IF(OR(ISBLANK(P167:P172),ISBLANK(AH167:AH172),ISBLANK(U167:U172),ISBLANK(AM167:AM172)),"·",bdRateExtend(P167:P172,U167:U172,AH167:AH172,AM167:AM172))</f>
        <v>·</v>
      </c>
      <c r="BC167" s="54" t="str">
        <f>IF(OR(ISBLANK(P167:P172),ISBLANK(AH167:AH172),ISBLANK(V167:V172),ISBLANK(AN167:AN172)),"·",bdRateExtend(P167:P172,V167:V172,AH167:AH172,AN167:AN172))</f>
        <v>·</v>
      </c>
      <c r="BD167" s="61"/>
      <c r="BF167">
        <f t="shared" si="63"/>
        <v>0</v>
      </c>
      <c r="BG167">
        <f t="shared" si="64"/>
        <v>0</v>
      </c>
      <c r="BH167">
        <f t="shared" si="65"/>
        <v>0</v>
      </c>
      <c r="BI167">
        <f t="shared" si="66"/>
        <v>0</v>
      </c>
      <c r="BJ167">
        <f t="shared" si="67"/>
        <v>0</v>
      </c>
      <c r="BK167">
        <f t="shared" si="68"/>
        <v>0</v>
      </c>
      <c r="BL167">
        <f t="shared" si="69"/>
        <v>0</v>
      </c>
      <c r="BM167">
        <f t="shared" si="70"/>
        <v>0</v>
      </c>
      <c r="BN167">
        <f t="shared" si="71"/>
        <v>0</v>
      </c>
    </row>
    <row r="168" spans="1:66" outlineLevel="1" x14ac:dyDescent="0.15">
      <c r="A168" s="8"/>
      <c r="B168" s="8" t="s">
        <v>140</v>
      </c>
      <c r="C168" s="9" t="s">
        <v>255</v>
      </c>
      <c r="D168" s="8">
        <v>19702134</v>
      </c>
      <c r="E168" s="10">
        <v>14</v>
      </c>
      <c r="F168" s="9">
        <v>1</v>
      </c>
      <c r="G168" s="9"/>
      <c r="I168" s="22" t="str">
        <f t="shared" si="52"/>
        <v>·</v>
      </c>
      <c r="J168" s="23" t="str">
        <f t="shared" si="53"/>
        <v>·</v>
      </c>
      <c r="K168" s="23" t="str">
        <f t="shared" si="54"/>
        <v>·</v>
      </c>
      <c r="L168" s="23" t="str">
        <f t="shared" si="55"/>
        <v>·</v>
      </c>
      <c r="M168" s="24"/>
      <c r="N168" s="23" t="str">
        <f t="shared" si="56"/>
        <v>·</v>
      </c>
      <c r="O168" s="25"/>
      <c r="P168" s="26"/>
      <c r="Q168" s="26"/>
      <c r="R168" s="26"/>
      <c r="S168" s="40"/>
      <c r="T168" s="41"/>
      <c r="U168" s="41"/>
      <c r="V168" s="41"/>
      <c r="W168" s="42"/>
      <c r="X168" s="50"/>
      <c r="Y168" s="50"/>
      <c r="AA168" s="22" t="str">
        <f t="shared" si="57"/>
        <v>·</v>
      </c>
      <c r="AB168" s="23" t="str">
        <f t="shared" si="58"/>
        <v>·</v>
      </c>
      <c r="AC168" s="23" t="str">
        <f t="shared" si="59"/>
        <v>·</v>
      </c>
      <c r="AD168" s="23" t="str">
        <f t="shared" si="60"/>
        <v>·</v>
      </c>
      <c r="AE168" s="24"/>
      <c r="AF168" s="23" t="str">
        <f t="shared" si="61"/>
        <v>·</v>
      </c>
      <c r="AG168" s="25"/>
      <c r="AH168" s="26"/>
      <c r="AI168" s="26"/>
      <c r="AJ168" s="26"/>
      <c r="AK168" s="40"/>
      <c r="AL168" s="41"/>
      <c r="AM168" s="41"/>
      <c r="AN168" s="41"/>
      <c r="AO168" s="42"/>
      <c r="AP168" s="50"/>
      <c r="AQ168" s="50"/>
      <c r="AS168" s="55" t="e">
        <f t="shared" si="62"/>
        <v>#DIV/0!</v>
      </c>
      <c r="AT168" s="55"/>
      <c r="AV168" s="56"/>
      <c r="AW168" s="56"/>
      <c r="AX168" s="56"/>
      <c r="AY168" s="62"/>
      <c r="BA168" s="56"/>
      <c r="BB168" s="56"/>
      <c r="BC168" s="56"/>
      <c r="BD168" s="62"/>
      <c r="BF168">
        <f t="shared" si="63"/>
        <v>0</v>
      </c>
      <c r="BG168">
        <f t="shared" si="64"/>
        <v>0</v>
      </c>
      <c r="BH168">
        <f t="shared" si="65"/>
        <v>0</v>
      </c>
      <c r="BI168">
        <f t="shared" si="66"/>
        <v>0</v>
      </c>
      <c r="BJ168">
        <f t="shared" si="67"/>
        <v>0</v>
      </c>
      <c r="BK168">
        <f t="shared" si="68"/>
        <v>0</v>
      </c>
      <c r="BL168">
        <f t="shared" si="69"/>
        <v>0</v>
      </c>
      <c r="BM168">
        <f t="shared" si="70"/>
        <v>0</v>
      </c>
      <c r="BN168">
        <f t="shared" si="71"/>
        <v>0</v>
      </c>
    </row>
    <row r="169" spans="1:66" outlineLevel="1" x14ac:dyDescent="0.15">
      <c r="A169" s="5"/>
      <c r="B169" s="5" t="s">
        <v>140</v>
      </c>
      <c r="C169" s="6" t="s">
        <v>256</v>
      </c>
      <c r="D169" s="5">
        <v>19702134</v>
      </c>
      <c r="E169" s="7">
        <v>14</v>
      </c>
      <c r="F169" s="6">
        <v>1</v>
      </c>
      <c r="G169" s="6"/>
      <c r="I169" s="17" t="str">
        <f t="shared" si="52"/>
        <v>·</v>
      </c>
      <c r="J169" s="18" t="str">
        <f t="shared" si="53"/>
        <v>·</v>
      </c>
      <c r="K169" s="18" t="str">
        <f t="shared" si="54"/>
        <v>·</v>
      </c>
      <c r="L169" s="18" t="str">
        <f t="shared" si="55"/>
        <v>·</v>
      </c>
      <c r="M169" s="19"/>
      <c r="N169" s="18" t="str">
        <f t="shared" si="56"/>
        <v>·</v>
      </c>
      <c r="O169" s="20"/>
      <c r="P169" s="21"/>
      <c r="Q169" s="21"/>
      <c r="R169" s="21"/>
      <c r="S169" s="37"/>
      <c r="T169" s="38"/>
      <c r="U169" s="38"/>
      <c r="V169" s="38"/>
      <c r="W169" s="39"/>
      <c r="X169" s="49"/>
      <c r="Y169" s="49"/>
      <c r="AA169" s="17" t="str">
        <f t="shared" si="57"/>
        <v>·</v>
      </c>
      <c r="AB169" s="18" t="str">
        <f t="shared" si="58"/>
        <v>·</v>
      </c>
      <c r="AC169" s="18" t="str">
        <f t="shared" si="59"/>
        <v>·</v>
      </c>
      <c r="AD169" s="18" t="str">
        <f t="shared" si="60"/>
        <v>·</v>
      </c>
      <c r="AE169" s="19"/>
      <c r="AF169" s="18" t="str">
        <f t="shared" si="61"/>
        <v>·</v>
      </c>
      <c r="AG169" s="20"/>
      <c r="AH169" s="21"/>
      <c r="AI169" s="21"/>
      <c r="AJ169" s="21"/>
      <c r="AK169" s="37"/>
      <c r="AL169" s="38"/>
      <c r="AM169" s="38"/>
      <c r="AN169" s="38"/>
      <c r="AO169" s="39"/>
      <c r="AP169" s="49"/>
      <c r="AQ169" s="49"/>
      <c r="AS169" s="53" t="e">
        <f t="shared" si="62"/>
        <v>#DIV/0!</v>
      </c>
      <c r="AT169" s="53"/>
      <c r="AV169" s="54"/>
      <c r="AW169" s="54"/>
      <c r="AX169" s="54"/>
      <c r="AY169" s="61"/>
      <c r="BA169" s="54"/>
      <c r="BB169" s="54"/>
      <c r="BC169" s="54"/>
      <c r="BD169" s="61"/>
      <c r="BF169">
        <f t="shared" si="63"/>
        <v>0</v>
      </c>
      <c r="BG169">
        <f t="shared" si="64"/>
        <v>0</v>
      </c>
      <c r="BH169">
        <f t="shared" si="65"/>
        <v>0</v>
      </c>
      <c r="BI169">
        <f t="shared" si="66"/>
        <v>0</v>
      </c>
      <c r="BJ169">
        <f t="shared" si="67"/>
        <v>0</v>
      </c>
      <c r="BK169">
        <f t="shared" si="68"/>
        <v>0</v>
      </c>
      <c r="BL169">
        <f t="shared" si="69"/>
        <v>0</v>
      </c>
      <c r="BM169">
        <f t="shared" si="70"/>
        <v>0</v>
      </c>
      <c r="BN169">
        <f t="shared" si="71"/>
        <v>0</v>
      </c>
    </row>
    <row r="170" spans="1:66" outlineLevel="1" x14ac:dyDescent="0.15">
      <c r="A170" s="8"/>
      <c r="B170" s="8" t="s">
        <v>140</v>
      </c>
      <c r="C170" s="9" t="s">
        <v>257</v>
      </c>
      <c r="D170" s="8">
        <v>19702134</v>
      </c>
      <c r="E170" s="10">
        <v>14</v>
      </c>
      <c r="F170" s="9">
        <v>1</v>
      </c>
      <c r="G170" s="9"/>
      <c r="I170" s="22" t="str">
        <f t="shared" si="52"/>
        <v>·</v>
      </c>
      <c r="J170" s="23" t="str">
        <f t="shared" si="53"/>
        <v>·</v>
      </c>
      <c r="K170" s="23" t="str">
        <f t="shared" si="54"/>
        <v>·</v>
      </c>
      <c r="L170" s="23" t="str">
        <f t="shared" si="55"/>
        <v>·</v>
      </c>
      <c r="M170" s="24"/>
      <c r="N170" s="23" t="str">
        <f t="shared" si="56"/>
        <v>·</v>
      </c>
      <c r="O170" s="25"/>
      <c r="P170" s="26"/>
      <c r="Q170" s="26"/>
      <c r="R170" s="26"/>
      <c r="S170" s="40"/>
      <c r="T170" s="41"/>
      <c r="U170" s="41"/>
      <c r="V170" s="41"/>
      <c r="W170" s="42"/>
      <c r="X170" s="50"/>
      <c r="Y170" s="50"/>
      <c r="AA170" s="22" t="str">
        <f t="shared" si="57"/>
        <v>·</v>
      </c>
      <c r="AB170" s="23" t="str">
        <f t="shared" si="58"/>
        <v>·</v>
      </c>
      <c r="AC170" s="23" t="str">
        <f t="shared" si="59"/>
        <v>·</v>
      </c>
      <c r="AD170" s="23" t="str">
        <f t="shared" si="60"/>
        <v>·</v>
      </c>
      <c r="AE170" s="24"/>
      <c r="AF170" s="23" t="str">
        <f t="shared" si="61"/>
        <v>·</v>
      </c>
      <c r="AG170" s="25"/>
      <c r="AH170" s="26"/>
      <c r="AI170" s="26"/>
      <c r="AJ170" s="26"/>
      <c r="AK170" s="40"/>
      <c r="AL170" s="41"/>
      <c r="AM170" s="41"/>
      <c r="AN170" s="41"/>
      <c r="AO170" s="42"/>
      <c r="AP170" s="50"/>
      <c r="AQ170" s="50"/>
      <c r="AS170" s="55" t="e">
        <f t="shared" si="62"/>
        <v>#DIV/0!</v>
      </c>
      <c r="AT170" s="55"/>
      <c r="AV170" s="56"/>
      <c r="AW170" s="56"/>
      <c r="AX170" s="56"/>
      <c r="AY170" s="62"/>
      <c r="BA170" s="56"/>
      <c r="BB170" s="56"/>
      <c r="BC170" s="56"/>
      <c r="BD170" s="62"/>
      <c r="BF170">
        <f t="shared" si="63"/>
        <v>0</v>
      </c>
      <c r="BG170">
        <f t="shared" si="64"/>
        <v>0</v>
      </c>
      <c r="BH170">
        <f t="shared" si="65"/>
        <v>0</v>
      </c>
      <c r="BI170">
        <f t="shared" si="66"/>
        <v>0</v>
      </c>
      <c r="BJ170">
        <f t="shared" si="67"/>
        <v>0</v>
      </c>
      <c r="BK170">
        <f t="shared" si="68"/>
        <v>0</v>
      </c>
      <c r="BL170">
        <f t="shared" si="69"/>
        <v>0</v>
      </c>
      <c r="BM170">
        <f t="shared" si="70"/>
        <v>0</v>
      </c>
      <c r="BN170">
        <f t="shared" si="71"/>
        <v>0</v>
      </c>
    </row>
    <row r="171" spans="1:66" outlineLevel="1" x14ac:dyDescent="0.15">
      <c r="A171" s="5"/>
      <c r="B171" s="5" t="s">
        <v>140</v>
      </c>
      <c r="C171" s="6" t="s">
        <v>258</v>
      </c>
      <c r="D171" s="5">
        <v>19702134</v>
      </c>
      <c r="E171" s="7">
        <v>14</v>
      </c>
      <c r="F171" s="6">
        <v>1</v>
      </c>
      <c r="G171" s="6"/>
      <c r="I171" s="17" t="str">
        <f t="shared" si="52"/>
        <v>·</v>
      </c>
      <c r="J171" s="18" t="str">
        <f t="shared" si="53"/>
        <v>·</v>
      </c>
      <c r="K171" s="18" t="str">
        <f t="shared" si="54"/>
        <v>·</v>
      </c>
      <c r="L171" s="18" t="str">
        <f t="shared" si="55"/>
        <v>·</v>
      </c>
      <c r="M171" s="19"/>
      <c r="N171" s="18" t="str">
        <f t="shared" si="56"/>
        <v>·</v>
      </c>
      <c r="O171" s="20"/>
      <c r="P171" s="21"/>
      <c r="Q171" s="21"/>
      <c r="R171" s="21"/>
      <c r="S171" s="37"/>
      <c r="T171" s="38"/>
      <c r="U171" s="38"/>
      <c r="V171" s="38"/>
      <c r="W171" s="39"/>
      <c r="X171" s="49"/>
      <c r="Y171" s="49"/>
      <c r="AA171" s="17" t="str">
        <f t="shared" si="57"/>
        <v>·</v>
      </c>
      <c r="AB171" s="18" t="str">
        <f t="shared" si="58"/>
        <v>·</v>
      </c>
      <c r="AC171" s="18" t="str">
        <f t="shared" si="59"/>
        <v>·</v>
      </c>
      <c r="AD171" s="18" t="str">
        <f t="shared" si="60"/>
        <v>·</v>
      </c>
      <c r="AE171" s="19"/>
      <c r="AF171" s="18" t="str">
        <f t="shared" si="61"/>
        <v>·</v>
      </c>
      <c r="AG171" s="20"/>
      <c r="AH171" s="21"/>
      <c r="AI171" s="21"/>
      <c r="AJ171" s="21"/>
      <c r="AK171" s="37"/>
      <c r="AL171" s="38"/>
      <c r="AM171" s="38"/>
      <c r="AN171" s="38"/>
      <c r="AO171" s="39"/>
      <c r="AP171" s="49"/>
      <c r="AQ171" s="49"/>
      <c r="AS171" s="53" t="e">
        <f t="shared" si="62"/>
        <v>#DIV/0!</v>
      </c>
      <c r="AT171" s="53"/>
      <c r="AV171" s="54"/>
      <c r="AW171" s="54"/>
      <c r="AX171" s="54"/>
      <c r="AY171" s="61"/>
      <c r="BA171" s="54"/>
      <c r="BB171" s="54"/>
      <c r="BC171" s="54"/>
      <c r="BD171" s="61"/>
      <c r="BF171">
        <f t="shared" si="63"/>
        <v>0</v>
      </c>
      <c r="BG171">
        <f t="shared" si="64"/>
        <v>0</v>
      </c>
      <c r="BH171">
        <f t="shared" si="65"/>
        <v>0</v>
      </c>
      <c r="BI171">
        <f t="shared" si="66"/>
        <v>0</v>
      </c>
      <c r="BJ171">
        <f t="shared" si="67"/>
        <v>0</v>
      </c>
      <c r="BK171">
        <f t="shared" si="68"/>
        <v>0</v>
      </c>
      <c r="BL171">
        <f t="shared" si="69"/>
        <v>0</v>
      </c>
      <c r="BM171">
        <f t="shared" si="70"/>
        <v>0</v>
      </c>
      <c r="BN171">
        <f t="shared" si="71"/>
        <v>0</v>
      </c>
    </row>
    <row r="172" spans="1:66" outlineLevel="1" x14ac:dyDescent="0.15">
      <c r="A172" s="8"/>
      <c r="B172" s="14" t="s">
        <v>140</v>
      </c>
      <c r="C172" s="15" t="s">
        <v>259</v>
      </c>
      <c r="D172" s="14">
        <v>19702134</v>
      </c>
      <c r="E172" s="16">
        <v>14</v>
      </c>
      <c r="F172" s="15">
        <v>1</v>
      </c>
      <c r="G172" s="15"/>
      <c r="I172" s="32" t="str">
        <f t="shared" si="52"/>
        <v>·</v>
      </c>
      <c r="J172" s="33" t="str">
        <f t="shared" si="53"/>
        <v>·</v>
      </c>
      <c r="K172" s="33" t="str">
        <f t="shared" si="54"/>
        <v>·</v>
      </c>
      <c r="L172" s="33" t="str">
        <f t="shared" si="55"/>
        <v>·</v>
      </c>
      <c r="M172" s="34"/>
      <c r="N172" s="33" t="str">
        <f t="shared" si="56"/>
        <v>·</v>
      </c>
      <c r="O172" s="35"/>
      <c r="P172" s="36"/>
      <c r="Q172" s="36"/>
      <c r="R172" s="36"/>
      <c r="S172" s="46"/>
      <c r="T172" s="47"/>
      <c r="U172" s="47"/>
      <c r="V172" s="47"/>
      <c r="W172" s="48"/>
      <c r="X172" s="52"/>
      <c r="Y172" s="52"/>
      <c r="AA172" s="32" t="str">
        <f t="shared" si="57"/>
        <v>·</v>
      </c>
      <c r="AB172" s="33" t="str">
        <f t="shared" si="58"/>
        <v>·</v>
      </c>
      <c r="AC172" s="33" t="str">
        <f t="shared" si="59"/>
        <v>·</v>
      </c>
      <c r="AD172" s="33" t="str">
        <f t="shared" si="60"/>
        <v>·</v>
      </c>
      <c r="AE172" s="34"/>
      <c r="AF172" s="33" t="str">
        <f t="shared" si="61"/>
        <v>·</v>
      </c>
      <c r="AG172" s="35"/>
      <c r="AH172" s="36"/>
      <c r="AI172" s="36"/>
      <c r="AJ172" s="36"/>
      <c r="AK172" s="46"/>
      <c r="AL172" s="47"/>
      <c r="AM172" s="47"/>
      <c r="AN172" s="47"/>
      <c r="AO172" s="48"/>
      <c r="AP172" s="52"/>
      <c r="AQ172" s="52"/>
      <c r="AS172" s="59" t="e">
        <f t="shared" si="62"/>
        <v>#DIV/0!</v>
      </c>
      <c r="AT172" s="59"/>
      <c r="AV172" s="60"/>
      <c r="AW172" s="60"/>
      <c r="AX172" s="60"/>
      <c r="AY172" s="64"/>
      <c r="BA172" s="60"/>
      <c r="BB172" s="60"/>
      <c r="BC172" s="60"/>
      <c r="BD172" s="64"/>
      <c r="BF172">
        <f t="shared" si="63"/>
        <v>0</v>
      </c>
      <c r="BG172">
        <f t="shared" si="64"/>
        <v>0</v>
      </c>
      <c r="BH172">
        <f t="shared" si="65"/>
        <v>0</v>
      </c>
      <c r="BI172">
        <f t="shared" si="66"/>
        <v>0</v>
      </c>
      <c r="BJ172">
        <f t="shared" si="67"/>
        <v>0</v>
      </c>
      <c r="BK172">
        <f t="shared" si="68"/>
        <v>0</v>
      </c>
      <c r="BL172">
        <f t="shared" si="69"/>
        <v>0</v>
      </c>
      <c r="BM172">
        <f t="shared" si="70"/>
        <v>0</v>
      </c>
      <c r="BN172">
        <f t="shared" si="71"/>
        <v>0</v>
      </c>
    </row>
    <row r="173" spans="1:66" x14ac:dyDescent="0.15">
      <c r="A173" s="5"/>
      <c r="B173" s="5" t="s">
        <v>143</v>
      </c>
      <c r="C173" s="6" t="s">
        <v>254</v>
      </c>
      <c r="D173" s="5">
        <v>19714629</v>
      </c>
      <c r="E173" s="7">
        <v>20</v>
      </c>
      <c r="F173" s="6">
        <v>1</v>
      </c>
      <c r="G173" s="6"/>
      <c r="I173" s="17" t="str">
        <f t="shared" si="52"/>
        <v>·</v>
      </c>
      <c r="J173" s="18" t="str">
        <f t="shared" si="53"/>
        <v>·</v>
      </c>
      <c r="K173" s="18" t="str">
        <f t="shared" si="54"/>
        <v>·</v>
      </c>
      <c r="L173" s="18" t="str">
        <f t="shared" si="55"/>
        <v>·</v>
      </c>
      <c r="M173" s="19"/>
      <c r="N173" s="18" t="str">
        <f t="shared" si="56"/>
        <v>·</v>
      </c>
      <c r="O173" s="20"/>
      <c r="P173" s="21"/>
      <c r="Q173" s="21"/>
      <c r="R173" s="21"/>
      <c r="S173" s="37"/>
      <c r="T173" s="38"/>
      <c r="U173" s="38"/>
      <c r="V173" s="38"/>
      <c r="W173" s="39"/>
      <c r="X173" s="49"/>
      <c r="Y173" s="49"/>
      <c r="AA173" s="17" t="str">
        <f t="shared" si="57"/>
        <v>·</v>
      </c>
      <c r="AB173" s="18" t="str">
        <f t="shared" si="58"/>
        <v>·</v>
      </c>
      <c r="AC173" s="18" t="str">
        <f t="shared" si="59"/>
        <v>·</v>
      </c>
      <c r="AD173" s="18" t="str">
        <f t="shared" si="60"/>
        <v>·</v>
      </c>
      <c r="AE173" s="19"/>
      <c r="AF173" s="18" t="str">
        <f t="shared" si="61"/>
        <v>·</v>
      </c>
      <c r="AG173" s="20"/>
      <c r="AH173" s="21"/>
      <c r="AI173" s="21"/>
      <c r="AJ173" s="21"/>
      <c r="AK173" s="37"/>
      <c r="AL173" s="38"/>
      <c r="AM173" s="38"/>
      <c r="AN173" s="38"/>
      <c r="AO173" s="39"/>
      <c r="AP173" s="49"/>
      <c r="AQ173" s="49"/>
      <c r="AS173" s="53" t="e">
        <f t="shared" si="62"/>
        <v>#DIV/0!</v>
      </c>
      <c r="AT173" s="53" t="e">
        <f t="array" ref="AT173">AVERAGE(AI173:AI178/AH173:AH178)-AVERAGE(Q173:Q178/P173:P178)</f>
        <v>#DIV/0!</v>
      </c>
      <c r="AV173" s="54" t="str">
        <f>IF(OR(ISBLANK(R173:R178),ISBLANK(AJ173:AJ178),ISBLANK(T173:T178),ISBLANK(AL173:AL178)),"·",bdRateExtend(R173:R178,T173:T178,AJ173:AJ178,AL173:AL178))</f>
        <v>·</v>
      </c>
      <c r="AW173" s="54" t="str">
        <f>IF(OR(ISBLANK(R173:R178),ISBLANK(AJ173:AJ178),ISBLANK(U173:U178),ISBLANK(AM173:AM178)),"·",bdRateExtend(R173:R178,U173:U178,AJ173:AJ178,AM173:AM178))</f>
        <v>·</v>
      </c>
      <c r="AX173" s="54" t="str">
        <f>IF(OR(ISBLANK(R173:R178),ISBLANK(AJ173:AJ178),ISBLANK(V173:V178),ISBLANK(AN173:AN178)),"·",bdRateExtend(R173:R178,V173:V178,AJ173:AJ178,AN173:AN178))</f>
        <v>·</v>
      </c>
      <c r="AY173" s="61"/>
      <c r="BA173" s="54" t="str">
        <f>IF(OR(ISBLANK(P173:P178),ISBLANK(AH173:AH178),ISBLANK(T173:T178),ISBLANK(AL173:AL178)),"·",bdRateExtend(P173:P178,T173:T178,AH173:AH178,AL173:AL178))</f>
        <v>·</v>
      </c>
      <c r="BB173" s="54" t="str">
        <f>IF(OR(ISBLANK(P173:P178),ISBLANK(AH173:AH178),ISBLANK(U173:U178),ISBLANK(AM173:AM178)),"·",bdRateExtend(P173:P178,U173:U178,AH173:AH178,AM173:AM178))</f>
        <v>·</v>
      </c>
      <c r="BC173" s="54" t="str">
        <f>IF(OR(ISBLANK(P173:P178),ISBLANK(AH173:AH178),ISBLANK(V173:V178),ISBLANK(AN173:AN178)),"·",bdRateExtend(P173:P178,V173:V178,AH173:AH178,AN173:AN178))</f>
        <v>·</v>
      </c>
      <c r="BD173" s="61"/>
      <c r="BF173">
        <f t="shared" si="63"/>
        <v>0</v>
      </c>
      <c r="BG173">
        <f t="shared" si="64"/>
        <v>0</v>
      </c>
      <c r="BH173">
        <f t="shared" si="65"/>
        <v>0</v>
      </c>
      <c r="BI173">
        <f t="shared" si="66"/>
        <v>0</v>
      </c>
      <c r="BJ173">
        <f t="shared" si="67"/>
        <v>0</v>
      </c>
      <c r="BK173">
        <f t="shared" si="68"/>
        <v>0</v>
      </c>
      <c r="BL173">
        <f t="shared" si="69"/>
        <v>0</v>
      </c>
      <c r="BM173">
        <f t="shared" si="70"/>
        <v>0</v>
      </c>
      <c r="BN173">
        <f t="shared" si="71"/>
        <v>0</v>
      </c>
    </row>
    <row r="174" spans="1:66" outlineLevel="1" x14ac:dyDescent="0.15">
      <c r="A174" s="8"/>
      <c r="B174" s="8" t="s">
        <v>143</v>
      </c>
      <c r="C174" s="9" t="s">
        <v>255</v>
      </c>
      <c r="D174" s="8">
        <v>19714629</v>
      </c>
      <c r="E174" s="10">
        <v>20</v>
      </c>
      <c r="F174" s="9">
        <v>1</v>
      </c>
      <c r="G174" s="9"/>
      <c r="I174" s="22" t="str">
        <f t="shared" si="52"/>
        <v>·</v>
      </c>
      <c r="J174" s="23" t="str">
        <f t="shared" si="53"/>
        <v>·</v>
      </c>
      <c r="K174" s="23" t="str">
        <f t="shared" si="54"/>
        <v>·</v>
      </c>
      <c r="L174" s="23" t="str">
        <f t="shared" si="55"/>
        <v>·</v>
      </c>
      <c r="M174" s="24"/>
      <c r="N174" s="23" t="str">
        <f t="shared" si="56"/>
        <v>·</v>
      </c>
      <c r="O174" s="25"/>
      <c r="P174" s="26"/>
      <c r="Q174" s="26"/>
      <c r="R174" s="26"/>
      <c r="S174" s="40"/>
      <c r="T174" s="41"/>
      <c r="U174" s="41"/>
      <c r="V174" s="41"/>
      <c r="W174" s="42"/>
      <c r="X174" s="50"/>
      <c r="Y174" s="50"/>
      <c r="AA174" s="22" t="str">
        <f t="shared" si="57"/>
        <v>·</v>
      </c>
      <c r="AB174" s="23" t="str">
        <f t="shared" si="58"/>
        <v>·</v>
      </c>
      <c r="AC174" s="23" t="str">
        <f t="shared" si="59"/>
        <v>·</v>
      </c>
      <c r="AD174" s="23" t="str">
        <f t="shared" si="60"/>
        <v>·</v>
      </c>
      <c r="AE174" s="24"/>
      <c r="AF174" s="23" t="str">
        <f t="shared" si="61"/>
        <v>·</v>
      </c>
      <c r="AG174" s="25"/>
      <c r="AH174" s="26"/>
      <c r="AI174" s="26"/>
      <c r="AJ174" s="26"/>
      <c r="AK174" s="40"/>
      <c r="AL174" s="41"/>
      <c r="AM174" s="41"/>
      <c r="AN174" s="41"/>
      <c r="AO174" s="42"/>
      <c r="AP174" s="50"/>
      <c r="AQ174" s="50"/>
      <c r="AS174" s="55" t="e">
        <f t="shared" si="62"/>
        <v>#DIV/0!</v>
      </c>
      <c r="AT174" s="55"/>
      <c r="AV174" s="56"/>
      <c r="AW174" s="56"/>
      <c r="AX174" s="56"/>
      <c r="AY174" s="62"/>
      <c r="BA174" s="56"/>
      <c r="BB174" s="56"/>
      <c r="BC174" s="56"/>
      <c r="BD174" s="62"/>
      <c r="BF174">
        <f t="shared" si="63"/>
        <v>0</v>
      </c>
      <c r="BG174">
        <f t="shared" si="64"/>
        <v>0</v>
      </c>
      <c r="BH174">
        <f t="shared" si="65"/>
        <v>0</v>
      </c>
      <c r="BI174">
        <f t="shared" si="66"/>
        <v>0</v>
      </c>
      <c r="BJ174">
        <f t="shared" si="67"/>
        <v>0</v>
      </c>
      <c r="BK174">
        <f t="shared" si="68"/>
        <v>0</v>
      </c>
      <c r="BL174">
        <f t="shared" si="69"/>
        <v>0</v>
      </c>
      <c r="BM174">
        <f t="shared" si="70"/>
        <v>0</v>
      </c>
      <c r="BN174">
        <f t="shared" si="71"/>
        <v>0</v>
      </c>
    </row>
    <row r="175" spans="1:66" outlineLevel="1" x14ac:dyDescent="0.15">
      <c r="A175" s="5"/>
      <c r="B175" s="5" t="s">
        <v>143</v>
      </c>
      <c r="C175" s="6" t="s">
        <v>256</v>
      </c>
      <c r="D175" s="5">
        <v>19714629</v>
      </c>
      <c r="E175" s="7">
        <v>20</v>
      </c>
      <c r="F175" s="6">
        <v>1</v>
      </c>
      <c r="G175" s="6"/>
      <c r="I175" s="17" t="str">
        <f t="shared" si="52"/>
        <v>·</v>
      </c>
      <c r="J175" s="18" t="str">
        <f t="shared" si="53"/>
        <v>·</v>
      </c>
      <c r="K175" s="18" t="str">
        <f t="shared" si="54"/>
        <v>·</v>
      </c>
      <c r="L175" s="18" t="str">
        <f t="shared" si="55"/>
        <v>·</v>
      </c>
      <c r="M175" s="19"/>
      <c r="N175" s="18" t="str">
        <f t="shared" si="56"/>
        <v>·</v>
      </c>
      <c r="O175" s="20"/>
      <c r="P175" s="21"/>
      <c r="Q175" s="21"/>
      <c r="R175" s="21"/>
      <c r="S175" s="37"/>
      <c r="T175" s="38"/>
      <c r="U175" s="38"/>
      <c r="V175" s="38"/>
      <c r="W175" s="39"/>
      <c r="X175" s="49"/>
      <c r="Y175" s="49"/>
      <c r="AA175" s="17" t="str">
        <f t="shared" si="57"/>
        <v>·</v>
      </c>
      <c r="AB175" s="18" t="str">
        <f t="shared" si="58"/>
        <v>·</v>
      </c>
      <c r="AC175" s="18" t="str">
        <f t="shared" si="59"/>
        <v>·</v>
      </c>
      <c r="AD175" s="18" t="str">
        <f t="shared" si="60"/>
        <v>·</v>
      </c>
      <c r="AE175" s="19"/>
      <c r="AF175" s="18" t="str">
        <f t="shared" si="61"/>
        <v>·</v>
      </c>
      <c r="AG175" s="20"/>
      <c r="AH175" s="21"/>
      <c r="AI175" s="21"/>
      <c r="AJ175" s="21"/>
      <c r="AK175" s="37"/>
      <c r="AL175" s="38"/>
      <c r="AM175" s="38"/>
      <c r="AN175" s="38"/>
      <c r="AO175" s="39"/>
      <c r="AP175" s="49"/>
      <c r="AQ175" s="49"/>
      <c r="AS175" s="53" t="e">
        <f t="shared" si="62"/>
        <v>#DIV/0!</v>
      </c>
      <c r="AT175" s="53"/>
      <c r="AV175" s="54"/>
      <c r="AW175" s="54"/>
      <c r="AX175" s="54"/>
      <c r="AY175" s="61"/>
      <c r="BA175" s="54"/>
      <c r="BB175" s="54"/>
      <c r="BC175" s="54"/>
      <c r="BD175" s="61"/>
      <c r="BF175">
        <f t="shared" si="63"/>
        <v>0</v>
      </c>
      <c r="BG175">
        <f t="shared" si="64"/>
        <v>0</v>
      </c>
      <c r="BH175">
        <f t="shared" si="65"/>
        <v>0</v>
      </c>
      <c r="BI175">
        <f t="shared" si="66"/>
        <v>0</v>
      </c>
      <c r="BJ175">
        <f t="shared" si="67"/>
        <v>0</v>
      </c>
      <c r="BK175">
        <f t="shared" si="68"/>
        <v>0</v>
      </c>
      <c r="BL175">
        <f t="shared" si="69"/>
        <v>0</v>
      </c>
      <c r="BM175">
        <f t="shared" si="70"/>
        <v>0</v>
      </c>
      <c r="BN175">
        <f t="shared" si="71"/>
        <v>0</v>
      </c>
    </row>
    <row r="176" spans="1:66" outlineLevel="1" x14ac:dyDescent="0.15">
      <c r="A176" s="8"/>
      <c r="B176" s="8" t="s">
        <v>143</v>
      </c>
      <c r="C176" s="9" t="s">
        <v>257</v>
      </c>
      <c r="D176" s="8">
        <v>19714629</v>
      </c>
      <c r="E176" s="10">
        <v>20</v>
      </c>
      <c r="F176" s="9">
        <v>1</v>
      </c>
      <c r="G176" s="9"/>
      <c r="I176" s="22" t="str">
        <f t="shared" si="52"/>
        <v>·</v>
      </c>
      <c r="J176" s="23" t="str">
        <f t="shared" si="53"/>
        <v>·</v>
      </c>
      <c r="K176" s="23" t="str">
        <f t="shared" si="54"/>
        <v>·</v>
      </c>
      <c r="L176" s="23" t="str">
        <f t="shared" si="55"/>
        <v>·</v>
      </c>
      <c r="M176" s="24"/>
      <c r="N176" s="23" t="str">
        <f t="shared" si="56"/>
        <v>·</v>
      </c>
      <c r="O176" s="25"/>
      <c r="P176" s="26"/>
      <c r="Q176" s="26"/>
      <c r="R176" s="26"/>
      <c r="S176" s="40"/>
      <c r="T176" s="41"/>
      <c r="U176" s="41"/>
      <c r="V176" s="41"/>
      <c r="W176" s="42"/>
      <c r="X176" s="50"/>
      <c r="Y176" s="50"/>
      <c r="AA176" s="22" t="str">
        <f t="shared" si="57"/>
        <v>·</v>
      </c>
      <c r="AB176" s="23" t="str">
        <f t="shared" si="58"/>
        <v>·</v>
      </c>
      <c r="AC176" s="23" t="str">
        <f t="shared" si="59"/>
        <v>·</v>
      </c>
      <c r="AD176" s="23" t="str">
        <f t="shared" si="60"/>
        <v>·</v>
      </c>
      <c r="AE176" s="24"/>
      <c r="AF176" s="23" t="str">
        <f t="shared" si="61"/>
        <v>·</v>
      </c>
      <c r="AG176" s="25"/>
      <c r="AH176" s="26"/>
      <c r="AI176" s="26"/>
      <c r="AJ176" s="26"/>
      <c r="AK176" s="40"/>
      <c r="AL176" s="41"/>
      <c r="AM176" s="41"/>
      <c r="AN176" s="41"/>
      <c r="AO176" s="42"/>
      <c r="AP176" s="50"/>
      <c r="AQ176" s="50"/>
      <c r="AS176" s="55" t="e">
        <f t="shared" si="62"/>
        <v>#DIV/0!</v>
      </c>
      <c r="AT176" s="55"/>
      <c r="AV176" s="56"/>
      <c r="AW176" s="56"/>
      <c r="AX176" s="56"/>
      <c r="AY176" s="62"/>
      <c r="BA176" s="56"/>
      <c r="BB176" s="56"/>
      <c r="BC176" s="56"/>
      <c r="BD176" s="62"/>
      <c r="BF176">
        <f t="shared" si="63"/>
        <v>0</v>
      </c>
      <c r="BG176">
        <f t="shared" si="64"/>
        <v>0</v>
      </c>
      <c r="BH176">
        <f t="shared" si="65"/>
        <v>0</v>
      </c>
      <c r="BI176">
        <f t="shared" si="66"/>
        <v>0</v>
      </c>
      <c r="BJ176">
        <f t="shared" si="67"/>
        <v>0</v>
      </c>
      <c r="BK176">
        <f t="shared" si="68"/>
        <v>0</v>
      </c>
      <c r="BL176">
        <f t="shared" si="69"/>
        <v>0</v>
      </c>
      <c r="BM176">
        <f t="shared" si="70"/>
        <v>0</v>
      </c>
      <c r="BN176">
        <f t="shared" si="71"/>
        <v>0</v>
      </c>
    </row>
    <row r="177" spans="1:66" outlineLevel="1" x14ac:dyDescent="0.15">
      <c r="A177" s="5"/>
      <c r="B177" s="5" t="s">
        <v>143</v>
      </c>
      <c r="C177" s="6" t="s">
        <v>258</v>
      </c>
      <c r="D177" s="5">
        <v>19714629</v>
      </c>
      <c r="E177" s="7">
        <v>20</v>
      </c>
      <c r="F177" s="6">
        <v>1</v>
      </c>
      <c r="G177" s="6"/>
      <c r="I177" s="17" t="str">
        <f t="shared" si="52"/>
        <v>·</v>
      </c>
      <c r="J177" s="18" t="str">
        <f t="shared" si="53"/>
        <v>·</v>
      </c>
      <c r="K177" s="18" t="str">
        <f t="shared" si="54"/>
        <v>·</v>
      </c>
      <c r="L177" s="18" t="str">
        <f t="shared" si="55"/>
        <v>·</v>
      </c>
      <c r="M177" s="19"/>
      <c r="N177" s="18" t="str">
        <f t="shared" si="56"/>
        <v>·</v>
      </c>
      <c r="O177" s="20"/>
      <c r="P177" s="21"/>
      <c r="Q177" s="21"/>
      <c r="R177" s="21"/>
      <c r="S177" s="37"/>
      <c r="T177" s="38"/>
      <c r="U177" s="38"/>
      <c r="V177" s="38"/>
      <c r="W177" s="39"/>
      <c r="X177" s="49"/>
      <c r="Y177" s="49"/>
      <c r="AA177" s="17" t="str">
        <f t="shared" si="57"/>
        <v>·</v>
      </c>
      <c r="AB177" s="18" t="str">
        <f t="shared" si="58"/>
        <v>·</v>
      </c>
      <c r="AC177" s="18" t="str">
        <f t="shared" si="59"/>
        <v>·</v>
      </c>
      <c r="AD177" s="18" t="str">
        <f t="shared" si="60"/>
        <v>·</v>
      </c>
      <c r="AE177" s="19"/>
      <c r="AF177" s="18" t="str">
        <f t="shared" si="61"/>
        <v>·</v>
      </c>
      <c r="AG177" s="20"/>
      <c r="AH177" s="21"/>
      <c r="AI177" s="21"/>
      <c r="AJ177" s="21"/>
      <c r="AK177" s="37"/>
      <c r="AL177" s="38"/>
      <c r="AM177" s="38"/>
      <c r="AN177" s="38"/>
      <c r="AO177" s="39"/>
      <c r="AP177" s="49"/>
      <c r="AQ177" s="49"/>
      <c r="AS177" s="53" t="e">
        <f t="shared" si="62"/>
        <v>#DIV/0!</v>
      </c>
      <c r="AT177" s="53"/>
      <c r="AV177" s="54"/>
      <c r="AW177" s="54"/>
      <c r="AX177" s="54"/>
      <c r="AY177" s="61"/>
      <c r="BA177" s="54"/>
      <c r="BB177" s="54"/>
      <c r="BC177" s="54"/>
      <c r="BD177" s="61"/>
      <c r="BF177">
        <f t="shared" si="63"/>
        <v>0</v>
      </c>
      <c r="BG177">
        <f t="shared" si="64"/>
        <v>0</v>
      </c>
      <c r="BH177">
        <f t="shared" si="65"/>
        <v>0</v>
      </c>
      <c r="BI177">
        <f t="shared" si="66"/>
        <v>0</v>
      </c>
      <c r="BJ177">
        <f t="shared" si="67"/>
        <v>0</v>
      </c>
      <c r="BK177">
        <f t="shared" si="68"/>
        <v>0</v>
      </c>
      <c r="BL177">
        <f t="shared" si="69"/>
        <v>0</v>
      </c>
      <c r="BM177">
        <f t="shared" si="70"/>
        <v>0</v>
      </c>
      <c r="BN177">
        <f t="shared" si="71"/>
        <v>0</v>
      </c>
    </row>
    <row r="178" spans="1:66" outlineLevel="1" x14ac:dyDescent="0.15">
      <c r="A178" s="8"/>
      <c r="B178" s="14" t="s">
        <v>143</v>
      </c>
      <c r="C178" s="15" t="s">
        <v>259</v>
      </c>
      <c r="D178" s="14">
        <v>19714629</v>
      </c>
      <c r="E178" s="16">
        <v>20</v>
      </c>
      <c r="F178" s="15">
        <v>1</v>
      </c>
      <c r="G178" s="15"/>
      <c r="I178" s="32" t="str">
        <f t="shared" si="52"/>
        <v>·</v>
      </c>
      <c r="J178" s="33" t="str">
        <f t="shared" si="53"/>
        <v>·</v>
      </c>
      <c r="K178" s="33" t="str">
        <f t="shared" si="54"/>
        <v>·</v>
      </c>
      <c r="L178" s="33" t="str">
        <f t="shared" si="55"/>
        <v>·</v>
      </c>
      <c r="M178" s="34"/>
      <c r="N178" s="33" t="str">
        <f t="shared" si="56"/>
        <v>·</v>
      </c>
      <c r="O178" s="35"/>
      <c r="P178" s="36"/>
      <c r="Q178" s="36"/>
      <c r="R178" s="36"/>
      <c r="S178" s="46"/>
      <c r="T178" s="47"/>
      <c r="U178" s="47"/>
      <c r="V178" s="47"/>
      <c r="W178" s="48"/>
      <c r="X178" s="52"/>
      <c r="Y178" s="52"/>
      <c r="AA178" s="32" t="str">
        <f t="shared" si="57"/>
        <v>·</v>
      </c>
      <c r="AB178" s="33" t="str">
        <f t="shared" si="58"/>
        <v>·</v>
      </c>
      <c r="AC178" s="33" t="str">
        <f t="shared" si="59"/>
        <v>·</v>
      </c>
      <c r="AD178" s="33" t="str">
        <f t="shared" si="60"/>
        <v>·</v>
      </c>
      <c r="AE178" s="34"/>
      <c r="AF178" s="33" t="str">
        <f t="shared" si="61"/>
        <v>·</v>
      </c>
      <c r="AG178" s="35"/>
      <c r="AH178" s="36"/>
      <c r="AI178" s="36"/>
      <c r="AJ178" s="36"/>
      <c r="AK178" s="46"/>
      <c r="AL178" s="47"/>
      <c r="AM178" s="47"/>
      <c r="AN178" s="47"/>
      <c r="AO178" s="48"/>
      <c r="AP178" s="52"/>
      <c r="AQ178" s="52"/>
      <c r="AS178" s="59" t="e">
        <f t="shared" si="62"/>
        <v>#DIV/0!</v>
      </c>
      <c r="AT178" s="59"/>
      <c r="AV178" s="60"/>
      <c r="AW178" s="60"/>
      <c r="AX178" s="60"/>
      <c r="AY178" s="64"/>
      <c r="BA178" s="60"/>
      <c r="BB178" s="60"/>
      <c r="BC178" s="60"/>
      <c r="BD178" s="64"/>
      <c r="BF178">
        <f t="shared" si="63"/>
        <v>0</v>
      </c>
      <c r="BG178">
        <f t="shared" si="64"/>
        <v>0</v>
      </c>
      <c r="BH178">
        <f t="shared" si="65"/>
        <v>0</v>
      </c>
      <c r="BI178">
        <f t="shared" si="66"/>
        <v>0</v>
      </c>
      <c r="BJ178">
        <f t="shared" si="67"/>
        <v>0</v>
      </c>
      <c r="BK178">
        <f t="shared" si="68"/>
        <v>0</v>
      </c>
      <c r="BL178">
        <f t="shared" si="69"/>
        <v>0</v>
      </c>
      <c r="BM178">
        <f t="shared" si="70"/>
        <v>0</v>
      </c>
      <c r="BN178">
        <f t="shared" si="71"/>
        <v>0</v>
      </c>
    </row>
    <row r="179" spans="1:66" x14ac:dyDescent="0.15">
      <c r="A179" s="5"/>
      <c r="B179" s="5" t="s">
        <v>146</v>
      </c>
      <c r="C179" s="6" t="s">
        <v>254</v>
      </c>
      <c r="D179" s="5">
        <v>3630907</v>
      </c>
      <c r="E179" s="7">
        <v>20</v>
      </c>
      <c r="F179" s="6">
        <v>1</v>
      </c>
      <c r="G179" s="6"/>
      <c r="I179" s="17" t="str">
        <f t="shared" si="52"/>
        <v>·</v>
      </c>
      <c r="J179" s="18" t="str">
        <f t="shared" si="53"/>
        <v>·</v>
      </c>
      <c r="K179" s="18" t="str">
        <f t="shared" si="54"/>
        <v>·</v>
      </c>
      <c r="L179" s="18" t="str">
        <f t="shared" si="55"/>
        <v>·</v>
      </c>
      <c r="M179" s="19"/>
      <c r="N179" s="18" t="str">
        <f t="shared" si="56"/>
        <v>·</v>
      </c>
      <c r="O179" s="20"/>
      <c r="P179" s="21"/>
      <c r="Q179" s="21"/>
      <c r="R179" s="21"/>
      <c r="S179" s="37"/>
      <c r="T179" s="38"/>
      <c r="U179" s="38"/>
      <c r="V179" s="38"/>
      <c r="W179" s="39"/>
      <c r="X179" s="49"/>
      <c r="Y179" s="49"/>
      <c r="AA179" s="17" t="str">
        <f t="shared" si="57"/>
        <v>·</v>
      </c>
      <c r="AB179" s="18" t="str">
        <f t="shared" si="58"/>
        <v>·</v>
      </c>
      <c r="AC179" s="18" t="str">
        <f t="shared" si="59"/>
        <v>·</v>
      </c>
      <c r="AD179" s="18" t="str">
        <f t="shared" si="60"/>
        <v>·</v>
      </c>
      <c r="AE179" s="19"/>
      <c r="AF179" s="18" t="str">
        <f t="shared" si="61"/>
        <v>·</v>
      </c>
      <c r="AG179" s="20"/>
      <c r="AH179" s="21"/>
      <c r="AI179" s="21"/>
      <c r="AJ179" s="21"/>
      <c r="AK179" s="37"/>
      <c r="AL179" s="38"/>
      <c r="AM179" s="38"/>
      <c r="AN179" s="38"/>
      <c r="AO179" s="39"/>
      <c r="AP179" s="49"/>
      <c r="AQ179" s="49"/>
      <c r="AS179" s="53" t="e">
        <f t="shared" si="62"/>
        <v>#DIV/0!</v>
      </c>
      <c r="AT179" s="53" t="e">
        <f t="array" ref="AT179">AVERAGE(AI179:AI184/AH179:AH184)-AVERAGE(Q179:Q184/P179:P184)</f>
        <v>#DIV/0!</v>
      </c>
      <c r="AV179" s="54" t="str">
        <f>IF(OR(ISBLANK(R179:R184),ISBLANK(AJ179:AJ184),ISBLANK(T179:T184),ISBLANK(AL179:AL184)),"·",bdRateExtend(R179:R184,T179:T184,AJ179:AJ184,AL179:AL184))</f>
        <v>·</v>
      </c>
      <c r="AW179" s="54" t="str">
        <f>IF(OR(ISBLANK(R179:R184),ISBLANK(AJ179:AJ184),ISBLANK(U179:U184),ISBLANK(AM179:AM184)),"·",bdRateExtend(R179:R184,U179:U184,AJ179:AJ184,AM179:AM184))</f>
        <v>·</v>
      </c>
      <c r="AX179" s="54" t="str">
        <f>IF(OR(ISBLANK(R179:R184),ISBLANK(AJ179:AJ184),ISBLANK(V179:V184),ISBLANK(AN179:AN184)),"·",bdRateExtend(R179:R184,V179:V184,AJ179:AJ184,AN179:AN184))</f>
        <v>·</v>
      </c>
      <c r="AY179" s="61"/>
      <c r="BA179" s="54" t="str">
        <f>IF(OR(ISBLANK(P179:P184),ISBLANK(AH179:AH184),ISBLANK(T179:T184),ISBLANK(AL179:AL184)),"·",bdRateExtend(P179:P184,T179:T184,AH179:AH184,AL179:AL184))</f>
        <v>·</v>
      </c>
      <c r="BB179" s="54" t="str">
        <f>IF(OR(ISBLANK(P179:P184),ISBLANK(AH179:AH184),ISBLANK(U179:U184),ISBLANK(AM179:AM184)),"·",bdRateExtend(P179:P184,U179:U184,AH179:AH184,AM179:AM184))</f>
        <v>·</v>
      </c>
      <c r="BC179" s="54" t="str">
        <f>IF(OR(ISBLANK(P179:P184),ISBLANK(AH179:AH184),ISBLANK(V179:V184),ISBLANK(AN179:AN184)),"·",bdRateExtend(P179:P184,V179:V184,AH179:AH184,AN179:AN184))</f>
        <v>·</v>
      </c>
      <c r="BD179" s="61"/>
      <c r="BF179">
        <f t="shared" si="63"/>
        <v>0</v>
      </c>
      <c r="BG179">
        <f t="shared" si="64"/>
        <v>0</v>
      </c>
      <c r="BH179">
        <f t="shared" si="65"/>
        <v>0</v>
      </c>
      <c r="BI179">
        <f t="shared" si="66"/>
        <v>0</v>
      </c>
      <c r="BJ179">
        <f t="shared" si="67"/>
        <v>0</v>
      </c>
      <c r="BK179">
        <f t="shared" si="68"/>
        <v>0</v>
      </c>
      <c r="BL179">
        <f t="shared" si="69"/>
        <v>0</v>
      </c>
      <c r="BM179">
        <f t="shared" si="70"/>
        <v>0</v>
      </c>
      <c r="BN179">
        <f t="shared" si="71"/>
        <v>0</v>
      </c>
    </row>
    <row r="180" spans="1:66" outlineLevel="1" x14ac:dyDescent="0.15">
      <c r="A180" s="8"/>
      <c r="B180" s="8" t="s">
        <v>146</v>
      </c>
      <c r="C180" s="9" t="s">
        <v>255</v>
      </c>
      <c r="D180" s="8">
        <v>3630907</v>
      </c>
      <c r="E180" s="10">
        <v>20</v>
      </c>
      <c r="F180" s="9">
        <v>1</v>
      </c>
      <c r="G180" s="9"/>
      <c r="I180" s="22" t="str">
        <f t="shared" si="52"/>
        <v>·</v>
      </c>
      <c r="J180" s="23" t="str">
        <f t="shared" si="53"/>
        <v>·</v>
      </c>
      <c r="K180" s="23" t="str">
        <f t="shared" si="54"/>
        <v>·</v>
      </c>
      <c r="L180" s="23" t="str">
        <f t="shared" si="55"/>
        <v>·</v>
      </c>
      <c r="M180" s="24"/>
      <c r="N180" s="23" t="str">
        <f t="shared" si="56"/>
        <v>·</v>
      </c>
      <c r="O180" s="25"/>
      <c r="P180" s="26"/>
      <c r="Q180" s="26"/>
      <c r="R180" s="26"/>
      <c r="S180" s="40"/>
      <c r="T180" s="41"/>
      <c r="U180" s="41"/>
      <c r="V180" s="41"/>
      <c r="W180" s="42"/>
      <c r="X180" s="50"/>
      <c r="Y180" s="50"/>
      <c r="AA180" s="22" t="str">
        <f t="shared" si="57"/>
        <v>·</v>
      </c>
      <c r="AB180" s="23" t="str">
        <f t="shared" si="58"/>
        <v>·</v>
      </c>
      <c r="AC180" s="23" t="str">
        <f t="shared" si="59"/>
        <v>·</v>
      </c>
      <c r="AD180" s="23" t="str">
        <f t="shared" si="60"/>
        <v>·</v>
      </c>
      <c r="AE180" s="24"/>
      <c r="AF180" s="23" t="str">
        <f t="shared" si="61"/>
        <v>·</v>
      </c>
      <c r="AG180" s="25"/>
      <c r="AH180" s="26"/>
      <c r="AI180" s="26"/>
      <c r="AJ180" s="26"/>
      <c r="AK180" s="40"/>
      <c r="AL180" s="41"/>
      <c r="AM180" s="41"/>
      <c r="AN180" s="41"/>
      <c r="AO180" s="42"/>
      <c r="AP180" s="50"/>
      <c r="AQ180" s="50"/>
      <c r="AS180" s="55" t="e">
        <f t="shared" si="62"/>
        <v>#DIV/0!</v>
      </c>
      <c r="AT180" s="55"/>
      <c r="AV180" s="56"/>
      <c r="AW180" s="56"/>
      <c r="AX180" s="56"/>
      <c r="AY180" s="62"/>
      <c r="BA180" s="56"/>
      <c r="BB180" s="56"/>
      <c r="BC180" s="56"/>
      <c r="BD180" s="62"/>
      <c r="BF180">
        <f t="shared" si="63"/>
        <v>0</v>
      </c>
      <c r="BG180">
        <f t="shared" si="64"/>
        <v>0</v>
      </c>
      <c r="BH180">
        <f t="shared" si="65"/>
        <v>0</v>
      </c>
      <c r="BI180">
        <f t="shared" si="66"/>
        <v>0</v>
      </c>
      <c r="BJ180">
        <f t="shared" si="67"/>
        <v>0</v>
      </c>
      <c r="BK180">
        <f t="shared" si="68"/>
        <v>0</v>
      </c>
      <c r="BL180">
        <f t="shared" si="69"/>
        <v>0</v>
      </c>
      <c r="BM180">
        <f t="shared" si="70"/>
        <v>0</v>
      </c>
      <c r="BN180">
        <f t="shared" si="71"/>
        <v>0</v>
      </c>
    </row>
    <row r="181" spans="1:66" outlineLevel="1" x14ac:dyDescent="0.15">
      <c r="A181" s="5"/>
      <c r="B181" s="5" t="s">
        <v>146</v>
      </c>
      <c r="C181" s="6" t="s">
        <v>256</v>
      </c>
      <c r="D181" s="5">
        <v>3630907</v>
      </c>
      <c r="E181" s="7">
        <v>20</v>
      </c>
      <c r="F181" s="6">
        <v>1</v>
      </c>
      <c r="G181" s="6"/>
      <c r="I181" s="17" t="str">
        <f t="shared" si="52"/>
        <v>·</v>
      </c>
      <c r="J181" s="18" t="str">
        <f t="shared" si="53"/>
        <v>·</v>
      </c>
      <c r="K181" s="18" t="str">
        <f t="shared" si="54"/>
        <v>·</v>
      </c>
      <c r="L181" s="18" t="str">
        <f t="shared" si="55"/>
        <v>·</v>
      </c>
      <c r="M181" s="19"/>
      <c r="N181" s="18" t="str">
        <f t="shared" si="56"/>
        <v>·</v>
      </c>
      <c r="O181" s="20"/>
      <c r="P181" s="21"/>
      <c r="Q181" s="21"/>
      <c r="R181" s="21"/>
      <c r="S181" s="37"/>
      <c r="T181" s="38"/>
      <c r="U181" s="38"/>
      <c r="V181" s="38"/>
      <c r="W181" s="39"/>
      <c r="X181" s="49"/>
      <c r="Y181" s="49"/>
      <c r="AA181" s="17" t="str">
        <f t="shared" si="57"/>
        <v>·</v>
      </c>
      <c r="AB181" s="18" t="str">
        <f t="shared" si="58"/>
        <v>·</v>
      </c>
      <c r="AC181" s="18" t="str">
        <f t="shared" si="59"/>
        <v>·</v>
      </c>
      <c r="AD181" s="18" t="str">
        <f t="shared" si="60"/>
        <v>·</v>
      </c>
      <c r="AE181" s="19"/>
      <c r="AF181" s="18" t="str">
        <f t="shared" si="61"/>
        <v>·</v>
      </c>
      <c r="AG181" s="20"/>
      <c r="AH181" s="21"/>
      <c r="AI181" s="21"/>
      <c r="AJ181" s="21"/>
      <c r="AK181" s="37"/>
      <c r="AL181" s="38"/>
      <c r="AM181" s="38"/>
      <c r="AN181" s="38"/>
      <c r="AO181" s="39"/>
      <c r="AP181" s="49"/>
      <c r="AQ181" s="49"/>
      <c r="AS181" s="53" t="e">
        <f t="shared" si="62"/>
        <v>#DIV/0!</v>
      </c>
      <c r="AT181" s="53"/>
      <c r="AV181" s="54"/>
      <c r="AW181" s="54"/>
      <c r="AX181" s="54"/>
      <c r="AY181" s="61"/>
      <c r="BA181" s="54"/>
      <c r="BB181" s="54"/>
      <c r="BC181" s="54"/>
      <c r="BD181" s="61"/>
      <c r="BF181">
        <f t="shared" si="63"/>
        <v>0</v>
      </c>
      <c r="BG181">
        <f t="shared" si="64"/>
        <v>0</v>
      </c>
      <c r="BH181">
        <f t="shared" si="65"/>
        <v>0</v>
      </c>
      <c r="BI181">
        <f t="shared" si="66"/>
        <v>0</v>
      </c>
      <c r="BJ181">
        <f t="shared" si="67"/>
        <v>0</v>
      </c>
      <c r="BK181">
        <f t="shared" si="68"/>
        <v>0</v>
      </c>
      <c r="BL181">
        <f t="shared" si="69"/>
        <v>0</v>
      </c>
      <c r="BM181">
        <f t="shared" si="70"/>
        <v>0</v>
      </c>
      <c r="BN181">
        <f t="shared" si="71"/>
        <v>0</v>
      </c>
    </row>
    <row r="182" spans="1:66" outlineLevel="1" x14ac:dyDescent="0.15">
      <c r="A182" s="8"/>
      <c r="B182" s="8" t="s">
        <v>146</v>
      </c>
      <c r="C182" s="9" t="s">
        <v>257</v>
      </c>
      <c r="D182" s="8">
        <v>3630907</v>
      </c>
      <c r="E182" s="10">
        <v>20</v>
      </c>
      <c r="F182" s="9">
        <v>1</v>
      </c>
      <c r="G182" s="9"/>
      <c r="I182" s="22" t="str">
        <f t="shared" si="52"/>
        <v>·</v>
      </c>
      <c r="J182" s="23" t="str">
        <f t="shared" si="53"/>
        <v>·</v>
      </c>
      <c r="K182" s="23" t="str">
        <f t="shared" si="54"/>
        <v>·</v>
      </c>
      <c r="L182" s="23" t="str">
        <f t="shared" si="55"/>
        <v>·</v>
      </c>
      <c r="M182" s="24"/>
      <c r="N182" s="23" t="str">
        <f t="shared" si="56"/>
        <v>·</v>
      </c>
      <c r="O182" s="25"/>
      <c r="P182" s="26"/>
      <c r="Q182" s="26"/>
      <c r="R182" s="26"/>
      <c r="S182" s="40"/>
      <c r="T182" s="41"/>
      <c r="U182" s="41"/>
      <c r="V182" s="41"/>
      <c r="W182" s="42"/>
      <c r="X182" s="50"/>
      <c r="Y182" s="50"/>
      <c r="AA182" s="22" t="str">
        <f t="shared" si="57"/>
        <v>·</v>
      </c>
      <c r="AB182" s="23" t="str">
        <f t="shared" si="58"/>
        <v>·</v>
      </c>
      <c r="AC182" s="23" t="str">
        <f t="shared" si="59"/>
        <v>·</v>
      </c>
      <c r="AD182" s="23" t="str">
        <f t="shared" si="60"/>
        <v>·</v>
      </c>
      <c r="AE182" s="24"/>
      <c r="AF182" s="23" t="str">
        <f t="shared" si="61"/>
        <v>·</v>
      </c>
      <c r="AG182" s="25"/>
      <c r="AH182" s="26"/>
      <c r="AI182" s="26"/>
      <c r="AJ182" s="26"/>
      <c r="AK182" s="40"/>
      <c r="AL182" s="41"/>
      <c r="AM182" s="41"/>
      <c r="AN182" s="41"/>
      <c r="AO182" s="42"/>
      <c r="AP182" s="50"/>
      <c r="AQ182" s="50"/>
      <c r="AS182" s="55" t="e">
        <f t="shared" si="62"/>
        <v>#DIV/0!</v>
      </c>
      <c r="AT182" s="55"/>
      <c r="AV182" s="56"/>
      <c r="AW182" s="56"/>
      <c r="AX182" s="56"/>
      <c r="AY182" s="62"/>
      <c r="BA182" s="56"/>
      <c r="BB182" s="56"/>
      <c r="BC182" s="56"/>
      <c r="BD182" s="62"/>
      <c r="BF182">
        <f t="shared" si="63"/>
        <v>0</v>
      </c>
      <c r="BG182">
        <f t="shared" si="64"/>
        <v>0</v>
      </c>
      <c r="BH182">
        <f t="shared" si="65"/>
        <v>0</v>
      </c>
      <c r="BI182">
        <f t="shared" si="66"/>
        <v>0</v>
      </c>
      <c r="BJ182">
        <f t="shared" si="67"/>
        <v>0</v>
      </c>
      <c r="BK182">
        <f t="shared" si="68"/>
        <v>0</v>
      </c>
      <c r="BL182">
        <f t="shared" si="69"/>
        <v>0</v>
      </c>
      <c r="BM182">
        <f t="shared" si="70"/>
        <v>0</v>
      </c>
      <c r="BN182">
        <f t="shared" si="71"/>
        <v>0</v>
      </c>
    </row>
    <row r="183" spans="1:66" outlineLevel="1" x14ac:dyDescent="0.15">
      <c r="A183" s="5"/>
      <c r="B183" s="5" t="s">
        <v>146</v>
      </c>
      <c r="C183" s="6" t="s">
        <v>258</v>
      </c>
      <c r="D183" s="5">
        <v>3630907</v>
      </c>
      <c r="E183" s="7">
        <v>20</v>
      </c>
      <c r="F183" s="6">
        <v>1</v>
      </c>
      <c r="G183" s="6"/>
      <c r="I183" s="17" t="str">
        <f t="shared" si="52"/>
        <v>·</v>
      </c>
      <c r="J183" s="18" t="str">
        <f t="shared" si="53"/>
        <v>·</v>
      </c>
      <c r="K183" s="18" t="str">
        <f t="shared" si="54"/>
        <v>·</v>
      </c>
      <c r="L183" s="18" t="str">
        <f t="shared" si="55"/>
        <v>·</v>
      </c>
      <c r="M183" s="19"/>
      <c r="N183" s="18" t="str">
        <f t="shared" si="56"/>
        <v>·</v>
      </c>
      <c r="O183" s="20"/>
      <c r="P183" s="21"/>
      <c r="Q183" s="21"/>
      <c r="R183" s="21"/>
      <c r="S183" s="37"/>
      <c r="T183" s="38"/>
      <c r="U183" s="38"/>
      <c r="V183" s="38"/>
      <c r="W183" s="39"/>
      <c r="X183" s="49"/>
      <c r="Y183" s="49"/>
      <c r="AA183" s="17" t="str">
        <f t="shared" si="57"/>
        <v>·</v>
      </c>
      <c r="AB183" s="18" t="str">
        <f t="shared" si="58"/>
        <v>·</v>
      </c>
      <c r="AC183" s="18" t="str">
        <f t="shared" si="59"/>
        <v>·</v>
      </c>
      <c r="AD183" s="18" t="str">
        <f t="shared" si="60"/>
        <v>·</v>
      </c>
      <c r="AE183" s="19"/>
      <c r="AF183" s="18" t="str">
        <f t="shared" si="61"/>
        <v>·</v>
      </c>
      <c r="AG183" s="20"/>
      <c r="AH183" s="21"/>
      <c r="AI183" s="21"/>
      <c r="AJ183" s="21"/>
      <c r="AK183" s="37"/>
      <c r="AL183" s="38"/>
      <c r="AM183" s="38"/>
      <c r="AN183" s="38"/>
      <c r="AO183" s="39"/>
      <c r="AP183" s="49"/>
      <c r="AQ183" s="49"/>
      <c r="AS183" s="53" t="e">
        <f t="shared" si="62"/>
        <v>#DIV/0!</v>
      </c>
      <c r="AT183" s="53"/>
      <c r="AV183" s="54"/>
      <c r="AW183" s="54"/>
      <c r="AX183" s="54"/>
      <c r="AY183" s="61"/>
      <c r="BA183" s="54"/>
      <c r="BB183" s="54"/>
      <c r="BC183" s="54"/>
      <c r="BD183" s="61"/>
      <c r="BF183">
        <f t="shared" si="63"/>
        <v>0</v>
      </c>
      <c r="BG183">
        <f t="shared" si="64"/>
        <v>0</v>
      </c>
      <c r="BH183">
        <f t="shared" si="65"/>
        <v>0</v>
      </c>
      <c r="BI183">
        <f t="shared" si="66"/>
        <v>0</v>
      </c>
      <c r="BJ183">
        <f t="shared" si="67"/>
        <v>0</v>
      </c>
      <c r="BK183">
        <f t="shared" si="68"/>
        <v>0</v>
      </c>
      <c r="BL183">
        <f t="shared" si="69"/>
        <v>0</v>
      </c>
      <c r="BM183">
        <f t="shared" si="70"/>
        <v>0</v>
      </c>
      <c r="BN183">
        <f t="shared" si="71"/>
        <v>0</v>
      </c>
    </row>
    <row r="184" spans="1:66" outlineLevel="1" x14ac:dyDescent="0.15">
      <c r="A184" s="8"/>
      <c r="B184" s="14" t="s">
        <v>146</v>
      </c>
      <c r="C184" s="15" t="s">
        <v>259</v>
      </c>
      <c r="D184" s="14">
        <v>3630907</v>
      </c>
      <c r="E184" s="16">
        <v>20</v>
      </c>
      <c r="F184" s="15">
        <v>1</v>
      </c>
      <c r="G184" s="15"/>
      <c r="I184" s="32" t="str">
        <f t="shared" si="52"/>
        <v>·</v>
      </c>
      <c r="J184" s="33" t="str">
        <f t="shared" si="53"/>
        <v>·</v>
      </c>
      <c r="K184" s="33" t="str">
        <f t="shared" si="54"/>
        <v>·</v>
      </c>
      <c r="L184" s="33" t="str">
        <f t="shared" si="55"/>
        <v>·</v>
      </c>
      <c r="M184" s="34"/>
      <c r="N184" s="33" t="str">
        <f t="shared" si="56"/>
        <v>·</v>
      </c>
      <c r="O184" s="35"/>
      <c r="P184" s="36"/>
      <c r="Q184" s="36"/>
      <c r="R184" s="36"/>
      <c r="S184" s="46"/>
      <c r="T184" s="47"/>
      <c r="U184" s="47"/>
      <c r="V184" s="47"/>
      <c r="W184" s="48"/>
      <c r="X184" s="52"/>
      <c r="Y184" s="52"/>
      <c r="AA184" s="32" t="str">
        <f t="shared" si="57"/>
        <v>·</v>
      </c>
      <c r="AB184" s="33" t="str">
        <f t="shared" si="58"/>
        <v>·</v>
      </c>
      <c r="AC184" s="33" t="str">
        <f t="shared" si="59"/>
        <v>·</v>
      </c>
      <c r="AD184" s="33" t="str">
        <f t="shared" si="60"/>
        <v>·</v>
      </c>
      <c r="AE184" s="34"/>
      <c r="AF184" s="33" t="str">
        <f t="shared" si="61"/>
        <v>·</v>
      </c>
      <c r="AG184" s="35"/>
      <c r="AH184" s="36"/>
      <c r="AI184" s="36"/>
      <c r="AJ184" s="36"/>
      <c r="AK184" s="46"/>
      <c r="AL184" s="47"/>
      <c r="AM184" s="47"/>
      <c r="AN184" s="47"/>
      <c r="AO184" s="48"/>
      <c r="AP184" s="52"/>
      <c r="AQ184" s="52"/>
      <c r="AS184" s="59" t="e">
        <f t="shared" si="62"/>
        <v>#DIV/0!</v>
      </c>
      <c r="AT184" s="59"/>
      <c r="AV184" s="60"/>
      <c r="AW184" s="60"/>
      <c r="AX184" s="60"/>
      <c r="AY184" s="64"/>
      <c r="BA184" s="60"/>
      <c r="BB184" s="60"/>
      <c r="BC184" s="60"/>
      <c r="BD184" s="64"/>
      <c r="BF184">
        <f t="shared" si="63"/>
        <v>0</v>
      </c>
      <c r="BG184">
        <f t="shared" si="64"/>
        <v>0</v>
      </c>
      <c r="BH184">
        <f t="shared" si="65"/>
        <v>0</v>
      </c>
      <c r="BI184">
        <f t="shared" si="66"/>
        <v>0</v>
      </c>
      <c r="BJ184">
        <f t="shared" si="67"/>
        <v>0</v>
      </c>
      <c r="BK184">
        <f t="shared" si="68"/>
        <v>0</v>
      </c>
      <c r="BL184">
        <f t="shared" si="69"/>
        <v>0</v>
      </c>
      <c r="BM184">
        <f t="shared" si="70"/>
        <v>0</v>
      </c>
      <c r="BN184">
        <f t="shared" si="71"/>
        <v>0</v>
      </c>
    </row>
    <row r="185" spans="1:66" x14ac:dyDescent="0.15">
      <c r="A185" s="5"/>
      <c r="B185" s="5" t="s">
        <v>149</v>
      </c>
      <c r="C185" s="6" t="s">
        <v>254</v>
      </c>
      <c r="D185" s="5">
        <v>14025709</v>
      </c>
      <c r="E185" s="7">
        <v>20</v>
      </c>
      <c r="F185" s="6">
        <v>1</v>
      </c>
      <c r="G185" s="6"/>
      <c r="I185" s="17" t="str">
        <f t="shared" si="52"/>
        <v>·</v>
      </c>
      <c r="J185" s="18" t="str">
        <f t="shared" si="53"/>
        <v>·</v>
      </c>
      <c r="K185" s="18" t="str">
        <f t="shared" si="54"/>
        <v>·</v>
      </c>
      <c r="L185" s="18" t="str">
        <f t="shared" si="55"/>
        <v>·</v>
      </c>
      <c r="M185" s="19"/>
      <c r="N185" s="18" t="str">
        <f t="shared" si="56"/>
        <v>·</v>
      </c>
      <c r="O185" s="20"/>
      <c r="P185" s="21"/>
      <c r="Q185" s="21"/>
      <c r="R185" s="21"/>
      <c r="S185" s="37"/>
      <c r="T185" s="38"/>
      <c r="U185" s="38"/>
      <c r="V185" s="38"/>
      <c r="W185" s="39"/>
      <c r="X185" s="49"/>
      <c r="Y185" s="49"/>
      <c r="AA185" s="17" t="str">
        <f t="shared" si="57"/>
        <v>·</v>
      </c>
      <c r="AB185" s="18" t="str">
        <f t="shared" si="58"/>
        <v>·</v>
      </c>
      <c r="AC185" s="18" t="str">
        <f t="shared" si="59"/>
        <v>·</v>
      </c>
      <c r="AD185" s="18" t="str">
        <f t="shared" si="60"/>
        <v>·</v>
      </c>
      <c r="AE185" s="19"/>
      <c r="AF185" s="18" t="str">
        <f t="shared" si="61"/>
        <v>·</v>
      </c>
      <c r="AG185" s="20"/>
      <c r="AH185" s="21"/>
      <c r="AI185" s="21"/>
      <c r="AJ185" s="21"/>
      <c r="AK185" s="37"/>
      <c r="AL185" s="38"/>
      <c r="AM185" s="38"/>
      <c r="AN185" s="38"/>
      <c r="AO185" s="39"/>
      <c r="AP185" s="49"/>
      <c r="AQ185" s="49"/>
      <c r="AS185" s="53" t="e">
        <f t="shared" si="62"/>
        <v>#DIV/0!</v>
      </c>
      <c r="AT185" s="53" t="e">
        <f t="array" ref="AT185">AVERAGE(AI185:AI190/AH185:AH190)-AVERAGE(Q185:Q190/P185:P190)</f>
        <v>#DIV/0!</v>
      </c>
      <c r="AV185" s="54" t="str">
        <f>IF(OR(ISBLANK(R185:R190),ISBLANK(AJ185:AJ190),ISBLANK(T185:T190),ISBLANK(AL185:AL190)),"·",bdRateExtend(R185:R190,T185:T190,AJ185:AJ190,AL185:AL190))</f>
        <v>·</v>
      </c>
      <c r="AW185" s="54" t="str">
        <f>IF(OR(ISBLANK(R185:R190),ISBLANK(AJ185:AJ190),ISBLANK(U185:U190),ISBLANK(AM185:AM190)),"·",bdRateExtend(R185:R190,U185:U190,AJ185:AJ190,AM185:AM190))</f>
        <v>·</v>
      </c>
      <c r="AX185" s="54" t="str">
        <f>IF(OR(ISBLANK(R185:R190),ISBLANK(AJ185:AJ190),ISBLANK(V185:V190),ISBLANK(AN185:AN190)),"·",bdRateExtend(R185:R190,V185:V190,AJ185:AJ190,AN185:AN190))</f>
        <v>·</v>
      </c>
      <c r="AY185" s="61"/>
      <c r="BA185" s="54" t="str">
        <f>IF(OR(ISBLANK(P185:P190),ISBLANK(AH185:AH190),ISBLANK(T185:T190),ISBLANK(AL185:AL190)),"·",bdRateExtend(P185:P190,T185:T190,AH185:AH190,AL185:AL190))</f>
        <v>·</v>
      </c>
      <c r="BB185" s="54" t="str">
        <f>IF(OR(ISBLANK(P185:P190),ISBLANK(AH185:AH190),ISBLANK(U185:U190),ISBLANK(AM185:AM190)),"·",bdRateExtend(P185:P190,U185:U190,AH185:AH190,AM185:AM190))</f>
        <v>·</v>
      </c>
      <c r="BC185" s="54" t="str">
        <f>IF(OR(ISBLANK(P185:P190),ISBLANK(AH185:AH190),ISBLANK(V185:V190),ISBLANK(AN185:AN190)),"·",bdRateExtend(P185:P190,V185:V190,AH185:AH190,AN185:AN190))</f>
        <v>·</v>
      </c>
      <c r="BD185" s="61"/>
      <c r="BF185">
        <f t="shared" si="63"/>
        <v>0</v>
      </c>
      <c r="BG185">
        <f t="shared" si="64"/>
        <v>0</v>
      </c>
      <c r="BH185">
        <f t="shared" si="65"/>
        <v>0</v>
      </c>
      <c r="BI185">
        <f t="shared" si="66"/>
        <v>0</v>
      </c>
      <c r="BJ185">
        <f t="shared" si="67"/>
        <v>0</v>
      </c>
      <c r="BK185">
        <f t="shared" si="68"/>
        <v>0</v>
      </c>
      <c r="BL185">
        <f t="shared" si="69"/>
        <v>0</v>
      </c>
      <c r="BM185">
        <f t="shared" si="70"/>
        <v>0</v>
      </c>
      <c r="BN185">
        <f t="shared" si="71"/>
        <v>0</v>
      </c>
    </row>
    <row r="186" spans="1:66" outlineLevel="1" x14ac:dyDescent="0.15">
      <c r="A186" s="8"/>
      <c r="B186" s="8" t="s">
        <v>149</v>
      </c>
      <c r="C186" s="9" t="s">
        <v>255</v>
      </c>
      <c r="D186" s="8">
        <v>14025709</v>
      </c>
      <c r="E186" s="10">
        <v>20</v>
      </c>
      <c r="F186" s="9">
        <v>1</v>
      </c>
      <c r="G186" s="9"/>
      <c r="I186" s="22" t="str">
        <f t="shared" si="52"/>
        <v>·</v>
      </c>
      <c r="J186" s="23" t="str">
        <f t="shared" si="53"/>
        <v>·</v>
      </c>
      <c r="K186" s="23" t="str">
        <f t="shared" si="54"/>
        <v>·</v>
      </c>
      <c r="L186" s="23" t="str">
        <f t="shared" si="55"/>
        <v>·</v>
      </c>
      <c r="M186" s="24"/>
      <c r="N186" s="23" t="str">
        <f t="shared" si="56"/>
        <v>·</v>
      </c>
      <c r="O186" s="25"/>
      <c r="P186" s="26"/>
      <c r="Q186" s="26"/>
      <c r="R186" s="26"/>
      <c r="S186" s="40"/>
      <c r="T186" s="41"/>
      <c r="U186" s="41"/>
      <c r="V186" s="41"/>
      <c r="W186" s="42"/>
      <c r="X186" s="50"/>
      <c r="Y186" s="50"/>
      <c r="AA186" s="22" t="str">
        <f t="shared" si="57"/>
        <v>·</v>
      </c>
      <c r="AB186" s="23" t="str">
        <f t="shared" si="58"/>
        <v>·</v>
      </c>
      <c r="AC186" s="23" t="str">
        <f t="shared" si="59"/>
        <v>·</v>
      </c>
      <c r="AD186" s="23" t="str">
        <f t="shared" si="60"/>
        <v>·</v>
      </c>
      <c r="AE186" s="24"/>
      <c r="AF186" s="23" t="str">
        <f t="shared" si="61"/>
        <v>·</v>
      </c>
      <c r="AG186" s="25"/>
      <c r="AH186" s="26"/>
      <c r="AI186" s="26"/>
      <c r="AJ186" s="26"/>
      <c r="AK186" s="40"/>
      <c r="AL186" s="41"/>
      <c r="AM186" s="41"/>
      <c r="AN186" s="41"/>
      <c r="AO186" s="42"/>
      <c r="AP186" s="50"/>
      <c r="AQ186" s="50"/>
      <c r="AS186" s="55" t="e">
        <f t="shared" si="62"/>
        <v>#DIV/0!</v>
      </c>
      <c r="AT186" s="55"/>
      <c r="AV186" s="56"/>
      <c r="AW186" s="56"/>
      <c r="AX186" s="56"/>
      <c r="AY186" s="62"/>
      <c r="BA186" s="56"/>
      <c r="BB186" s="56"/>
      <c r="BC186" s="56"/>
      <c r="BD186" s="62"/>
      <c r="BF186">
        <f t="shared" si="63"/>
        <v>0</v>
      </c>
      <c r="BG186">
        <f t="shared" si="64"/>
        <v>0</v>
      </c>
      <c r="BH186">
        <f t="shared" si="65"/>
        <v>0</v>
      </c>
      <c r="BI186">
        <f t="shared" si="66"/>
        <v>0</v>
      </c>
      <c r="BJ186">
        <f t="shared" si="67"/>
        <v>0</v>
      </c>
      <c r="BK186">
        <f t="shared" si="68"/>
        <v>0</v>
      </c>
      <c r="BL186">
        <f t="shared" si="69"/>
        <v>0</v>
      </c>
      <c r="BM186">
        <f t="shared" si="70"/>
        <v>0</v>
      </c>
      <c r="BN186">
        <f t="shared" si="71"/>
        <v>0</v>
      </c>
    </row>
    <row r="187" spans="1:66" outlineLevel="1" x14ac:dyDescent="0.15">
      <c r="A187" s="5"/>
      <c r="B187" s="5" t="s">
        <v>149</v>
      </c>
      <c r="C187" s="6" t="s">
        <v>256</v>
      </c>
      <c r="D187" s="5">
        <v>14025709</v>
      </c>
      <c r="E187" s="7">
        <v>20</v>
      </c>
      <c r="F187" s="6">
        <v>1</v>
      </c>
      <c r="G187" s="6"/>
      <c r="I187" s="17" t="str">
        <f t="shared" si="52"/>
        <v>·</v>
      </c>
      <c r="J187" s="18" t="str">
        <f t="shared" si="53"/>
        <v>·</v>
      </c>
      <c r="K187" s="18" t="str">
        <f t="shared" si="54"/>
        <v>·</v>
      </c>
      <c r="L187" s="18" t="str">
        <f t="shared" si="55"/>
        <v>·</v>
      </c>
      <c r="M187" s="19"/>
      <c r="N187" s="18" t="str">
        <f t="shared" si="56"/>
        <v>·</v>
      </c>
      <c r="O187" s="20"/>
      <c r="P187" s="21"/>
      <c r="Q187" s="21"/>
      <c r="R187" s="21"/>
      <c r="S187" s="37"/>
      <c r="T187" s="38"/>
      <c r="U187" s="38"/>
      <c r="V187" s="38"/>
      <c r="W187" s="39"/>
      <c r="X187" s="49"/>
      <c r="Y187" s="49"/>
      <c r="AA187" s="17" t="str">
        <f t="shared" si="57"/>
        <v>·</v>
      </c>
      <c r="AB187" s="18" t="str">
        <f t="shared" si="58"/>
        <v>·</v>
      </c>
      <c r="AC187" s="18" t="str">
        <f t="shared" si="59"/>
        <v>·</v>
      </c>
      <c r="AD187" s="18" t="str">
        <f t="shared" si="60"/>
        <v>·</v>
      </c>
      <c r="AE187" s="19"/>
      <c r="AF187" s="18" t="str">
        <f t="shared" si="61"/>
        <v>·</v>
      </c>
      <c r="AG187" s="20"/>
      <c r="AH187" s="21"/>
      <c r="AI187" s="21"/>
      <c r="AJ187" s="21"/>
      <c r="AK187" s="37"/>
      <c r="AL187" s="38"/>
      <c r="AM187" s="38"/>
      <c r="AN187" s="38"/>
      <c r="AO187" s="39"/>
      <c r="AP187" s="49"/>
      <c r="AQ187" s="49"/>
      <c r="AS187" s="53" t="e">
        <f t="shared" si="62"/>
        <v>#DIV/0!</v>
      </c>
      <c r="AT187" s="53"/>
      <c r="AV187" s="54"/>
      <c r="AW187" s="54"/>
      <c r="AX187" s="54"/>
      <c r="AY187" s="61"/>
      <c r="BA187" s="54"/>
      <c r="BB187" s="54"/>
      <c r="BC187" s="54"/>
      <c r="BD187" s="61"/>
      <c r="BF187">
        <f t="shared" si="63"/>
        <v>0</v>
      </c>
      <c r="BG187">
        <f t="shared" si="64"/>
        <v>0</v>
      </c>
      <c r="BH187">
        <f t="shared" si="65"/>
        <v>0</v>
      </c>
      <c r="BI187">
        <f t="shared" si="66"/>
        <v>0</v>
      </c>
      <c r="BJ187">
        <f t="shared" si="67"/>
        <v>0</v>
      </c>
      <c r="BK187">
        <f t="shared" si="68"/>
        <v>0</v>
      </c>
      <c r="BL187">
        <f t="shared" si="69"/>
        <v>0</v>
      </c>
      <c r="BM187">
        <f t="shared" si="70"/>
        <v>0</v>
      </c>
      <c r="BN187">
        <f t="shared" si="71"/>
        <v>0</v>
      </c>
    </row>
    <row r="188" spans="1:66" outlineLevel="1" x14ac:dyDescent="0.15">
      <c r="A188" s="8"/>
      <c r="B188" s="8" t="s">
        <v>149</v>
      </c>
      <c r="C188" s="9" t="s">
        <v>257</v>
      </c>
      <c r="D188" s="8">
        <v>14025709</v>
      </c>
      <c r="E188" s="10">
        <v>20</v>
      </c>
      <c r="F188" s="9">
        <v>1</v>
      </c>
      <c r="G188" s="9"/>
      <c r="I188" s="22" t="str">
        <f t="shared" si="52"/>
        <v>·</v>
      </c>
      <c r="J188" s="23" t="str">
        <f t="shared" si="53"/>
        <v>·</v>
      </c>
      <c r="K188" s="23" t="str">
        <f t="shared" si="54"/>
        <v>·</v>
      </c>
      <c r="L188" s="23" t="str">
        <f t="shared" si="55"/>
        <v>·</v>
      </c>
      <c r="M188" s="24"/>
      <c r="N188" s="23" t="str">
        <f t="shared" si="56"/>
        <v>·</v>
      </c>
      <c r="O188" s="25"/>
      <c r="P188" s="26"/>
      <c r="Q188" s="26"/>
      <c r="R188" s="26"/>
      <c r="S188" s="40"/>
      <c r="T188" s="41"/>
      <c r="U188" s="41"/>
      <c r="V188" s="41"/>
      <c r="W188" s="42"/>
      <c r="X188" s="50"/>
      <c r="Y188" s="50"/>
      <c r="AA188" s="22" t="str">
        <f t="shared" si="57"/>
        <v>·</v>
      </c>
      <c r="AB188" s="23" t="str">
        <f t="shared" si="58"/>
        <v>·</v>
      </c>
      <c r="AC188" s="23" t="str">
        <f t="shared" si="59"/>
        <v>·</v>
      </c>
      <c r="AD188" s="23" t="str">
        <f t="shared" si="60"/>
        <v>·</v>
      </c>
      <c r="AE188" s="24"/>
      <c r="AF188" s="23" t="str">
        <f t="shared" si="61"/>
        <v>·</v>
      </c>
      <c r="AG188" s="25"/>
      <c r="AH188" s="26"/>
      <c r="AI188" s="26"/>
      <c r="AJ188" s="26"/>
      <c r="AK188" s="40"/>
      <c r="AL188" s="41"/>
      <c r="AM188" s="41"/>
      <c r="AN188" s="41"/>
      <c r="AO188" s="42"/>
      <c r="AP188" s="50"/>
      <c r="AQ188" s="50"/>
      <c r="AS188" s="55" t="e">
        <f t="shared" si="62"/>
        <v>#DIV/0!</v>
      </c>
      <c r="AT188" s="55"/>
      <c r="AV188" s="56"/>
      <c r="AW188" s="56"/>
      <c r="AX188" s="56"/>
      <c r="AY188" s="62"/>
      <c r="BA188" s="56"/>
      <c r="BB188" s="56"/>
      <c r="BC188" s="56"/>
      <c r="BD188" s="62"/>
      <c r="BF188">
        <f t="shared" si="63"/>
        <v>0</v>
      </c>
      <c r="BG188">
        <f t="shared" si="64"/>
        <v>0</v>
      </c>
      <c r="BH188">
        <f t="shared" si="65"/>
        <v>0</v>
      </c>
      <c r="BI188">
        <f t="shared" si="66"/>
        <v>0</v>
      </c>
      <c r="BJ188">
        <f t="shared" si="67"/>
        <v>0</v>
      </c>
      <c r="BK188">
        <f t="shared" si="68"/>
        <v>0</v>
      </c>
      <c r="BL188">
        <f t="shared" si="69"/>
        <v>0</v>
      </c>
      <c r="BM188">
        <f t="shared" si="70"/>
        <v>0</v>
      </c>
      <c r="BN188">
        <f t="shared" si="71"/>
        <v>0</v>
      </c>
    </row>
    <row r="189" spans="1:66" outlineLevel="1" x14ac:dyDescent="0.15">
      <c r="A189" s="5"/>
      <c r="B189" s="5" t="s">
        <v>149</v>
      </c>
      <c r="C189" s="6" t="s">
        <v>258</v>
      </c>
      <c r="D189" s="5">
        <v>14025709</v>
      </c>
      <c r="E189" s="7">
        <v>20</v>
      </c>
      <c r="F189" s="6">
        <v>1</v>
      </c>
      <c r="G189" s="6"/>
      <c r="I189" s="17" t="str">
        <f t="shared" si="52"/>
        <v>·</v>
      </c>
      <c r="J189" s="18" t="str">
        <f t="shared" si="53"/>
        <v>·</v>
      </c>
      <c r="K189" s="18" t="str">
        <f t="shared" si="54"/>
        <v>·</v>
      </c>
      <c r="L189" s="18" t="str">
        <f t="shared" si="55"/>
        <v>·</v>
      </c>
      <c r="M189" s="19"/>
      <c r="N189" s="18" t="str">
        <f t="shared" si="56"/>
        <v>·</v>
      </c>
      <c r="O189" s="20"/>
      <c r="P189" s="21"/>
      <c r="Q189" s="21"/>
      <c r="R189" s="21"/>
      <c r="S189" s="37"/>
      <c r="T189" s="38"/>
      <c r="U189" s="38"/>
      <c r="V189" s="38"/>
      <c r="W189" s="39"/>
      <c r="X189" s="49"/>
      <c r="Y189" s="49"/>
      <c r="AA189" s="17" t="str">
        <f t="shared" si="57"/>
        <v>·</v>
      </c>
      <c r="AB189" s="18" t="str">
        <f t="shared" si="58"/>
        <v>·</v>
      </c>
      <c r="AC189" s="18" t="str">
        <f t="shared" si="59"/>
        <v>·</v>
      </c>
      <c r="AD189" s="18" t="str">
        <f t="shared" si="60"/>
        <v>·</v>
      </c>
      <c r="AE189" s="19"/>
      <c r="AF189" s="18" t="str">
        <f t="shared" si="61"/>
        <v>·</v>
      </c>
      <c r="AG189" s="20"/>
      <c r="AH189" s="21"/>
      <c r="AI189" s="21"/>
      <c r="AJ189" s="21"/>
      <c r="AK189" s="37"/>
      <c r="AL189" s="38"/>
      <c r="AM189" s="38"/>
      <c r="AN189" s="38"/>
      <c r="AO189" s="39"/>
      <c r="AP189" s="49"/>
      <c r="AQ189" s="49"/>
      <c r="AS189" s="53" t="e">
        <f t="shared" si="62"/>
        <v>#DIV/0!</v>
      </c>
      <c r="AT189" s="53"/>
      <c r="AV189" s="54"/>
      <c r="AW189" s="54"/>
      <c r="AX189" s="54"/>
      <c r="AY189" s="61"/>
      <c r="BA189" s="54"/>
      <c r="BB189" s="54"/>
      <c r="BC189" s="54"/>
      <c r="BD189" s="61"/>
      <c r="BF189">
        <f t="shared" si="63"/>
        <v>0</v>
      </c>
      <c r="BG189">
        <f t="shared" si="64"/>
        <v>0</v>
      </c>
      <c r="BH189">
        <f t="shared" si="65"/>
        <v>0</v>
      </c>
      <c r="BI189">
        <f t="shared" si="66"/>
        <v>0</v>
      </c>
      <c r="BJ189">
        <f t="shared" si="67"/>
        <v>0</v>
      </c>
      <c r="BK189">
        <f t="shared" si="68"/>
        <v>0</v>
      </c>
      <c r="BL189">
        <f t="shared" si="69"/>
        <v>0</v>
      </c>
      <c r="BM189">
        <f t="shared" si="70"/>
        <v>0</v>
      </c>
      <c r="BN189">
        <f t="shared" si="71"/>
        <v>0</v>
      </c>
    </row>
    <row r="190" spans="1:66" outlineLevel="1" x14ac:dyDescent="0.15">
      <c r="A190" s="8"/>
      <c r="B190" s="14" t="s">
        <v>149</v>
      </c>
      <c r="C190" s="15" t="s">
        <v>259</v>
      </c>
      <c r="D190" s="14">
        <v>14025709</v>
      </c>
      <c r="E190" s="16">
        <v>20</v>
      </c>
      <c r="F190" s="15">
        <v>1</v>
      </c>
      <c r="G190" s="15"/>
      <c r="I190" s="32" t="str">
        <f t="shared" si="52"/>
        <v>·</v>
      </c>
      <c r="J190" s="33" t="str">
        <f t="shared" si="53"/>
        <v>·</v>
      </c>
      <c r="K190" s="33" t="str">
        <f t="shared" si="54"/>
        <v>·</v>
      </c>
      <c r="L190" s="33" t="str">
        <f t="shared" si="55"/>
        <v>·</v>
      </c>
      <c r="M190" s="34"/>
      <c r="N190" s="33" t="str">
        <f t="shared" si="56"/>
        <v>·</v>
      </c>
      <c r="O190" s="35"/>
      <c r="P190" s="36"/>
      <c r="Q190" s="36"/>
      <c r="R190" s="36"/>
      <c r="S190" s="46"/>
      <c r="T190" s="47"/>
      <c r="U190" s="47"/>
      <c r="V190" s="47"/>
      <c r="W190" s="48"/>
      <c r="X190" s="52"/>
      <c r="Y190" s="52"/>
      <c r="AA190" s="32" t="str">
        <f t="shared" si="57"/>
        <v>·</v>
      </c>
      <c r="AB190" s="33" t="str">
        <f t="shared" si="58"/>
        <v>·</v>
      </c>
      <c r="AC190" s="33" t="str">
        <f t="shared" si="59"/>
        <v>·</v>
      </c>
      <c r="AD190" s="33" t="str">
        <f t="shared" si="60"/>
        <v>·</v>
      </c>
      <c r="AE190" s="34"/>
      <c r="AF190" s="33" t="str">
        <f t="shared" si="61"/>
        <v>·</v>
      </c>
      <c r="AG190" s="35"/>
      <c r="AH190" s="36"/>
      <c r="AI190" s="36"/>
      <c r="AJ190" s="36"/>
      <c r="AK190" s="46"/>
      <c r="AL190" s="47"/>
      <c r="AM190" s="47"/>
      <c r="AN190" s="47"/>
      <c r="AO190" s="48"/>
      <c r="AP190" s="52"/>
      <c r="AQ190" s="52"/>
      <c r="AS190" s="59" t="e">
        <f t="shared" si="62"/>
        <v>#DIV/0!</v>
      </c>
      <c r="AT190" s="59"/>
      <c r="AV190" s="60"/>
      <c r="AW190" s="60"/>
      <c r="AX190" s="60"/>
      <c r="AY190" s="64"/>
      <c r="BA190" s="60"/>
      <c r="BB190" s="60"/>
      <c r="BC190" s="60"/>
      <c r="BD190" s="64"/>
      <c r="BF190">
        <f t="shared" si="63"/>
        <v>0</v>
      </c>
      <c r="BG190">
        <f t="shared" si="64"/>
        <v>0</v>
      </c>
      <c r="BH190">
        <f t="shared" si="65"/>
        <v>0</v>
      </c>
      <c r="BI190">
        <f t="shared" si="66"/>
        <v>0</v>
      </c>
      <c r="BJ190">
        <f t="shared" si="67"/>
        <v>0</v>
      </c>
      <c r="BK190">
        <f t="shared" si="68"/>
        <v>0</v>
      </c>
      <c r="BL190">
        <f t="shared" si="69"/>
        <v>0</v>
      </c>
      <c r="BM190">
        <f t="shared" si="70"/>
        <v>0</v>
      </c>
      <c r="BN190">
        <f t="shared" si="71"/>
        <v>0</v>
      </c>
    </row>
    <row r="191" spans="1:66" x14ac:dyDescent="0.15">
      <c r="A191" s="5"/>
      <c r="B191" s="5" t="s">
        <v>152</v>
      </c>
      <c r="C191" s="6" t="s">
        <v>254</v>
      </c>
      <c r="D191" s="5">
        <v>5001077</v>
      </c>
      <c r="E191" s="7">
        <v>20</v>
      </c>
      <c r="F191" s="6">
        <v>1</v>
      </c>
      <c r="G191" s="6"/>
      <c r="I191" s="17" t="str">
        <f t="shared" si="52"/>
        <v>·</v>
      </c>
      <c r="J191" s="18" t="str">
        <f t="shared" si="53"/>
        <v>·</v>
      </c>
      <c r="K191" s="18" t="str">
        <f t="shared" si="54"/>
        <v>·</v>
      </c>
      <c r="L191" s="18" t="str">
        <f t="shared" si="55"/>
        <v>·</v>
      </c>
      <c r="M191" s="19"/>
      <c r="N191" s="18" t="str">
        <f t="shared" si="56"/>
        <v>·</v>
      </c>
      <c r="O191" s="20"/>
      <c r="P191" s="21"/>
      <c r="Q191" s="21"/>
      <c r="R191" s="21"/>
      <c r="S191" s="37"/>
      <c r="T191" s="38"/>
      <c r="U191" s="38"/>
      <c r="V191" s="38"/>
      <c r="W191" s="39"/>
      <c r="X191" s="49"/>
      <c r="Y191" s="49"/>
      <c r="AA191" s="17" t="str">
        <f t="shared" si="57"/>
        <v>·</v>
      </c>
      <c r="AB191" s="18" t="str">
        <f t="shared" si="58"/>
        <v>·</v>
      </c>
      <c r="AC191" s="18" t="str">
        <f t="shared" si="59"/>
        <v>·</v>
      </c>
      <c r="AD191" s="18" t="str">
        <f t="shared" si="60"/>
        <v>·</v>
      </c>
      <c r="AE191" s="19"/>
      <c r="AF191" s="18" t="str">
        <f t="shared" si="61"/>
        <v>·</v>
      </c>
      <c r="AG191" s="20"/>
      <c r="AH191" s="21"/>
      <c r="AI191" s="21"/>
      <c r="AJ191" s="21"/>
      <c r="AK191" s="37"/>
      <c r="AL191" s="38"/>
      <c r="AM191" s="38"/>
      <c r="AN191" s="38"/>
      <c r="AO191" s="39"/>
      <c r="AP191" s="49"/>
      <c r="AQ191" s="49"/>
      <c r="AS191" s="53" t="e">
        <f t="shared" si="62"/>
        <v>#DIV/0!</v>
      </c>
      <c r="AT191" s="53" t="e">
        <f t="array" ref="AT191">AVERAGE(AI191:AI196/AH191:AH196)-AVERAGE(Q191:Q196/P191:P196)</f>
        <v>#DIV/0!</v>
      </c>
      <c r="AV191" s="54" t="str">
        <f>IF(OR(ISBLANK(R191:R196),ISBLANK(AJ191:AJ196),ISBLANK(T191:T196),ISBLANK(AL191:AL196)),"·",bdRateExtend(R191:R196,T191:T196,AJ191:AJ196,AL191:AL196))</f>
        <v>·</v>
      </c>
      <c r="AW191" s="54" t="str">
        <f>IF(OR(ISBLANK(R191:R196),ISBLANK(AJ191:AJ196),ISBLANK(U191:U196),ISBLANK(AM191:AM196)),"·",bdRateExtend(R191:R196,U191:U196,AJ191:AJ196,AM191:AM196))</f>
        <v>·</v>
      </c>
      <c r="AX191" s="54" t="str">
        <f>IF(OR(ISBLANK(R191:R196),ISBLANK(AJ191:AJ196),ISBLANK(V191:V196),ISBLANK(AN191:AN196)),"·",bdRateExtend(R191:R196,V191:V196,AJ191:AJ196,AN191:AN196))</f>
        <v>·</v>
      </c>
      <c r="AY191" s="61"/>
      <c r="BA191" s="54" t="str">
        <f>IF(OR(ISBLANK(P191:P196),ISBLANK(AH191:AH196),ISBLANK(T191:T196),ISBLANK(AL191:AL196)),"·",bdRateExtend(P191:P196,T191:T196,AH191:AH196,AL191:AL196))</f>
        <v>·</v>
      </c>
      <c r="BB191" s="54" t="str">
        <f>IF(OR(ISBLANK(P191:P196),ISBLANK(AH191:AH196),ISBLANK(U191:U196),ISBLANK(AM191:AM196)),"·",bdRateExtend(P191:P196,U191:U196,AH191:AH196,AM191:AM196))</f>
        <v>·</v>
      </c>
      <c r="BC191" s="54" t="str">
        <f>IF(OR(ISBLANK(P191:P196),ISBLANK(AH191:AH196),ISBLANK(V191:V196),ISBLANK(AN191:AN196)),"·",bdRateExtend(P191:P196,V191:V196,AH191:AH196,AN191:AN196))</f>
        <v>·</v>
      </c>
      <c r="BD191" s="61"/>
      <c r="BF191">
        <f t="shared" si="63"/>
        <v>0</v>
      </c>
      <c r="BG191">
        <f t="shared" si="64"/>
        <v>0</v>
      </c>
      <c r="BH191">
        <f t="shared" si="65"/>
        <v>0</v>
      </c>
      <c r="BI191">
        <f t="shared" si="66"/>
        <v>0</v>
      </c>
      <c r="BJ191">
        <f t="shared" si="67"/>
        <v>0</v>
      </c>
      <c r="BK191">
        <f t="shared" si="68"/>
        <v>0</v>
      </c>
      <c r="BL191">
        <f t="shared" si="69"/>
        <v>0</v>
      </c>
      <c r="BM191">
        <f t="shared" si="70"/>
        <v>0</v>
      </c>
      <c r="BN191">
        <f t="shared" si="71"/>
        <v>0</v>
      </c>
    </row>
    <row r="192" spans="1:66" outlineLevel="1" x14ac:dyDescent="0.15">
      <c r="A192" s="8"/>
      <c r="B192" s="8" t="s">
        <v>152</v>
      </c>
      <c r="C192" s="9" t="s">
        <v>255</v>
      </c>
      <c r="D192" s="8">
        <v>5001077</v>
      </c>
      <c r="E192" s="10">
        <v>20</v>
      </c>
      <c r="F192" s="9">
        <v>1</v>
      </c>
      <c r="G192" s="9"/>
      <c r="I192" s="22" t="str">
        <f t="shared" si="52"/>
        <v>·</v>
      </c>
      <c r="J192" s="23" t="str">
        <f t="shared" si="53"/>
        <v>·</v>
      </c>
      <c r="K192" s="23" t="str">
        <f t="shared" si="54"/>
        <v>·</v>
      </c>
      <c r="L192" s="23" t="str">
        <f t="shared" si="55"/>
        <v>·</v>
      </c>
      <c r="M192" s="24"/>
      <c r="N192" s="23" t="str">
        <f t="shared" si="56"/>
        <v>·</v>
      </c>
      <c r="O192" s="25"/>
      <c r="P192" s="26"/>
      <c r="Q192" s="26"/>
      <c r="R192" s="26"/>
      <c r="S192" s="40"/>
      <c r="T192" s="41"/>
      <c r="U192" s="41"/>
      <c r="V192" s="41"/>
      <c r="W192" s="42"/>
      <c r="X192" s="50"/>
      <c r="Y192" s="50"/>
      <c r="AA192" s="22" t="str">
        <f t="shared" si="57"/>
        <v>·</v>
      </c>
      <c r="AB192" s="23" t="str">
        <f t="shared" si="58"/>
        <v>·</v>
      </c>
      <c r="AC192" s="23" t="str">
        <f t="shared" si="59"/>
        <v>·</v>
      </c>
      <c r="AD192" s="23" t="str">
        <f t="shared" si="60"/>
        <v>·</v>
      </c>
      <c r="AE192" s="24"/>
      <c r="AF192" s="23" t="str">
        <f t="shared" si="61"/>
        <v>·</v>
      </c>
      <c r="AG192" s="25"/>
      <c r="AH192" s="26"/>
      <c r="AI192" s="26"/>
      <c r="AJ192" s="26"/>
      <c r="AK192" s="40"/>
      <c r="AL192" s="41"/>
      <c r="AM192" s="41"/>
      <c r="AN192" s="41"/>
      <c r="AO192" s="42"/>
      <c r="AP192" s="50"/>
      <c r="AQ192" s="50"/>
      <c r="AS192" s="55" t="e">
        <f t="shared" si="62"/>
        <v>#DIV/0!</v>
      </c>
      <c r="AT192" s="55"/>
      <c r="AV192" s="56"/>
      <c r="AW192" s="56"/>
      <c r="AX192" s="56"/>
      <c r="AY192" s="62"/>
      <c r="BA192" s="56"/>
      <c r="BB192" s="56"/>
      <c r="BC192" s="56"/>
      <c r="BD192" s="62"/>
      <c r="BF192">
        <f t="shared" si="63"/>
        <v>0</v>
      </c>
      <c r="BG192">
        <f t="shared" si="64"/>
        <v>0</v>
      </c>
      <c r="BH192">
        <f t="shared" si="65"/>
        <v>0</v>
      </c>
      <c r="BI192">
        <f t="shared" si="66"/>
        <v>0</v>
      </c>
      <c r="BJ192">
        <f t="shared" si="67"/>
        <v>0</v>
      </c>
      <c r="BK192">
        <f t="shared" si="68"/>
        <v>0</v>
      </c>
      <c r="BL192">
        <f t="shared" si="69"/>
        <v>0</v>
      </c>
      <c r="BM192">
        <f t="shared" si="70"/>
        <v>0</v>
      </c>
      <c r="BN192">
        <f t="shared" si="71"/>
        <v>0</v>
      </c>
    </row>
    <row r="193" spans="1:66" outlineLevel="1" x14ac:dyDescent="0.15">
      <c r="A193" s="5"/>
      <c r="B193" s="5" t="s">
        <v>152</v>
      </c>
      <c r="C193" s="6" t="s">
        <v>256</v>
      </c>
      <c r="D193" s="5">
        <v>5001077</v>
      </c>
      <c r="E193" s="7">
        <v>20</v>
      </c>
      <c r="F193" s="6">
        <v>1</v>
      </c>
      <c r="G193" s="6"/>
      <c r="I193" s="17" t="str">
        <f t="shared" si="52"/>
        <v>·</v>
      </c>
      <c r="J193" s="18" t="str">
        <f t="shared" si="53"/>
        <v>·</v>
      </c>
      <c r="K193" s="18" t="str">
        <f t="shared" si="54"/>
        <v>·</v>
      </c>
      <c r="L193" s="18" t="str">
        <f t="shared" si="55"/>
        <v>·</v>
      </c>
      <c r="M193" s="19"/>
      <c r="N193" s="18" t="str">
        <f t="shared" si="56"/>
        <v>·</v>
      </c>
      <c r="O193" s="20"/>
      <c r="P193" s="21"/>
      <c r="Q193" s="21"/>
      <c r="R193" s="21"/>
      <c r="S193" s="37"/>
      <c r="T193" s="38"/>
      <c r="U193" s="38"/>
      <c r="V193" s="38"/>
      <c r="W193" s="39"/>
      <c r="X193" s="49"/>
      <c r="Y193" s="49"/>
      <c r="AA193" s="17" t="str">
        <f t="shared" si="57"/>
        <v>·</v>
      </c>
      <c r="AB193" s="18" t="str">
        <f t="shared" si="58"/>
        <v>·</v>
      </c>
      <c r="AC193" s="18" t="str">
        <f t="shared" si="59"/>
        <v>·</v>
      </c>
      <c r="AD193" s="18" t="str">
        <f t="shared" si="60"/>
        <v>·</v>
      </c>
      <c r="AE193" s="19"/>
      <c r="AF193" s="18" t="str">
        <f t="shared" si="61"/>
        <v>·</v>
      </c>
      <c r="AG193" s="20"/>
      <c r="AH193" s="21"/>
      <c r="AI193" s="21"/>
      <c r="AJ193" s="21"/>
      <c r="AK193" s="37"/>
      <c r="AL193" s="38"/>
      <c r="AM193" s="38"/>
      <c r="AN193" s="38"/>
      <c r="AO193" s="39"/>
      <c r="AP193" s="49"/>
      <c r="AQ193" s="49"/>
      <c r="AS193" s="53" t="e">
        <f t="shared" si="62"/>
        <v>#DIV/0!</v>
      </c>
      <c r="AT193" s="53"/>
      <c r="AV193" s="54"/>
      <c r="AW193" s="54"/>
      <c r="AX193" s="54"/>
      <c r="AY193" s="61"/>
      <c r="BA193" s="54"/>
      <c r="BB193" s="54"/>
      <c r="BC193" s="54"/>
      <c r="BD193" s="61"/>
      <c r="BF193">
        <f t="shared" si="63"/>
        <v>0</v>
      </c>
      <c r="BG193">
        <f t="shared" si="64"/>
        <v>0</v>
      </c>
      <c r="BH193">
        <f t="shared" si="65"/>
        <v>0</v>
      </c>
      <c r="BI193">
        <f t="shared" si="66"/>
        <v>0</v>
      </c>
      <c r="BJ193">
        <f t="shared" si="67"/>
        <v>0</v>
      </c>
      <c r="BK193">
        <f t="shared" si="68"/>
        <v>0</v>
      </c>
      <c r="BL193">
        <f t="shared" si="69"/>
        <v>0</v>
      </c>
      <c r="BM193">
        <f t="shared" si="70"/>
        <v>0</v>
      </c>
      <c r="BN193">
        <f t="shared" si="71"/>
        <v>0</v>
      </c>
    </row>
    <row r="194" spans="1:66" outlineLevel="1" x14ac:dyDescent="0.15">
      <c r="A194" s="8"/>
      <c r="B194" s="8" t="s">
        <v>152</v>
      </c>
      <c r="C194" s="9" t="s">
        <v>257</v>
      </c>
      <c r="D194" s="8">
        <v>5001077</v>
      </c>
      <c r="E194" s="10">
        <v>20</v>
      </c>
      <c r="F194" s="9">
        <v>1</v>
      </c>
      <c r="G194" s="9"/>
      <c r="I194" s="22" t="str">
        <f t="shared" si="52"/>
        <v>·</v>
      </c>
      <c r="J194" s="23" t="str">
        <f t="shared" si="53"/>
        <v>·</v>
      </c>
      <c r="K194" s="23" t="str">
        <f t="shared" si="54"/>
        <v>·</v>
      </c>
      <c r="L194" s="23" t="str">
        <f t="shared" si="55"/>
        <v>·</v>
      </c>
      <c r="M194" s="24"/>
      <c r="N194" s="23" t="str">
        <f t="shared" si="56"/>
        <v>·</v>
      </c>
      <c r="O194" s="25"/>
      <c r="P194" s="26"/>
      <c r="Q194" s="26"/>
      <c r="R194" s="26"/>
      <c r="S194" s="40"/>
      <c r="T194" s="41"/>
      <c r="U194" s="41"/>
      <c r="V194" s="41"/>
      <c r="W194" s="42"/>
      <c r="X194" s="50"/>
      <c r="Y194" s="50"/>
      <c r="AA194" s="22" t="str">
        <f t="shared" si="57"/>
        <v>·</v>
      </c>
      <c r="AB194" s="23" t="str">
        <f t="shared" si="58"/>
        <v>·</v>
      </c>
      <c r="AC194" s="23" t="str">
        <f t="shared" si="59"/>
        <v>·</v>
      </c>
      <c r="AD194" s="23" t="str">
        <f t="shared" si="60"/>
        <v>·</v>
      </c>
      <c r="AE194" s="24"/>
      <c r="AF194" s="23" t="str">
        <f t="shared" si="61"/>
        <v>·</v>
      </c>
      <c r="AG194" s="25"/>
      <c r="AH194" s="26"/>
      <c r="AI194" s="26"/>
      <c r="AJ194" s="26"/>
      <c r="AK194" s="40"/>
      <c r="AL194" s="41"/>
      <c r="AM194" s="41"/>
      <c r="AN194" s="41"/>
      <c r="AO194" s="42"/>
      <c r="AP194" s="50"/>
      <c r="AQ194" s="50"/>
      <c r="AS194" s="55" t="e">
        <f t="shared" si="62"/>
        <v>#DIV/0!</v>
      </c>
      <c r="AT194" s="55"/>
      <c r="AV194" s="56"/>
      <c r="AW194" s="56"/>
      <c r="AX194" s="56"/>
      <c r="AY194" s="62"/>
      <c r="BA194" s="56"/>
      <c r="BB194" s="56"/>
      <c r="BC194" s="56"/>
      <c r="BD194" s="62"/>
      <c r="BF194">
        <f t="shared" si="63"/>
        <v>0</v>
      </c>
      <c r="BG194">
        <f t="shared" si="64"/>
        <v>0</v>
      </c>
      <c r="BH194">
        <f t="shared" si="65"/>
        <v>0</v>
      </c>
      <c r="BI194">
        <f t="shared" si="66"/>
        <v>0</v>
      </c>
      <c r="BJ194">
        <f t="shared" si="67"/>
        <v>0</v>
      </c>
      <c r="BK194">
        <f t="shared" si="68"/>
        <v>0</v>
      </c>
      <c r="BL194">
        <f t="shared" si="69"/>
        <v>0</v>
      </c>
      <c r="BM194">
        <f t="shared" si="70"/>
        <v>0</v>
      </c>
      <c r="BN194">
        <f t="shared" si="71"/>
        <v>0</v>
      </c>
    </row>
    <row r="195" spans="1:66" outlineLevel="1" x14ac:dyDescent="0.15">
      <c r="A195" s="5"/>
      <c r="B195" s="5" t="s">
        <v>152</v>
      </c>
      <c r="C195" s="6" t="s">
        <v>258</v>
      </c>
      <c r="D195" s="5">
        <v>5001077</v>
      </c>
      <c r="E195" s="7">
        <v>20</v>
      </c>
      <c r="F195" s="6">
        <v>1</v>
      </c>
      <c r="G195" s="6"/>
      <c r="I195" s="17" t="str">
        <f t="shared" si="52"/>
        <v>·</v>
      </c>
      <c r="J195" s="18" t="str">
        <f t="shared" si="53"/>
        <v>·</v>
      </c>
      <c r="K195" s="18" t="str">
        <f t="shared" si="54"/>
        <v>·</v>
      </c>
      <c r="L195" s="18" t="str">
        <f t="shared" si="55"/>
        <v>·</v>
      </c>
      <c r="M195" s="19"/>
      <c r="N195" s="18" t="str">
        <f t="shared" si="56"/>
        <v>·</v>
      </c>
      <c r="O195" s="20"/>
      <c r="P195" s="21"/>
      <c r="Q195" s="21"/>
      <c r="R195" s="21"/>
      <c r="S195" s="37"/>
      <c r="T195" s="38"/>
      <c r="U195" s="38"/>
      <c r="V195" s="38"/>
      <c r="W195" s="39"/>
      <c r="X195" s="49"/>
      <c r="Y195" s="49"/>
      <c r="AA195" s="17" t="str">
        <f t="shared" si="57"/>
        <v>·</v>
      </c>
      <c r="AB195" s="18" t="str">
        <f t="shared" si="58"/>
        <v>·</v>
      </c>
      <c r="AC195" s="18" t="str">
        <f t="shared" si="59"/>
        <v>·</v>
      </c>
      <c r="AD195" s="18" t="str">
        <f t="shared" si="60"/>
        <v>·</v>
      </c>
      <c r="AE195" s="19"/>
      <c r="AF195" s="18" t="str">
        <f t="shared" si="61"/>
        <v>·</v>
      </c>
      <c r="AG195" s="20"/>
      <c r="AH195" s="21"/>
      <c r="AI195" s="21"/>
      <c r="AJ195" s="21"/>
      <c r="AK195" s="37"/>
      <c r="AL195" s="38"/>
      <c r="AM195" s="38"/>
      <c r="AN195" s="38"/>
      <c r="AO195" s="39"/>
      <c r="AP195" s="49"/>
      <c r="AQ195" s="49"/>
      <c r="AS195" s="53" t="e">
        <f t="shared" si="62"/>
        <v>#DIV/0!</v>
      </c>
      <c r="AT195" s="53"/>
      <c r="AV195" s="54"/>
      <c r="AW195" s="54"/>
      <c r="AX195" s="54"/>
      <c r="AY195" s="61"/>
      <c r="BA195" s="54"/>
      <c r="BB195" s="54"/>
      <c r="BC195" s="54"/>
      <c r="BD195" s="61"/>
      <c r="BF195">
        <f t="shared" si="63"/>
        <v>0</v>
      </c>
      <c r="BG195">
        <f t="shared" si="64"/>
        <v>0</v>
      </c>
      <c r="BH195">
        <f t="shared" si="65"/>
        <v>0</v>
      </c>
      <c r="BI195">
        <f t="shared" si="66"/>
        <v>0</v>
      </c>
      <c r="BJ195">
        <f t="shared" si="67"/>
        <v>0</v>
      </c>
      <c r="BK195">
        <f t="shared" si="68"/>
        <v>0</v>
      </c>
      <c r="BL195">
        <f t="shared" si="69"/>
        <v>0</v>
      </c>
      <c r="BM195">
        <f t="shared" si="70"/>
        <v>0</v>
      </c>
      <c r="BN195">
        <f t="shared" si="71"/>
        <v>0</v>
      </c>
    </row>
    <row r="196" spans="1:66" outlineLevel="1" x14ac:dyDescent="0.15">
      <c r="A196" s="8"/>
      <c r="B196" s="14" t="s">
        <v>152</v>
      </c>
      <c r="C196" s="15" t="s">
        <v>259</v>
      </c>
      <c r="D196" s="14">
        <v>5001077</v>
      </c>
      <c r="E196" s="16">
        <v>20</v>
      </c>
      <c r="F196" s="15">
        <v>1</v>
      </c>
      <c r="G196" s="15"/>
      <c r="I196" s="32" t="str">
        <f t="shared" si="52"/>
        <v>·</v>
      </c>
      <c r="J196" s="33" t="str">
        <f t="shared" si="53"/>
        <v>·</v>
      </c>
      <c r="K196" s="33" t="str">
        <f t="shared" si="54"/>
        <v>·</v>
      </c>
      <c r="L196" s="33" t="str">
        <f t="shared" si="55"/>
        <v>·</v>
      </c>
      <c r="M196" s="34"/>
      <c r="N196" s="33" t="str">
        <f t="shared" si="56"/>
        <v>·</v>
      </c>
      <c r="O196" s="35"/>
      <c r="P196" s="36"/>
      <c r="Q196" s="36"/>
      <c r="R196" s="36"/>
      <c r="S196" s="46"/>
      <c r="T196" s="47"/>
      <c r="U196" s="47"/>
      <c r="V196" s="47"/>
      <c r="W196" s="48"/>
      <c r="X196" s="52"/>
      <c r="Y196" s="52"/>
      <c r="AA196" s="32" t="str">
        <f t="shared" si="57"/>
        <v>·</v>
      </c>
      <c r="AB196" s="33" t="str">
        <f t="shared" si="58"/>
        <v>·</v>
      </c>
      <c r="AC196" s="33" t="str">
        <f t="shared" si="59"/>
        <v>·</v>
      </c>
      <c r="AD196" s="33" t="str">
        <f t="shared" si="60"/>
        <v>·</v>
      </c>
      <c r="AE196" s="34"/>
      <c r="AF196" s="33" t="str">
        <f t="shared" si="61"/>
        <v>·</v>
      </c>
      <c r="AG196" s="35"/>
      <c r="AH196" s="36"/>
      <c r="AI196" s="36"/>
      <c r="AJ196" s="36"/>
      <c r="AK196" s="46"/>
      <c r="AL196" s="47"/>
      <c r="AM196" s="47"/>
      <c r="AN196" s="47"/>
      <c r="AO196" s="48"/>
      <c r="AP196" s="52"/>
      <c r="AQ196" s="52"/>
      <c r="AS196" s="59" t="e">
        <f t="shared" si="62"/>
        <v>#DIV/0!</v>
      </c>
      <c r="AT196" s="59"/>
      <c r="AV196" s="60"/>
      <c r="AW196" s="60"/>
      <c r="AX196" s="60"/>
      <c r="AY196" s="64"/>
      <c r="BA196" s="60"/>
      <c r="BB196" s="60"/>
      <c r="BC196" s="60"/>
      <c r="BD196" s="64"/>
      <c r="BF196">
        <f t="shared" si="63"/>
        <v>0</v>
      </c>
      <c r="BG196">
        <f t="shared" si="64"/>
        <v>0</v>
      </c>
      <c r="BH196">
        <f t="shared" si="65"/>
        <v>0</v>
      </c>
      <c r="BI196">
        <f t="shared" si="66"/>
        <v>0</v>
      </c>
      <c r="BJ196">
        <f t="shared" si="67"/>
        <v>0</v>
      </c>
      <c r="BK196">
        <f t="shared" si="68"/>
        <v>0</v>
      </c>
      <c r="BL196">
        <f t="shared" si="69"/>
        <v>0</v>
      </c>
      <c r="BM196">
        <f t="shared" si="70"/>
        <v>0</v>
      </c>
      <c r="BN196">
        <f t="shared" si="71"/>
        <v>0</v>
      </c>
    </row>
    <row r="197" spans="1:66" x14ac:dyDescent="0.15">
      <c r="A197" s="5"/>
      <c r="B197" s="5" t="s">
        <v>154</v>
      </c>
      <c r="C197" s="6" t="s">
        <v>254</v>
      </c>
      <c r="D197" s="5">
        <v>71948094</v>
      </c>
      <c r="E197" s="7">
        <v>14</v>
      </c>
      <c r="F197" s="6">
        <v>1</v>
      </c>
      <c r="G197" s="6"/>
      <c r="I197" s="17" t="str">
        <f t="shared" ref="I197:I260" si="72">IF(OR(ISBLANK(P197),ISBLANK(G197)),"·",P197*G197/F197/1000000)</f>
        <v>·</v>
      </c>
      <c r="J197" s="18" t="str">
        <f t="shared" ref="J197:J260" si="73">IF(ISBLANK(P197),"·",P197/D197)</f>
        <v>·</v>
      </c>
      <c r="K197" s="18" t="str">
        <f t="shared" ref="K197:K260" si="74">IF(Q197="","·",Q197/D197)</f>
        <v>·</v>
      </c>
      <c r="L197" s="18" t="str">
        <f t="shared" ref="L197:L260" si="75">IF(ISBLANK(R197),"·",R197/D197)</f>
        <v>·</v>
      </c>
      <c r="M197" s="19"/>
      <c r="N197" s="18" t="str">
        <f t="shared" ref="N197:N260" si="76">IF(ISBLANK(P197),"·",P197/O197)</f>
        <v>·</v>
      </c>
      <c r="O197" s="20"/>
      <c r="P197" s="21"/>
      <c r="Q197" s="21"/>
      <c r="R197" s="21"/>
      <c r="S197" s="37"/>
      <c r="T197" s="38"/>
      <c r="U197" s="38"/>
      <c r="V197" s="38"/>
      <c r="W197" s="39"/>
      <c r="X197" s="49"/>
      <c r="Y197" s="49"/>
      <c r="AA197" s="17" t="str">
        <f t="shared" ref="AA197:AA260" si="77">IF(OR(ISBLANK(AH197),ISBLANK(G197)),"·",AH197*G197/F197/1000000)</f>
        <v>·</v>
      </c>
      <c r="AB197" s="18" t="str">
        <f t="shared" ref="AB197:AB260" si="78">IF(ISBLANK(AH197),"·",AH197/D197)</f>
        <v>·</v>
      </c>
      <c r="AC197" s="18" t="str">
        <f t="shared" ref="AC197:AC260" si="79">IF(AI197="","·",AI197/D197)</f>
        <v>·</v>
      </c>
      <c r="AD197" s="18" t="str">
        <f t="shared" ref="AD197:AD260" si="80">IF(ISBLANK(AJ197),"·",AJ197/D197)</f>
        <v>·</v>
      </c>
      <c r="AE197" s="19"/>
      <c r="AF197" s="18" t="str">
        <f t="shared" ref="AF197:AF260" si="81">IF(ISBLANK(AH197),"·",AH197/AG197)</f>
        <v>·</v>
      </c>
      <c r="AG197" s="20"/>
      <c r="AH197" s="21"/>
      <c r="AI197" s="21"/>
      <c r="AJ197" s="21"/>
      <c r="AK197" s="37"/>
      <c r="AL197" s="38"/>
      <c r="AM197" s="38"/>
      <c r="AN197" s="38"/>
      <c r="AO197" s="39"/>
      <c r="AP197" s="49"/>
      <c r="AQ197" s="49"/>
      <c r="AS197" s="53" t="e">
        <f t="shared" ref="AS197:AS260" si="82">(AI197/AH197)-(Q197/P197)</f>
        <v>#DIV/0!</v>
      </c>
      <c r="AT197" s="53" t="e">
        <f t="array" ref="AT197">AVERAGE(AI197:AI202/AH197:AH202)-AVERAGE(Q197:Q202/P197:P202)</f>
        <v>#DIV/0!</v>
      </c>
      <c r="AV197" s="54" t="str">
        <f>IF(OR(ISBLANK(R197:R202),ISBLANK(AJ197:AJ202),ISBLANK(T197:T202),ISBLANK(AL197:AL202)),"·",bdRateExtend(R197:R202,T197:T202,AJ197:AJ202,AL197:AL202))</f>
        <v>·</v>
      </c>
      <c r="AW197" s="54" t="str">
        <f>IF(OR(ISBLANK(R197:R202),ISBLANK(AJ197:AJ202),ISBLANK(U197:U202),ISBLANK(AM197:AM202)),"·",bdRateExtend(R197:R202,U197:U202,AJ197:AJ202,AM197:AM202))</f>
        <v>·</v>
      </c>
      <c r="AX197" s="54" t="str">
        <f>IF(OR(ISBLANK(R197:R202),ISBLANK(AJ197:AJ202),ISBLANK(V197:V202),ISBLANK(AN197:AN202)),"·",bdRateExtend(R197:R202,V197:V202,AJ197:AJ202,AN197:AN202))</f>
        <v>·</v>
      </c>
      <c r="AY197" s="61"/>
      <c r="BA197" s="54" t="str">
        <f>IF(OR(ISBLANK(P197:P202),ISBLANK(AH197:AH202),ISBLANK(T197:T202),ISBLANK(AL197:AL202)),"·",bdRateExtend(P197:P202,T197:T202,AH197:AH202,AL197:AL202))</f>
        <v>·</v>
      </c>
      <c r="BB197" s="54" t="str">
        <f>IF(OR(ISBLANK(P197:P202),ISBLANK(AH197:AH202),ISBLANK(U197:U202),ISBLANK(AM197:AM202)),"·",bdRateExtend(P197:P202,U197:U202,AH197:AH202,AM197:AM202))</f>
        <v>·</v>
      </c>
      <c r="BC197" s="54" t="str">
        <f>IF(OR(ISBLANK(P197:P202),ISBLANK(AH197:AH202),ISBLANK(V197:V202),ISBLANK(AN197:AN202)),"·",bdRateExtend(P197:P202,V197:V202,AH197:AH202,AN197:AN202))</f>
        <v>·</v>
      </c>
      <c r="BD197" s="61"/>
      <c r="BF197">
        <f t="shared" si="63"/>
        <v>0</v>
      </c>
      <c r="BG197">
        <f t="shared" si="64"/>
        <v>0</v>
      </c>
      <c r="BH197">
        <f t="shared" si="65"/>
        <v>0</v>
      </c>
      <c r="BI197">
        <f t="shared" si="66"/>
        <v>0</v>
      </c>
      <c r="BJ197">
        <f t="shared" si="67"/>
        <v>0</v>
      </c>
      <c r="BK197">
        <f t="shared" si="68"/>
        <v>0</v>
      </c>
      <c r="BL197">
        <f t="shared" si="69"/>
        <v>0</v>
      </c>
      <c r="BM197">
        <f t="shared" si="70"/>
        <v>0</v>
      </c>
      <c r="BN197">
        <f t="shared" si="71"/>
        <v>0</v>
      </c>
    </row>
    <row r="198" spans="1:66" outlineLevel="1" x14ac:dyDescent="0.15">
      <c r="A198" s="8"/>
      <c r="B198" s="8" t="s">
        <v>154</v>
      </c>
      <c r="C198" s="9" t="s">
        <v>255</v>
      </c>
      <c r="D198" s="8">
        <v>71948094</v>
      </c>
      <c r="E198" s="10">
        <v>14</v>
      </c>
      <c r="F198" s="9">
        <v>1</v>
      </c>
      <c r="G198" s="9"/>
      <c r="I198" s="22" t="str">
        <f t="shared" si="72"/>
        <v>·</v>
      </c>
      <c r="J198" s="23" t="str">
        <f t="shared" si="73"/>
        <v>·</v>
      </c>
      <c r="K198" s="23" t="str">
        <f t="shared" si="74"/>
        <v>·</v>
      </c>
      <c r="L198" s="23" t="str">
        <f t="shared" si="75"/>
        <v>·</v>
      </c>
      <c r="M198" s="24"/>
      <c r="N198" s="23" t="str">
        <f t="shared" si="76"/>
        <v>·</v>
      </c>
      <c r="O198" s="25"/>
      <c r="P198" s="26"/>
      <c r="Q198" s="26"/>
      <c r="R198" s="26"/>
      <c r="S198" s="40"/>
      <c r="T198" s="41"/>
      <c r="U198" s="41"/>
      <c r="V198" s="41"/>
      <c r="W198" s="42"/>
      <c r="X198" s="50"/>
      <c r="Y198" s="50"/>
      <c r="AA198" s="22" t="str">
        <f t="shared" si="77"/>
        <v>·</v>
      </c>
      <c r="AB198" s="23" t="str">
        <f t="shared" si="78"/>
        <v>·</v>
      </c>
      <c r="AC198" s="23" t="str">
        <f t="shared" si="79"/>
        <v>·</v>
      </c>
      <c r="AD198" s="23" t="str">
        <f t="shared" si="80"/>
        <v>·</v>
      </c>
      <c r="AE198" s="24"/>
      <c r="AF198" s="23" t="str">
        <f t="shared" si="81"/>
        <v>·</v>
      </c>
      <c r="AG198" s="25"/>
      <c r="AH198" s="26"/>
      <c r="AI198" s="26"/>
      <c r="AJ198" s="26"/>
      <c r="AK198" s="40"/>
      <c r="AL198" s="41"/>
      <c r="AM198" s="41"/>
      <c r="AN198" s="41"/>
      <c r="AO198" s="42"/>
      <c r="AP198" s="50"/>
      <c r="AQ198" s="50"/>
      <c r="AS198" s="55" t="e">
        <f t="shared" si="82"/>
        <v>#DIV/0!</v>
      </c>
      <c r="AT198" s="55"/>
      <c r="AV198" s="56"/>
      <c r="AW198" s="56"/>
      <c r="AX198" s="56"/>
      <c r="AY198" s="62"/>
      <c r="BA198" s="56"/>
      <c r="BB198" s="56"/>
      <c r="BC198" s="56"/>
      <c r="BD198" s="62"/>
      <c r="BF198">
        <f t="shared" ref="BF198:BF261" si="83">AG198-O198</f>
        <v>0</v>
      </c>
      <c r="BG198">
        <f t="shared" ref="BG198:BG261" si="84">AH198-P198</f>
        <v>0</v>
      </c>
      <c r="BH198">
        <f t="shared" ref="BH198:BH261" si="85">AI198-Q198</f>
        <v>0</v>
      </c>
      <c r="BI198">
        <f t="shared" ref="BI198:BI261" si="86">AJ198-R198</f>
        <v>0</v>
      </c>
      <c r="BJ198">
        <f t="shared" ref="BJ198:BJ261" si="87">AK198-S198</f>
        <v>0</v>
      </c>
      <c r="BK198">
        <f t="shared" ref="BK198:BK261" si="88">AL198-T198</f>
        <v>0</v>
      </c>
      <c r="BL198">
        <f t="shared" ref="BL198:BL261" si="89">AM198-U198</f>
        <v>0</v>
      </c>
      <c r="BM198">
        <f t="shared" ref="BM198:BM261" si="90">AN198-V198</f>
        <v>0</v>
      </c>
      <c r="BN198">
        <f t="shared" ref="BN198:BN261" si="91">AO198-W198</f>
        <v>0</v>
      </c>
    </row>
    <row r="199" spans="1:66" outlineLevel="1" x14ac:dyDescent="0.15">
      <c r="A199" s="5"/>
      <c r="B199" s="5" t="s">
        <v>154</v>
      </c>
      <c r="C199" s="6" t="s">
        <v>256</v>
      </c>
      <c r="D199" s="5">
        <v>71948094</v>
      </c>
      <c r="E199" s="7">
        <v>14</v>
      </c>
      <c r="F199" s="6">
        <v>1</v>
      </c>
      <c r="G199" s="6"/>
      <c r="I199" s="17" t="str">
        <f t="shared" si="72"/>
        <v>·</v>
      </c>
      <c r="J199" s="18" t="str">
        <f t="shared" si="73"/>
        <v>·</v>
      </c>
      <c r="K199" s="18" t="str">
        <f t="shared" si="74"/>
        <v>·</v>
      </c>
      <c r="L199" s="18" t="str">
        <f t="shared" si="75"/>
        <v>·</v>
      </c>
      <c r="M199" s="19"/>
      <c r="N199" s="18" t="str">
        <f t="shared" si="76"/>
        <v>·</v>
      </c>
      <c r="O199" s="20"/>
      <c r="P199" s="21"/>
      <c r="Q199" s="21"/>
      <c r="R199" s="21"/>
      <c r="S199" s="37"/>
      <c r="T199" s="38"/>
      <c r="U199" s="38"/>
      <c r="V199" s="38"/>
      <c r="W199" s="39"/>
      <c r="X199" s="49"/>
      <c r="Y199" s="49"/>
      <c r="AA199" s="17" t="str">
        <f t="shared" si="77"/>
        <v>·</v>
      </c>
      <c r="AB199" s="18" t="str">
        <f t="shared" si="78"/>
        <v>·</v>
      </c>
      <c r="AC199" s="18" t="str">
        <f t="shared" si="79"/>
        <v>·</v>
      </c>
      <c r="AD199" s="18" t="str">
        <f t="shared" si="80"/>
        <v>·</v>
      </c>
      <c r="AE199" s="19"/>
      <c r="AF199" s="18" t="str">
        <f t="shared" si="81"/>
        <v>·</v>
      </c>
      <c r="AG199" s="20"/>
      <c r="AH199" s="21"/>
      <c r="AI199" s="21"/>
      <c r="AJ199" s="21"/>
      <c r="AK199" s="37"/>
      <c r="AL199" s="38"/>
      <c r="AM199" s="38"/>
      <c r="AN199" s="38"/>
      <c r="AO199" s="39"/>
      <c r="AP199" s="49"/>
      <c r="AQ199" s="49"/>
      <c r="AS199" s="53" t="e">
        <f t="shared" si="82"/>
        <v>#DIV/0!</v>
      </c>
      <c r="AT199" s="53"/>
      <c r="AV199" s="54"/>
      <c r="AW199" s="54"/>
      <c r="AX199" s="54"/>
      <c r="AY199" s="61"/>
      <c r="BA199" s="54"/>
      <c r="BB199" s="54"/>
      <c r="BC199" s="54"/>
      <c r="BD199" s="61"/>
      <c r="BF199">
        <f t="shared" si="83"/>
        <v>0</v>
      </c>
      <c r="BG199">
        <f t="shared" si="84"/>
        <v>0</v>
      </c>
      <c r="BH199">
        <f t="shared" si="85"/>
        <v>0</v>
      </c>
      <c r="BI199">
        <f t="shared" si="86"/>
        <v>0</v>
      </c>
      <c r="BJ199">
        <f t="shared" si="87"/>
        <v>0</v>
      </c>
      <c r="BK199">
        <f t="shared" si="88"/>
        <v>0</v>
      </c>
      <c r="BL199">
        <f t="shared" si="89"/>
        <v>0</v>
      </c>
      <c r="BM199">
        <f t="shared" si="90"/>
        <v>0</v>
      </c>
      <c r="BN199">
        <f t="shared" si="91"/>
        <v>0</v>
      </c>
    </row>
    <row r="200" spans="1:66" outlineLevel="1" x14ac:dyDescent="0.15">
      <c r="A200" s="8"/>
      <c r="B200" s="8" t="s">
        <v>154</v>
      </c>
      <c r="C200" s="9" t="s">
        <v>257</v>
      </c>
      <c r="D200" s="8">
        <v>71948094</v>
      </c>
      <c r="E200" s="10">
        <v>14</v>
      </c>
      <c r="F200" s="9">
        <v>1</v>
      </c>
      <c r="G200" s="9"/>
      <c r="I200" s="22" t="str">
        <f t="shared" si="72"/>
        <v>·</v>
      </c>
      <c r="J200" s="23" t="str">
        <f t="shared" si="73"/>
        <v>·</v>
      </c>
      <c r="K200" s="23" t="str">
        <f t="shared" si="74"/>
        <v>·</v>
      </c>
      <c r="L200" s="23" t="str">
        <f t="shared" si="75"/>
        <v>·</v>
      </c>
      <c r="M200" s="24"/>
      <c r="N200" s="23" t="str">
        <f t="shared" si="76"/>
        <v>·</v>
      </c>
      <c r="O200" s="25"/>
      <c r="P200" s="26"/>
      <c r="Q200" s="26"/>
      <c r="R200" s="26"/>
      <c r="S200" s="40"/>
      <c r="T200" s="41"/>
      <c r="U200" s="41"/>
      <c r="V200" s="41"/>
      <c r="W200" s="42"/>
      <c r="X200" s="50"/>
      <c r="Y200" s="50"/>
      <c r="AA200" s="22" t="str">
        <f t="shared" si="77"/>
        <v>·</v>
      </c>
      <c r="AB200" s="23" t="str">
        <f t="shared" si="78"/>
        <v>·</v>
      </c>
      <c r="AC200" s="23" t="str">
        <f t="shared" si="79"/>
        <v>·</v>
      </c>
      <c r="AD200" s="23" t="str">
        <f t="shared" si="80"/>
        <v>·</v>
      </c>
      <c r="AE200" s="24"/>
      <c r="AF200" s="23" t="str">
        <f t="shared" si="81"/>
        <v>·</v>
      </c>
      <c r="AG200" s="25"/>
      <c r="AH200" s="26"/>
      <c r="AI200" s="26"/>
      <c r="AJ200" s="26"/>
      <c r="AK200" s="40"/>
      <c r="AL200" s="41"/>
      <c r="AM200" s="41"/>
      <c r="AN200" s="41"/>
      <c r="AO200" s="42"/>
      <c r="AP200" s="50"/>
      <c r="AQ200" s="50"/>
      <c r="AS200" s="55" t="e">
        <f t="shared" si="82"/>
        <v>#DIV/0!</v>
      </c>
      <c r="AT200" s="55"/>
      <c r="AV200" s="56"/>
      <c r="AW200" s="56"/>
      <c r="AX200" s="56"/>
      <c r="AY200" s="62"/>
      <c r="BA200" s="56"/>
      <c r="BB200" s="56"/>
      <c r="BC200" s="56"/>
      <c r="BD200" s="62"/>
      <c r="BF200">
        <f t="shared" si="83"/>
        <v>0</v>
      </c>
      <c r="BG200">
        <f t="shared" si="84"/>
        <v>0</v>
      </c>
      <c r="BH200">
        <f t="shared" si="85"/>
        <v>0</v>
      </c>
      <c r="BI200">
        <f t="shared" si="86"/>
        <v>0</v>
      </c>
      <c r="BJ200">
        <f t="shared" si="87"/>
        <v>0</v>
      </c>
      <c r="BK200">
        <f t="shared" si="88"/>
        <v>0</v>
      </c>
      <c r="BL200">
        <f t="shared" si="89"/>
        <v>0</v>
      </c>
      <c r="BM200">
        <f t="shared" si="90"/>
        <v>0</v>
      </c>
      <c r="BN200">
        <f t="shared" si="91"/>
        <v>0</v>
      </c>
    </row>
    <row r="201" spans="1:66" outlineLevel="1" x14ac:dyDescent="0.15">
      <c r="A201" s="5"/>
      <c r="B201" s="5" t="s">
        <v>154</v>
      </c>
      <c r="C201" s="6" t="s">
        <v>258</v>
      </c>
      <c r="D201" s="5">
        <v>71948094</v>
      </c>
      <c r="E201" s="7">
        <v>14</v>
      </c>
      <c r="F201" s="6">
        <v>1</v>
      </c>
      <c r="G201" s="6"/>
      <c r="I201" s="17" t="str">
        <f t="shared" si="72"/>
        <v>·</v>
      </c>
      <c r="J201" s="18" t="str">
        <f t="shared" si="73"/>
        <v>·</v>
      </c>
      <c r="K201" s="18" t="str">
        <f t="shared" si="74"/>
        <v>·</v>
      </c>
      <c r="L201" s="18" t="str">
        <f t="shared" si="75"/>
        <v>·</v>
      </c>
      <c r="M201" s="19"/>
      <c r="N201" s="18" t="str">
        <f t="shared" si="76"/>
        <v>·</v>
      </c>
      <c r="O201" s="20"/>
      <c r="P201" s="21"/>
      <c r="Q201" s="21"/>
      <c r="R201" s="21"/>
      <c r="S201" s="37"/>
      <c r="T201" s="38"/>
      <c r="U201" s="38"/>
      <c r="V201" s="38"/>
      <c r="W201" s="39"/>
      <c r="X201" s="49"/>
      <c r="Y201" s="49"/>
      <c r="AA201" s="17" t="str">
        <f t="shared" si="77"/>
        <v>·</v>
      </c>
      <c r="AB201" s="18" t="str">
        <f t="shared" si="78"/>
        <v>·</v>
      </c>
      <c r="AC201" s="18" t="str">
        <f t="shared" si="79"/>
        <v>·</v>
      </c>
      <c r="AD201" s="18" t="str">
        <f t="shared" si="80"/>
        <v>·</v>
      </c>
      <c r="AE201" s="19"/>
      <c r="AF201" s="18" t="str">
        <f t="shared" si="81"/>
        <v>·</v>
      </c>
      <c r="AG201" s="20"/>
      <c r="AH201" s="21"/>
      <c r="AI201" s="21"/>
      <c r="AJ201" s="21"/>
      <c r="AK201" s="37"/>
      <c r="AL201" s="38"/>
      <c r="AM201" s="38"/>
      <c r="AN201" s="38"/>
      <c r="AO201" s="39"/>
      <c r="AP201" s="49"/>
      <c r="AQ201" s="49"/>
      <c r="AS201" s="53" t="e">
        <f t="shared" si="82"/>
        <v>#DIV/0!</v>
      </c>
      <c r="AT201" s="53"/>
      <c r="AV201" s="54"/>
      <c r="AW201" s="54"/>
      <c r="AX201" s="54"/>
      <c r="AY201" s="61"/>
      <c r="BA201" s="54"/>
      <c r="BB201" s="54"/>
      <c r="BC201" s="54"/>
      <c r="BD201" s="61"/>
      <c r="BF201">
        <f t="shared" si="83"/>
        <v>0</v>
      </c>
      <c r="BG201">
        <f t="shared" si="84"/>
        <v>0</v>
      </c>
      <c r="BH201">
        <f t="shared" si="85"/>
        <v>0</v>
      </c>
      <c r="BI201">
        <f t="shared" si="86"/>
        <v>0</v>
      </c>
      <c r="BJ201">
        <f t="shared" si="87"/>
        <v>0</v>
      </c>
      <c r="BK201">
        <f t="shared" si="88"/>
        <v>0</v>
      </c>
      <c r="BL201">
        <f t="shared" si="89"/>
        <v>0</v>
      </c>
      <c r="BM201">
        <f t="shared" si="90"/>
        <v>0</v>
      </c>
      <c r="BN201">
        <f t="shared" si="91"/>
        <v>0</v>
      </c>
    </row>
    <row r="202" spans="1:66" outlineLevel="1" x14ac:dyDescent="0.15">
      <c r="A202" s="8"/>
      <c r="B202" s="14" t="s">
        <v>154</v>
      </c>
      <c r="C202" s="15" t="s">
        <v>259</v>
      </c>
      <c r="D202" s="14">
        <v>71948094</v>
      </c>
      <c r="E202" s="16">
        <v>14</v>
      </c>
      <c r="F202" s="15">
        <v>1</v>
      </c>
      <c r="G202" s="15"/>
      <c r="I202" s="32" t="str">
        <f t="shared" si="72"/>
        <v>·</v>
      </c>
      <c r="J202" s="33" t="str">
        <f t="shared" si="73"/>
        <v>·</v>
      </c>
      <c r="K202" s="33" t="str">
        <f t="shared" si="74"/>
        <v>·</v>
      </c>
      <c r="L202" s="33" t="str">
        <f t="shared" si="75"/>
        <v>·</v>
      </c>
      <c r="M202" s="34"/>
      <c r="N202" s="33" t="str">
        <f t="shared" si="76"/>
        <v>·</v>
      </c>
      <c r="O202" s="35"/>
      <c r="P202" s="36"/>
      <c r="Q202" s="36"/>
      <c r="R202" s="36"/>
      <c r="S202" s="46"/>
      <c r="T202" s="47"/>
      <c r="U202" s="47"/>
      <c r="V202" s="47"/>
      <c r="W202" s="48"/>
      <c r="X202" s="52"/>
      <c r="Y202" s="52"/>
      <c r="AA202" s="32" t="str">
        <f t="shared" si="77"/>
        <v>·</v>
      </c>
      <c r="AB202" s="33" t="str">
        <f t="shared" si="78"/>
        <v>·</v>
      </c>
      <c r="AC202" s="33" t="str">
        <f t="shared" si="79"/>
        <v>·</v>
      </c>
      <c r="AD202" s="33" t="str">
        <f t="shared" si="80"/>
        <v>·</v>
      </c>
      <c r="AE202" s="34"/>
      <c r="AF202" s="33" t="str">
        <f t="shared" si="81"/>
        <v>·</v>
      </c>
      <c r="AG202" s="35"/>
      <c r="AH202" s="36"/>
      <c r="AI202" s="36"/>
      <c r="AJ202" s="36"/>
      <c r="AK202" s="46"/>
      <c r="AL202" s="47"/>
      <c r="AM202" s="47"/>
      <c r="AN202" s="47"/>
      <c r="AO202" s="48"/>
      <c r="AP202" s="52"/>
      <c r="AQ202" s="52"/>
      <c r="AS202" s="59" t="e">
        <f t="shared" si="82"/>
        <v>#DIV/0!</v>
      </c>
      <c r="AT202" s="59"/>
      <c r="AV202" s="60"/>
      <c r="AW202" s="60"/>
      <c r="AX202" s="60"/>
      <c r="AY202" s="64"/>
      <c r="BA202" s="60"/>
      <c r="BB202" s="60"/>
      <c r="BC202" s="60"/>
      <c r="BD202" s="64"/>
      <c r="BF202">
        <f t="shared" si="83"/>
        <v>0</v>
      </c>
      <c r="BG202">
        <f t="shared" si="84"/>
        <v>0</v>
      </c>
      <c r="BH202">
        <f t="shared" si="85"/>
        <v>0</v>
      </c>
      <c r="BI202">
        <f t="shared" si="86"/>
        <v>0</v>
      </c>
      <c r="BJ202">
        <f t="shared" si="87"/>
        <v>0</v>
      </c>
      <c r="BK202">
        <f t="shared" si="88"/>
        <v>0</v>
      </c>
      <c r="BL202">
        <f t="shared" si="89"/>
        <v>0</v>
      </c>
      <c r="BM202">
        <f t="shared" si="90"/>
        <v>0</v>
      </c>
      <c r="BN202">
        <f t="shared" si="91"/>
        <v>0</v>
      </c>
    </row>
    <row r="203" spans="1:66" x14ac:dyDescent="0.15">
      <c r="A203" s="5"/>
      <c r="B203" s="5" t="s">
        <v>156</v>
      </c>
      <c r="C203" s="6" t="s">
        <v>254</v>
      </c>
      <c r="D203" s="5">
        <v>72145549</v>
      </c>
      <c r="E203" s="7">
        <v>20</v>
      </c>
      <c r="F203" s="6">
        <v>1</v>
      </c>
      <c r="G203" s="6"/>
      <c r="I203" s="17" t="str">
        <f t="shared" si="72"/>
        <v>·</v>
      </c>
      <c r="J203" s="18" t="str">
        <f t="shared" si="73"/>
        <v>·</v>
      </c>
      <c r="K203" s="18" t="str">
        <f t="shared" si="74"/>
        <v>·</v>
      </c>
      <c r="L203" s="18" t="str">
        <f t="shared" si="75"/>
        <v>·</v>
      </c>
      <c r="M203" s="19"/>
      <c r="N203" s="18" t="str">
        <f t="shared" si="76"/>
        <v>·</v>
      </c>
      <c r="O203" s="20"/>
      <c r="P203" s="21"/>
      <c r="Q203" s="21"/>
      <c r="R203" s="21"/>
      <c r="S203" s="37"/>
      <c r="T203" s="38"/>
      <c r="U203" s="38"/>
      <c r="V203" s="38"/>
      <c r="W203" s="39"/>
      <c r="X203" s="49"/>
      <c r="Y203" s="49"/>
      <c r="AA203" s="17" t="str">
        <f t="shared" si="77"/>
        <v>·</v>
      </c>
      <c r="AB203" s="18" t="str">
        <f t="shared" si="78"/>
        <v>·</v>
      </c>
      <c r="AC203" s="18" t="str">
        <f t="shared" si="79"/>
        <v>·</v>
      </c>
      <c r="AD203" s="18" t="str">
        <f t="shared" si="80"/>
        <v>·</v>
      </c>
      <c r="AE203" s="19"/>
      <c r="AF203" s="18" t="str">
        <f t="shared" si="81"/>
        <v>·</v>
      </c>
      <c r="AG203" s="20"/>
      <c r="AH203" s="21"/>
      <c r="AI203" s="21"/>
      <c r="AJ203" s="21"/>
      <c r="AK203" s="37"/>
      <c r="AL203" s="38"/>
      <c r="AM203" s="38"/>
      <c r="AN203" s="38"/>
      <c r="AO203" s="39"/>
      <c r="AP203" s="49"/>
      <c r="AQ203" s="49"/>
      <c r="AS203" s="53" t="e">
        <f t="shared" si="82"/>
        <v>#DIV/0!</v>
      </c>
      <c r="AT203" s="53" t="e">
        <f t="array" ref="AT203">AVERAGE(AI203:AI208/AH203:AH208)-AVERAGE(Q203:Q208/P203:P208)</f>
        <v>#DIV/0!</v>
      </c>
      <c r="AV203" s="54" t="str">
        <f>IF(OR(ISBLANK(R203:R208),ISBLANK(AJ203:AJ208),ISBLANK(T203:T208),ISBLANK(AL203:AL208)),"·",bdRateExtend(R203:R208,T203:T208,AJ203:AJ208,AL203:AL208))</f>
        <v>·</v>
      </c>
      <c r="AW203" s="54" t="str">
        <f>IF(OR(ISBLANK(R203:R208),ISBLANK(AJ203:AJ208),ISBLANK(U203:U208),ISBLANK(AM203:AM208)),"·",bdRateExtend(R203:R208,U203:U208,AJ203:AJ208,AM203:AM208))</f>
        <v>·</v>
      </c>
      <c r="AX203" s="54" t="str">
        <f>IF(OR(ISBLANK(R203:R208),ISBLANK(AJ203:AJ208),ISBLANK(V203:V208),ISBLANK(AN203:AN208)),"·",bdRateExtend(R203:R208,V203:V208,AJ203:AJ208,AN203:AN208))</f>
        <v>·</v>
      </c>
      <c r="AY203" s="61"/>
      <c r="BA203" s="54" t="str">
        <f>IF(OR(ISBLANK(P203:P208),ISBLANK(AH203:AH208),ISBLANK(T203:T208),ISBLANK(AL203:AL208)),"·",bdRateExtend(P203:P208,T203:T208,AH203:AH208,AL203:AL208))</f>
        <v>·</v>
      </c>
      <c r="BB203" s="54" t="str">
        <f>IF(OR(ISBLANK(P203:P208),ISBLANK(AH203:AH208),ISBLANK(U203:U208),ISBLANK(AM203:AM208)),"·",bdRateExtend(P203:P208,U203:U208,AH203:AH208,AM203:AM208))</f>
        <v>·</v>
      </c>
      <c r="BC203" s="54" t="str">
        <f>IF(OR(ISBLANK(P203:P208),ISBLANK(AH203:AH208),ISBLANK(V203:V208),ISBLANK(AN203:AN208)),"·",bdRateExtend(P203:P208,V203:V208,AH203:AH208,AN203:AN208))</f>
        <v>·</v>
      </c>
      <c r="BD203" s="61"/>
      <c r="BF203">
        <f t="shared" si="83"/>
        <v>0</v>
      </c>
      <c r="BG203">
        <f t="shared" si="84"/>
        <v>0</v>
      </c>
      <c r="BH203">
        <f t="shared" si="85"/>
        <v>0</v>
      </c>
      <c r="BI203">
        <f t="shared" si="86"/>
        <v>0</v>
      </c>
      <c r="BJ203">
        <f t="shared" si="87"/>
        <v>0</v>
      </c>
      <c r="BK203">
        <f t="shared" si="88"/>
        <v>0</v>
      </c>
      <c r="BL203">
        <f t="shared" si="89"/>
        <v>0</v>
      </c>
      <c r="BM203">
        <f t="shared" si="90"/>
        <v>0</v>
      </c>
      <c r="BN203">
        <f t="shared" si="91"/>
        <v>0</v>
      </c>
    </row>
    <row r="204" spans="1:66" outlineLevel="1" x14ac:dyDescent="0.15">
      <c r="A204" s="8"/>
      <c r="B204" s="8" t="s">
        <v>156</v>
      </c>
      <c r="C204" s="9" t="s">
        <v>255</v>
      </c>
      <c r="D204" s="8">
        <v>72145549</v>
      </c>
      <c r="E204" s="10">
        <v>20</v>
      </c>
      <c r="F204" s="9">
        <v>1</v>
      </c>
      <c r="G204" s="9"/>
      <c r="I204" s="22" t="str">
        <f t="shared" si="72"/>
        <v>·</v>
      </c>
      <c r="J204" s="23" t="str">
        <f t="shared" si="73"/>
        <v>·</v>
      </c>
      <c r="K204" s="23" t="str">
        <f t="shared" si="74"/>
        <v>·</v>
      </c>
      <c r="L204" s="23" t="str">
        <f t="shared" si="75"/>
        <v>·</v>
      </c>
      <c r="M204" s="24"/>
      <c r="N204" s="23" t="str">
        <f t="shared" si="76"/>
        <v>·</v>
      </c>
      <c r="O204" s="25"/>
      <c r="P204" s="26"/>
      <c r="Q204" s="26"/>
      <c r="R204" s="26"/>
      <c r="S204" s="40"/>
      <c r="T204" s="41"/>
      <c r="U204" s="41"/>
      <c r="V204" s="41"/>
      <c r="W204" s="42"/>
      <c r="X204" s="50"/>
      <c r="Y204" s="50"/>
      <c r="AA204" s="22" t="str">
        <f t="shared" si="77"/>
        <v>·</v>
      </c>
      <c r="AB204" s="23" t="str">
        <f t="shared" si="78"/>
        <v>·</v>
      </c>
      <c r="AC204" s="23" t="str">
        <f t="shared" si="79"/>
        <v>·</v>
      </c>
      <c r="AD204" s="23" t="str">
        <f t="shared" si="80"/>
        <v>·</v>
      </c>
      <c r="AE204" s="24"/>
      <c r="AF204" s="23" t="str">
        <f t="shared" si="81"/>
        <v>·</v>
      </c>
      <c r="AG204" s="25"/>
      <c r="AH204" s="26"/>
      <c r="AI204" s="26"/>
      <c r="AJ204" s="26"/>
      <c r="AK204" s="40"/>
      <c r="AL204" s="41"/>
      <c r="AM204" s="41"/>
      <c r="AN204" s="41"/>
      <c r="AO204" s="42"/>
      <c r="AP204" s="50"/>
      <c r="AQ204" s="50"/>
      <c r="AS204" s="55" t="e">
        <f t="shared" si="82"/>
        <v>#DIV/0!</v>
      </c>
      <c r="AT204" s="55"/>
      <c r="AV204" s="56"/>
      <c r="AW204" s="56"/>
      <c r="AX204" s="56"/>
      <c r="AY204" s="62"/>
      <c r="BA204" s="56"/>
      <c r="BB204" s="56"/>
      <c r="BC204" s="56"/>
      <c r="BD204" s="62"/>
      <c r="BF204">
        <f t="shared" si="83"/>
        <v>0</v>
      </c>
      <c r="BG204">
        <f t="shared" si="84"/>
        <v>0</v>
      </c>
      <c r="BH204">
        <f t="shared" si="85"/>
        <v>0</v>
      </c>
      <c r="BI204">
        <f t="shared" si="86"/>
        <v>0</v>
      </c>
      <c r="BJ204">
        <f t="shared" si="87"/>
        <v>0</v>
      </c>
      <c r="BK204">
        <f t="shared" si="88"/>
        <v>0</v>
      </c>
      <c r="BL204">
        <f t="shared" si="89"/>
        <v>0</v>
      </c>
      <c r="BM204">
        <f t="shared" si="90"/>
        <v>0</v>
      </c>
      <c r="BN204">
        <f t="shared" si="91"/>
        <v>0</v>
      </c>
    </row>
    <row r="205" spans="1:66" outlineLevel="1" x14ac:dyDescent="0.15">
      <c r="A205" s="5"/>
      <c r="B205" s="5" t="s">
        <v>156</v>
      </c>
      <c r="C205" s="6" t="s">
        <v>256</v>
      </c>
      <c r="D205" s="5">
        <v>72145549</v>
      </c>
      <c r="E205" s="7">
        <v>20</v>
      </c>
      <c r="F205" s="6">
        <v>1</v>
      </c>
      <c r="G205" s="6"/>
      <c r="I205" s="17" t="str">
        <f t="shared" si="72"/>
        <v>·</v>
      </c>
      <c r="J205" s="18" t="str">
        <f t="shared" si="73"/>
        <v>·</v>
      </c>
      <c r="K205" s="18" t="str">
        <f t="shared" si="74"/>
        <v>·</v>
      </c>
      <c r="L205" s="18" t="str">
        <f t="shared" si="75"/>
        <v>·</v>
      </c>
      <c r="M205" s="19"/>
      <c r="N205" s="18" t="str">
        <f t="shared" si="76"/>
        <v>·</v>
      </c>
      <c r="O205" s="20"/>
      <c r="P205" s="21"/>
      <c r="Q205" s="21"/>
      <c r="R205" s="21"/>
      <c r="S205" s="37"/>
      <c r="T205" s="38"/>
      <c r="U205" s="38"/>
      <c r="V205" s="38"/>
      <c r="W205" s="39"/>
      <c r="X205" s="49"/>
      <c r="Y205" s="49"/>
      <c r="AA205" s="17" t="str">
        <f t="shared" si="77"/>
        <v>·</v>
      </c>
      <c r="AB205" s="18" t="str">
        <f t="shared" si="78"/>
        <v>·</v>
      </c>
      <c r="AC205" s="18" t="str">
        <f t="shared" si="79"/>
        <v>·</v>
      </c>
      <c r="AD205" s="18" t="str">
        <f t="shared" si="80"/>
        <v>·</v>
      </c>
      <c r="AE205" s="19"/>
      <c r="AF205" s="18" t="str">
        <f t="shared" si="81"/>
        <v>·</v>
      </c>
      <c r="AG205" s="20"/>
      <c r="AH205" s="21"/>
      <c r="AI205" s="21"/>
      <c r="AJ205" s="21"/>
      <c r="AK205" s="37"/>
      <c r="AL205" s="38"/>
      <c r="AM205" s="38"/>
      <c r="AN205" s="38"/>
      <c r="AO205" s="39"/>
      <c r="AP205" s="49"/>
      <c r="AQ205" s="49"/>
      <c r="AS205" s="53" t="e">
        <f t="shared" si="82"/>
        <v>#DIV/0!</v>
      </c>
      <c r="AT205" s="53"/>
      <c r="AV205" s="54"/>
      <c r="AW205" s="54"/>
      <c r="AX205" s="54"/>
      <c r="AY205" s="61"/>
      <c r="BA205" s="54"/>
      <c r="BB205" s="54"/>
      <c r="BC205" s="54"/>
      <c r="BD205" s="61"/>
      <c r="BF205">
        <f t="shared" si="83"/>
        <v>0</v>
      </c>
      <c r="BG205">
        <f t="shared" si="84"/>
        <v>0</v>
      </c>
      <c r="BH205">
        <f t="shared" si="85"/>
        <v>0</v>
      </c>
      <c r="BI205">
        <f t="shared" si="86"/>
        <v>0</v>
      </c>
      <c r="BJ205">
        <f t="shared" si="87"/>
        <v>0</v>
      </c>
      <c r="BK205">
        <f t="shared" si="88"/>
        <v>0</v>
      </c>
      <c r="BL205">
        <f t="shared" si="89"/>
        <v>0</v>
      </c>
      <c r="BM205">
        <f t="shared" si="90"/>
        <v>0</v>
      </c>
      <c r="BN205">
        <f t="shared" si="91"/>
        <v>0</v>
      </c>
    </row>
    <row r="206" spans="1:66" outlineLevel="1" x14ac:dyDescent="0.15">
      <c r="A206" s="8"/>
      <c r="B206" s="8" t="s">
        <v>156</v>
      </c>
      <c r="C206" s="9" t="s">
        <v>257</v>
      </c>
      <c r="D206" s="8">
        <v>72145549</v>
      </c>
      <c r="E206" s="10">
        <v>20</v>
      </c>
      <c r="F206" s="9">
        <v>1</v>
      </c>
      <c r="G206" s="9"/>
      <c r="I206" s="22" t="str">
        <f t="shared" si="72"/>
        <v>·</v>
      </c>
      <c r="J206" s="23" t="str">
        <f t="shared" si="73"/>
        <v>·</v>
      </c>
      <c r="K206" s="23" t="str">
        <f t="shared" si="74"/>
        <v>·</v>
      </c>
      <c r="L206" s="23" t="str">
        <f t="shared" si="75"/>
        <v>·</v>
      </c>
      <c r="M206" s="24"/>
      <c r="N206" s="23" t="str">
        <f t="shared" si="76"/>
        <v>·</v>
      </c>
      <c r="O206" s="25"/>
      <c r="P206" s="26"/>
      <c r="Q206" s="26"/>
      <c r="R206" s="26"/>
      <c r="S206" s="40"/>
      <c r="T206" s="41"/>
      <c r="U206" s="41"/>
      <c r="V206" s="41"/>
      <c r="W206" s="42"/>
      <c r="X206" s="50"/>
      <c r="Y206" s="50"/>
      <c r="AA206" s="22" t="str">
        <f t="shared" si="77"/>
        <v>·</v>
      </c>
      <c r="AB206" s="23" t="str">
        <f t="shared" si="78"/>
        <v>·</v>
      </c>
      <c r="AC206" s="23" t="str">
        <f t="shared" si="79"/>
        <v>·</v>
      </c>
      <c r="AD206" s="23" t="str">
        <f t="shared" si="80"/>
        <v>·</v>
      </c>
      <c r="AE206" s="24"/>
      <c r="AF206" s="23" t="str">
        <f t="shared" si="81"/>
        <v>·</v>
      </c>
      <c r="AG206" s="25"/>
      <c r="AH206" s="26"/>
      <c r="AI206" s="26"/>
      <c r="AJ206" s="26"/>
      <c r="AK206" s="40"/>
      <c r="AL206" s="41"/>
      <c r="AM206" s="41"/>
      <c r="AN206" s="41"/>
      <c r="AO206" s="42"/>
      <c r="AP206" s="50"/>
      <c r="AQ206" s="50"/>
      <c r="AS206" s="55" t="e">
        <f t="shared" si="82"/>
        <v>#DIV/0!</v>
      </c>
      <c r="AT206" s="55"/>
      <c r="AV206" s="56"/>
      <c r="AW206" s="56"/>
      <c r="AX206" s="56"/>
      <c r="AY206" s="62"/>
      <c r="BA206" s="56"/>
      <c r="BB206" s="56"/>
      <c r="BC206" s="56"/>
      <c r="BD206" s="62"/>
      <c r="BF206">
        <f t="shared" si="83"/>
        <v>0</v>
      </c>
      <c r="BG206">
        <f t="shared" si="84"/>
        <v>0</v>
      </c>
      <c r="BH206">
        <f t="shared" si="85"/>
        <v>0</v>
      </c>
      <c r="BI206">
        <f t="shared" si="86"/>
        <v>0</v>
      </c>
      <c r="BJ206">
        <f t="shared" si="87"/>
        <v>0</v>
      </c>
      <c r="BK206">
        <f t="shared" si="88"/>
        <v>0</v>
      </c>
      <c r="BL206">
        <f t="shared" si="89"/>
        <v>0</v>
      </c>
      <c r="BM206">
        <f t="shared" si="90"/>
        <v>0</v>
      </c>
      <c r="BN206">
        <f t="shared" si="91"/>
        <v>0</v>
      </c>
    </row>
    <row r="207" spans="1:66" outlineLevel="1" x14ac:dyDescent="0.15">
      <c r="A207" s="5"/>
      <c r="B207" s="5" t="s">
        <v>156</v>
      </c>
      <c r="C207" s="6" t="s">
        <v>258</v>
      </c>
      <c r="D207" s="5">
        <v>72145549</v>
      </c>
      <c r="E207" s="7">
        <v>20</v>
      </c>
      <c r="F207" s="6">
        <v>1</v>
      </c>
      <c r="G207" s="6"/>
      <c r="I207" s="17" t="str">
        <f t="shared" si="72"/>
        <v>·</v>
      </c>
      <c r="J207" s="18" t="str">
        <f t="shared" si="73"/>
        <v>·</v>
      </c>
      <c r="K207" s="18" t="str">
        <f t="shared" si="74"/>
        <v>·</v>
      </c>
      <c r="L207" s="18" t="str">
        <f t="shared" si="75"/>
        <v>·</v>
      </c>
      <c r="M207" s="19"/>
      <c r="N207" s="18" t="str">
        <f t="shared" si="76"/>
        <v>·</v>
      </c>
      <c r="O207" s="20"/>
      <c r="P207" s="21"/>
      <c r="Q207" s="21"/>
      <c r="R207" s="21"/>
      <c r="S207" s="37"/>
      <c r="T207" s="38"/>
      <c r="U207" s="38"/>
      <c r="V207" s="38"/>
      <c r="W207" s="39"/>
      <c r="X207" s="49"/>
      <c r="Y207" s="49"/>
      <c r="AA207" s="17" t="str">
        <f t="shared" si="77"/>
        <v>·</v>
      </c>
      <c r="AB207" s="18" t="str">
        <f t="shared" si="78"/>
        <v>·</v>
      </c>
      <c r="AC207" s="18" t="str">
        <f t="shared" si="79"/>
        <v>·</v>
      </c>
      <c r="AD207" s="18" t="str">
        <f t="shared" si="80"/>
        <v>·</v>
      </c>
      <c r="AE207" s="19"/>
      <c r="AF207" s="18" t="str">
        <f t="shared" si="81"/>
        <v>·</v>
      </c>
      <c r="AG207" s="20"/>
      <c r="AH207" s="21"/>
      <c r="AI207" s="21"/>
      <c r="AJ207" s="21"/>
      <c r="AK207" s="37"/>
      <c r="AL207" s="38"/>
      <c r="AM207" s="38"/>
      <c r="AN207" s="38"/>
      <c r="AO207" s="39"/>
      <c r="AP207" s="49"/>
      <c r="AQ207" s="49"/>
      <c r="AS207" s="53" t="e">
        <f t="shared" si="82"/>
        <v>#DIV/0!</v>
      </c>
      <c r="AT207" s="53"/>
      <c r="AV207" s="54"/>
      <c r="AW207" s="54"/>
      <c r="AX207" s="54"/>
      <c r="AY207" s="61"/>
      <c r="BA207" s="54"/>
      <c r="BB207" s="54"/>
      <c r="BC207" s="54"/>
      <c r="BD207" s="61"/>
      <c r="BF207">
        <f t="shared" si="83"/>
        <v>0</v>
      </c>
      <c r="BG207">
        <f t="shared" si="84"/>
        <v>0</v>
      </c>
      <c r="BH207">
        <f t="shared" si="85"/>
        <v>0</v>
      </c>
      <c r="BI207">
        <f t="shared" si="86"/>
        <v>0</v>
      </c>
      <c r="BJ207">
        <f t="shared" si="87"/>
        <v>0</v>
      </c>
      <c r="BK207">
        <f t="shared" si="88"/>
        <v>0</v>
      </c>
      <c r="BL207">
        <f t="shared" si="89"/>
        <v>0</v>
      </c>
      <c r="BM207">
        <f t="shared" si="90"/>
        <v>0</v>
      </c>
      <c r="BN207">
        <f t="shared" si="91"/>
        <v>0</v>
      </c>
    </row>
    <row r="208" spans="1:66" outlineLevel="1" x14ac:dyDescent="0.15">
      <c r="A208" s="8"/>
      <c r="B208" s="14" t="s">
        <v>156</v>
      </c>
      <c r="C208" s="15" t="s">
        <v>259</v>
      </c>
      <c r="D208" s="14">
        <v>72145549</v>
      </c>
      <c r="E208" s="16">
        <v>20</v>
      </c>
      <c r="F208" s="15">
        <v>1</v>
      </c>
      <c r="G208" s="15"/>
      <c r="I208" s="32" t="str">
        <f t="shared" si="72"/>
        <v>·</v>
      </c>
      <c r="J208" s="33" t="str">
        <f t="shared" si="73"/>
        <v>·</v>
      </c>
      <c r="K208" s="33" t="str">
        <f t="shared" si="74"/>
        <v>·</v>
      </c>
      <c r="L208" s="33" t="str">
        <f t="shared" si="75"/>
        <v>·</v>
      </c>
      <c r="M208" s="34"/>
      <c r="N208" s="33" t="str">
        <f t="shared" si="76"/>
        <v>·</v>
      </c>
      <c r="O208" s="35"/>
      <c r="P208" s="36"/>
      <c r="Q208" s="36"/>
      <c r="R208" s="36"/>
      <c r="S208" s="46"/>
      <c r="T208" s="47"/>
      <c r="U208" s="47"/>
      <c r="V208" s="47"/>
      <c r="W208" s="48"/>
      <c r="X208" s="52"/>
      <c r="Y208" s="52"/>
      <c r="AA208" s="32" t="str">
        <f t="shared" si="77"/>
        <v>·</v>
      </c>
      <c r="AB208" s="33" t="str">
        <f t="shared" si="78"/>
        <v>·</v>
      </c>
      <c r="AC208" s="33" t="str">
        <f t="shared" si="79"/>
        <v>·</v>
      </c>
      <c r="AD208" s="33" t="str">
        <f t="shared" si="80"/>
        <v>·</v>
      </c>
      <c r="AE208" s="34"/>
      <c r="AF208" s="33" t="str">
        <f t="shared" si="81"/>
        <v>·</v>
      </c>
      <c r="AG208" s="35"/>
      <c r="AH208" s="36"/>
      <c r="AI208" s="36"/>
      <c r="AJ208" s="36"/>
      <c r="AK208" s="46"/>
      <c r="AL208" s="47"/>
      <c r="AM208" s="47"/>
      <c r="AN208" s="47"/>
      <c r="AO208" s="48"/>
      <c r="AP208" s="52"/>
      <c r="AQ208" s="52"/>
      <c r="AS208" s="59" t="e">
        <f t="shared" si="82"/>
        <v>#DIV/0!</v>
      </c>
      <c r="AT208" s="59"/>
      <c r="AV208" s="60"/>
      <c r="AW208" s="60"/>
      <c r="AX208" s="60"/>
      <c r="AY208" s="64"/>
      <c r="BA208" s="60"/>
      <c r="BB208" s="60"/>
      <c r="BC208" s="60"/>
      <c r="BD208" s="64"/>
      <c r="BF208">
        <f t="shared" si="83"/>
        <v>0</v>
      </c>
      <c r="BG208">
        <f t="shared" si="84"/>
        <v>0</v>
      </c>
      <c r="BH208">
        <f t="shared" si="85"/>
        <v>0</v>
      </c>
      <c r="BI208">
        <f t="shared" si="86"/>
        <v>0</v>
      </c>
      <c r="BJ208">
        <f t="shared" si="87"/>
        <v>0</v>
      </c>
      <c r="BK208">
        <f t="shared" si="88"/>
        <v>0</v>
      </c>
      <c r="BL208">
        <f t="shared" si="89"/>
        <v>0</v>
      </c>
      <c r="BM208">
        <f t="shared" si="90"/>
        <v>0</v>
      </c>
      <c r="BN208">
        <f t="shared" si="91"/>
        <v>0</v>
      </c>
    </row>
    <row r="209" spans="1:66" x14ac:dyDescent="0.15">
      <c r="A209" s="5"/>
      <c r="B209" s="5" t="s">
        <v>159</v>
      </c>
      <c r="C209" s="6" t="s">
        <v>254</v>
      </c>
      <c r="D209" s="5">
        <v>4187594</v>
      </c>
      <c r="E209" s="7">
        <v>14</v>
      </c>
      <c r="F209" s="6">
        <v>1</v>
      </c>
      <c r="G209" s="6"/>
      <c r="I209" s="17" t="str">
        <f t="shared" si="72"/>
        <v>·</v>
      </c>
      <c r="J209" s="18" t="str">
        <f t="shared" si="73"/>
        <v>·</v>
      </c>
      <c r="K209" s="18" t="str">
        <f t="shared" si="74"/>
        <v>·</v>
      </c>
      <c r="L209" s="18" t="str">
        <f t="shared" si="75"/>
        <v>·</v>
      </c>
      <c r="M209" s="19"/>
      <c r="N209" s="18" t="str">
        <f t="shared" si="76"/>
        <v>·</v>
      </c>
      <c r="O209" s="20"/>
      <c r="P209" s="21"/>
      <c r="Q209" s="21"/>
      <c r="R209" s="21"/>
      <c r="S209" s="37"/>
      <c r="T209" s="38"/>
      <c r="U209" s="38"/>
      <c r="V209" s="38"/>
      <c r="W209" s="39"/>
      <c r="X209" s="49"/>
      <c r="Y209" s="49"/>
      <c r="AA209" s="17" t="str">
        <f t="shared" si="77"/>
        <v>·</v>
      </c>
      <c r="AB209" s="18" t="str">
        <f t="shared" si="78"/>
        <v>·</v>
      </c>
      <c r="AC209" s="18" t="str">
        <f t="shared" si="79"/>
        <v>·</v>
      </c>
      <c r="AD209" s="18" t="str">
        <f t="shared" si="80"/>
        <v>·</v>
      </c>
      <c r="AE209" s="19"/>
      <c r="AF209" s="18" t="str">
        <f t="shared" si="81"/>
        <v>·</v>
      </c>
      <c r="AG209" s="20"/>
      <c r="AH209" s="21"/>
      <c r="AI209" s="21"/>
      <c r="AJ209" s="21"/>
      <c r="AK209" s="37"/>
      <c r="AL209" s="38"/>
      <c r="AM209" s="38"/>
      <c r="AN209" s="38"/>
      <c r="AO209" s="39"/>
      <c r="AP209" s="49"/>
      <c r="AQ209" s="49"/>
      <c r="AS209" s="53" t="e">
        <f t="shared" si="82"/>
        <v>#DIV/0!</v>
      </c>
      <c r="AT209" s="53" t="e">
        <f t="array" ref="AT209">AVERAGE(AI209:AI214/AH209:AH214)-AVERAGE(Q209:Q214/P209:P214)</f>
        <v>#DIV/0!</v>
      </c>
      <c r="AV209" s="54" t="str">
        <f>IF(OR(ISBLANK(R209:R214),ISBLANK(AJ209:AJ214),ISBLANK(T209:T214),ISBLANK(AL209:AL214)),"·",bdRateExtend(R209:R214,T209:T214,AJ209:AJ214,AL209:AL214))</f>
        <v>·</v>
      </c>
      <c r="AW209" s="54" t="str">
        <f>IF(OR(ISBLANK(R209:R214),ISBLANK(AJ209:AJ214),ISBLANK(U209:U214),ISBLANK(AM209:AM214)),"·",bdRateExtend(R209:R214,U209:U214,AJ209:AJ214,AM209:AM214))</f>
        <v>·</v>
      </c>
      <c r="AX209" s="54" t="str">
        <f>IF(OR(ISBLANK(R209:R214),ISBLANK(AJ209:AJ214),ISBLANK(V209:V214),ISBLANK(AN209:AN214)),"·",bdRateExtend(R209:R214,V209:V214,AJ209:AJ214,AN209:AN214))</f>
        <v>·</v>
      </c>
      <c r="AY209" s="61"/>
      <c r="BA209" s="54" t="str">
        <f>IF(OR(ISBLANK(P209:P214),ISBLANK(AH209:AH214),ISBLANK(T209:T214),ISBLANK(AL209:AL214)),"·",bdRateExtend(P209:P214,T209:T214,AH209:AH214,AL209:AL214))</f>
        <v>·</v>
      </c>
      <c r="BB209" s="54" t="str">
        <f>IF(OR(ISBLANK(P209:P214),ISBLANK(AH209:AH214),ISBLANK(U209:U214),ISBLANK(AM209:AM214)),"·",bdRateExtend(P209:P214,U209:U214,AH209:AH214,AM209:AM214))</f>
        <v>·</v>
      </c>
      <c r="BC209" s="54" t="str">
        <f>IF(OR(ISBLANK(P209:P214),ISBLANK(AH209:AH214),ISBLANK(V209:V214),ISBLANK(AN209:AN214)),"·",bdRateExtend(P209:P214,V209:V214,AH209:AH214,AN209:AN214))</f>
        <v>·</v>
      </c>
      <c r="BD209" s="61"/>
      <c r="BF209">
        <f t="shared" si="83"/>
        <v>0</v>
      </c>
      <c r="BG209">
        <f t="shared" si="84"/>
        <v>0</v>
      </c>
      <c r="BH209">
        <f t="shared" si="85"/>
        <v>0</v>
      </c>
      <c r="BI209">
        <f t="shared" si="86"/>
        <v>0</v>
      </c>
      <c r="BJ209">
        <f t="shared" si="87"/>
        <v>0</v>
      </c>
      <c r="BK209">
        <f t="shared" si="88"/>
        <v>0</v>
      </c>
      <c r="BL209">
        <f t="shared" si="89"/>
        <v>0</v>
      </c>
      <c r="BM209">
        <f t="shared" si="90"/>
        <v>0</v>
      </c>
      <c r="BN209">
        <f t="shared" si="91"/>
        <v>0</v>
      </c>
    </row>
    <row r="210" spans="1:66" outlineLevel="1" x14ac:dyDescent="0.15">
      <c r="A210" s="8"/>
      <c r="B210" s="8" t="s">
        <v>159</v>
      </c>
      <c r="C210" s="9" t="s">
        <v>255</v>
      </c>
      <c r="D210" s="8">
        <v>4187594</v>
      </c>
      <c r="E210" s="10">
        <v>14</v>
      </c>
      <c r="F210" s="9">
        <v>1</v>
      </c>
      <c r="G210" s="9"/>
      <c r="I210" s="22" t="str">
        <f t="shared" si="72"/>
        <v>·</v>
      </c>
      <c r="J210" s="23" t="str">
        <f t="shared" si="73"/>
        <v>·</v>
      </c>
      <c r="K210" s="23" t="str">
        <f t="shared" si="74"/>
        <v>·</v>
      </c>
      <c r="L210" s="23" t="str">
        <f t="shared" si="75"/>
        <v>·</v>
      </c>
      <c r="M210" s="24"/>
      <c r="N210" s="23" t="str">
        <f t="shared" si="76"/>
        <v>·</v>
      </c>
      <c r="O210" s="25"/>
      <c r="P210" s="26"/>
      <c r="Q210" s="26"/>
      <c r="R210" s="26"/>
      <c r="S210" s="40"/>
      <c r="T210" s="41"/>
      <c r="U210" s="41"/>
      <c r="V210" s="41"/>
      <c r="W210" s="42"/>
      <c r="X210" s="50"/>
      <c r="Y210" s="50"/>
      <c r="AA210" s="22" t="str">
        <f t="shared" si="77"/>
        <v>·</v>
      </c>
      <c r="AB210" s="23" t="str">
        <f t="shared" si="78"/>
        <v>·</v>
      </c>
      <c r="AC210" s="23" t="str">
        <f t="shared" si="79"/>
        <v>·</v>
      </c>
      <c r="AD210" s="23" t="str">
        <f t="shared" si="80"/>
        <v>·</v>
      </c>
      <c r="AE210" s="24"/>
      <c r="AF210" s="23" t="str">
        <f t="shared" si="81"/>
        <v>·</v>
      </c>
      <c r="AG210" s="25"/>
      <c r="AH210" s="26"/>
      <c r="AI210" s="26"/>
      <c r="AJ210" s="26"/>
      <c r="AK210" s="40"/>
      <c r="AL210" s="41"/>
      <c r="AM210" s="41"/>
      <c r="AN210" s="41"/>
      <c r="AO210" s="42"/>
      <c r="AP210" s="50"/>
      <c r="AQ210" s="50"/>
      <c r="AS210" s="55" t="e">
        <f t="shared" si="82"/>
        <v>#DIV/0!</v>
      </c>
      <c r="AT210" s="55"/>
      <c r="AV210" s="56"/>
      <c r="AW210" s="56"/>
      <c r="AX210" s="56"/>
      <c r="AY210" s="62"/>
      <c r="BA210" s="56"/>
      <c r="BB210" s="56"/>
      <c r="BC210" s="56"/>
      <c r="BD210" s="62"/>
      <c r="BF210">
        <f t="shared" si="83"/>
        <v>0</v>
      </c>
      <c r="BG210">
        <f t="shared" si="84"/>
        <v>0</v>
      </c>
      <c r="BH210">
        <f t="shared" si="85"/>
        <v>0</v>
      </c>
      <c r="BI210">
        <f t="shared" si="86"/>
        <v>0</v>
      </c>
      <c r="BJ210">
        <f t="shared" si="87"/>
        <v>0</v>
      </c>
      <c r="BK210">
        <f t="shared" si="88"/>
        <v>0</v>
      </c>
      <c r="BL210">
        <f t="shared" si="89"/>
        <v>0</v>
      </c>
      <c r="BM210">
        <f t="shared" si="90"/>
        <v>0</v>
      </c>
      <c r="BN210">
        <f t="shared" si="91"/>
        <v>0</v>
      </c>
    </row>
    <row r="211" spans="1:66" outlineLevel="1" x14ac:dyDescent="0.15">
      <c r="A211" s="5"/>
      <c r="B211" s="5" t="s">
        <v>159</v>
      </c>
      <c r="C211" s="6" t="s">
        <v>256</v>
      </c>
      <c r="D211" s="5">
        <v>4187594</v>
      </c>
      <c r="E211" s="7">
        <v>14</v>
      </c>
      <c r="F211" s="6">
        <v>1</v>
      </c>
      <c r="G211" s="6"/>
      <c r="I211" s="17" t="str">
        <f t="shared" si="72"/>
        <v>·</v>
      </c>
      <c r="J211" s="18" t="str">
        <f t="shared" si="73"/>
        <v>·</v>
      </c>
      <c r="K211" s="18" t="str">
        <f t="shared" si="74"/>
        <v>·</v>
      </c>
      <c r="L211" s="18" t="str">
        <f t="shared" si="75"/>
        <v>·</v>
      </c>
      <c r="M211" s="19"/>
      <c r="N211" s="18" t="str">
        <f t="shared" si="76"/>
        <v>·</v>
      </c>
      <c r="O211" s="20"/>
      <c r="P211" s="21"/>
      <c r="Q211" s="21"/>
      <c r="R211" s="21"/>
      <c r="S211" s="37"/>
      <c r="T211" s="38"/>
      <c r="U211" s="38"/>
      <c r="V211" s="38"/>
      <c r="W211" s="39"/>
      <c r="X211" s="49"/>
      <c r="Y211" s="49"/>
      <c r="AA211" s="17" t="str">
        <f t="shared" si="77"/>
        <v>·</v>
      </c>
      <c r="AB211" s="18" t="str">
        <f t="shared" si="78"/>
        <v>·</v>
      </c>
      <c r="AC211" s="18" t="str">
        <f t="shared" si="79"/>
        <v>·</v>
      </c>
      <c r="AD211" s="18" t="str">
        <f t="shared" si="80"/>
        <v>·</v>
      </c>
      <c r="AE211" s="19"/>
      <c r="AF211" s="18" t="str">
        <f t="shared" si="81"/>
        <v>·</v>
      </c>
      <c r="AG211" s="20"/>
      <c r="AH211" s="21"/>
      <c r="AI211" s="21"/>
      <c r="AJ211" s="21"/>
      <c r="AK211" s="37"/>
      <c r="AL211" s="38"/>
      <c r="AM211" s="38"/>
      <c r="AN211" s="38"/>
      <c r="AO211" s="39"/>
      <c r="AP211" s="49"/>
      <c r="AQ211" s="49"/>
      <c r="AS211" s="53" t="e">
        <f t="shared" si="82"/>
        <v>#DIV/0!</v>
      </c>
      <c r="AT211" s="53"/>
      <c r="AV211" s="54"/>
      <c r="AW211" s="54"/>
      <c r="AX211" s="54"/>
      <c r="AY211" s="61"/>
      <c r="BA211" s="54"/>
      <c r="BB211" s="54"/>
      <c r="BC211" s="54"/>
      <c r="BD211" s="61"/>
      <c r="BF211">
        <f t="shared" si="83"/>
        <v>0</v>
      </c>
      <c r="BG211">
        <f t="shared" si="84"/>
        <v>0</v>
      </c>
      <c r="BH211">
        <f t="shared" si="85"/>
        <v>0</v>
      </c>
      <c r="BI211">
        <f t="shared" si="86"/>
        <v>0</v>
      </c>
      <c r="BJ211">
        <f t="shared" si="87"/>
        <v>0</v>
      </c>
      <c r="BK211">
        <f t="shared" si="88"/>
        <v>0</v>
      </c>
      <c r="BL211">
        <f t="shared" si="89"/>
        <v>0</v>
      </c>
      <c r="BM211">
        <f t="shared" si="90"/>
        <v>0</v>
      </c>
      <c r="BN211">
        <f t="shared" si="91"/>
        <v>0</v>
      </c>
    </row>
    <row r="212" spans="1:66" outlineLevel="1" x14ac:dyDescent="0.15">
      <c r="A212" s="8"/>
      <c r="B212" s="8" t="s">
        <v>159</v>
      </c>
      <c r="C212" s="9" t="s">
        <v>257</v>
      </c>
      <c r="D212" s="8">
        <v>4187594</v>
      </c>
      <c r="E212" s="10">
        <v>14</v>
      </c>
      <c r="F212" s="9">
        <v>1</v>
      </c>
      <c r="G212" s="9"/>
      <c r="I212" s="22" t="str">
        <f t="shared" si="72"/>
        <v>·</v>
      </c>
      <c r="J212" s="23" t="str">
        <f t="shared" si="73"/>
        <v>·</v>
      </c>
      <c r="K212" s="23" t="str">
        <f t="shared" si="74"/>
        <v>·</v>
      </c>
      <c r="L212" s="23" t="str">
        <f t="shared" si="75"/>
        <v>·</v>
      </c>
      <c r="M212" s="24"/>
      <c r="N212" s="23" t="str">
        <f t="shared" si="76"/>
        <v>·</v>
      </c>
      <c r="O212" s="25"/>
      <c r="P212" s="26"/>
      <c r="Q212" s="26"/>
      <c r="R212" s="26"/>
      <c r="S212" s="40"/>
      <c r="T212" s="41"/>
      <c r="U212" s="41"/>
      <c r="V212" s="41"/>
      <c r="W212" s="42"/>
      <c r="X212" s="50"/>
      <c r="Y212" s="50"/>
      <c r="AA212" s="22" t="str">
        <f t="shared" si="77"/>
        <v>·</v>
      </c>
      <c r="AB212" s="23" t="str">
        <f t="shared" si="78"/>
        <v>·</v>
      </c>
      <c r="AC212" s="23" t="str">
        <f t="shared" si="79"/>
        <v>·</v>
      </c>
      <c r="AD212" s="23" t="str">
        <f t="shared" si="80"/>
        <v>·</v>
      </c>
      <c r="AE212" s="24"/>
      <c r="AF212" s="23" t="str">
        <f t="shared" si="81"/>
        <v>·</v>
      </c>
      <c r="AG212" s="25"/>
      <c r="AH212" s="26"/>
      <c r="AI212" s="26"/>
      <c r="AJ212" s="26"/>
      <c r="AK212" s="40"/>
      <c r="AL212" s="41"/>
      <c r="AM212" s="41"/>
      <c r="AN212" s="41"/>
      <c r="AO212" s="42"/>
      <c r="AP212" s="50"/>
      <c r="AQ212" s="50"/>
      <c r="AS212" s="55" t="e">
        <f t="shared" si="82"/>
        <v>#DIV/0!</v>
      </c>
      <c r="AT212" s="55"/>
      <c r="AV212" s="56"/>
      <c r="AW212" s="56"/>
      <c r="AX212" s="56"/>
      <c r="AY212" s="62"/>
      <c r="BA212" s="56"/>
      <c r="BB212" s="56"/>
      <c r="BC212" s="56"/>
      <c r="BD212" s="62"/>
      <c r="BF212">
        <f t="shared" si="83"/>
        <v>0</v>
      </c>
      <c r="BG212">
        <f t="shared" si="84"/>
        <v>0</v>
      </c>
      <c r="BH212">
        <f t="shared" si="85"/>
        <v>0</v>
      </c>
      <c r="BI212">
        <f t="shared" si="86"/>
        <v>0</v>
      </c>
      <c r="BJ212">
        <f t="shared" si="87"/>
        <v>0</v>
      </c>
      <c r="BK212">
        <f t="shared" si="88"/>
        <v>0</v>
      </c>
      <c r="BL212">
        <f t="shared" si="89"/>
        <v>0</v>
      </c>
      <c r="BM212">
        <f t="shared" si="90"/>
        <v>0</v>
      </c>
      <c r="BN212">
        <f t="shared" si="91"/>
        <v>0</v>
      </c>
    </row>
    <row r="213" spans="1:66" outlineLevel="1" x14ac:dyDescent="0.15">
      <c r="A213" s="5"/>
      <c r="B213" s="5" t="s">
        <v>159</v>
      </c>
      <c r="C213" s="6" t="s">
        <v>258</v>
      </c>
      <c r="D213" s="5">
        <v>4187594</v>
      </c>
      <c r="E213" s="7">
        <v>14</v>
      </c>
      <c r="F213" s="6">
        <v>1</v>
      </c>
      <c r="G213" s="6"/>
      <c r="I213" s="17" t="str">
        <f t="shared" si="72"/>
        <v>·</v>
      </c>
      <c r="J213" s="18" t="str">
        <f t="shared" si="73"/>
        <v>·</v>
      </c>
      <c r="K213" s="18" t="str">
        <f t="shared" si="74"/>
        <v>·</v>
      </c>
      <c r="L213" s="18" t="str">
        <f t="shared" si="75"/>
        <v>·</v>
      </c>
      <c r="M213" s="19"/>
      <c r="N213" s="18" t="str">
        <f t="shared" si="76"/>
        <v>·</v>
      </c>
      <c r="O213" s="20"/>
      <c r="P213" s="21"/>
      <c r="Q213" s="21"/>
      <c r="R213" s="21"/>
      <c r="S213" s="37"/>
      <c r="T213" s="38"/>
      <c r="U213" s="38"/>
      <c r="V213" s="38"/>
      <c r="W213" s="39"/>
      <c r="X213" s="49"/>
      <c r="Y213" s="49"/>
      <c r="AA213" s="17" t="str">
        <f t="shared" si="77"/>
        <v>·</v>
      </c>
      <c r="AB213" s="18" t="str">
        <f t="shared" si="78"/>
        <v>·</v>
      </c>
      <c r="AC213" s="18" t="str">
        <f t="shared" si="79"/>
        <v>·</v>
      </c>
      <c r="AD213" s="18" t="str">
        <f t="shared" si="80"/>
        <v>·</v>
      </c>
      <c r="AE213" s="19"/>
      <c r="AF213" s="18" t="str">
        <f t="shared" si="81"/>
        <v>·</v>
      </c>
      <c r="AG213" s="20"/>
      <c r="AH213" s="21"/>
      <c r="AI213" s="21"/>
      <c r="AJ213" s="21"/>
      <c r="AK213" s="37"/>
      <c r="AL213" s="38"/>
      <c r="AM213" s="38"/>
      <c r="AN213" s="38"/>
      <c r="AO213" s="39"/>
      <c r="AP213" s="49"/>
      <c r="AQ213" s="49"/>
      <c r="AS213" s="53" t="e">
        <f t="shared" si="82"/>
        <v>#DIV/0!</v>
      </c>
      <c r="AT213" s="53"/>
      <c r="AV213" s="54"/>
      <c r="AW213" s="54"/>
      <c r="AX213" s="54"/>
      <c r="AY213" s="61"/>
      <c r="BA213" s="54"/>
      <c r="BB213" s="54"/>
      <c r="BC213" s="54"/>
      <c r="BD213" s="61"/>
      <c r="BF213">
        <f t="shared" si="83"/>
        <v>0</v>
      </c>
      <c r="BG213">
        <f t="shared" si="84"/>
        <v>0</v>
      </c>
      <c r="BH213">
        <f t="shared" si="85"/>
        <v>0</v>
      </c>
      <c r="BI213">
        <f t="shared" si="86"/>
        <v>0</v>
      </c>
      <c r="BJ213">
        <f t="shared" si="87"/>
        <v>0</v>
      </c>
      <c r="BK213">
        <f t="shared" si="88"/>
        <v>0</v>
      </c>
      <c r="BL213">
        <f t="shared" si="89"/>
        <v>0</v>
      </c>
      <c r="BM213">
        <f t="shared" si="90"/>
        <v>0</v>
      </c>
      <c r="BN213">
        <f t="shared" si="91"/>
        <v>0</v>
      </c>
    </row>
    <row r="214" spans="1:66" outlineLevel="1" x14ac:dyDescent="0.15">
      <c r="A214" s="8"/>
      <c r="B214" s="14" t="s">
        <v>159</v>
      </c>
      <c r="C214" s="15" t="s">
        <v>259</v>
      </c>
      <c r="D214" s="14">
        <v>4187594</v>
      </c>
      <c r="E214" s="16">
        <v>14</v>
      </c>
      <c r="F214" s="15">
        <v>1</v>
      </c>
      <c r="G214" s="15"/>
      <c r="I214" s="32" t="str">
        <f t="shared" si="72"/>
        <v>·</v>
      </c>
      <c r="J214" s="33" t="str">
        <f t="shared" si="73"/>
        <v>·</v>
      </c>
      <c r="K214" s="33" t="str">
        <f t="shared" si="74"/>
        <v>·</v>
      </c>
      <c r="L214" s="33" t="str">
        <f t="shared" si="75"/>
        <v>·</v>
      </c>
      <c r="M214" s="34"/>
      <c r="N214" s="33" t="str">
        <f t="shared" si="76"/>
        <v>·</v>
      </c>
      <c r="O214" s="35"/>
      <c r="P214" s="36"/>
      <c r="Q214" s="36"/>
      <c r="R214" s="36"/>
      <c r="S214" s="46"/>
      <c r="T214" s="47"/>
      <c r="U214" s="47"/>
      <c r="V214" s="47"/>
      <c r="W214" s="48"/>
      <c r="X214" s="52"/>
      <c r="Y214" s="52"/>
      <c r="AA214" s="32" t="str">
        <f t="shared" si="77"/>
        <v>·</v>
      </c>
      <c r="AB214" s="33" t="str">
        <f t="shared" si="78"/>
        <v>·</v>
      </c>
      <c r="AC214" s="33" t="str">
        <f t="shared" si="79"/>
        <v>·</v>
      </c>
      <c r="AD214" s="33" t="str">
        <f t="shared" si="80"/>
        <v>·</v>
      </c>
      <c r="AE214" s="34"/>
      <c r="AF214" s="33" t="str">
        <f t="shared" si="81"/>
        <v>·</v>
      </c>
      <c r="AG214" s="35"/>
      <c r="AH214" s="36"/>
      <c r="AI214" s="36"/>
      <c r="AJ214" s="36"/>
      <c r="AK214" s="46"/>
      <c r="AL214" s="47"/>
      <c r="AM214" s="47"/>
      <c r="AN214" s="47"/>
      <c r="AO214" s="48"/>
      <c r="AP214" s="52"/>
      <c r="AQ214" s="52"/>
      <c r="AS214" s="59" t="e">
        <f t="shared" si="82"/>
        <v>#DIV/0!</v>
      </c>
      <c r="AT214" s="59"/>
      <c r="AV214" s="60"/>
      <c r="AW214" s="60"/>
      <c r="AX214" s="60"/>
      <c r="AY214" s="64"/>
      <c r="BA214" s="60"/>
      <c r="BB214" s="60"/>
      <c r="BC214" s="60"/>
      <c r="BD214" s="64"/>
      <c r="BF214">
        <f t="shared" si="83"/>
        <v>0</v>
      </c>
      <c r="BG214">
        <f t="shared" si="84"/>
        <v>0</v>
      </c>
      <c r="BH214">
        <f t="shared" si="85"/>
        <v>0</v>
      </c>
      <c r="BI214">
        <f t="shared" si="86"/>
        <v>0</v>
      </c>
      <c r="BJ214">
        <f t="shared" si="87"/>
        <v>0</v>
      </c>
      <c r="BK214">
        <f t="shared" si="88"/>
        <v>0</v>
      </c>
      <c r="BL214">
        <f t="shared" si="89"/>
        <v>0</v>
      </c>
      <c r="BM214">
        <f t="shared" si="90"/>
        <v>0</v>
      </c>
      <c r="BN214">
        <f t="shared" si="91"/>
        <v>0</v>
      </c>
    </row>
    <row r="215" spans="1:66" x14ac:dyDescent="0.15">
      <c r="A215" s="5"/>
      <c r="B215" s="5" t="s">
        <v>161</v>
      </c>
      <c r="C215" s="6" t="s">
        <v>254</v>
      </c>
      <c r="D215" s="5">
        <v>4203962</v>
      </c>
      <c r="E215" s="7">
        <v>20</v>
      </c>
      <c r="F215" s="6">
        <v>1</v>
      </c>
      <c r="G215" s="6"/>
      <c r="I215" s="17" t="str">
        <f t="shared" si="72"/>
        <v>·</v>
      </c>
      <c r="J215" s="18" t="str">
        <f t="shared" si="73"/>
        <v>·</v>
      </c>
      <c r="K215" s="18" t="str">
        <f t="shared" si="74"/>
        <v>·</v>
      </c>
      <c r="L215" s="18" t="str">
        <f t="shared" si="75"/>
        <v>·</v>
      </c>
      <c r="M215" s="19"/>
      <c r="N215" s="18" t="str">
        <f t="shared" si="76"/>
        <v>·</v>
      </c>
      <c r="O215" s="20"/>
      <c r="P215" s="21"/>
      <c r="Q215" s="21"/>
      <c r="R215" s="21"/>
      <c r="S215" s="37"/>
      <c r="T215" s="38"/>
      <c r="U215" s="38"/>
      <c r="V215" s="38"/>
      <c r="W215" s="39"/>
      <c r="X215" s="49"/>
      <c r="Y215" s="49"/>
      <c r="AA215" s="17" t="str">
        <f t="shared" si="77"/>
        <v>·</v>
      </c>
      <c r="AB215" s="18" t="str">
        <f t="shared" si="78"/>
        <v>·</v>
      </c>
      <c r="AC215" s="18" t="str">
        <f t="shared" si="79"/>
        <v>·</v>
      </c>
      <c r="AD215" s="18" t="str">
        <f t="shared" si="80"/>
        <v>·</v>
      </c>
      <c r="AE215" s="19"/>
      <c r="AF215" s="18" t="str">
        <f t="shared" si="81"/>
        <v>·</v>
      </c>
      <c r="AG215" s="20"/>
      <c r="AH215" s="21"/>
      <c r="AI215" s="21"/>
      <c r="AJ215" s="21"/>
      <c r="AK215" s="37"/>
      <c r="AL215" s="38"/>
      <c r="AM215" s="38"/>
      <c r="AN215" s="38"/>
      <c r="AO215" s="39"/>
      <c r="AP215" s="49"/>
      <c r="AQ215" s="49"/>
      <c r="AS215" s="53" t="e">
        <f t="shared" si="82"/>
        <v>#DIV/0!</v>
      </c>
      <c r="AT215" s="53" t="e">
        <f t="array" ref="AT215">AVERAGE(AI215:AI220/AH215:AH220)-AVERAGE(Q215:Q220/P215:P220)</f>
        <v>#DIV/0!</v>
      </c>
      <c r="AV215" s="54" t="str">
        <f>IF(OR(ISBLANK(R215:R220),ISBLANK(AJ215:AJ220),ISBLANK(T215:T220),ISBLANK(AL215:AL220)),"·",bdRateExtend(R215:R220,T215:T220,AJ215:AJ220,AL215:AL220))</f>
        <v>·</v>
      </c>
      <c r="AW215" s="54" t="str">
        <f>IF(OR(ISBLANK(R215:R220),ISBLANK(AJ215:AJ220),ISBLANK(U215:U220),ISBLANK(AM215:AM220)),"·",bdRateExtend(R215:R220,U215:U220,AJ215:AJ220,AM215:AM220))</f>
        <v>·</v>
      </c>
      <c r="AX215" s="54" t="str">
        <f>IF(OR(ISBLANK(R215:R220),ISBLANK(AJ215:AJ220),ISBLANK(V215:V220),ISBLANK(AN215:AN220)),"·",bdRateExtend(R215:R220,V215:V220,AJ215:AJ220,AN215:AN220))</f>
        <v>·</v>
      </c>
      <c r="AY215" s="61"/>
      <c r="BA215" s="54" t="str">
        <f>IF(OR(ISBLANK(P215:P220),ISBLANK(AH215:AH220),ISBLANK(T215:T220),ISBLANK(AL215:AL220)),"·",bdRateExtend(P215:P220,T215:T220,AH215:AH220,AL215:AL220))</f>
        <v>·</v>
      </c>
      <c r="BB215" s="54" t="str">
        <f>IF(OR(ISBLANK(P215:P220),ISBLANK(AH215:AH220),ISBLANK(U215:U220),ISBLANK(AM215:AM220)),"·",bdRateExtend(P215:P220,U215:U220,AH215:AH220,AM215:AM220))</f>
        <v>·</v>
      </c>
      <c r="BC215" s="54" t="str">
        <f>IF(OR(ISBLANK(P215:P220),ISBLANK(AH215:AH220),ISBLANK(V215:V220),ISBLANK(AN215:AN220)),"·",bdRateExtend(P215:P220,V215:V220,AH215:AH220,AN215:AN220))</f>
        <v>·</v>
      </c>
      <c r="BD215" s="61"/>
      <c r="BF215">
        <f t="shared" si="83"/>
        <v>0</v>
      </c>
      <c r="BG215">
        <f t="shared" si="84"/>
        <v>0</v>
      </c>
      <c r="BH215">
        <f t="shared" si="85"/>
        <v>0</v>
      </c>
      <c r="BI215">
        <f t="shared" si="86"/>
        <v>0</v>
      </c>
      <c r="BJ215">
        <f t="shared" si="87"/>
        <v>0</v>
      </c>
      <c r="BK215">
        <f t="shared" si="88"/>
        <v>0</v>
      </c>
      <c r="BL215">
        <f t="shared" si="89"/>
        <v>0</v>
      </c>
      <c r="BM215">
        <f t="shared" si="90"/>
        <v>0</v>
      </c>
      <c r="BN215">
        <f t="shared" si="91"/>
        <v>0</v>
      </c>
    </row>
    <row r="216" spans="1:66" outlineLevel="1" x14ac:dyDescent="0.15">
      <c r="A216" s="8"/>
      <c r="B216" s="8" t="s">
        <v>161</v>
      </c>
      <c r="C216" s="9" t="s">
        <v>255</v>
      </c>
      <c r="D216" s="8">
        <v>4203962</v>
      </c>
      <c r="E216" s="10">
        <v>20</v>
      </c>
      <c r="F216" s="9">
        <v>1</v>
      </c>
      <c r="G216" s="9"/>
      <c r="I216" s="22" t="str">
        <f t="shared" si="72"/>
        <v>·</v>
      </c>
      <c r="J216" s="23" t="str">
        <f t="shared" si="73"/>
        <v>·</v>
      </c>
      <c r="K216" s="23" t="str">
        <f t="shared" si="74"/>
        <v>·</v>
      </c>
      <c r="L216" s="23" t="str">
        <f t="shared" si="75"/>
        <v>·</v>
      </c>
      <c r="M216" s="24"/>
      <c r="N216" s="23" t="str">
        <f t="shared" si="76"/>
        <v>·</v>
      </c>
      <c r="O216" s="25"/>
      <c r="P216" s="26"/>
      <c r="Q216" s="26"/>
      <c r="R216" s="26"/>
      <c r="S216" s="40"/>
      <c r="T216" s="41"/>
      <c r="U216" s="41"/>
      <c r="V216" s="41"/>
      <c r="W216" s="42"/>
      <c r="X216" s="50"/>
      <c r="Y216" s="50"/>
      <c r="AA216" s="22" t="str">
        <f t="shared" si="77"/>
        <v>·</v>
      </c>
      <c r="AB216" s="23" t="str">
        <f t="shared" si="78"/>
        <v>·</v>
      </c>
      <c r="AC216" s="23" t="str">
        <f t="shared" si="79"/>
        <v>·</v>
      </c>
      <c r="AD216" s="23" t="str">
        <f t="shared" si="80"/>
        <v>·</v>
      </c>
      <c r="AE216" s="24"/>
      <c r="AF216" s="23" t="str">
        <f t="shared" si="81"/>
        <v>·</v>
      </c>
      <c r="AG216" s="25"/>
      <c r="AH216" s="26"/>
      <c r="AI216" s="26"/>
      <c r="AJ216" s="26"/>
      <c r="AK216" s="40"/>
      <c r="AL216" s="41"/>
      <c r="AM216" s="41"/>
      <c r="AN216" s="41"/>
      <c r="AO216" s="42"/>
      <c r="AP216" s="50"/>
      <c r="AQ216" s="50"/>
      <c r="AS216" s="55" t="e">
        <f t="shared" si="82"/>
        <v>#DIV/0!</v>
      </c>
      <c r="AT216" s="55"/>
      <c r="AV216" s="56"/>
      <c r="AW216" s="56"/>
      <c r="AX216" s="56"/>
      <c r="AY216" s="62"/>
      <c r="BA216" s="56"/>
      <c r="BB216" s="56"/>
      <c r="BC216" s="56"/>
      <c r="BD216" s="62"/>
      <c r="BF216">
        <f t="shared" si="83"/>
        <v>0</v>
      </c>
      <c r="BG216">
        <f t="shared" si="84"/>
        <v>0</v>
      </c>
      <c r="BH216">
        <f t="shared" si="85"/>
        <v>0</v>
      </c>
      <c r="BI216">
        <f t="shared" si="86"/>
        <v>0</v>
      </c>
      <c r="BJ216">
        <f t="shared" si="87"/>
        <v>0</v>
      </c>
      <c r="BK216">
        <f t="shared" si="88"/>
        <v>0</v>
      </c>
      <c r="BL216">
        <f t="shared" si="89"/>
        <v>0</v>
      </c>
      <c r="BM216">
        <f t="shared" si="90"/>
        <v>0</v>
      </c>
      <c r="BN216">
        <f t="shared" si="91"/>
        <v>0</v>
      </c>
    </row>
    <row r="217" spans="1:66" outlineLevel="1" x14ac:dyDescent="0.15">
      <c r="A217" s="5"/>
      <c r="B217" s="5" t="s">
        <v>161</v>
      </c>
      <c r="C217" s="6" t="s">
        <v>256</v>
      </c>
      <c r="D217" s="5">
        <v>4203962</v>
      </c>
      <c r="E217" s="7">
        <v>20</v>
      </c>
      <c r="F217" s="6">
        <v>1</v>
      </c>
      <c r="G217" s="6"/>
      <c r="I217" s="17" t="str">
        <f t="shared" si="72"/>
        <v>·</v>
      </c>
      <c r="J217" s="18" t="str">
        <f t="shared" si="73"/>
        <v>·</v>
      </c>
      <c r="K217" s="18" t="str">
        <f t="shared" si="74"/>
        <v>·</v>
      </c>
      <c r="L217" s="18" t="str">
        <f t="shared" si="75"/>
        <v>·</v>
      </c>
      <c r="M217" s="19"/>
      <c r="N217" s="18" t="str">
        <f t="shared" si="76"/>
        <v>·</v>
      </c>
      <c r="O217" s="20"/>
      <c r="P217" s="21"/>
      <c r="Q217" s="21"/>
      <c r="R217" s="21"/>
      <c r="S217" s="37"/>
      <c r="T217" s="38"/>
      <c r="U217" s="38"/>
      <c r="V217" s="38"/>
      <c r="W217" s="39"/>
      <c r="X217" s="49"/>
      <c r="Y217" s="49"/>
      <c r="AA217" s="17" t="str">
        <f t="shared" si="77"/>
        <v>·</v>
      </c>
      <c r="AB217" s="18" t="str">
        <f t="shared" si="78"/>
        <v>·</v>
      </c>
      <c r="AC217" s="18" t="str">
        <f t="shared" si="79"/>
        <v>·</v>
      </c>
      <c r="AD217" s="18" t="str">
        <f t="shared" si="80"/>
        <v>·</v>
      </c>
      <c r="AE217" s="19"/>
      <c r="AF217" s="18" t="str">
        <f t="shared" si="81"/>
        <v>·</v>
      </c>
      <c r="AG217" s="20"/>
      <c r="AH217" s="21"/>
      <c r="AI217" s="21"/>
      <c r="AJ217" s="21"/>
      <c r="AK217" s="37"/>
      <c r="AL217" s="38"/>
      <c r="AM217" s="38"/>
      <c r="AN217" s="38"/>
      <c r="AO217" s="39"/>
      <c r="AP217" s="49"/>
      <c r="AQ217" s="49"/>
      <c r="AS217" s="53" t="e">
        <f t="shared" si="82"/>
        <v>#DIV/0!</v>
      </c>
      <c r="AT217" s="53"/>
      <c r="AV217" s="54"/>
      <c r="AW217" s="54"/>
      <c r="AX217" s="54"/>
      <c r="AY217" s="61"/>
      <c r="BA217" s="54"/>
      <c r="BB217" s="54"/>
      <c r="BC217" s="54"/>
      <c r="BD217" s="61"/>
      <c r="BF217">
        <f t="shared" si="83"/>
        <v>0</v>
      </c>
      <c r="BG217">
        <f t="shared" si="84"/>
        <v>0</v>
      </c>
      <c r="BH217">
        <f t="shared" si="85"/>
        <v>0</v>
      </c>
      <c r="BI217">
        <f t="shared" si="86"/>
        <v>0</v>
      </c>
      <c r="BJ217">
        <f t="shared" si="87"/>
        <v>0</v>
      </c>
      <c r="BK217">
        <f t="shared" si="88"/>
        <v>0</v>
      </c>
      <c r="BL217">
        <f t="shared" si="89"/>
        <v>0</v>
      </c>
      <c r="BM217">
        <f t="shared" si="90"/>
        <v>0</v>
      </c>
      <c r="BN217">
        <f t="shared" si="91"/>
        <v>0</v>
      </c>
    </row>
    <row r="218" spans="1:66" outlineLevel="1" x14ac:dyDescent="0.15">
      <c r="A218" s="8"/>
      <c r="B218" s="8" t="s">
        <v>161</v>
      </c>
      <c r="C218" s="9" t="s">
        <v>257</v>
      </c>
      <c r="D218" s="8">
        <v>4203962</v>
      </c>
      <c r="E218" s="10">
        <v>20</v>
      </c>
      <c r="F218" s="9">
        <v>1</v>
      </c>
      <c r="G218" s="9"/>
      <c r="I218" s="22" t="str">
        <f t="shared" si="72"/>
        <v>·</v>
      </c>
      <c r="J218" s="23" t="str">
        <f t="shared" si="73"/>
        <v>·</v>
      </c>
      <c r="K218" s="23" t="str">
        <f t="shared" si="74"/>
        <v>·</v>
      </c>
      <c r="L218" s="23" t="str">
        <f t="shared" si="75"/>
        <v>·</v>
      </c>
      <c r="M218" s="24"/>
      <c r="N218" s="23" t="str">
        <f t="shared" si="76"/>
        <v>·</v>
      </c>
      <c r="O218" s="25"/>
      <c r="P218" s="26"/>
      <c r="Q218" s="26"/>
      <c r="R218" s="26"/>
      <c r="S218" s="40"/>
      <c r="T218" s="41"/>
      <c r="U218" s="41"/>
      <c r="V218" s="41"/>
      <c r="W218" s="42"/>
      <c r="X218" s="50"/>
      <c r="Y218" s="50"/>
      <c r="AA218" s="22" t="str">
        <f t="shared" si="77"/>
        <v>·</v>
      </c>
      <c r="AB218" s="23" t="str">
        <f t="shared" si="78"/>
        <v>·</v>
      </c>
      <c r="AC218" s="23" t="str">
        <f t="shared" si="79"/>
        <v>·</v>
      </c>
      <c r="AD218" s="23" t="str">
        <f t="shared" si="80"/>
        <v>·</v>
      </c>
      <c r="AE218" s="24"/>
      <c r="AF218" s="23" t="str">
        <f t="shared" si="81"/>
        <v>·</v>
      </c>
      <c r="AG218" s="25"/>
      <c r="AH218" s="26"/>
      <c r="AI218" s="26"/>
      <c r="AJ218" s="26"/>
      <c r="AK218" s="40"/>
      <c r="AL218" s="41"/>
      <c r="AM218" s="41"/>
      <c r="AN218" s="41"/>
      <c r="AO218" s="42"/>
      <c r="AP218" s="50"/>
      <c r="AQ218" s="50"/>
      <c r="AS218" s="55" t="e">
        <f t="shared" si="82"/>
        <v>#DIV/0!</v>
      </c>
      <c r="AT218" s="55"/>
      <c r="AV218" s="56"/>
      <c r="AW218" s="56"/>
      <c r="AX218" s="56"/>
      <c r="AY218" s="62"/>
      <c r="BA218" s="56"/>
      <c r="BB218" s="56"/>
      <c r="BC218" s="56"/>
      <c r="BD218" s="62"/>
      <c r="BF218">
        <f t="shared" si="83"/>
        <v>0</v>
      </c>
      <c r="BG218">
        <f t="shared" si="84"/>
        <v>0</v>
      </c>
      <c r="BH218">
        <f t="shared" si="85"/>
        <v>0</v>
      </c>
      <c r="BI218">
        <f t="shared" si="86"/>
        <v>0</v>
      </c>
      <c r="BJ218">
        <f t="shared" si="87"/>
        <v>0</v>
      </c>
      <c r="BK218">
        <f t="shared" si="88"/>
        <v>0</v>
      </c>
      <c r="BL218">
        <f t="shared" si="89"/>
        <v>0</v>
      </c>
      <c r="BM218">
        <f t="shared" si="90"/>
        <v>0</v>
      </c>
      <c r="BN218">
        <f t="shared" si="91"/>
        <v>0</v>
      </c>
    </row>
    <row r="219" spans="1:66" outlineLevel="1" x14ac:dyDescent="0.15">
      <c r="A219" s="5"/>
      <c r="B219" s="5" t="s">
        <v>161</v>
      </c>
      <c r="C219" s="6" t="s">
        <v>258</v>
      </c>
      <c r="D219" s="5">
        <v>4203962</v>
      </c>
      <c r="E219" s="7">
        <v>20</v>
      </c>
      <c r="F219" s="6">
        <v>1</v>
      </c>
      <c r="G219" s="6"/>
      <c r="I219" s="17" t="str">
        <f t="shared" si="72"/>
        <v>·</v>
      </c>
      <c r="J219" s="18" t="str">
        <f t="shared" si="73"/>
        <v>·</v>
      </c>
      <c r="K219" s="18" t="str">
        <f t="shared" si="74"/>
        <v>·</v>
      </c>
      <c r="L219" s="18" t="str">
        <f t="shared" si="75"/>
        <v>·</v>
      </c>
      <c r="M219" s="19"/>
      <c r="N219" s="18" t="str">
        <f t="shared" si="76"/>
        <v>·</v>
      </c>
      <c r="O219" s="20"/>
      <c r="P219" s="21"/>
      <c r="Q219" s="21"/>
      <c r="R219" s="21"/>
      <c r="S219" s="37"/>
      <c r="T219" s="38"/>
      <c r="U219" s="38"/>
      <c r="V219" s="38"/>
      <c r="W219" s="39"/>
      <c r="X219" s="49"/>
      <c r="Y219" s="49"/>
      <c r="AA219" s="17" t="str">
        <f t="shared" si="77"/>
        <v>·</v>
      </c>
      <c r="AB219" s="18" t="str">
        <f t="shared" si="78"/>
        <v>·</v>
      </c>
      <c r="AC219" s="18" t="str">
        <f t="shared" si="79"/>
        <v>·</v>
      </c>
      <c r="AD219" s="18" t="str">
        <f t="shared" si="80"/>
        <v>·</v>
      </c>
      <c r="AE219" s="19"/>
      <c r="AF219" s="18" t="str">
        <f t="shared" si="81"/>
        <v>·</v>
      </c>
      <c r="AG219" s="20"/>
      <c r="AH219" s="21"/>
      <c r="AI219" s="21"/>
      <c r="AJ219" s="21"/>
      <c r="AK219" s="37"/>
      <c r="AL219" s="38"/>
      <c r="AM219" s="38"/>
      <c r="AN219" s="38"/>
      <c r="AO219" s="39"/>
      <c r="AP219" s="49"/>
      <c r="AQ219" s="49"/>
      <c r="AS219" s="53" t="e">
        <f t="shared" si="82"/>
        <v>#DIV/0!</v>
      </c>
      <c r="AT219" s="53"/>
      <c r="AV219" s="54"/>
      <c r="AW219" s="54"/>
      <c r="AX219" s="54"/>
      <c r="AY219" s="61"/>
      <c r="BA219" s="54"/>
      <c r="BB219" s="54"/>
      <c r="BC219" s="54"/>
      <c r="BD219" s="61"/>
      <c r="BF219">
        <f t="shared" si="83"/>
        <v>0</v>
      </c>
      <c r="BG219">
        <f t="shared" si="84"/>
        <v>0</v>
      </c>
      <c r="BH219">
        <f t="shared" si="85"/>
        <v>0</v>
      </c>
      <c r="BI219">
        <f t="shared" si="86"/>
        <v>0</v>
      </c>
      <c r="BJ219">
        <f t="shared" si="87"/>
        <v>0</v>
      </c>
      <c r="BK219">
        <f t="shared" si="88"/>
        <v>0</v>
      </c>
      <c r="BL219">
        <f t="shared" si="89"/>
        <v>0</v>
      </c>
      <c r="BM219">
        <f t="shared" si="90"/>
        <v>0</v>
      </c>
      <c r="BN219">
        <f t="shared" si="91"/>
        <v>0</v>
      </c>
    </row>
    <row r="220" spans="1:66" outlineLevel="1" x14ac:dyDescent="0.15">
      <c r="A220" s="8"/>
      <c r="B220" s="14" t="s">
        <v>161</v>
      </c>
      <c r="C220" s="15" t="s">
        <v>259</v>
      </c>
      <c r="D220" s="14">
        <v>4203962</v>
      </c>
      <c r="E220" s="16">
        <v>20</v>
      </c>
      <c r="F220" s="15">
        <v>1</v>
      </c>
      <c r="G220" s="15"/>
      <c r="I220" s="32" t="str">
        <f t="shared" si="72"/>
        <v>·</v>
      </c>
      <c r="J220" s="33" t="str">
        <f t="shared" si="73"/>
        <v>·</v>
      </c>
      <c r="K220" s="33" t="str">
        <f t="shared" si="74"/>
        <v>·</v>
      </c>
      <c r="L220" s="33" t="str">
        <f t="shared" si="75"/>
        <v>·</v>
      </c>
      <c r="M220" s="34"/>
      <c r="N220" s="33" t="str">
        <f t="shared" si="76"/>
        <v>·</v>
      </c>
      <c r="O220" s="35"/>
      <c r="P220" s="36"/>
      <c r="Q220" s="36"/>
      <c r="R220" s="36"/>
      <c r="S220" s="46"/>
      <c r="T220" s="47"/>
      <c r="U220" s="47"/>
      <c r="V220" s="47"/>
      <c r="W220" s="48"/>
      <c r="X220" s="52"/>
      <c r="Y220" s="52"/>
      <c r="AA220" s="32" t="str">
        <f t="shared" si="77"/>
        <v>·</v>
      </c>
      <c r="AB220" s="33" t="str">
        <f t="shared" si="78"/>
        <v>·</v>
      </c>
      <c r="AC220" s="33" t="str">
        <f t="shared" si="79"/>
        <v>·</v>
      </c>
      <c r="AD220" s="33" t="str">
        <f t="shared" si="80"/>
        <v>·</v>
      </c>
      <c r="AE220" s="34"/>
      <c r="AF220" s="33" t="str">
        <f t="shared" si="81"/>
        <v>·</v>
      </c>
      <c r="AG220" s="35"/>
      <c r="AH220" s="36"/>
      <c r="AI220" s="36"/>
      <c r="AJ220" s="36"/>
      <c r="AK220" s="46"/>
      <c r="AL220" s="47"/>
      <c r="AM220" s="47"/>
      <c r="AN220" s="47"/>
      <c r="AO220" s="48"/>
      <c r="AP220" s="52"/>
      <c r="AQ220" s="52"/>
      <c r="AS220" s="59" t="e">
        <f t="shared" si="82"/>
        <v>#DIV/0!</v>
      </c>
      <c r="AT220" s="59"/>
      <c r="AV220" s="60"/>
      <c r="AW220" s="60"/>
      <c r="AX220" s="60"/>
      <c r="AY220" s="64"/>
      <c r="BA220" s="60"/>
      <c r="BB220" s="60"/>
      <c r="BC220" s="60"/>
      <c r="BD220" s="64"/>
      <c r="BF220">
        <f t="shared" si="83"/>
        <v>0</v>
      </c>
      <c r="BG220">
        <f t="shared" si="84"/>
        <v>0</v>
      </c>
      <c r="BH220">
        <f t="shared" si="85"/>
        <v>0</v>
      </c>
      <c r="BI220">
        <f t="shared" si="86"/>
        <v>0</v>
      </c>
      <c r="BJ220">
        <f t="shared" si="87"/>
        <v>0</v>
      </c>
      <c r="BK220">
        <f t="shared" si="88"/>
        <v>0</v>
      </c>
      <c r="BL220">
        <f t="shared" si="89"/>
        <v>0</v>
      </c>
      <c r="BM220">
        <f t="shared" si="90"/>
        <v>0</v>
      </c>
      <c r="BN220">
        <f t="shared" si="91"/>
        <v>0</v>
      </c>
    </row>
    <row r="221" spans="1:66" x14ac:dyDescent="0.15">
      <c r="A221" s="5"/>
      <c r="B221" s="5" t="s">
        <v>164</v>
      </c>
      <c r="C221" s="6" t="s">
        <v>254</v>
      </c>
      <c r="D221" s="5">
        <v>1010591</v>
      </c>
      <c r="E221" s="7">
        <v>20</v>
      </c>
      <c r="F221" s="6">
        <v>1</v>
      </c>
      <c r="G221" s="6"/>
      <c r="I221" s="17" t="str">
        <f t="shared" si="72"/>
        <v>·</v>
      </c>
      <c r="J221" s="18" t="str">
        <f t="shared" si="73"/>
        <v>·</v>
      </c>
      <c r="K221" s="18" t="str">
        <f t="shared" si="74"/>
        <v>·</v>
      </c>
      <c r="L221" s="18" t="str">
        <f t="shared" si="75"/>
        <v>·</v>
      </c>
      <c r="M221" s="19"/>
      <c r="N221" s="18" t="str">
        <f t="shared" si="76"/>
        <v>·</v>
      </c>
      <c r="O221" s="20"/>
      <c r="P221" s="21"/>
      <c r="Q221" s="21"/>
      <c r="R221" s="21"/>
      <c r="S221" s="37"/>
      <c r="T221" s="38"/>
      <c r="U221" s="38"/>
      <c r="V221" s="38"/>
      <c r="W221" s="39"/>
      <c r="X221" s="49"/>
      <c r="Y221" s="49"/>
      <c r="AA221" s="17" t="str">
        <f t="shared" si="77"/>
        <v>·</v>
      </c>
      <c r="AB221" s="18" t="str">
        <f t="shared" si="78"/>
        <v>·</v>
      </c>
      <c r="AC221" s="18" t="str">
        <f t="shared" si="79"/>
        <v>·</v>
      </c>
      <c r="AD221" s="18" t="str">
        <f t="shared" si="80"/>
        <v>·</v>
      </c>
      <c r="AE221" s="19"/>
      <c r="AF221" s="18" t="str">
        <f t="shared" si="81"/>
        <v>·</v>
      </c>
      <c r="AG221" s="20"/>
      <c r="AH221" s="21"/>
      <c r="AI221" s="21"/>
      <c r="AJ221" s="21"/>
      <c r="AK221" s="37"/>
      <c r="AL221" s="38"/>
      <c r="AM221" s="38"/>
      <c r="AN221" s="38"/>
      <c r="AO221" s="39"/>
      <c r="AP221" s="49"/>
      <c r="AQ221" s="49"/>
      <c r="AS221" s="53" t="e">
        <f t="shared" si="82"/>
        <v>#DIV/0!</v>
      </c>
      <c r="AT221" s="53" t="e">
        <f t="array" ref="AT221">AVERAGE(AI221:AI226/AH221:AH226)-AVERAGE(Q221:Q226/P221:P226)</f>
        <v>#DIV/0!</v>
      </c>
      <c r="AV221" s="54" t="str">
        <f>IF(OR(ISBLANK(R221:R226),ISBLANK(AJ221:AJ226),ISBLANK(T221:T226),ISBLANK(AL221:AL226)),"·",bdRateExtend(R221:R226,T221:T226,AJ221:AJ226,AL221:AL226))</f>
        <v>·</v>
      </c>
      <c r="AW221" s="54" t="str">
        <f>IF(OR(ISBLANK(R221:R226),ISBLANK(AJ221:AJ226),ISBLANK(U221:U226),ISBLANK(AM221:AM226)),"·",bdRateExtend(R221:R226,U221:U226,AJ221:AJ226,AM221:AM226))</f>
        <v>·</v>
      </c>
      <c r="AX221" s="54" t="str">
        <f>IF(OR(ISBLANK(R221:R226),ISBLANK(AJ221:AJ226),ISBLANK(V221:V226),ISBLANK(AN221:AN226)),"·",bdRateExtend(R221:R226,V221:V226,AJ221:AJ226,AN221:AN226))</f>
        <v>·</v>
      </c>
      <c r="AY221" s="61"/>
      <c r="BA221" s="54" t="str">
        <f>IF(OR(ISBLANK(P221:P226),ISBLANK(AH221:AH226),ISBLANK(T221:T226),ISBLANK(AL221:AL226)),"·",bdRateExtend(P221:P226,T221:T226,AH221:AH226,AL221:AL226))</f>
        <v>·</v>
      </c>
      <c r="BB221" s="54" t="str">
        <f>IF(OR(ISBLANK(P221:P226),ISBLANK(AH221:AH226),ISBLANK(U221:U226),ISBLANK(AM221:AM226)),"·",bdRateExtend(P221:P226,U221:U226,AH221:AH226,AM221:AM226))</f>
        <v>·</v>
      </c>
      <c r="BC221" s="54" t="str">
        <f>IF(OR(ISBLANK(P221:P226),ISBLANK(AH221:AH226),ISBLANK(V221:V226),ISBLANK(AN221:AN226)),"·",bdRateExtend(P221:P226,V221:V226,AH221:AH226,AN221:AN226))</f>
        <v>·</v>
      </c>
      <c r="BD221" s="61"/>
      <c r="BF221">
        <f t="shared" si="83"/>
        <v>0</v>
      </c>
      <c r="BG221">
        <f t="shared" si="84"/>
        <v>0</v>
      </c>
      <c r="BH221">
        <f t="shared" si="85"/>
        <v>0</v>
      </c>
      <c r="BI221">
        <f t="shared" si="86"/>
        <v>0</v>
      </c>
      <c r="BJ221">
        <f t="shared" si="87"/>
        <v>0</v>
      </c>
      <c r="BK221">
        <f t="shared" si="88"/>
        <v>0</v>
      </c>
      <c r="BL221">
        <f t="shared" si="89"/>
        <v>0</v>
      </c>
      <c r="BM221">
        <f t="shared" si="90"/>
        <v>0</v>
      </c>
      <c r="BN221">
        <f t="shared" si="91"/>
        <v>0</v>
      </c>
    </row>
    <row r="222" spans="1:66" outlineLevel="1" x14ac:dyDescent="0.15">
      <c r="A222" s="8"/>
      <c r="B222" s="8" t="s">
        <v>164</v>
      </c>
      <c r="C222" s="9" t="s">
        <v>255</v>
      </c>
      <c r="D222" s="8">
        <v>1010591</v>
      </c>
      <c r="E222" s="10">
        <v>20</v>
      </c>
      <c r="F222" s="9">
        <v>1</v>
      </c>
      <c r="G222" s="9"/>
      <c r="I222" s="22" t="str">
        <f t="shared" si="72"/>
        <v>·</v>
      </c>
      <c r="J222" s="23" t="str">
        <f t="shared" si="73"/>
        <v>·</v>
      </c>
      <c r="K222" s="23" t="str">
        <f t="shared" si="74"/>
        <v>·</v>
      </c>
      <c r="L222" s="23" t="str">
        <f t="shared" si="75"/>
        <v>·</v>
      </c>
      <c r="M222" s="24"/>
      <c r="N222" s="23" t="str">
        <f t="shared" si="76"/>
        <v>·</v>
      </c>
      <c r="O222" s="25"/>
      <c r="P222" s="26"/>
      <c r="Q222" s="26"/>
      <c r="R222" s="26"/>
      <c r="S222" s="40"/>
      <c r="T222" s="41"/>
      <c r="U222" s="41"/>
      <c r="V222" s="41"/>
      <c r="W222" s="42"/>
      <c r="X222" s="50"/>
      <c r="Y222" s="50"/>
      <c r="AA222" s="22" t="str">
        <f t="shared" si="77"/>
        <v>·</v>
      </c>
      <c r="AB222" s="23" t="str">
        <f t="shared" si="78"/>
        <v>·</v>
      </c>
      <c r="AC222" s="23" t="str">
        <f t="shared" si="79"/>
        <v>·</v>
      </c>
      <c r="AD222" s="23" t="str">
        <f t="shared" si="80"/>
        <v>·</v>
      </c>
      <c r="AE222" s="24"/>
      <c r="AF222" s="23" t="str">
        <f t="shared" si="81"/>
        <v>·</v>
      </c>
      <c r="AG222" s="25"/>
      <c r="AH222" s="26"/>
      <c r="AI222" s="26"/>
      <c r="AJ222" s="26"/>
      <c r="AK222" s="40"/>
      <c r="AL222" s="41"/>
      <c r="AM222" s="41"/>
      <c r="AN222" s="41"/>
      <c r="AO222" s="42"/>
      <c r="AP222" s="50"/>
      <c r="AQ222" s="50"/>
      <c r="AS222" s="55" t="e">
        <f t="shared" si="82"/>
        <v>#DIV/0!</v>
      </c>
      <c r="AT222" s="55"/>
      <c r="AV222" s="56"/>
      <c r="AW222" s="56"/>
      <c r="AX222" s="56"/>
      <c r="AY222" s="62"/>
      <c r="BA222" s="56"/>
      <c r="BB222" s="56"/>
      <c r="BC222" s="56"/>
      <c r="BD222" s="62"/>
      <c r="BF222">
        <f t="shared" si="83"/>
        <v>0</v>
      </c>
      <c r="BG222">
        <f t="shared" si="84"/>
        <v>0</v>
      </c>
      <c r="BH222">
        <f t="shared" si="85"/>
        <v>0</v>
      </c>
      <c r="BI222">
        <f t="shared" si="86"/>
        <v>0</v>
      </c>
      <c r="BJ222">
        <f t="shared" si="87"/>
        <v>0</v>
      </c>
      <c r="BK222">
        <f t="shared" si="88"/>
        <v>0</v>
      </c>
      <c r="BL222">
        <f t="shared" si="89"/>
        <v>0</v>
      </c>
      <c r="BM222">
        <f t="shared" si="90"/>
        <v>0</v>
      </c>
      <c r="BN222">
        <f t="shared" si="91"/>
        <v>0</v>
      </c>
    </row>
    <row r="223" spans="1:66" outlineLevel="1" x14ac:dyDescent="0.15">
      <c r="A223" s="5"/>
      <c r="B223" s="5" t="s">
        <v>164</v>
      </c>
      <c r="C223" s="6" t="s">
        <v>256</v>
      </c>
      <c r="D223" s="5">
        <v>1010591</v>
      </c>
      <c r="E223" s="7">
        <v>20</v>
      </c>
      <c r="F223" s="6">
        <v>1</v>
      </c>
      <c r="G223" s="6"/>
      <c r="I223" s="17" t="str">
        <f t="shared" si="72"/>
        <v>·</v>
      </c>
      <c r="J223" s="18" t="str">
        <f t="shared" si="73"/>
        <v>·</v>
      </c>
      <c r="K223" s="18" t="str">
        <f t="shared" si="74"/>
        <v>·</v>
      </c>
      <c r="L223" s="18" t="str">
        <f t="shared" si="75"/>
        <v>·</v>
      </c>
      <c r="M223" s="19"/>
      <c r="N223" s="18" t="str">
        <f t="shared" si="76"/>
        <v>·</v>
      </c>
      <c r="O223" s="20"/>
      <c r="P223" s="21"/>
      <c r="Q223" s="21"/>
      <c r="R223" s="21"/>
      <c r="S223" s="37"/>
      <c r="T223" s="38"/>
      <c r="U223" s="38"/>
      <c r="V223" s="38"/>
      <c r="W223" s="39"/>
      <c r="X223" s="49"/>
      <c r="Y223" s="49"/>
      <c r="AA223" s="17" t="str">
        <f t="shared" si="77"/>
        <v>·</v>
      </c>
      <c r="AB223" s="18" t="str">
        <f t="shared" si="78"/>
        <v>·</v>
      </c>
      <c r="AC223" s="18" t="str">
        <f t="shared" si="79"/>
        <v>·</v>
      </c>
      <c r="AD223" s="18" t="str">
        <f t="shared" si="80"/>
        <v>·</v>
      </c>
      <c r="AE223" s="19"/>
      <c r="AF223" s="18" t="str">
        <f t="shared" si="81"/>
        <v>·</v>
      </c>
      <c r="AG223" s="20"/>
      <c r="AH223" s="21"/>
      <c r="AI223" s="21"/>
      <c r="AJ223" s="21"/>
      <c r="AK223" s="37"/>
      <c r="AL223" s="38"/>
      <c r="AM223" s="38"/>
      <c r="AN223" s="38"/>
      <c r="AO223" s="39"/>
      <c r="AP223" s="49"/>
      <c r="AQ223" s="49"/>
      <c r="AS223" s="53" t="e">
        <f t="shared" si="82"/>
        <v>#DIV/0!</v>
      </c>
      <c r="AT223" s="53"/>
      <c r="AV223" s="54"/>
      <c r="AW223" s="54"/>
      <c r="AX223" s="54"/>
      <c r="AY223" s="61"/>
      <c r="BA223" s="54"/>
      <c r="BB223" s="54"/>
      <c r="BC223" s="54"/>
      <c r="BD223" s="61"/>
      <c r="BF223">
        <f t="shared" si="83"/>
        <v>0</v>
      </c>
      <c r="BG223">
        <f t="shared" si="84"/>
        <v>0</v>
      </c>
      <c r="BH223">
        <f t="shared" si="85"/>
        <v>0</v>
      </c>
      <c r="BI223">
        <f t="shared" si="86"/>
        <v>0</v>
      </c>
      <c r="BJ223">
        <f t="shared" si="87"/>
        <v>0</v>
      </c>
      <c r="BK223">
        <f t="shared" si="88"/>
        <v>0</v>
      </c>
      <c r="BL223">
        <f t="shared" si="89"/>
        <v>0</v>
      </c>
      <c r="BM223">
        <f t="shared" si="90"/>
        <v>0</v>
      </c>
      <c r="BN223">
        <f t="shared" si="91"/>
        <v>0</v>
      </c>
    </row>
    <row r="224" spans="1:66" outlineLevel="1" x14ac:dyDescent="0.15">
      <c r="A224" s="8"/>
      <c r="B224" s="8" t="s">
        <v>164</v>
      </c>
      <c r="C224" s="9" t="s">
        <v>257</v>
      </c>
      <c r="D224" s="8">
        <v>1010591</v>
      </c>
      <c r="E224" s="10">
        <v>20</v>
      </c>
      <c r="F224" s="9">
        <v>1</v>
      </c>
      <c r="G224" s="9"/>
      <c r="I224" s="22" t="str">
        <f t="shared" si="72"/>
        <v>·</v>
      </c>
      <c r="J224" s="23" t="str">
        <f t="shared" si="73"/>
        <v>·</v>
      </c>
      <c r="K224" s="23" t="str">
        <f t="shared" si="74"/>
        <v>·</v>
      </c>
      <c r="L224" s="23" t="str">
        <f t="shared" si="75"/>
        <v>·</v>
      </c>
      <c r="M224" s="24"/>
      <c r="N224" s="23" t="str">
        <f t="shared" si="76"/>
        <v>·</v>
      </c>
      <c r="O224" s="25"/>
      <c r="P224" s="26"/>
      <c r="Q224" s="26"/>
      <c r="R224" s="26"/>
      <c r="S224" s="40"/>
      <c r="T224" s="41"/>
      <c r="U224" s="41"/>
      <c r="V224" s="41"/>
      <c r="W224" s="42"/>
      <c r="X224" s="50"/>
      <c r="Y224" s="50"/>
      <c r="AA224" s="22" t="str">
        <f t="shared" si="77"/>
        <v>·</v>
      </c>
      <c r="AB224" s="23" t="str">
        <f t="shared" si="78"/>
        <v>·</v>
      </c>
      <c r="AC224" s="23" t="str">
        <f t="shared" si="79"/>
        <v>·</v>
      </c>
      <c r="AD224" s="23" t="str">
        <f t="shared" si="80"/>
        <v>·</v>
      </c>
      <c r="AE224" s="24"/>
      <c r="AF224" s="23" t="str">
        <f t="shared" si="81"/>
        <v>·</v>
      </c>
      <c r="AG224" s="25"/>
      <c r="AH224" s="26"/>
      <c r="AI224" s="26"/>
      <c r="AJ224" s="26"/>
      <c r="AK224" s="40"/>
      <c r="AL224" s="41"/>
      <c r="AM224" s="41"/>
      <c r="AN224" s="41"/>
      <c r="AO224" s="42"/>
      <c r="AP224" s="50"/>
      <c r="AQ224" s="50"/>
      <c r="AS224" s="55" t="e">
        <f t="shared" si="82"/>
        <v>#DIV/0!</v>
      </c>
      <c r="AT224" s="55"/>
      <c r="AV224" s="56"/>
      <c r="AW224" s="56"/>
      <c r="AX224" s="56"/>
      <c r="AY224" s="62"/>
      <c r="BA224" s="56"/>
      <c r="BB224" s="56"/>
      <c r="BC224" s="56"/>
      <c r="BD224" s="62"/>
      <c r="BF224">
        <f t="shared" si="83"/>
        <v>0</v>
      </c>
      <c r="BG224">
        <f t="shared" si="84"/>
        <v>0</v>
      </c>
      <c r="BH224">
        <f t="shared" si="85"/>
        <v>0</v>
      </c>
      <c r="BI224">
        <f t="shared" si="86"/>
        <v>0</v>
      </c>
      <c r="BJ224">
        <f t="shared" si="87"/>
        <v>0</v>
      </c>
      <c r="BK224">
        <f t="shared" si="88"/>
        <v>0</v>
      </c>
      <c r="BL224">
        <f t="shared" si="89"/>
        <v>0</v>
      </c>
      <c r="BM224">
        <f t="shared" si="90"/>
        <v>0</v>
      </c>
      <c r="BN224">
        <f t="shared" si="91"/>
        <v>0</v>
      </c>
    </row>
    <row r="225" spans="1:66" outlineLevel="1" x14ac:dyDescent="0.15">
      <c r="A225" s="5"/>
      <c r="B225" s="5" t="s">
        <v>164</v>
      </c>
      <c r="C225" s="6" t="s">
        <v>258</v>
      </c>
      <c r="D225" s="5">
        <v>1010591</v>
      </c>
      <c r="E225" s="7">
        <v>20</v>
      </c>
      <c r="F225" s="6">
        <v>1</v>
      </c>
      <c r="G225" s="6"/>
      <c r="I225" s="17" t="str">
        <f t="shared" si="72"/>
        <v>·</v>
      </c>
      <c r="J225" s="18" t="str">
        <f t="shared" si="73"/>
        <v>·</v>
      </c>
      <c r="K225" s="18" t="str">
        <f t="shared" si="74"/>
        <v>·</v>
      </c>
      <c r="L225" s="18" t="str">
        <f t="shared" si="75"/>
        <v>·</v>
      </c>
      <c r="M225" s="19"/>
      <c r="N225" s="18" t="str">
        <f t="shared" si="76"/>
        <v>·</v>
      </c>
      <c r="O225" s="20"/>
      <c r="P225" s="21"/>
      <c r="Q225" s="21"/>
      <c r="R225" s="21"/>
      <c r="S225" s="37"/>
      <c r="T225" s="38"/>
      <c r="U225" s="38"/>
      <c r="V225" s="38"/>
      <c r="W225" s="39"/>
      <c r="X225" s="49"/>
      <c r="Y225" s="49"/>
      <c r="AA225" s="17" t="str">
        <f t="shared" si="77"/>
        <v>·</v>
      </c>
      <c r="AB225" s="18" t="str">
        <f t="shared" si="78"/>
        <v>·</v>
      </c>
      <c r="AC225" s="18" t="str">
        <f t="shared" si="79"/>
        <v>·</v>
      </c>
      <c r="AD225" s="18" t="str">
        <f t="shared" si="80"/>
        <v>·</v>
      </c>
      <c r="AE225" s="19"/>
      <c r="AF225" s="18" t="str">
        <f t="shared" si="81"/>
        <v>·</v>
      </c>
      <c r="AG225" s="20"/>
      <c r="AH225" s="21"/>
      <c r="AI225" s="21"/>
      <c r="AJ225" s="21"/>
      <c r="AK225" s="37"/>
      <c r="AL225" s="38"/>
      <c r="AM225" s="38"/>
      <c r="AN225" s="38"/>
      <c r="AO225" s="39"/>
      <c r="AP225" s="49"/>
      <c r="AQ225" s="49"/>
      <c r="AS225" s="53" t="e">
        <f t="shared" si="82"/>
        <v>#DIV/0!</v>
      </c>
      <c r="AT225" s="53"/>
      <c r="AV225" s="54"/>
      <c r="AW225" s="54"/>
      <c r="AX225" s="54"/>
      <c r="AY225" s="61"/>
      <c r="BA225" s="54"/>
      <c r="BB225" s="54"/>
      <c r="BC225" s="54"/>
      <c r="BD225" s="61"/>
      <c r="BF225">
        <f t="shared" si="83"/>
        <v>0</v>
      </c>
      <c r="BG225">
        <f t="shared" si="84"/>
        <v>0</v>
      </c>
      <c r="BH225">
        <f t="shared" si="85"/>
        <v>0</v>
      </c>
      <c r="BI225">
        <f t="shared" si="86"/>
        <v>0</v>
      </c>
      <c r="BJ225">
        <f t="shared" si="87"/>
        <v>0</v>
      </c>
      <c r="BK225">
        <f t="shared" si="88"/>
        <v>0</v>
      </c>
      <c r="BL225">
        <f t="shared" si="89"/>
        <v>0</v>
      </c>
      <c r="BM225">
        <f t="shared" si="90"/>
        <v>0</v>
      </c>
      <c r="BN225">
        <f t="shared" si="91"/>
        <v>0</v>
      </c>
    </row>
    <row r="226" spans="1:66" outlineLevel="1" x14ac:dyDescent="0.15">
      <c r="A226" s="8"/>
      <c r="B226" s="14" t="s">
        <v>164</v>
      </c>
      <c r="C226" s="15" t="s">
        <v>259</v>
      </c>
      <c r="D226" s="14">
        <v>1010591</v>
      </c>
      <c r="E226" s="16">
        <v>20</v>
      </c>
      <c r="F226" s="15">
        <v>1</v>
      </c>
      <c r="G226" s="15"/>
      <c r="I226" s="32" t="str">
        <f t="shared" si="72"/>
        <v>·</v>
      </c>
      <c r="J226" s="33" t="str">
        <f t="shared" si="73"/>
        <v>·</v>
      </c>
      <c r="K226" s="33" t="str">
        <f t="shared" si="74"/>
        <v>·</v>
      </c>
      <c r="L226" s="33" t="str">
        <f t="shared" si="75"/>
        <v>·</v>
      </c>
      <c r="M226" s="34"/>
      <c r="N226" s="33" t="str">
        <f t="shared" si="76"/>
        <v>·</v>
      </c>
      <c r="O226" s="35"/>
      <c r="P226" s="36"/>
      <c r="Q226" s="36"/>
      <c r="R226" s="36"/>
      <c r="S226" s="46"/>
      <c r="T226" s="47"/>
      <c r="U226" s="47"/>
      <c r="V226" s="47"/>
      <c r="W226" s="48"/>
      <c r="X226" s="52"/>
      <c r="Y226" s="52"/>
      <c r="AA226" s="32" t="str">
        <f t="shared" si="77"/>
        <v>·</v>
      </c>
      <c r="AB226" s="33" t="str">
        <f t="shared" si="78"/>
        <v>·</v>
      </c>
      <c r="AC226" s="33" t="str">
        <f t="shared" si="79"/>
        <v>·</v>
      </c>
      <c r="AD226" s="33" t="str">
        <f t="shared" si="80"/>
        <v>·</v>
      </c>
      <c r="AE226" s="34"/>
      <c r="AF226" s="33" t="str">
        <f t="shared" si="81"/>
        <v>·</v>
      </c>
      <c r="AG226" s="35"/>
      <c r="AH226" s="36"/>
      <c r="AI226" s="36"/>
      <c r="AJ226" s="36"/>
      <c r="AK226" s="46"/>
      <c r="AL226" s="47"/>
      <c r="AM226" s="47"/>
      <c r="AN226" s="47"/>
      <c r="AO226" s="48"/>
      <c r="AP226" s="52"/>
      <c r="AQ226" s="52"/>
      <c r="AS226" s="59" t="e">
        <f t="shared" si="82"/>
        <v>#DIV/0!</v>
      </c>
      <c r="AT226" s="59"/>
      <c r="AV226" s="60"/>
      <c r="AW226" s="60"/>
      <c r="AX226" s="60"/>
      <c r="AY226" s="64"/>
      <c r="BA226" s="60"/>
      <c r="BB226" s="60"/>
      <c r="BC226" s="60"/>
      <c r="BD226" s="64"/>
      <c r="BF226">
        <f t="shared" si="83"/>
        <v>0</v>
      </c>
      <c r="BG226">
        <f t="shared" si="84"/>
        <v>0</v>
      </c>
      <c r="BH226">
        <f t="shared" si="85"/>
        <v>0</v>
      </c>
      <c r="BI226">
        <f t="shared" si="86"/>
        <v>0</v>
      </c>
      <c r="BJ226">
        <f t="shared" si="87"/>
        <v>0</v>
      </c>
      <c r="BK226">
        <f t="shared" si="88"/>
        <v>0</v>
      </c>
      <c r="BL226">
        <f t="shared" si="89"/>
        <v>0</v>
      </c>
      <c r="BM226">
        <f t="shared" si="90"/>
        <v>0</v>
      </c>
      <c r="BN226">
        <f t="shared" si="91"/>
        <v>0</v>
      </c>
    </row>
    <row r="227" spans="1:66" x14ac:dyDescent="0.15">
      <c r="A227" s="5"/>
      <c r="B227" s="5" t="s">
        <v>165</v>
      </c>
      <c r="C227" s="6" t="s">
        <v>254</v>
      </c>
      <c r="D227" s="5">
        <v>47062002</v>
      </c>
      <c r="E227" s="7">
        <v>16</v>
      </c>
      <c r="F227" s="6">
        <v>1</v>
      </c>
      <c r="G227" s="6"/>
      <c r="I227" s="17" t="str">
        <f t="shared" si="72"/>
        <v>·</v>
      </c>
      <c r="J227" s="18" t="str">
        <f t="shared" si="73"/>
        <v>·</v>
      </c>
      <c r="K227" s="18" t="str">
        <f t="shared" si="74"/>
        <v>·</v>
      </c>
      <c r="L227" s="18" t="str">
        <f t="shared" si="75"/>
        <v>·</v>
      </c>
      <c r="M227" s="19"/>
      <c r="N227" s="18" t="str">
        <f t="shared" si="76"/>
        <v>·</v>
      </c>
      <c r="O227" s="20"/>
      <c r="P227" s="21"/>
      <c r="Q227" s="21"/>
      <c r="R227" s="21"/>
      <c r="S227" s="37"/>
      <c r="T227" s="38"/>
      <c r="U227" s="38"/>
      <c r="V227" s="38"/>
      <c r="W227" s="39"/>
      <c r="X227" s="49"/>
      <c r="Y227" s="49"/>
      <c r="AA227" s="17" t="str">
        <f t="shared" si="77"/>
        <v>·</v>
      </c>
      <c r="AB227" s="18" t="str">
        <f t="shared" si="78"/>
        <v>·</v>
      </c>
      <c r="AC227" s="18" t="str">
        <f t="shared" si="79"/>
        <v>·</v>
      </c>
      <c r="AD227" s="18" t="str">
        <f t="shared" si="80"/>
        <v>·</v>
      </c>
      <c r="AE227" s="19"/>
      <c r="AF227" s="18" t="str">
        <f t="shared" si="81"/>
        <v>·</v>
      </c>
      <c r="AG227" s="20"/>
      <c r="AH227" s="21"/>
      <c r="AI227" s="21"/>
      <c r="AJ227" s="21"/>
      <c r="AK227" s="37"/>
      <c r="AL227" s="38"/>
      <c r="AM227" s="38"/>
      <c r="AN227" s="38"/>
      <c r="AO227" s="39"/>
      <c r="AP227" s="49"/>
      <c r="AQ227" s="49"/>
      <c r="AS227" s="53" t="e">
        <f t="shared" si="82"/>
        <v>#DIV/0!</v>
      </c>
      <c r="AT227" s="53" t="e">
        <f t="array" ref="AT227">AVERAGE(AI227:AI232/AH227:AH232)-AVERAGE(Q227:Q232/P227:P232)</f>
        <v>#DIV/0!</v>
      </c>
      <c r="AV227" s="54" t="str">
        <f>IF(OR(ISBLANK(R227:R232),ISBLANK(AJ227:AJ232),ISBLANK(T227:T232),ISBLANK(AL227:AL232)),"·",bdRateExtend(R227:R232,T227:T232,AJ227:AJ232,AL227:AL232))</f>
        <v>·</v>
      </c>
      <c r="AW227" s="54" t="str">
        <f>IF(OR(ISBLANK(R227:R232),ISBLANK(AJ227:AJ232),ISBLANK(U227:U232),ISBLANK(AM227:AM232)),"·",bdRateExtend(R227:R232,U227:U232,AJ227:AJ232,AM227:AM232))</f>
        <v>·</v>
      </c>
      <c r="AX227" s="54" t="str">
        <f>IF(OR(ISBLANK(R227:R232),ISBLANK(AJ227:AJ232),ISBLANK(V227:V232),ISBLANK(AN227:AN232)),"·",bdRateExtend(R227:R232,V227:V232,AJ227:AJ232,AN227:AN232))</f>
        <v>·</v>
      </c>
      <c r="AY227" s="61"/>
      <c r="BA227" s="54" t="str">
        <f>IF(OR(ISBLANK(P227:P232),ISBLANK(AH227:AH232),ISBLANK(T227:T232),ISBLANK(AL227:AL232)),"·",bdRateExtend(P227:P232,T227:T232,AH227:AH232,AL227:AL232))</f>
        <v>·</v>
      </c>
      <c r="BB227" s="54" t="str">
        <f>IF(OR(ISBLANK(P227:P232),ISBLANK(AH227:AH232),ISBLANK(U227:U232),ISBLANK(AM227:AM232)),"·",bdRateExtend(P227:P232,U227:U232,AH227:AH232,AM227:AM232))</f>
        <v>·</v>
      </c>
      <c r="BC227" s="54" t="str">
        <f>IF(OR(ISBLANK(P227:P232),ISBLANK(AH227:AH232),ISBLANK(V227:V232),ISBLANK(AN227:AN232)),"·",bdRateExtend(P227:P232,V227:V232,AH227:AH232,AN227:AN232))</f>
        <v>·</v>
      </c>
      <c r="BD227" s="61"/>
      <c r="BF227">
        <f t="shared" si="83"/>
        <v>0</v>
      </c>
      <c r="BG227">
        <f t="shared" si="84"/>
        <v>0</v>
      </c>
      <c r="BH227">
        <f t="shared" si="85"/>
        <v>0</v>
      </c>
      <c r="BI227">
        <f t="shared" si="86"/>
        <v>0</v>
      </c>
      <c r="BJ227">
        <f t="shared" si="87"/>
        <v>0</v>
      </c>
      <c r="BK227">
        <f t="shared" si="88"/>
        <v>0</v>
      </c>
      <c r="BL227">
        <f t="shared" si="89"/>
        <v>0</v>
      </c>
      <c r="BM227">
        <f t="shared" si="90"/>
        <v>0</v>
      </c>
      <c r="BN227">
        <f t="shared" si="91"/>
        <v>0</v>
      </c>
    </row>
    <row r="228" spans="1:66" outlineLevel="1" x14ac:dyDescent="0.15">
      <c r="A228" s="8"/>
      <c r="B228" s="8" t="s">
        <v>165</v>
      </c>
      <c r="C228" s="9" t="s">
        <v>255</v>
      </c>
      <c r="D228" s="8">
        <v>47062002</v>
      </c>
      <c r="E228" s="10">
        <v>16</v>
      </c>
      <c r="F228" s="9">
        <v>1</v>
      </c>
      <c r="G228" s="9"/>
      <c r="I228" s="22" t="str">
        <f t="shared" si="72"/>
        <v>·</v>
      </c>
      <c r="J228" s="23" t="str">
        <f t="shared" si="73"/>
        <v>·</v>
      </c>
      <c r="K228" s="23" t="str">
        <f t="shared" si="74"/>
        <v>·</v>
      </c>
      <c r="L228" s="23" t="str">
        <f t="shared" si="75"/>
        <v>·</v>
      </c>
      <c r="M228" s="24"/>
      <c r="N228" s="23" t="str">
        <f t="shared" si="76"/>
        <v>·</v>
      </c>
      <c r="O228" s="25"/>
      <c r="P228" s="26"/>
      <c r="Q228" s="26"/>
      <c r="R228" s="26"/>
      <c r="S228" s="40"/>
      <c r="T228" s="41"/>
      <c r="U228" s="41"/>
      <c r="V228" s="41"/>
      <c r="W228" s="42"/>
      <c r="X228" s="50"/>
      <c r="Y228" s="50"/>
      <c r="AA228" s="22" t="str">
        <f t="shared" si="77"/>
        <v>·</v>
      </c>
      <c r="AB228" s="23" t="str">
        <f t="shared" si="78"/>
        <v>·</v>
      </c>
      <c r="AC228" s="23" t="str">
        <f t="shared" si="79"/>
        <v>·</v>
      </c>
      <c r="AD228" s="23" t="str">
        <f t="shared" si="80"/>
        <v>·</v>
      </c>
      <c r="AE228" s="24"/>
      <c r="AF228" s="23" t="str">
        <f t="shared" si="81"/>
        <v>·</v>
      </c>
      <c r="AG228" s="25"/>
      <c r="AH228" s="26"/>
      <c r="AI228" s="26"/>
      <c r="AJ228" s="26"/>
      <c r="AK228" s="40"/>
      <c r="AL228" s="41"/>
      <c r="AM228" s="41"/>
      <c r="AN228" s="41"/>
      <c r="AO228" s="42"/>
      <c r="AP228" s="50"/>
      <c r="AQ228" s="50"/>
      <c r="AS228" s="55" t="e">
        <f t="shared" si="82"/>
        <v>#DIV/0!</v>
      </c>
      <c r="AT228" s="55"/>
      <c r="AV228" s="56"/>
      <c r="AW228" s="56"/>
      <c r="AX228" s="56"/>
      <c r="AY228" s="62"/>
      <c r="BA228" s="56"/>
      <c r="BB228" s="56"/>
      <c r="BC228" s="56"/>
      <c r="BD228" s="62"/>
      <c r="BF228">
        <f t="shared" si="83"/>
        <v>0</v>
      </c>
      <c r="BG228">
        <f t="shared" si="84"/>
        <v>0</v>
      </c>
      <c r="BH228">
        <f t="shared" si="85"/>
        <v>0</v>
      </c>
      <c r="BI228">
        <f t="shared" si="86"/>
        <v>0</v>
      </c>
      <c r="BJ228">
        <f t="shared" si="87"/>
        <v>0</v>
      </c>
      <c r="BK228">
        <f t="shared" si="88"/>
        <v>0</v>
      </c>
      <c r="BL228">
        <f t="shared" si="89"/>
        <v>0</v>
      </c>
      <c r="BM228">
        <f t="shared" si="90"/>
        <v>0</v>
      </c>
      <c r="BN228">
        <f t="shared" si="91"/>
        <v>0</v>
      </c>
    </row>
    <row r="229" spans="1:66" outlineLevel="1" x14ac:dyDescent="0.15">
      <c r="A229" s="5"/>
      <c r="B229" s="5" t="s">
        <v>165</v>
      </c>
      <c r="C229" s="6" t="s">
        <v>256</v>
      </c>
      <c r="D229" s="5">
        <v>47062002</v>
      </c>
      <c r="E229" s="7">
        <v>16</v>
      </c>
      <c r="F229" s="6">
        <v>1</v>
      </c>
      <c r="G229" s="6"/>
      <c r="I229" s="17" t="str">
        <f t="shared" si="72"/>
        <v>·</v>
      </c>
      <c r="J229" s="18" t="str">
        <f t="shared" si="73"/>
        <v>·</v>
      </c>
      <c r="K229" s="18" t="str">
        <f t="shared" si="74"/>
        <v>·</v>
      </c>
      <c r="L229" s="18" t="str">
        <f t="shared" si="75"/>
        <v>·</v>
      </c>
      <c r="M229" s="19"/>
      <c r="N229" s="18" t="str">
        <f t="shared" si="76"/>
        <v>·</v>
      </c>
      <c r="O229" s="20"/>
      <c r="P229" s="21"/>
      <c r="Q229" s="21"/>
      <c r="R229" s="21"/>
      <c r="S229" s="37"/>
      <c r="T229" s="38"/>
      <c r="U229" s="38"/>
      <c r="V229" s="38"/>
      <c r="W229" s="39"/>
      <c r="X229" s="49"/>
      <c r="Y229" s="49"/>
      <c r="AA229" s="17" t="str">
        <f t="shared" si="77"/>
        <v>·</v>
      </c>
      <c r="AB229" s="18" t="str">
        <f t="shared" si="78"/>
        <v>·</v>
      </c>
      <c r="AC229" s="18" t="str">
        <f t="shared" si="79"/>
        <v>·</v>
      </c>
      <c r="AD229" s="18" t="str">
        <f t="shared" si="80"/>
        <v>·</v>
      </c>
      <c r="AE229" s="19"/>
      <c r="AF229" s="18" t="str">
        <f t="shared" si="81"/>
        <v>·</v>
      </c>
      <c r="AG229" s="20"/>
      <c r="AH229" s="21"/>
      <c r="AI229" s="21"/>
      <c r="AJ229" s="21"/>
      <c r="AK229" s="37"/>
      <c r="AL229" s="38"/>
      <c r="AM229" s="38"/>
      <c r="AN229" s="38"/>
      <c r="AO229" s="39"/>
      <c r="AP229" s="49"/>
      <c r="AQ229" s="49"/>
      <c r="AS229" s="53" t="e">
        <f t="shared" si="82"/>
        <v>#DIV/0!</v>
      </c>
      <c r="AT229" s="53"/>
      <c r="AV229" s="54"/>
      <c r="AW229" s="54"/>
      <c r="AX229" s="54"/>
      <c r="AY229" s="61"/>
      <c r="BA229" s="54"/>
      <c r="BB229" s="54"/>
      <c r="BC229" s="54"/>
      <c r="BD229" s="61"/>
      <c r="BF229">
        <f t="shared" si="83"/>
        <v>0</v>
      </c>
      <c r="BG229">
        <f t="shared" si="84"/>
        <v>0</v>
      </c>
      <c r="BH229">
        <f t="shared" si="85"/>
        <v>0</v>
      </c>
      <c r="BI229">
        <f t="shared" si="86"/>
        <v>0</v>
      </c>
      <c r="BJ229">
        <f t="shared" si="87"/>
        <v>0</v>
      </c>
      <c r="BK229">
        <f t="shared" si="88"/>
        <v>0</v>
      </c>
      <c r="BL229">
        <f t="shared" si="89"/>
        <v>0</v>
      </c>
      <c r="BM229">
        <f t="shared" si="90"/>
        <v>0</v>
      </c>
      <c r="BN229">
        <f t="shared" si="91"/>
        <v>0</v>
      </c>
    </row>
    <row r="230" spans="1:66" outlineLevel="1" x14ac:dyDescent="0.15">
      <c r="A230" s="8"/>
      <c r="B230" s="8" t="s">
        <v>165</v>
      </c>
      <c r="C230" s="9" t="s">
        <v>257</v>
      </c>
      <c r="D230" s="8">
        <v>47062002</v>
      </c>
      <c r="E230" s="10">
        <v>16</v>
      </c>
      <c r="F230" s="9">
        <v>1</v>
      </c>
      <c r="G230" s="9"/>
      <c r="I230" s="22" t="str">
        <f t="shared" si="72"/>
        <v>·</v>
      </c>
      <c r="J230" s="23" t="str">
        <f t="shared" si="73"/>
        <v>·</v>
      </c>
      <c r="K230" s="23" t="str">
        <f t="shared" si="74"/>
        <v>·</v>
      </c>
      <c r="L230" s="23" t="str">
        <f t="shared" si="75"/>
        <v>·</v>
      </c>
      <c r="M230" s="24"/>
      <c r="N230" s="23" t="str">
        <f t="shared" si="76"/>
        <v>·</v>
      </c>
      <c r="O230" s="25"/>
      <c r="P230" s="26"/>
      <c r="Q230" s="26"/>
      <c r="R230" s="26"/>
      <c r="S230" s="40"/>
      <c r="T230" s="41"/>
      <c r="U230" s="41"/>
      <c r="V230" s="41"/>
      <c r="W230" s="42"/>
      <c r="X230" s="50"/>
      <c r="Y230" s="50"/>
      <c r="AA230" s="22" t="str">
        <f t="shared" si="77"/>
        <v>·</v>
      </c>
      <c r="AB230" s="23" t="str">
        <f t="shared" si="78"/>
        <v>·</v>
      </c>
      <c r="AC230" s="23" t="str">
        <f t="shared" si="79"/>
        <v>·</v>
      </c>
      <c r="AD230" s="23" t="str">
        <f t="shared" si="80"/>
        <v>·</v>
      </c>
      <c r="AE230" s="24"/>
      <c r="AF230" s="23" t="str">
        <f t="shared" si="81"/>
        <v>·</v>
      </c>
      <c r="AG230" s="25"/>
      <c r="AH230" s="26"/>
      <c r="AI230" s="26"/>
      <c r="AJ230" s="26"/>
      <c r="AK230" s="40"/>
      <c r="AL230" s="41"/>
      <c r="AM230" s="41"/>
      <c r="AN230" s="41"/>
      <c r="AO230" s="42"/>
      <c r="AP230" s="50"/>
      <c r="AQ230" s="50"/>
      <c r="AS230" s="55" t="e">
        <f t="shared" si="82"/>
        <v>#DIV/0!</v>
      </c>
      <c r="AT230" s="55"/>
      <c r="AV230" s="56"/>
      <c r="AW230" s="56"/>
      <c r="AX230" s="56"/>
      <c r="AY230" s="62"/>
      <c r="BA230" s="56"/>
      <c r="BB230" s="56"/>
      <c r="BC230" s="56"/>
      <c r="BD230" s="62"/>
      <c r="BF230">
        <f t="shared" si="83"/>
        <v>0</v>
      </c>
      <c r="BG230">
        <f t="shared" si="84"/>
        <v>0</v>
      </c>
      <c r="BH230">
        <f t="shared" si="85"/>
        <v>0</v>
      </c>
      <c r="BI230">
        <f t="shared" si="86"/>
        <v>0</v>
      </c>
      <c r="BJ230">
        <f t="shared" si="87"/>
        <v>0</v>
      </c>
      <c r="BK230">
        <f t="shared" si="88"/>
        <v>0</v>
      </c>
      <c r="BL230">
        <f t="shared" si="89"/>
        <v>0</v>
      </c>
      <c r="BM230">
        <f t="shared" si="90"/>
        <v>0</v>
      </c>
      <c r="BN230">
        <f t="shared" si="91"/>
        <v>0</v>
      </c>
    </row>
    <row r="231" spans="1:66" outlineLevel="1" x14ac:dyDescent="0.15">
      <c r="A231" s="5"/>
      <c r="B231" s="5" t="s">
        <v>165</v>
      </c>
      <c r="C231" s="6" t="s">
        <v>258</v>
      </c>
      <c r="D231" s="5">
        <v>47062002</v>
      </c>
      <c r="E231" s="7">
        <v>16</v>
      </c>
      <c r="F231" s="6">
        <v>1</v>
      </c>
      <c r="G231" s="6"/>
      <c r="I231" s="17" t="str">
        <f t="shared" si="72"/>
        <v>·</v>
      </c>
      <c r="J231" s="18" t="str">
        <f t="shared" si="73"/>
        <v>·</v>
      </c>
      <c r="K231" s="18" t="str">
        <f t="shared" si="74"/>
        <v>·</v>
      </c>
      <c r="L231" s="18" t="str">
        <f t="shared" si="75"/>
        <v>·</v>
      </c>
      <c r="M231" s="19"/>
      <c r="N231" s="18" t="str">
        <f t="shared" si="76"/>
        <v>·</v>
      </c>
      <c r="O231" s="20"/>
      <c r="P231" s="21"/>
      <c r="Q231" s="21"/>
      <c r="R231" s="21"/>
      <c r="S231" s="37"/>
      <c r="T231" s="38"/>
      <c r="U231" s="38"/>
      <c r="V231" s="38"/>
      <c r="W231" s="39"/>
      <c r="X231" s="49"/>
      <c r="Y231" s="49"/>
      <c r="AA231" s="17" t="str">
        <f t="shared" si="77"/>
        <v>·</v>
      </c>
      <c r="AB231" s="18" t="str">
        <f t="shared" si="78"/>
        <v>·</v>
      </c>
      <c r="AC231" s="18" t="str">
        <f t="shared" si="79"/>
        <v>·</v>
      </c>
      <c r="AD231" s="18" t="str">
        <f t="shared" si="80"/>
        <v>·</v>
      </c>
      <c r="AE231" s="19"/>
      <c r="AF231" s="18" t="str">
        <f t="shared" si="81"/>
        <v>·</v>
      </c>
      <c r="AG231" s="20"/>
      <c r="AH231" s="21"/>
      <c r="AI231" s="21"/>
      <c r="AJ231" s="21"/>
      <c r="AK231" s="37"/>
      <c r="AL231" s="38"/>
      <c r="AM231" s="38"/>
      <c r="AN231" s="38"/>
      <c r="AO231" s="39"/>
      <c r="AP231" s="49"/>
      <c r="AQ231" s="49"/>
      <c r="AS231" s="53" t="e">
        <f t="shared" si="82"/>
        <v>#DIV/0!</v>
      </c>
      <c r="AT231" s="53"/>
      <c r="AV231" s="54"/>
      <c r="AW231" s="54"/>
      <c r="AX231" s="54"/>
      <c r="AY231" s="61"/>
      <c r="BA231" s="54"/>
      <c r="BB231" s="54"/>
      <c r="BC231" s="54"/>
      <c r="BD231" s="61"/>
      <c r="BF231">
        <f t="shared" si="83"/>
        <v>0</v>
      </c>
      <c r="BG231">
        <f t="shared" si="84"/>
        <v>0</v>
      </c>
      <c r="BH231">
        <f t="shared" si="85"/>
        <v>0</v>
      </c>
      <c r="BI231">
        <f t="shared" si="86"/>
        <v>0</v>
      </c>
      <c r="BJ231">
        <f t="shared" si="87"/>
        <v>0</v>
      </c>
      <c r="BK231">
        <f t="shared" si="88"/>
        <v>0</v>
      </c>
      <c r="BL231">
        <f t="shared" si="89"/>
        <v>0</v>
      </c>
      <c r="BM231">
        <f t="shared" si="90"/>
        <v>0</v>
      </c>
      <c r="BN231">
        <f t="shared" si="91"/>
        <v>0</v>
      </c>
    </row>
    <row r="232" spans="1:66" outlineLevel="1" x14ac:dyDescent="0.15">
      <c r="A232" s="8"/>
      <c r="B232" s="14" t="s">
        <v>165</v>
      </c>
      <c r="C232" s="15" t="s">
        <v>259</v>
      </c>
      <c r="D232" s="14">
        <v>47062002</v>
      </c>
      <c r="E232" s="16">
        <v>16</v>
      </c>
      <c r="F232" s="15">
        <v>1</v>
      </c>
      <c r="G232" s="15"/>
      <c r="I232" s="32" t="str">
        <f t="shared" si="72"/>
        <v>·</v>
      </c>
      <c r="J232" s="33" t="str">
        <f t="shared" si="73"/>
        <v>·</v>
      </c>
      <c r="K232" s="33" t="str">
        <f t="shared" si="74"/>
        <v>·</v>
      </c>
      <c r="L232" s="33" t="str">
        <f t="shared" si="75"/>
        <v>·</v>
      </c>
      <c r="M232" s="34"/>
      <c r="N232" s="33" t="str">
        <f t="shared" si="76"/>
        <v>·</v>
      </c>
      <c r="O232" s="35"/>
      <c r="P232" s="36"/>
      <c r="Q232" s="36"/>
      <c r="R232" s="36"/>
      <c r="S232" s="46"/>
      <c r="T232" s="47"/>
      <c r="U232" s="47"/>
      <c r="V232" s="47"/>
      <c r="W232" s="48"/>
      <c r="X232" s="52"/>
      <c r="Y232" s="52"/>
      <c r="AA232" s="32" t="str">
        <f t="shared" si="77"/>
        <v>·</v>
      </c>
      <c r="AB232" s="33" t="str">
        <f t="shared" si="78"/>
        <v>·</v>
      </c>
      <c r="AC232" s="33" t="str">
        <f t="shared" si="79"/>
        <v>·</v>
      </c>
      <c r="AD232" s="33" t="str">
        <f t="shared" si="80"/>
        <v>·</v>
      </c>
      <c r="AE232" s="34"/>
      <c r="AF232" s="33" t="str">
        <f t="shared" si="81"/>
        <v>·</v>
      </c>
      <c r="AG232" s="35"/>
      <c r="AH232" s="36"/>
      <c r="AI232" s="36"/>
      <c r="AJ232" s="36"/>
      <c r="AK232" s="46"/>
      <c r="AL232" s="47"/>
      <c r="AM232" s="47"/>
      <c r="AN232" s="47"/>
      <c r="AO232" s="48"/>
      <c r="AP232" s="52"/>
      <c r="AQ232" s="52"/>
      <c r="AS232" s="59" t="e">
        <f t="shared" si="82"/>
        <v>#DIV/0!</v>
      </c>
      <c r="AT232" s="59"/>
      <c r="AV232" s="60"/>
      <c r="AW232" s="60"/>
      <c r="AX232" s="60"/>
      <c r="AY232" s="64"/>
      <c r="BA232" s="60"/>
      <c r="BB232" s="60"/>
      <c r="BC232" s="60"/>
      <c r="BD232" s="64"/>
      <c r="BF232">
        <f t="shared" si="83"/>
        <v>0</v>
      </c>
      <c r="BG232">
        <f t="shared" si="84"/>
        <v>0</v>
      </c>
      <c r="BH232">
        <f t="shared" si="85"/>
        <v>0</v>
      </c>
      <c r="BI232">
        <f t="shared" si="86"/>
        <v>0</v>
      </c>
      <c r="BJ232">
        <f t="shared" si="87"/>
        <v>0</v>
      </c>
      <c r="BK232">
        <f t="shared" si="88"/>
        <v>0</v>
      </c>
      <c r="BL232">
        <f t="shared" si="89"/>
        <v>0</v>
      </c>
      <c r="BM232">
        <f t="shared" si="90"/>
        <v>0</v>
      </c>
      <c r="BN232">
        <f t="shared" si="91"/>
        <v>0</v>
      </c>
    </row>
    <row r="233" spans="1:66" x14ac:dyDescent="0.15">
      <c r="A233" s="5"/>
      <c r="B233" s="5" t="s">
        <v>166</v>
      </c>
      <c r="C233" s="6" t="s">
        <v>254</v>
      </c>
      <c r="D233" s="5">
        <v>47062018</v>
      </c>
      <c r="E233" s="7">
        <v>20</v>
      </c>
      <c r="F233" s="6">
        <v>1</v>
      </c>
      <c r="G233" s="6"/>
      <c r="I233" s="17" t="str">
        <f t="shared" si="72"/>
        <v>·</v>
      </c>
      <c r="J233" s="18" t="str">
        <f t="shared" si="73"/>
        <v>·</v>
      </c>
      <c r="K233" s="18" t="str">
        <f t="shared" si="74"/>
        <v>·</v>
      </c>
      <c r="L233" s="18" t="str">
        <f t="shared" si="75"/>
        <v>·</v>
      </c>
      <c r="M233" s="19"/>
      <c r="N233" s="18" t="str">
        <f t="shared" si="76"/>
        <v>·</v>
      </c>
      <c r="O233" s="20"/>
      <c r="P233" s="21"/>
      <c r="Q233" s="21"/>
      <c r="R233" s="21"/>
      <c r="S233" s="37"/>
      <c r="T233" s="38"/>
      <c r="U233" s="38"/>
      <c r="V233" s="38"/>
      <c r="W233" s="39"/>
      <c r="X233" s="49"/>
      <c r="Y233" s="49"/>
      <c r="AA233" s="17" t="str">
        <f t="shared" si="77"/>
        <v>·</v>
      </c>
      <c r="AB233" s="18" t="str">
        <f t="shared" si="78"/>
        <v>·</v>
      </c>
      <c r="AC233" s="18" t="str">
        <f t="shared" si="79"/>
        <v>·</v>
      </c>
      <c r="AD233" s="18" t="str">
        <f t="shared" si="80"/>
        <v>·</v>
      </c>
      <c r="AE233" s="19"/>
      <c r="AF233" s="18" t="str">
        <f t="shared" si="81"/>
        <v>·</v>
      </c>
      <c r="AG233" s="20"/>
      <c r="AH233" s="21"/>
      <c r="AI233" s="21"/>
      <c r="AJ233" s="21"/>
      <c r="AK233" s="37"/>
      <c r="AL233" s="38"/>
      <c r="AM233" s="38"/>
      <c r="AN233" s="38"/>
      <c r="AO233" s="39"/>
      <c r="AP233" s="49"/>
      <c r="AQ233" s="49"/>
      <c r="AS233" s="53" t="e">
        <f t="shared" si="82"/>
        <v>#DIV/0!</v>
      </c>
      <c r="AT233" s="53" t="e">
        <f t="array" ref="AT233">AVERAGE(AI233:AI238/AH233:AH238)-AVERAGE(Q233:Q238/P233:P238)</f>
        <v>#DIV/0!</v>
      </c>
      <c r="AV233" s="54" t="str">
        <f>IF(OR(ISBLANK(R233:R238),ISBLANK(AJ233:AJ238),ISBLANK(T233:T238),ISBLANK(AL233:AL238)),"·",bdRateExtend(R233:R238,T233:T238,AJ233:AJ238,AL233:AL238))</f>
        <v>·</v>
      </c>
      <c r="AW233" s="54" t="str">
        <f>IF(OR(ISBLANK(R233:R238),ISBLANK(AJ233:AJ238),ISBLANK(U233:U238),ISBLANK(AM233:AM238)),"·",bdRateExtend(R233:R238,U233:U238,AJ233:AJ238,AM233:AM238))</f>
        <v>·</v>
      </c>
      <c r="AX233" s="54" t="str">
        <f>IF(OR(ISBLANK(R233:R238),ISBLANK(AJ233:AJ238),ISBLANK(V233:V238),ISBLANK(AN233:AN238)),"·",bdRateExtend(R233:R238,V233:V238,AJ233:AJ238,AN233:AN238))</f>
        <v>·</v>
      </c>
      <c r="AY233" s="61"/>
      <c r="BA233" s="54" t="str">
        <f>IF(OR(ISBLANK(P233:P238),ISBLANK(AH233:AH238),ISBLANK(T233:T238),ISBLANK(AL233:AL238)),"·",bdRateExtend(P233:P238,T233:T238,AH233:AH238,AL233:AL238))</f>
        <v>·</v>
      </c>
      <c r="BB233" s="54" t="str">
        <f>IF(OR(ISBLANK(P233:P238),ISBLANK(AH233:AH238),ISBLANK(U233:U238),ISBLANK(AM233:AM238)),"·",bdRateExtend(P233:P238,U233:U238,AH233:AH238,AM233:AM238))</f>
        <v>·</v>
      </c>
      <c r="BC233" s="54" t="str">
        <f>IF(OR(ISBLANK(P233:P238),ISBLANK(AH233:AH238),ISBLANK(V233:V238),ISBLANK(AN233:AN238)),"·",bdRateExtend(P233:P238,V233:V238,AH233:AH238,AN233:AN238))</f>
        <v>·</v>
      </c>
      <c r="BD233" s="61"/>
      <c r="BF233">
        <f t="shared" si="83"/>
        <v>0</v>
      </c>
      <c r="BG233">
        <f t="shared" si="84"/>
        <v>0</v>
      </c>
      <c r="BH233">
        <f t="shared" si="85"/>
        <v>0</v>
      </c>
      <c r="BI233">
        <f t="shared" si="86"/>
        <v>0</v>
      </c>
      <c r="BJ233">
        <f t="shared" si="87"/>
        <v>0</v>
      </c>
      <c r="BK233">
        <f t="shared" si="88"/>
        <v>0</v>
      </c>
      <c r="BL233">
        <f t="shared" si="89"/>
        <v>0</v>
      </c>
      <c r="BM233">
        <f t="shared" si="90"/>
        <v>0</v>
      </c>
      <c r="BN233">
        <f t="shared" si="91"/>
        <v>0</v>
      </c>
    </row>
    <row r="234" spans="1:66" outlineLevel="1" x14ac:dyDescent="0.15">
      <c r="A234" s="8"/>
      <c r="B234" s="8" t="s">
        <v>166</v>
      </c>
      <c r="C234" s="9" t="s">
        <v>255</v>
      </c>
      <c r="D234" s="8">
        <v>47062018</v>
      </c>
      <c r="E234" s="10">
        <v>20</v>
      </c>
      <c r="F234" s="9">
        <v>1</v>
      </c>
      <c r="G234" s="9"/>
      <c r="I234" s="22" t="str">
        <f t="shared" si="72"/>
        <v>·</v>
      </c>
      <c r="J234" s="23" t="str">
        <f t="shared" si="73"/>
        <v>·</v>
      </c>
      <c r="K234" s="23" t="str">
        <f t="shared" si="74"/>
        <v>·</v>
      </c>
      <c r="L234" s="23" t="str">
        <f t="shared" si="75"/>
        <v>·</v>
      </c>
      <c r="M234" s="24"/>
      <c r="N234" s="23" t="str">
        <f t="shared" si="76"/>
        <v>·</v>
      </c>
      <c r="O234" s="25"/>
      <c r="P234" s="26"/>
      <c r="Q234" s="26"/>
      <c r="R234" s="26"/>
      <c r="S234" s="40"/>
      <c r="T234" s="41"/>
      <c r="U234" s="41"/>
      <c r="V234" s="41"/>
      <c r="W234" s="42"/>
      <c r="X234" s="50"/>
      <c r="Y234" s="50"/>
      <c r="AA234" s="22" t="str">
        <f t="shared" si="77"/>
        <v>·</v>
      </c>
      <c r="AB234" s="23" t="str">
        <f t="shared" si="78"/>
        <v>·</v>
      </c>
      <c r="AC234" s="23" t="str">
        <f t="shared" si="79"/>
        <v>·</v>
      </c>
      <c r="AD234" s="23" t="str">
        <f t="shared" si="80"/>
        <v>·</v>
      </c>
      <c r="AE234" s="24"/>
      <c r="AF234" s="23" t="str">
        <f t="shared" si="81"/>
        <v>·</v>
      </c>
      <c r="AG234" s="25"/>
      <c r="AH234" s="26"/>
      <c r="AI234" s="26"/>
      <c r="AJ234" s="26"/>
      <c r="AK234" s="40"/>
      <c r="AL234" s="41"/>
      <c r="AM234" s="41"/>
      <c r="AN234" s="41"/>
      <c r="AO234" s="42"/>
      <c r="AP234" s="50"/>
      <c r="AQ234" s="50"/>
      <c r="AS234" s="55" t="e">
        <f t="shared" si="82"/>
        <v>#DIV/0!</v>
      </c>
      <c r="AT234" s="55"/>
      <c r="AV234" s="56"/>
      <c r="AW234" s="56"/>
      <c r="AX234" s="56"/>
      <c r="AY234" s="62"/>
      <c r="BA234" s="56"/>
      <c r="BB234" s="56"/>
      <c r="BC234" s="56"/>
      <c r="BD234" s="62"/>
      <c r="BF234">
        <f t="shared" si="83"/>
        <v>0</v>
      </c>
      <c r="BG234">
        <f t="shared" si="84"/>
        <v>0</v>
      </c>
      <c r="BH234">
        <f t="shared" si="85"/>
        <v>0</v>
      </c>
      <c r="BI234">
        <f t="shared" si="86"/>
        <v>0</v>
      </c>
      <c r="BJ234">
        <f t="shared" si="87"/>
        <v>0</v>
      </c>
      <c r="BK234">
        <f t="shared" si="88"/>
        <v>0</v>
      </c>
      <c r="BL234">
        <f t="shared" si="89"/>
        <v>0</v>
      </c>
      <c r="BM234">
        <f t="shared" si="90"/>
        <v>0</v>
      </c>
      <c r="BN234">
        <f t="shared" si="91"/>
        <v>0</v>
      </c>
    </row>
    <row r="235" spans="1:66" outlineLevel="1" x14ac:dyDescent="0.15">
      <c r="A235" s="5"/>
      <c r="B235" s="5" t="s">
        <v>166</v>
      </c>
      <c r="C235" s="6" t="s">
        <v>256</v>
      </c>
      <c r="D235" s="5">
        <v>47062018</v>
      </c>
      <c r="E235" s="7">
        <v>20</v>
      </c>
      <c r="F235" s="6">
        <v>1</v>
      </c>
      <c r="G235" s="6"/>
      <c r="I235" s="17" t="str">
        <f t="shared" si="72"/>
        <v>·</v>
      </c>
      <c r="J235" s="18" t="str">
        <f t="shared" si="73"/>
        <v>·</v>
      </c>
      <c r="K235" s="18" t="str">
        <f t="shared" si="74"/>
        <v>·</v>
      </c>
      <c r="L235" s="18" t="str">
        <f t="shared" si="75"/>
        <v>·</v>
      </c>
      <c r="M235" s="19"/>
      <c r="N235" s="18" t="str">
        <f t="shared" si="76"/>
        <v>·</v>
      </c>
      <c r="O235" s="20"/>
      <c r="P235" s="21"/>
      <c r="Q235" s="21"/>
      <c r="R235" s="21"/>
      <c r="S235" s="37"/>
      <c r="T235" s="38"/>
      <c r="U235" s="38"/>
      <c r="V235" s="38"/>
      <c r="W235" s="39"/>
      <c r="X235" s="49"/>
      <c r="Y235" s="49"/>
      <c r="AA235" s="17" t="str">
        <f t="shared" si="77"/>
        <v>·</v>
      </c>
      <c r="AB235" s="18" t="str">
        <f t="shared" si="78"/>
        <v>·</v>
      </c>
      <c r="AC235" s="18" t="str">
        <f t="shared" si="79"/>
        <v>·</v>
      </c>
      <c r="AD235" s="18" t="str">
        <f t="shared" si="80"/>
        <v>·</v>
      </c>
      <c r="AE235" s="19"/>
      <c r="AF235" s="18" t="str">
        <f t="shared" si="81"/>
        <v>·</v>
      </c>
      <c r="AG235" s="20"/>
      <c r="AH235" s="21"/>
      <c r="AI235" s="21"/>
      <c r="AJ235" s="21"/>
      <c r="AK235" s="37"/>
      <c r="AL235" s="38"/>
      <c r="AM235" s="38"/>
      <c r="AN235" s="38"/>
      <c r="AO235" s="39"/>
      <c r="AP235" s="49"/>
      <c r="AQ235" s="49"/>
      <c r="AS235" s="53" t="e">
        <f t="shared" si="82"/>
        <v>#DIV/0!</v>
      </c>
      <c r="AT235" s="53"/>
      <c r="AV235" s="54"/>
      <c r="AW235" s="54"/>
      <c r="AX235" s="54"/>
      <c r="AY235" s="61"/>
      <c r="BA235" s="54"/>
      <c r="BB235" s="54"/>
      <c r="BC235" s="54"/>
      <c r="BD235" s="61"/>
      <c r="BF235">
        <f t="shared" si="83"/>
        <v>0</v>
      </c>
      <c r="BG235">
        <f t="shared" si="84"/>
        <v>0</v>
      </c>
      <c r="BH235">
        <f t="shared" si="85"/>
        <v>0</v>
      </c>
      <c r="BI235">
        <f t="shared" si="86"/>
        <v>0</v>
      </c>
      <c r="BJ235">
        <f t="shared" si="87"/>
        <v>0</v>
      </c>
      <c r="BK235">
        <f t="shared" si="88"/>
        <v>0</v>
      </c>
      <c r="BL235">
        <f t="shared" si="89"/>
        <v>0</v>
      </c>
      <c r="BM235">
        <f t="shared" si="90"/>
        <v>0</v>
      </c>
      <c r="BN235">
        <f t="shared" si="91"/>
        <v>0</v>
      </c>
    </row>
    <row r="236" spans="1:66" outlineLevel="1" x14ac:dyDescent="0.15">
      <c r="A236" s="8"/>
      <c r="B236" s="8" t="s">
        <v>166</v>
      </c>
      <c r="C236" s="9" t="s">
        <v>257</v>
      </c>
      <c r="D236" s="8">
        <v>47062018</v>
      </c>
      <c r="E236" s="10">
        <v>20</v>
      </c>
      <c r="F236" s="9">
        <v>1</v>
      </c>
      <c r="G236" s="9"/>
      <c r="I236" s="22" t="str">
        <f t="shared" si="72"/>
        <v>·</v>
      </c>
      <c r="J236" s="23" t="str">
        <f t="shared" si="73"/>
        <v>·</v>
      </c>
      <c r="K236" s="23" t="str">
        <f t="shared" si="74"/>
        <v>·</v>
      </c>
      <c r="L236" s="23" t="str">
        <f t="shared" si="75"/>
        <v>·</v>
      </c>
      <c r="M236" s="24"/>
      <c r="N236" s="23" t="str">
        <f t="shared" si="76"/>
        <v>·</v>
      </c>
      <c r="O236" s="25"/>
      <c r="P236" s="26"/>
      <c r="Q236" s="26"/>
      <c r="R236" s="26"/>
      <c r="S236" s="40"/>
      <c r="T236" s="41"/>
      <c r="U236" s="41"/>
      <c r="V236" s="41"/>
      <c r="W236" s="42"/>
      <c r="X236" s="50"/>
      <c r="Y236" s="50"/>
      <c r="AA236" s="22" t="str">
        <f t="shared" si="77"/>
        <v>·</v>
      </c>
      <c r="AB236" s="23" t="str">
        <f t="shared" si="78"/>
        <v>·</v>
      </c>
      <c r="AC236" s="23" t="str">
        <f t="shared" si="79"/>
        <v>·</v>
      </c>
      <c r="AD236" s="23" t="str">
        <f t="shared" si="80"/>
        <v>·</v>
      </c>
      <c r="AE236" s="24"/>
      <c r="AF236" s="23" t="str">
        <f t="shared" si="81"/>
        <v>·</v>
      </c>
      <c r="AG236" s="25"/>
      <c r="AH236" s="26"/>
      <c r="AI236" s="26"/>
      <c r="AJ236" s="26"/>
      <c r="AK236" s="40"/>
      <c r="AL236" s="41"/>
      <c r="AM236" s="41"/>
      <c r="AN236" s="41"/>
      <c r="AO236" s="42"/>
      <c r="AP236" s="50"/>
      <c r="AQ236" s="50"/>
      <c r="AS236" s="55" t="e">
        <f t="shared" si="82"/>
        <v>#DIV/0!</v>
      </c>
      <c r="AT236" s="55"/>
      <c r="AV236" s="56"/>
      <c r="AW236" s="56"/>
      <c r="AX236" s="56"/>
      <c r="AY236" s="62"/>
      <c r="BA236" s="56"/>
      <c r="BB236" s="56"/>
      <c r="BC236" s="56"/>
      <c r="BD236" s="62"/>
      <c r="BF236">
        <f t="shared" si="83"/>
        <v>0</v>
      </c>
      <c r="BG236">
        <f t="shared" si="84"/>
        <v>0</v>
      </c>
      <c r="BH236">
        <f t="shared" si="85"/>
        <v>0</v>
      </c>
      <c r="BI236">
        <f t="shared" si="86"/>
        <v>0</v>
      </c>
      <c r="BJ236">
        <f t="shared" si="87"/>
        <v>0</v>
      </c>
      <c r="BK236">
        <f t="shared" si="88"/>
        <v>0</v>
      </c>
      <c r="BL236">
        <f t="shared" si="89"/>
        <v>0</v>
      </c>
      <c r="BM236">
        <f t="shared" si="90"/>
        <v>0</v>
      </c>
      <c r="BN236">
        <f t="shared" si="91"/>
        <v>0</v>
      </c>
    </row>
    <row r="237" spans="1:66" outlineLevel="1" x14ac:dyDescent="0.15">
      <c r="A237" s="5"/>
      <c r="B237" s="5" t="s">
        <v>166</v>
      </c>
      <c r="C237" s="6" t="s">
        <v>258</v>
      </c>
      <c r="D237" s="5">
        <v>47062018</v>
      </c>
      <c r="E237" s="7">
        <v>20</v>
      </c>
      <c r="F237" s="6">
        <v>1</v>
      </c>
      <c r="G237" s="6"/>
      <c r="I237" s="17" t="str">
        <f t="shared" si="72"/>
        <v>·</v>
      </c>
      <c r="J237" s="18" t="str">
        <f t="shared" si="73"/>
        <v>·</v>
      </c>
      <c r="K237" s="18" t="str">
        <f t="shared" si="74"/>
        <v>·</v>
      </c>
      <c r="L237" s="18" t="str">
        <f t="shared" si="75"/>
        <v>·</v>
      </c>
      <c r="M237" s="19"/>
      <c r="N237" s="18" t="str">
        <f t="shared" si="76"/>
        <v>·</v>
      </c>
      <c r="O237" s="20"/>
      <c r="P237" s="21"/>
      <c r="Q237" s="21"/>
      <c r="R237" s="21"/>
      <c r="S237" s="37"/>
      <c r="T237" s="38"/>
      <c r="U237" s="38"/>
      <c r="V237" s="38"/>
      <c r="W237" s="39"/>
      <c r="X237" s="49"/>
      <c r="Y237" s="49"/>
      <c r="AA237" s="17" t="str">
        <f t="shared" si="77"/>
        <v>·</v>
      </c>
      <c r="AB237" s="18" t="str">
        <f t="shared" si="78"/>
        <v>·</v>
      </c>
      <c r="AC237" s="18" t="str">
        <f t="shared" si="79"/>
        <v>·</v>
      </c>
      <c r="AD237" s="18" t="str">
        <f t="shared" si="80"/>
        <v>·</v>
      </c>
      <c r="AE237" s="19"/>
      <c r="AF237" s="18" t="str">
        <f t="shared" si="81"/>
        <v>·</v>
      </c>
      <c r="AG237" s="20"/>
      <c r="AH237" s="21"/>
      <c r="AI237" s="21"/>
      <c r="AJ237" s="21"/>
      <c r="AK237" s="37"/>
      <c r="AL237" s="38"/>
      <c r="AM237" s="38"/>
      <c r="AN237" s="38"/>
      <c r="AO237" s="39"/>
      <c r="AP237" s="49"/>
      <c r="AQ237" s="49"/>
      <c r="AS237" s="53" t="e">
        <f t="shared" si="82"/>
        <v>#DIV/0!</v>
      </c>
      <c r="AT237" s="53"/>
      <c r="AV237" s="54"/>
      <c r="AW237" s="54"/>
      <c r="AX237" s="54"/>
      <c r="AY237" s="61"/>
      <c r="BA237" s="54"/>
      <c r="BB237" s="54"/>
      <c r="BC237" s="54"/>
      <c r="BD237" s="61"/>
      <c r="BF237">
        <f t="shared" si="83"/>
        <v>0</v>
      </c>
      <c r="BG237">
        <f t="shared" si="84"/>
        <v>0</v>
      </c>
      <c r="BH237">
        <f t="shared" si="85"/>
        <v>0</v>
      </c>
      <c r="BI237">
        <f t="shared" si="86"/>
        <v>0</v>
      </c>
      <c r="BJ237">
        <f t="shared" si="87"/>
        <v>0</v>
      </c>
      <c r="BK237">
        <f t="shared" si="88"/>
        <v>0</v>
      </c>
      <c r="BL237">
        <f t="shared" si="89"/>
        <v>0</v>
      </c>
      <c r="BM237">
        <f t="shared" si="90"/>
        <v>0</v>
      </c>
      <c r="BN237">
        <f t="shared" si="91"/>
        <v>0</v>
      </c>
    </row>
    <row r="238" spans="1:66" outlineLevel="1" x14ac:dyDescent="0.15">
      <c r="A238" s="8"/>
      <c r="B238" s="14" t="s">
        <v>166</v>
      </c>
      <c r="C238" s="15" t="s">
        <v>259</v>
      </c>
      <c r="D238" s="14">
        <v>47062018</v>
      </c>
      <c r="E238" s="16">
        <v>20</v>
      </c>
      <c r="F238" s="15">
        <v>1</v>
      </c>
      <c r="G238" s="15"/>
      <c r="I238" s="32" t="str">
        <f t="shared" si="72"/>
        <v>·</v>
      </c>
      <c r="J238" s="33" t="str">
        <f t="shared" si="73"/>
        <v>·</v>
      </c>
      <c r="K238" s="33" t="str">
        <f t="shared" si="74"/>
        <v>·</v>
      </c>
      <c r="L238" s="33" t="str">
        <f t="shared" si="75"/>
        <v>·</v>
      </c>
      <c r="M238" s="34"/>
      <c r="N238" s="33" t="str">
        <f t="shared" si="76"/>
        <v>·</v>
      </c>
      <c r="O238" s="35"/>
      <c r="P238" s="36"/>
      <c r="Q238" s="36"/>
      <c r="R238" s="36"/>
      <c r="S238" s="46"/>
      <c r="T238" s="47"/>
      <c r="U238" s="47"/>
      <c r="V238" s="47"/>
      <c r="W238" s="48"/>
      <c r="X238" s="52"/>
      <c r="Y238" s="52"/>
      <c r="AA238" s="32" t="str">
        <f t="shared" si="77"/>
        <v>·</v>
      </c>
      <c r="AB238" s="33" t="str">
        <f t="shared" si="78"/>
        <v>·</v>
      </c>
      <c r="AC238" s="33" t="str">
        <f t="shared" si="79"/>
        <v>·</v>
      </c>
      <c r="AD238" s="33" t="str">
        <f t="shared" si="80"/>
        <v>·</v>
      </c>
      <c r="AE238" s="34"/>
      <c r="AF238" s="33" t="str">
        <f t="shared" si="81"/>
        <v>·</v>
      </c>
      <c r="AG238" s="35"/>
      <c r="AH238" s="36"/>
      <c r="AI238" s="36"/>
      <c r="AJ238" s="36"/>
      <c r="AK238" s="46"/>
      <c r="AL238" s="47"/>
      <c r="AM238" s="47"/>
      <c r="AN238" s="47"/>
      <c r="AO238" s="48"/>
      <c r="AP238" s="52"/>
      <c r="AQ238" s="52"/>
      <c r="AS238" s="59" t="e">
        <f t="shared" si="82"/>
        <v>#DIV/0!</v>
      </c>
      <c r="AT238" s="59"/>
      <c r="AV238" s="60"/>
      <c r="AW238" s="60"/>
      <c r="AX238" s="60"/>
      <c r="AY238" s="64"/>
      <c r="BA238" s="60"/>
      <c r="BB238" s="60"/>
      <c r="BC238" s="60"/>
      <c r="BD238" s="64"/>
      <c r="BF238">
        <f t="shared" si="83"/>
        <v>0</v>
      </c>
      <c r="BG238">
        <f t="shared" si="84"/>
        <v>0</v>
      </c>
      <c r="BH238">
        <f t="shared" si="85"/>
        <v>0</v>
      </c>
      <c r="BI238">
        <f t="shared" si="86"/>
        <v>0</v>
      </c>
      <c r="BJ238">
        <f t="shared" si="87"/>
        <v>0</v>
      </c>
      <c r="BK238">
        <f t="shared" si="88"/>
        <v>0</v>
      </c>
      <c r="BL238">
        <f t="shared" si="89"/>
        <v>0</v>
      </c>
      <c r="BM238">
        <f t="shared" si="90"/>
        <v>0</v>
      </c>
      <c r="BN238">
        <f t="shared" si="91"/>
        <v>0</v>
      </c>
    </row>
    <row r="239" spans="1:66" x14ac:dyDescent="0.15">
      <c r="A239" s="5"/>
      <c r="B239" s="5" t="s">
        <v>167</v>
      </c>
      <c r="C239" s="6" t="s">
        <v>254</v>
      </c>
      <c r="D239" s="5">
        <v>43399204</v>
      </c>
      <c r="E239" s="7">
        <v>16</v>
      </c>
      <c r="F239" s="6">
        <v>1</v>
      </c>
      <c r="G239" s="6"/>
      <c r="I239" s="17" t="str">
        <f t="shared" si="72"/>
        <v>·</v>
      </c>
      <c r="J239" s="18" t="str">
        <f t="shared" si="73"/>
        <v>·</v>
      </c>
      <c r="K239" s="18" t="str">
        <f t="shared" si="74"/>
        <v>·</v>
      </c>
      <c r="L239" s="18" t="str">
        <f t="shared" si="75"/>
        <v>·</v>
      </c>
      <c r="M239" s="19"/>
      <c r="N239" s="18" t="str">
        <f t="shared" si="76"/>
        <v>·</v>
      </c>
      <c r="O239" s="20"/>
      <c r="P239" s="21"/>
      <c r="Q239" s="21"/>
      <c r="R239" s="21"/>
      <c r="S239" s="37"/>
      <c r="T239" s="38"/>
      <c r="U239" s="38"/>
      <c r="V239" s="38"/>
      <c r="W239" s="39"/>
      <c r="X239" s="49"/>
      <c r="Y239" s="49"/>
      <c r="AA239" s="17" t="str">
        <f t="shared" si="77"/>
        <v>·</v>
      </c>
      <c r="AB239" s="18" t="str">
        <f t="shared" si="78"/>
        <v>·</v>
      </c>
      <c r="AC239" s="18" t="str">
        <f t="shared" si="79"/>
        <v>·</v>
      </c>
      <c r="AD239" s="18" t="str">
        <f t="shared" si="80"/>
        <v>·</v>
      </c>
      <c r="AE239" s="19"/>
      <c r="AF239" s="18" t="str">
        <f t="shared" si="81"/>
        <v>·</v>
      </c>
      <c r="AG239" s="20"/>
      <c r="AH239" s="21"/>
      <c r="AI239" s="21"/>
      <c r="AJ239" s="21"/>
      <c r="AK239" s="37"/>
      <c r="AL239" s="38"/>
      <c r="AM239" s="38"/>
      <c r="AN239" s="38"/>
      <c r="AO239" s="39"/>
      <c r="AP239" s="49"/>
      <c r="AQ239" s="49"/>
      <c r="AS239" s="53" t="e">
        <f t="shared" si="82"/>
        <v>#DIV/0!</v>
      </c>
      <c r="AT239" s="53" t="e">
        <f t="array" ref="AT239">AVERAGE(AI239:AI244/AH239:AH244)-AVERAGE(Q239:Q244/P239:P244)</f>
        <v>#DIV/0!</v>
      </c>
      <c r="AV239" s="54" t="str">
        <f>IF(OR(ISBLANK(R239:R244),ISBLANK(AJ239:AJ244),ISBLANK(T239:T244),ISBLANK(AL239:AL244)),"·",bdRateExtend(R239:R244,T239:T244,AJ239:AJ244,AL239:AL244))</f>
        <v>·</v>
      </c>
      <c r="AW239" s="54" t="str">
        <f>IF(OR(ISBLANK(R239:R244),ISBLANK(AJ239:AJ244),ISBLANK(U239:U244),ISBLANK(AM239:AM244)),"·",bdRateExtend(R239:R244,U239:U244,AJ239:AJ244,AM239:AM244))</f>
        <v>·</v>
      </c>
      <c r="AX239" s="54" t="str">
        <f>IF(OR(ISBLANK(R239:R244),ISBLANK(AJ239:AJ244),ISBLANK(V239:V244),ISBLANK(AN239:AN244)),"·",bdRateExtend(R239:R244,V239:V244,AJ239:AJ244,AN239:AN244))</f>
        <v>·</v>
      </c>
      <c r="AY239" s="61"/>
      <c r="BA239" s="54" t="str">
        <f>IF(OR(ISBLANK(P239:P244),ISBLANK(AH239:AH244),ISBLANK(T239:T244),ISBLANK(AL239:AL244)),"·",bdRateExtend(P239:P244,T239:T244,AH239:AH244,AL239:AL244))</f>
        <v>·</v>
      </c>
      <c r="BB239" s="54" t="str">
        <f>IF(OR(ISBLANK(P239:P244),ISBLANK(AH239:AH244),ISBLANK(U239:U244),ISBLANK(AM239:AM244)),"·",bdRateExtend(P239:P244,U239:U244,AH239:AH244,AM239:AM244))</f>
        <v>·</v>
      </c>
      <c r="BC239" s="54" t="str">
        <f>IF(OR(ISBLANK(P239:P244),ISBLANK(AH239:AH244),ISBLANK(V239:V244),ISBLANK(AN239:AN244)),"·",bdRateExtend(P239:P244,V239:V244,AH239:AH244,AN239:AN244))</f>
        <v>·</v>
      </c>
      <c r="BD239" s="61"/>
      <c r="BF239">
        <f t="shared" si="83"/>
        <v>0</v>
      </c>
      <c r="BG239">
        <f t="shared" si="84"/>
        <v>0</v>
      </c>
      <c r="BH239">
        <f t="shared" si="85"/>
        <v>0</v>
      </c>
      <c r="BI239">
        <f t="shared" si="86"/>
        <v>0</v>
      </c>
      <c r="BJ239">
        <f t="shared" si="87"/>
        <v>0</v>
      </c>
      <c r="BK239">
        <f t="shared" si="88"/>
        <v>0</v>
      </c>
      <c r="BL239">
        <f t="shared" si="89"/>
        <v>0</v>
      </c>
      <c r="BM239">
        <f t="shared" si="90"/>
        <v>0</v>
      </c>
      <c r="BN239">
        <f t="shared" si="91"/>
        <v>0</v>
      </c>
    </row>
    <row r="240" spans="1:66" outlineLevel="1" x14ac:dyDescent="0.15">
      <c r="A240" s="8"/>
      <c r="B240" s="8" t="s">
        <v>167</v>
      </c>
      <c r="C240" s="9" t="s">
        <v>255</v>
      </c>
      <c r="D240" s="8">
        <v>43399204</v>
      </c>
      <c r="E240" s="10">
        <v>16</v>
      </c>
      <c r="F240" s="9">
        <v>1</v>
      </c>
      <c r="G240" s="9"/>
      <c r="I240" s="22" t="str">
        <f t="shared" si="72"/>
        <v>·</v>
      </c>
      <c r="J240" s="23" t="str">
        <f t="shared" si="73"/>
        <v>·</v>
      </c>
      <c r="K240" s="23" t="str">
        <f t="shared" si="74"/>
        <v>·</v>
      </c>
      <c r="L240" s="23" t="str">
        <f t="shared" si="75"/>
        <v>·</v>
      </c>
      <c r="M240" s="24"/>
      <c r="N240" s="23" t="str">
        <f t="shared" si="76"/>
        <v>·</v>
      </c>
      <c r="O240" s="25"/>
      <c r="P240" s="26"/>
      <c r="Q240" s="26"/>
      <c r="R240" s="26"/>
      <c r="S240" s="40"/>
      <c r="T240" s="41"/>
      <c r="U240" s="41"/>
      <c r="V240" s="41"/>
      <c r="W240" s="42"/>
      <c r="X240" s="50"/>
      <c r="Y240" s="50"/>
      <c r="AA240" s="22" t="str">
        <f t="shared" si="77"/>
        <v>·</v>
      </c>
      <c r="AB240" s="23" t="str">
        <f t="shared" si="78"/>
        <v>·</v>
      </c>
      <c r="AC240" s="23" t="str">
        <f t="shared" si="79"/>
        <v>·</v>
      </c>
      <c r="AD240" s="23" t="str">
        <f t="shared" si="80"/>
        <v>·</v>
      </c>
      <c r="AE240" s="24"/>
      <c r="AF240" s="23" t="str">
        <f t="shared" si="81"/>
        <v>·</v>
      </c>
      <c r="AG240" s="25"/>
      <c r="AH240" s="26"/>
      <c r="AI240" s="26"/>
      <c r="AJ240" s="26"/>
      <c r="AK240" s="40"/>
      <c r="AL240" s="41"/>
      <c r="AM240" s="41"/>
      <c r="AN240" s="41"/>
      <c r="AO240" s="42"/>
      <c r="AP240" s="50"/>
      <c r="AQ240" s="50"/>
      <c r="AS240" s="55" t="e">
        <f t="shared" si="82"/>
        <v>#DIV/0!</v>
      </c>
      <c r="AT240" s="55"/>
      <c r="AV240" s="56"/>
      <c r="AW240" s="56"/>
      <c r="AX240" s="56"/>
      <c r="AY240" s="62"/>
      <c r="BA240" s="56"/>
      <c r="BB240" s="56"/>
      <c r="BC240" s="56"/>
      <c r="BD240" s="62"/>
      <c r="BF240">
        <f t="shared" si="83"/>
        <v>0</v>
      </c>
      <c r="BG240">
        <f t="shared" si="84"/>
        <v>0</v>
      </c>
      <c r="BH240">
        <f t="shared" si="85"/>
        <v>0</v>
      </c>
      <c r="BI240">
        <f t="shared" si="86"/>
        <v>0</v>
      </c>
      <c r="BJ240">
        <f t="shared" si="87"/>
        <v>0</v>
      </c>
      <c r="BK240">
        <f t="shared" si="88"/>
        <v>0</v>
      </c>
      <c r="BL240">
        <f t="shared" si="89"/>
        <v>0</v>
      </c>
      <c r="BM240">
        <f t="shared" si="90"/>
        <v>0</v>
      </c>
      <c r="BN240">
        <f t="shared" si="91"/>
        <v>0</v>
      </c>
    </row>
    <row r="241" spans="1:66" outlineLevel="1" x14ac:dyDescent="0.15">
      <c r="A241" s="5"/>
      <c r="B241" s="5" t="s">
        <v>167</v>
      </c>
      <c r="C241" s="6" t="s">
        <v>256</v>
      </c>
      <c r="D241" s="5">
        <v>43399204</v>
      </c>
      <c r="E241" s="7">
        <v>16</v>
      </c>
      <c r="F241" s="6">
        <v>1</v>
      </c>
      <c r="G241" s="6"/>
      <c r="I241" s="17" t="str">
        <f t="shared" si="72"/>
        <v>·</v>
      </c>
      <c r="J241" s="18" t="str">
        <f t="shared" si="73"/>
        <v>·</v>
      </c>
      <c r="K241" s="18" t="str">
        <f t="shared" si="74"/>
        <v>·</v>
      </c>
      <c r="L241" s="18" t="str">
        <f t="shared" si="75"/>
        <v>·</v>
      </c>
      <c r="M241" s="19"/>
      <c r="N241" s="18" t="str">
        <f t="shared" si="76"/>
        <v>·</v>
      </c>
      <c r="O241" s="20"/>
      <c r="P241" s="21"/>
      <c r="Q241" s="21"/>
      <c r="R241" s="21"/>
      <c r="S241" s="37"/>
      <c r="T241" s="38"/>
      <c r="U241" s="38"/>
      <c r="V241" s="38"/>
      <c r="W241" s="39"/>
      <c r="X241" s="49"/>
      <c r="Y241" s="49"/>
      <c r="AA241" s="17" t="str">
        <f t="shared" si="77"/>
        <v>·</v>
      </c>
      <c r="AB241" s="18" t="str">
        <f t="shared" si="78"/>
        <v>·</v>
      </c>
      <c r="AC241" s="18" t="str">
        <f t="shared" si="79"/>
        <v>·</v>
      </c>
      <c r="AD241" s="18" t="str">
        <f t="shared" si="80"/>
        <v>·</v>
      </c>
      <c r="AE241" s="19"/>
      <c r="AF241" s="18" t="str">
        <f t="shared" si="81"/>
        <v>·</v>
      </c>
      <c r="AG241" s="20"/>
      <c r="AH241" s="21"/>
      <c r="AI241" s="21"/>
      <c r="AJ241" s="21"/>
      <c r="AK241" s="37"/>
      <c r="AL241" s="38"/>
      <c r="AM241" s="38"/>
      <c r="AN241" s="38"/>
      <c r="AO241" s="39"/>
      <c r="AP241" s="49"/>
      <c r="AQ241" s="49"/>
      <c r="AS241" s="53" t="e">
        <f t="shared" si="82"/>
        <v>#DIV/0!</v>
      </c>
      <c r="AT241" s="53"/>
      <c r="AV241" s="54"/>
      <c r="AW241" s="54"/>
      <c r="AX241" s="54"/>
      <c r="AY241" s="61"/>
      <c r="BA241" s="54"/>
      <c r="BB241" s="54"/>
      <c r="BC241" s="54"/>
      <c r="BD241" s="61"/>
      <c r="BF241">
        <f t="shared" si="83"/>
        <v>0</v>
      </c>
      <c r="BG241">
        <f t="shared" si="84"/>
        <v>0</v>
      </c>
      <c r="BH241">
        <f t="shared" si="85"/>
        <v>0</v>
      </c>
      <c r="BI241">
        <f t="shared" si="86"/>
        <v>0</v>
      </c>
      <c r="BJ241">
        <f t="shared" si="87"/>
        <v>0</v>
      </c>
      <c r="BK241">
        <f t="shared" si="88"/>
        <v>0</v>
      </c>
      <c r="BL241">
        <f t="shared" si="89"/>
        <v>0</v>
      </c>
      <c r="BM241">
        <f t="shared" si="90"/>
        <v>0</v>
      </c>
      <c r="BN241">
        <f t="shared" si="91"/>
        <v>0</v>
      </c>
    </row>
    <row r="242" spans="1:66" outlineLevel="1" x14ac:dyDescent="0.15">
      <c r="A242" s="8"/>
      <c r="B242" s="8" t="s">
        <v>167</v>
      </c>
      <c r="C242" s="9" t="s">
        <v>257</v>
      </c>
      <c r="D242" s="8">
        <v>43399204</v>
      </c>
      <c r="E242" s="10">
        <v>16</v>
      </c>
      <c r="F242" s="9">
        <v>1</v>
      </c>
      <c r="G242" s="9"/>
      <c r="I242" s="22" t="str">
        <f t="shared" si="72"/>
        <v>·</v>
      </c>
      <c r="J242" s="23" t="str">
        <f t="shared" si="73"/>
        <v>·</v>
      </c>
      <c r="K242" s="23" t="str">
        <f t="shared" si="74"/>
        <v>·</v>
      </c>
      <c r="L242" s="23" t="str">
        <f t="shared" si="75"/>
        <v>·</v>
      </c>
      <c r="M242" s="24"/>
      <c r="N242" s="23" t="str">
        <f t="shared" si="76"/>
        <v>·</v>
      </c>
      <c r="O242" s="25"/>
      <c r="P242" s="26"/>
      <c r="Q242" s="26"/>
      <c r="R242" s="26"/>
      <c r="S242" s="40"/>
      <c r="T242" s="41"/>
      <c r="U242" s="41"/>
      <c r="V242" s="41"/>
      <c r="W242" s="42"/>
      <c r="X242" s="50"/>
      <c r="Y242" s="50"/>
      <c r="AA242" s="22" t="str">
        <f t="shared" si="77"/>
        <v>·</v>
      </c>
      <c r="AB242" s="23" t="str">
        <f t="shared" si="78"/>
        <v>·</v>
      </c>
      <c r="AC242" s="23" t="str">
        <f t="shared" si="79"/>
        <v>·</v>
      </c>
      <c r="AD242" s="23" t="str">
        <f t="shared" si="80"/>
        <v>·</v>
      </c>
      <c r="AE242" s="24"/>
      <c r="AF242" s="23" t="str">
        <f t="shared" si="81"/>
        <v>·</v>
      </c>
      <c r="AG242" s="25"/>
      <c r="AH242" s="26"/>
      <c r="AI242" s="26"/>
      <c r="AJ242" s="26"/>
      <c r="AK242" s="40"/>
      <c r="AL242" s="41"/>
      <c r="AM242" s="41"/>
      <c r="AN242" s="41"/>
      <c r="AO242" s="42"/>
      <c r="AP242" s="50"/>
      <c r="AQ242" s="50"/>
      <c r="AS242" s="55" t="e">
        <f t="shared" si="82"/>
        <v>#DIV/0!</v>
      </c>
      <c r="AT242" s="55"/>
      <c r="AV242" s="56"/>
      <c r="AW242" s="56"/>
      <c r="AX242" s="56"/>
      <c r="AY242" s="62"/>
      <c r="BA242" s="56"/>
      <c r="BB242" s="56"/>
      <c r="BC242" s="56"/>
      <c r="BD242" s="62"/>
      <c r="BF242">
        <f t="shared" si="83"/>
        <v>0</v>
      </c>
      <c r="BG242">
        <f t="shared" si="84"/>
        <v>0</v>
      </c>
      <c r="BH242">
        <f t="shared" si="85"/>
        <v>0</v>
      </c>
      <c r="BI242">
        <f t="shared" si="86"/>
        <v>0</v>
      </c>
      <c r="BJ242">
        <f t="shared" si="87"/>
        <v>0</v>
      </c>
      <c r="BK242">
        <f t="shared" si="88"/>
        <v>0</v>
      </c>
      <c r="BL242">
        <f t="shared" si="89"/>
        <v>0</v>
      </c>
      <c r="BM242">
        <f t="shared" si="90"/>
        <v>0</v>
      </c>
      <c r="BN242">
        <f t="shared" si="91"/>
        <v>0</v>
      </c>
    </row>
    <row r="243" spans="1:66" outlineLevel="1" x14ac:dyDescent="0.15">
      <c r="A243" s="5"/>
      <c r="B243" s="5" t="s">
        <v>167</v>
      </c>
      <c r="C243" s="6" t="s">
        <v>258</v>
      </c>
      <c r="D243" s="5">
        <v>43399204</v>
      </c>
      <c r="E243" s="7">
        <v>16</v>
      </c>
      <c r="F243" s="6">
        <v>1</v>
      </c>
      <c r="G243" s="6"/>
      <c r="I243" s="17" t="str">
        <f t="shared" si="72"/>
        <v>·</v>
      </c>
      <c r="J243" s="18" t="str">
        <f t="shared" si="73"/>
        <v>·</v>
      </c>
      <c r="K243" s="18" t="str">
        <f t="shared" si="74"/>
        <v>·</v>
      </c>
      <c r="L243" s="18" t="str">
        <f t="shared" si="75"/>
        <v>·</v>
      </c>
      <c r="M243" s="19"/>
      <c r="N243" s="18" t="str">
        <f t="shared" si="76"/>
        <v>·</v>
      </c>
      <c r="O243" s="20"/>
      <c r="P243" s="21"/>
      <c r="Q243" s="21"/>
      <c r="R243" s="21"/>
      <c r="S243" s="37"/>
      <c r="T243" s="38"/>
      <c r="U243" s="38"/>
      <c r="V243" s="38"/>
      <c r="W243" s="39"/>
      <c r="X243" s="49"/>
      <c r="Y243" s="49"/>
      <c r="AA243" s="17" t="str">
        <f t="shared" si="77"/>
        <v>·</v>
      </c>
      <c r="AB243" s="18" t="str">
        <f t="shared" si="78"/>
        <v>·</v>
      </c>
      <c r="AC243" s="18" t="str">
        <f t="shared" si="79"/>
        <v>·</v>
      </c>
      <c r="AD243" s="18" t="str">
        <f t="shared" si="80"/>
        <v>·</v>
      </c>
      <c r="AE243" s="19"/>
      <c r="AF243" s="18" t="str">
        <f t="shared" si="81"/>
        <v>·</v>
      </c>
      <c r="AG243" s="20"/>
      <c r="AH243" s="21"/>
      <c r="AI243" s="21"/>
      <c r="AJ243" s="21"/>
      <c r="AK243" s="37"/>
      <c r="AL243" s="38"/>
      <c r="AM243" s="38"/>
      <c r="AN243" s="38"/>
      <c r="AO243" s="39"/>
      <c r="AP243" s="49"/>
      <c r="AQ243" s="49"/>
      <c r="AS243" s="53" t="e">
        <f t="shared" si="82"/>
        <v>#DIV/0!</v>
      </c>
      <c r="AT243" s="53"/>
      <c r="AV243" s="54"/>
      <c r="AW243" s="54"/>
      <c r="AX243" s="54"/>
      <c r="AY243" s="61"/>
      <c r="BA243" s="54"/>
      <c r="BB243" s="54"/>
      <c r="BC243" s="54"/>
      <c r="BD243" s="61"/>
      <c r="BF243">
        <f t="shared" si="83"/>
        <v>0</v>
      </c>
      <c r="BG243">
        <f t="shared" si="84"/>
        <v>0</v>
      </c>
      <c r="BH243">
        <f t="shared" si="85"/>
        <v>0</v>
      </c>
      <c r="BI243">
        <f t="shared" si="86"/>
        <v>0</v>
      </c>
      <c r="BJ243">
        <f t="shared" si="87"/>
        <v>0</v>
      </c>
      <c r="BK243">
        <f t="shared" si="88"/>
        <v>0</v>
      </c>
      <c r="BL243">
        <f t="shared" si="89"/>
        <v>0</v>
      </c>
      <c r="BM243">
        <f t="shared" si="90"/>
        <v>0</v>
      </c>
      <c r="BN243">
        <f t="shared" si="91"/>
        <v>0</v>
      </c>
    </row>
    <row r="244" spans="1:66" outlineLevel="1" x14ac:dyDescent="0.15">
      <c r="A244" s="8"/>
      <c r="B244" s="14" t="s">
        <v>167</v>
      </c>
      <c r="C244" s="15" t="s">
        <v>259</v>
      </c>
      <c r="D244" s="14">
        <v>43399204</v>
      </c>
      <c r="E244" s="16">
        <v>16</v>
      </c>
      <c r="F244" s="15">
        <v>1</v>
      </c>
      <c r="G244" s="15"/>
      <c r="I244" s="32" t="str">
        <f t="shared" si="72"/>
        <v>·</v>
      </c>
      <c r="J244" s="33" t="str">
        <f t="shared" si="73"/>
        <v>·</v>
      </c>
      <c r="K244" s="33" t="str">
        <f t="shared" si="74"/>
        <v>·</v>
      </c>
      <c r="L244" s="33" t="str">
        <f t="shared" si="75"/>
        <v>·</v>
      </c>
      <c r="M244" s="34"/>
      <c r="N244" s="33" t="str">
        <f t="shared" si="76"/>
        <v>·</v>
      </c>
      <c r="O244" s="35"/>
      <c r="P244" s="36"/>
      <c r="Q244" s="36"/>
      <c r="R244" s="36"/>
      <c r="S244" s="46"/>
      <c r="T244" s="47"/>
      <c r="U244" s="47"/>
      <c r="V244" s="47"/>
      <c r="W244" s="48"/>
      <c r="X244" s="52"/>
      <c r="Y244" s="52"/>
      <c r="AA244" s="32" t="str">
        <f t="shared" si="77"/>
        <v>·</v>
      </c>
      <c r="AB244" s="33" t="str">
        <f t="shared" si="78"/>
        <v>·</v>
      </c>
      <c r="AC244" s="33" t="str">
        <f t="shared" si="79"/>
        <v>·</v>
      </c>
      <c r="AD244" s="33" t="str">
        <f t="shared" si="80"/>
        <v>·</v>
      </c>
      <c r="AE244" s="34"/>
      <c r="AF244" s="33" t="str">
        <f t="shared" si="81"/>
        <v>·</v>
      </c>
      <c r="AG244" s="35"/>
      <c r="AH244" s="36"/>
      <c r="AI244" s="36"/>
      <c r="AJ244" s="36"/>
      <c r="AK244" s="46"/>
      <c r="AL244" s="47"/>
      <c r="AM244" s="47"/>
      <c r="AN244" s="47"/>
      <c r="AO244" s="48"/>
      <c r="AP244" s="52"/>
      <c r="AQ244" s="52"/>
      <c r="AS244" s="59" t="e">
        <f t="shared" si="82"/>
        <v>#DIV/0!</v>
      </c>
      <c r="AT244" s="59"/>
      <c r="AV244" s="60"/>
      <c r="AW244" s="60"/>
      <c r="AX244" s="60"/>
      <c r="AY244" s="64"/>
      <c r="BA244" s="60"/>
      <c r="BB244" s="60"/>
      <c r="BC244" s="60"/>
      <c r="BD244" s="64"/>
      <c r="BF244">
        <f t="shared" si="83"/>
        <v>0</v>
      </c>
      <c r="BG244">
        <f t="shared" si="84"/>
        <v>0</v>
      </c>
      <c r="BH244">
        <f t="shared" si="85"/>
        <v>0</v>
      </c>
      <c r="BI244">
        <f t="shared" si="86"/>
        <v>0</v>
      </c>
      <c r="BJ244">
        <f t="shared" si="87"/>
        <v>0</v>
      </c>
      <c r="BK244">
        <f t="shared" si="88"/>
        <v>0</v>
      </c>
      <c r="BL244">
        <f t="shared" si="89"/>
        <v>0</v>
      </c>
      <c r="BM244">
        <f t="shared" si="90"/>
        <v>0</v>
      </c>
      <c r="BN244">
        <f t="shared" si="91"/>
        <v>0</v>
      </c>
    </row>
    <row r="245" spans="1:66" x14ac:dyDescent="0.15">
      <c r="A245" s="5"/>
      <c r="B245" s="5" t="s">
        <v>168</v>
      </c>
      <c r="C245" s="6" t="s">
        <v>254</v>
      </c>
      <c r="D245" s="5">
        <v>43399207</v>
      </c>
      <c r="E245" s="7">
        <v>20</v>
      </c>
      <c r="F245" s="6">
        <v>1</v>
      </c>
      <c r="G245" s="6"/>
      <c r="I245" s="17" t="str">
        <f t="shared" si="72"/>
        <v>·</v>
      </c>
      <c r="J245" s="18" t="str">
        <f t="shared" si="73"/>
        <v>·</v>
      </c>
      <c r="K245" s="18" t="str">
        <f t="shared" si="74"/>
        <v>·</v>
      </c>
      <c r="L245" s="18" t="str">
        <f t="shared" si="75"/>
        <v>·</v>
      </c>
      <c r="M245" s="19"/>
      <c r="N245" s="18" t="str">
        <f t="shared" si="76"/>
        <v>·</v>
      </c>
      <c r="O245" s="20"/>
      <c r="P245" s="21"/>
      <c r="Q245" s="21"/>
      <c r="R245" s="21"/>
      <c r="S245" s="37"/>
      <c r="T245" s="38"/>
      <c r="U245" s="38"/>
      <c r="V245" s="38"/>
      <c r="W245" s="39"/>
      <c r="X245" s="49"/>
      <c r="Y245" s="49"/>
      <c r="AA245" s="17" t="str">
        <f t="shared" si="77"/>
        <v>·</v>
      </c>
      <c r="AB245" s="18" t="str">
        <f t="shared" si="78"/>
        <v>·</v>
      </c>
      <c r="AC245" s="18" t="str">
        <f t="shared" si="79"/>
        <v>·</v>
      </c>
      <c r="AD245" s="18" t="str">
        <f t="shared" si="80"/>
        <v>·</v>
      </c>
      <c r="AE245" s="19"/>
      <c r="AF245" s="18" t="str">
        <f t="shared" si="81"/>
        <v>·</v>
      </c>
      <c r="AG245" s="20"/>
      <c r="AH245" s="21"/>
      <c r="AI245" s="21"/>
      <c r="AJ245" s="21"/>
      <c r="AK245" s="37"/>
      <c r="AL245" s="38"/>
      <c r="AM245" s="38"/>
      <c r="AN245" s="38"/>
      <c r="AO245" s="39"/>
      <c r="AP245" s="49"/>
      <c r="AQ245" s="49"/>
      <c r="AS245" s="53" t="e">
        <f t="shared" si="82"/>
        <v>#DIV/0!</v>
      </c>
      <c r="AT245" s="53" t="e">
        <f t="array" ref="AT245">AVERAGE(AI245:AI250/AH245:AH250)-AVERAGE(Q245:Q250/P245:P250)</f>
        <v>#DIV/0!</v>
      </c>
      <c r="AV245" s="54" t="str">
        <f>IF(OR(ISBLANK(R245:R250),ISBLANK(AJ245:AJ250),ISBLANK(T245:T250),ISBLANK(AL245:AL250)),"·",bdRateExtend(R245:R250,T245:T250,AJ245:AJ250,AL245:AL250))</f>
        <v>·</v>
      </c>
      <c r="AW245" s="54" t="str">
        <f>IF(OR(ISBLANK(R245:R250),ISBLANK(AJ245:AJ250),ISBLANK(U245:U250),ISBLANK(AM245:AM250)),"·",bdRateExtend(R245:R250,U245:U250,AJ245:AJ250,AM245:AM250))</f>
        <v>·</v>
      </c>
      <c r="AX245" s="54" t="str">
        <f>IF(OR(ISBLANK(R245:R250),ISBLANK(AJ245:AJ250),ISBLANK(V245:V250),ISBLANK(AN245:AN250)),"·",bdRateExtend(R245:R250,V245:V250,AJ245:AJ250,AN245:AN250))</f>
        <v>·</v>
      </c>
      <c r="AY245" s="61"/>
      <c r="BA245" s="54" t="str">
        <f>IF(OR(ISBLANK(P245:P250),ISBLANK(AH245:AH250),ISBLANK(T245:T250),ISBLANK(AL245:AL250)),"·",bdRateExtend(P245:P250,T245:T250,AH245:AH250,AL245:AL250))</f>
        <v>·</v>
      </c>
      <c r="BB245" s="54" t="str">
        <f>IF(OR(ISBLANK(P245:P250),ISBLANK(AH245:AH250),ISBLANK(U245:U250),ISBLANK(AM245:AM250)),"·",bdRateExtend(P245:P250,U245:U250,AH245:AH250,AM245:AM250))</f>
        <v>·</v>
      </c>
      <c r="BC245" s="54" t="str">
        <f>IF(OR(ISBLANK(P245:P250),ISBLANK(AH245:AH250),ISBLANK(V245:V250),ISBLANK(AN245:AN250)),"·",bdRateExtend(P245:P250,V245:V250,AH245:AH250,AN245:AN250))</f>
        <v>·</v>
      </c>
      <c r="BD245" s="61"/>
      <c r="BF245">
        <f t="shared" si="83"/>
        <v>0</v>
      </c>
      <c r="BG245">
        <f t="shared" si="84"/>
        <v>0</v>
      </c>
      <c r="BH245">
        <f t="shared" si="85"/>
        <v>0</v>
      </c>
      <c r="BI245">
        <f t="shared" si="86"/>
        <v>0</v>
      </c>
      <c r="BJ245">
        <f t="shared" si="87"/>
        <v>0</v>
      </c>
      <c r="BK245">
        <f t="shared" si="88"/>
        <v>0</v>
      </c>
      <c r="BL245">
        <f t="shared" si="89"/>
        <v>0</v>
      </c>
      <c r="BM245">
        <f t="shared" si="90"/>
        <v>0</v>
      </c>
      <c r="BN245">
        <f t="shared" si="91"/>
        <v>0</v>
      </c>
    </row>
    <row r="246" spans="1:66" outlineLevel="1" x14ac:dyDescent="0.15">
      <c r="A246" s="8"/>
      <c r="B246" s="8" t="s">
        <v>168</v>
      </c>
      <c r="C246" s="9" t="s">
        <v>255</v>
      </c>
      <c r="D246" s="8">
        <v>43399207</v>
      </c>
      <c r="E246" s="10">
        <v>20</v>
      </c>
      <c r="F246" s="9">
        <v>1</v>
      </c>
      <c r="G246" s="9"/>
      <c r="I246" s="22" t="str">
        <f t="shared" si="72"/>
        <v>·</v>
      </c>
      <c r="J246" s="23" t="str">
        <f t="shared" si="73"/>
        <v>·</v>
      </c>
      <c r="K246" s="23" t="str">
        <f t="shared" si="74"/>
        <v>·</v>
      </c>
      <c r="L246" s="23" t="str">
        <f t="shared" si="75"/>
        <v>·</v>
      </c>
      <c r="M246" s="24"/>
      <c r="N246" s="23" t="str">
        <f t="shared" si="76"/>
        <v>·</v>
      </c>
      <c r="O246" s="25"/>
      <c r="P246" s="26"/>
      <c r="Q246" s="26"/>
      <c r="R246" s="26"/>
      <c r="S246" s="40"/>
      <c r="T246" s="41"/>
      <c r="U246" s="41"/>
      <c r="V246" s="41"/>
      <c r="W246" s="42"/>
      <c r="X246" s="50"/>
      <c r="Y246" s="50"/>
      <c r="AA246" s="22" t="str">
        <f t="shared" si="77"/>
        <v>·</v>
      </c>
      <c r="AB246" s="23" t="str">
        <f t="shared" si="78"/>
        <v>·</v>
      </c>
      <c r="AC246" s="23" t="str">
        <f t="shared" si="79"/>
        <v>·</v>
      </c>
      <c r="AD246" s="23" t="str">
        <f t="shared" si="80"/>
        <v>·</v>
      </c>
      <c r="AE246" s="24"/>
      <c r="AF246" s="23" t="str">
        <f t="shared" si="81"/>
        <v>·</v>
      </c>
      <c r="AG246" s="25"/>
      <c r="AH246" s="26"/>
      <c r="AI246" s="26"/>
      <c r="AJ246" s="26"/>
      <c r="AK246" s="40"/>
      <c r="AL246" s="41"/>
      <c r="AM246" s="41"/>
      <c r="AN246" s="41"/>
      <c r="AO246" s="42"/>
      <c r="AP246" s="50"/>
      <c r="AQ246" s="50"/>
      <c r="AS246" s="55" t="e">
        <f t="shared" si="82"/>
        <v>#DIV/0!</v>
      </c>
      <c r="AT246" s="55"/>
      <c r="AV246" s="56"/>
      <c r="AW246" s="56"/>
      <c r="AX246" s="56"/>
      <c r="AY246" s="62"/>
      <c r="BA246" s="56"/>
      <c r="BB246" s="56"/>
      <c r="BC246" s="56"/>
      <c r="BD246" s="62"/>
      <c r="BF246">
        <f t="shared" si="83"/>
        <v>0</v>
      </c>
      <c r="BG246">
        <f t="shared" si="84"/>
        <v>0</v>
      </c>
      <c r="BH246">
        <f t="shared" si="85"/>
        <v>0</v>
      </c>
      <c r="BI246">
        <f t="shared" si="86"/>
        <v>0</v>
      </c>
      <c r="BJ246">
        <f t="shared" si="87"/>
        <v>0</v>
      </c>
      <c r="BK246">
        <f t="shared" si="88"/>
        <v>0</v>
      </c>
      <c r="BL246">
        <f t="shared" si="89"/>
        <v>0</v>
      </c>
      <c r="BM246">
        <f t="shared" si="90"/>
        <v>0</v>
      </c>
      <c r="BN246">
        <f t="shared" si="91"/>
        <v>0</v>
      </c>
    </row>
    <row r="247" spans="1:66" outlineLevel="1" x14ac:dyDescent="0.15">
      <c r="A247" s="5"/>
      <c r="B247" s="5" t="s">
        <v>168</v>
      </c>
      <c r="C247" s="6" t="s">
        <v>256</v>
      </c>
      <c r="D247" s="5">
        <v>43399207</v>
      </c>
      <c r="E247" s="7">
        <v>20</v>
      </c>
      <c r="F247" s="6">
        <v>1</v>
      </c>
      <c r="G247" s="6"/>
      <c r="I247" s="17" t="str">
        <f t="shared" si="72"/>
        <v>·</v>
      </c>
      <c r="J247" s="18" t="str">
        <f t="shared" si="73"/>
        <v>·</v>
      </c>
      <c r="K247" s="18" t="str">
        <f t="shared" si="74"/>
        <v>·</v>
      </c>
      <c r="L247" s="18" t="str">
        <f t="shared" si="75"/>
        <v>·</v>
      </c>
      <c r="M247" s="19"/>
      <c r="N247" s="18" t="str">
        <f t="shared" si="76"/>
        <v>·</v>
      </c>
      <c r="O247" s="20"/>
      <c r="P247" s="21"/>
      <c r="Q247" s="21"/>
      <c r="R247" s="21"/>
      <c r="S247" s="37"/>
      <c r="T247" s="38"/>
      <c r="U247" s="38"/>
      <c r="V247" s="38"/>
      <c r="W247" s="39"/>
      <c r="X247" s="49"/>
      <c r="Y247" s="49"/>
      <c r="AA247" s="17" t="str">
        <f t="shared" si="77"/>
        <v>·</v>
      </c>
      <c r="AB247" s="18" t="str">
        <f t="shared" si="78"/>
        <v>·</v>
      </c>
      <c r="AC247" s="18" t="str">
        <f t="shared" si="79"/>
        <v>·</v>
      </c>
      <c r="AD247" s="18" t="str">
        <f t="shared" si="80"/>
        <v>·</v>
      </c>
      <c r="AE247" s="19"/>
      <c r="AF247" s="18" t="str">
        <f t="shared" si="81"/>
        <v>·</v>
      </c>
      <c r="AG247" s="20"/>
      <c r="AH247" s="21"/>
      <c r="AI247" s="21"/>
      <c r="AJ247" s="21"/>
      <c r="AK247" s="37"/>
      <c r="AL247" s="38"/>
      <c r="AM247" s="38"/>
      <c r="AN247" s="38"/>
      <c r="AO247" s="39"/>
      <c r="AP247" s="49"/>
      <c r="AQ247" s="49"/>
      <c r="AS247" s="53" t="e">
        <f t="shared" si="82"/>
        <v>#DIV/0!</v>
      </c>
      <c r="AT247" s="53"/>
      <c r="AV247" s="54"/>
      <c r="AW247" s="54"/>
      <c r="AX247" s="54"/>
      <c r="AY247" s="61"/>
      <c r="BA247" s="54"/>
      <c r="BB247" s="54"/>
      <c r="BC247" s="54"/>
      <c r="BD247" s="61"/>
      <c r="BF247">
        <f t="shared" si="83"/>
        <v>0</v>
      </c>
      <c r="BG247">
        <f t="shared" si="84"/>
        <v>0</v>
      </c>
      <c r="BH247">
        <f t="shared" si="85"/>
        <v>0</v>
      </c>
      <c r="BI247">
        <f t="shared" si="86"/>
        <v>0</v>
      </c>
      <c r="BJ247">
        <f t="shared" si="87"/>
        <v>0</v>
      </c>
      <c r="BK247">
        <f t="shared" si="88"/>
        <v>0</v>
      </c>
      <c r="BL247">
        <f t="shared" si="89"/>
        <v>0</v>
      </c>
      <c r="BM247">
        <f t="shared" si="90"/>
        <v>0</v>
      </c>
      <c r="BN247">
        <f t="shared" si="91"/>
        <v>0</v>
      </c>
    </row>
    <row r="248" spans="1:66" outlineLevel="1" x14ac:dyDescent="0.15">
      <c r="A248" s="8"/>
      <c r="B248" s="8" t="s">
        <v>168</v>
      </c>
      <c r="C248" s="9" t="s">
        <v>257</v>
      </c>
      <c r="D248" s="8">
        <v>43399207</v>
      </c>
      <c r="E248" s="10">
        <v>20</v>
      </c>
      <c r="F248" s="9">
        <v>1</v>
      </c>
      <c r="G248" s="9"/>
      <c r="I248" s="22" t="str">
        <f t="shared" si="72"/>
        <v>·</v>
      </c>
      <c r="J248" s="23" t="str">
        <f t="shared" si="73"/>
        <v>·</v>
      </c>
      <c r="K248" s="23" t="str">
        <f t="shared" si="74"/>
        <v>·</v>
      </c>
      <c r="L248" s="23" t="str">
        <f t="shared" si="75"/>
        <v>·</v>
      </c>
      <c r="M248" s="24"/>
      <c r="N248" s="23" t="str">
        <f t="shared" si="76"/>
        <v>·</v>
      </c>
      <c r="O248" s="25"/>
      <c r="P248" s="26"/>
      <c r="Q248" s="26"/>
      <c r="R248" s="26"/>
      <c r="S248" s="40"/>
      <c r="T248" s="41"/>
      <c r="U248" s="41"/>
      <c r="V248" s="41"/>
      <c r="W248" s="42"/>
      <c r="X248" s="50"/>
      <c r="Y248" s="50"/>
      <c r="AA248" s="22" t="str">
        <f t="shared" si="77"/>
        <v>·</v>
      </c>
      <c r="AB248" s="23" t="str">
        <f t="shared" si="78"/>
        <v>·</v>
      </c>
      <c r="AC248" s="23" t="str">
        <f t="shared" si="79"/>
        <v>·</v>
      </c>
      <c r="AD248" s="23" t="str">
        <f t="shared" si="80"/>
        <v>·</v>
      </c>
      <c r="AE248" s="24"/>
      <c r="AF248" s="23" t="str">
        <f t="shared" si="81"/>
        <v>·</v>
      </c>
      <c r="AG248" s="25"/>
      <c r="AH248" s="26"/>
      <c r="AI248" s="26"/>
      <c r="AJ248" s="26"/>
      <c r="AK248" s="40"/>
      <c r="AL248" s="41"/>
      <c r="AM248" s="41"/>
      <c r="AN248" s="41"/>
      <c r="AO248" s="42"/>
      <c r="AP248" s="50"/>
      <c r="AQ248" s="50"/>
      <c r="AS248" s="55" t="e">
        <f t="shared" si="82"/>
        <v>#DIV/0!</v>
      </c>
      <c r="AT248" s="55"/>
      <c r="AV248" s="56"/>
      <c r="AW248" s="56"/>
      <c r="AX248" s="56"/>
      <c r="AY248" s="62"/>
      <c r="BA248" s="56"/>
      <c r="BB248" s="56"/>
      <c r="BC248" s="56"/>
      <c r="BD248" s="62"/>
      <c r="BF248">
        <f t="shared" si="83"/>
        <v>0</v>
      </c>
      <c r="BG248">
        <f t="shared" si="84"/>
        <v>0</v>
      </c>
      <c r="BH248">
        <f t="shared" si="85"/>
        <v>0</v>
      </c>
      <c r="BI248">
        <f t="shared" si="86"/>
        <v>0</v>
      </c>
      <c r="BJ248">
        <f t="shared" si="87"/>
        <v>0</v>
      </c>
      <c r="BK248">
        <f t="shared" si="88"/>
        <v>0</v>
      </c>
      <c r="BL248">
        <f t="shared" si="89"/>
        <v>0</v>
      </c>
      <c r="BM248">
        <f t="shared" si="90"/>
        <v>0</v>
      </c>
      <c r="BN248">
        <f t="shared" si="91"/>
        <v>0</v>
      </c>
    </row>
    <row r="249" spans="1:66" outlineLevel="1" x14ac:dyDescent="0.15">
      <c r="A249" s="5"/>
      <c r="B249" s="5" t="s">
        <v>168</v>
      </c>
      <c r="C249" s="6" t="s">
        <v>258</v>
      </c>
      <c r="D249" s="5">
        <v>43399207</v>
      </c>
      <c r="E249" s="7">
        <v>20</v>
      </c>
      <c r="F249" s="6">
        <v>1</v>
      </c>
      <c r="G249" s="6"/>
      <c r="I249" s="17" t="str">
        <f t="shared" si="72"/>
        <v>·</v>
      </c>
      <c r="J249" s="18" t="str">
        <f t="shared" si="73"/>
        <v>·</v>
      </c>
      <c r="K249" s="18" t="str">
        <f t="shared" si="74"/>
        <v>·</v>
      </c>
      <c r="L249" s="18" t="str">
        <f t="shared" si="75"/>
        <v>·</v>
      </c>
      <c r="M249" s="19"/>
      <c r="N249" s="18" t="str">
        <f t="shared" si="76"/>
        <v>·</v>
      </c>
      <c r="O249" s="20"/>
      <c r="P249" s="21"/>
      <c r="Q249" s="21"/>
      <c r="R249" s="21"/>
      <c r="S249" s="37"/>
      <c r="T249" s="38"/>
      <c r="U249" s="38"/>
      <c r="V249" s="38"/>
      <c r="W249" s="39"/>
      <c r="X249" s="49"/>
      <c r="Y249" s="49"/>
      <c r="AA249" s="17" t="str">
        <f t="shared" si="77"/>
        <v>·</v>
      </c>
      <c r="AB249" s="18" t="str">
        <f t="shared" si="78"/>
        <v>·</v>
      </c>
      <c r="AC249" s="18" t="str">
        <f t="shared" si="79"/>
        <v>·</v>
      </c>
      <c r="AD249" s="18" t="str">
        <f t="shared" si="80"/>
        <v>·</v>
      </c>
      <c r="AE249" s="19"/>
      <c r="AF249" s="18" t="str">
        <f t="shared" si="81"/>
        <v>·</v>
      </c>
      <c r="AG249" s="20"/>
      <c r="AH249" s="21"/>
      <c r="AI249" s="21"/>
      <c r="AJ249" s="21"/>
      <c r="AK249" s="37"/>
      <c r="AL249" s="38"/>
      <c r="AM249" s="38"/>
      <c r="AN249" s="38"/>
      <c r="AO249" s="39"/>
      <c r="AP249" s="49"/>
      <c r="AQ249" s="49"/>
      <c r="AS249" s="53" t="e">
        <f t="shared" si="82"/>
        <v>#DIV/0!</v>
      </c>
      <c r="AT249" s="53"/>
      <c r="AV249" s="54"/>
      <c r="AW249" s="54"/>
      <c r="AX249" s="54"/>
      <c r="AY249" s="61"/>
      <c r="BA249" s="54"/>
      <c r="BB249" s="54"/>
      <c r="BC249" s="54"/>
      <c r="BD249" s="61"/>
      <c r="BF249">
        <f t="shared" si="83"/>
        <v>0</v>
      </c>
      <c r="BG249">
        <f t="shared" si="84"/>
        <v>0</v>
      </c>
      <c r="BH249">
        <f t="shared" si="85"/>
        <v>0</v>
      </c>
      <c r="BI249">
        <f t="shared" si="86"/>
        <v>0</v>
      </c>
      <c r="BJ249">
        <f t="shared" si="87"/>
        <v>0</v>
      </c>
      <c r="BK249">
        <f t="shared" si="88"/>
        <v>0</v>
      </c>
      <c r="BL249">
        <f t="shared" si="89"/>
        <v>0</v>
      </c>
      <c r="BM249">
        <f t="shared" si="90"/>
        <v>0</v>
      </c>
      <c r="BN249">
        <f t="shared" si="91"/>
        <v>0</v>
      </c>
    </row>
    <row r="250" spans="1:66" outlineLevel="1" x14ac:dyDescent="0.15">
      <c r="A250" s="8"/>
      <c r="B250" s="14" t="s">
        <v>168</v>
      </c>
      <c r="C250" s="15" t="s">
        <v>259</v>
      </c>
      <c r="D250" s="14">
        <v>43399207</v>
      </c>
      <c r="E250" s="16">
        <v>20</v>
      </c>
      <c r="F250" s="15">
        <v>1</v>
      </c>
      <c r="G250" s="15"/>
      <c r="I250" s="32" t="str">
        <f t="shared" si="72"/>
        <v>·</v>
      </c>
      <c r="J250" s="33" t="str">
        <f t="shared" si="73"/>
        <v>·</v>
      </c>
      <c r="K250" s="33" t="str">
        <f t="shared" si="74"/>
        <v>·</v>
      </c>
      <c r="L250" s="33" t="str">
        <f t="shared" si="75"/>
        <v>·</v>
      </c>
      <c r="M250" s="34"/>
      <c r="N250" s="33" t="str">
        <f t="shared" si="76"/>
        <v>·</v>
      </c>
      <c r="O250" s="35"/>
      <c r="P250" s="36"/>
      <c r="Q250" s="36"/>
      <c r="R250" s="36"/>
      <c r="S250" s="46"/>
      <c r="T250" s="47"/>
      <c r="U250" s="47"/>
      <c r="V250" s="47"/>
      <c r="W250" s="48"/>
      <c r="X250" s="52"/>
      <c r="Y250" s="52"/>
      <c r="AA250" s="32" t="str">
        <f t="shared" si="77"/>
        <v>·</v>
      </c>
      <c r="AB250" s="33" t="str">
        <f t="shared" si="78"/>
        <v>·</v>
      </c>
      <c r="AC250" s="33" t="str">
        <f t="shared" si="79"/>
        <v>·</v>
      </c>
      <c r="AD250" s="33" t="str">
        <f t="shared" si="80"/>
        <v>·</v>
      </c>
      <c r="AE250" s="34"/>
      <c r="AF250" s="33" t="str">
        <f t="shared" si="81"/>
        <v>·</v>
      </c>
      <c r="AG250" s="35"/>
      <c r="AH250" s="36"/>
      <c r="AI250" s="36"/>
      <c r="AJ250" s="36"/>
      <c r="AK250" s="46"/>
      <c r="AL250" s="47"/>
      <c r="AM250" s="47"/>
      <c r="AN250" s="47"/>
      <c r="AO250" s="48"/>
      <c r="AP250" s="52"/>
      <c r="AQ250" s="52"/>
      <c r="AS250" s="59" t="e">
        <f t="shared" si="82"/>
        <v>#DIV/0!</v>
      </c>
      <c r="AT250" s="59"/>
      <c r="AV250" s="60"/>
      <c r="AW250" s="60"/>
      <c r="AX250" s="60"/>
      <c r="AY250" s="64"/>
      <c r="BA250" s="60"/>
      <c r="BB250" s="60"/>
      <c r="BC250" s="60"/>
      <c r="BD250" s="64"/>
      <c r="BF250">
        <f t="shared" si="83"/>
        <v>0</v>
      </c>
      <c r="BG250">
        <f t="shared" si="84"/>
        <v>0</v>
      </c>
      <c r="BH250">
        <f t="shared" si="85"/>
        <v>0</v>
      </c>
      <c r="BI250">
        <f t="shared" si="86"/>
        <v>0</v>
      </c>
      <c r="BJ250">
        <f t="shared" si="87"/>
        <v>0</v>
      </c>
      <c r="BK250">
        <f t="shared" si="88"/>
        <v>0</v>
      </c>
      <c r="BL250">
        <f t="shared" si="89"/>
        <v>0</v>
      </c>
      <c r="BM250">
        <f t="shared" si="90"/>
        <v>0</v>
      </c>
      <c r="BN250">
        <f t="shared" si="91"/>
        <v>0</v>
      </c>
    </row>
    <row r="251" spans="1:66" x14ac:dyDescent="0.15">
      <c r="A251" s="5"/>
      <c r="B251" s="5" t="s">
        <v>169</v>
      </c>
      <c r="C251" s="6" t="s">
        <v>254</v>
      </c>
      <c r="D251" s="5">
        <v>499660</v>
      </c>
      <c r="E251" s="7">
        <v>12</v>
      </c>
      <c r="F251" s="6">
        <v>1</v>
      </c>
      <c r="G251" s="6"/>
      <c r="I251" s="17" t="str">
        <f t="shared" si="72"/>
        <v>·</v>
      </c>
      <c r="J251" s="18" t="str">
        <f t="shared" si="73"/>
        <v>·</v>
      </c>
      <c r="K251" s="18" t="str">
        <f t="shared" si="74"/>
        <v>·</v>
      </c>
      <c r="L251" s="18" t="str">
        <f t="shared" si="75"/>
        <v>·</v>
      </c>
      <c r="M251" s="19"/>
      <c r="N251" s="18" t="str">
        <f t="shared" si="76"/>
        <v>·</v>
      </c>
      <c r="O251" s="20"/>
      <c r="P251" s="21"/>
      <c r="Q251" s="21"/>
      <c r="R251" s="21"/>
      <c r="S251" s="37"/>
      <c r="T251" s="38"/>
      <c r="U251" s="38"/>
      <c r="V251" s="38"/>
      <c r="W251" s="39"/>
      <c r="X251" s="49"/>
      <c r="Y251" s="49"/>
      <c r="AA251" s="17" t="str">
        <f t="shared" si="77"/>
        <v>·</v>
      </c>
      <c r="AB251" s="18" t="str">
        <f t="shared" si="78"/>
        <v>·</v>
      </c>
      <c r="AC251" s="18" t="str">
        <f t="shared" si="79"/>
        <v>·</v>
      </c>
      <c r="AD251" s="18" t="str">
        <f t="shared" si="80"/>
        <v>·</v>
      </c>
      <c r="AE251" s="19"/>
      <c r="AF251" s="18" t="str">
        <f t="shared" si="81"/>
        <v>·</v>
      </c>
      <c r="AG251" s="20"/>
      <c r="AH251" s="21"/>
      <c r="AI251" s="21"/>
      <c r="AJ251" s="21"/>
      <c r="AK251" s="37"/>
      <c r="AL251" s="38"/>
      <c r="AM251" s="38"/>
      <c r="AN251" s="38"/>
      <c r="AO251" s="39"/>
      <c r="AP251" s="49"/>
      <c r="AQ251" s="49"/>
      <c r="AS251" s="53" t="e">
        <f t="shared" si="82"/>
        <v>#DIV/0!</v>
      </c>
      <c r="AT251" s="53" t="e">
        <f t="array" ref="AT251">AVERAGE(AI251:AI256/AH251:AH256)-AVERAGE(Q251:Q256/P251:P256)</f>
        <v>#DIV/0!</v>
      </c>
      <c r="AV251" s="54" t="str">
        <f>IF(OR(ISBLANK(R251:R256),ISBLANK(AJ251:AJ256),ISBLANK(T251:T256),ISBLANK(AL251:AL256)),"·",bdRateExtend(R251:R256,T251:T256,AJ251:AJ256,AL251:AL256))</f>
        <v>·</v>
      </c>
      <c r="AW251" s="54" t="str">
        <f>IF(OR(ISBLANK(R251:R256),ISBLANK(AJ251:AJ256),ISBLANK(U251:U256),ISBLANK(AM251:AM256)),"·",bdRateExtend(R251:R256,U251:U256,AJ251:AJ256,AM251:AM256))</f>
        <v>·</v>
      </c>
      <c r="AX251" s="54" t="str">
        <f>IF(OR(ISBLANK(R251:R256),ISBLANK(AJ251:AJ256),ISBLANK(V251:V256),ISBLANK(AN251:AN256)),"·",bdRateExtend(R251:R256,V251:V256,AJ251:AJ256,AN251:AN256))</f>
        <v>·</v>
      </c>
      <c r="AY251" s="61"/>
      <c r="BA251" s="54" t="str">
        <f>IF(OR(ISBLANK(P251:P256),ISBLANK(AH251:AH256),ISBLANK(T251:T256),ISBLANK(AL251:AL256)),"·",bdRateExtend(P251:P256,T251:T256,AH251:AH256,AL251:AL256))</f>
        <v>·</v>
      </c>
      <c r="BB251" s="54" t="str">
        <f>IF(OR(ISBLANK(P251:P256),ISBLANK(AH251:AH256),ISBLANK(U251:U256),ISBLANK(AM251:AM256)),"·",bdRateExtend(P251:P256,U251:U256,AH251:AH256,AM251:AM256))</f>
        <v>·</v>
      </c>
      <c r="BC251" s="54" t="str">
        <f>IF(OR(ISBLANK(P251:P256),ISBLANK(AH251:AH256),ISBLANK(V251:V256),ISBLANK(AN251:AN256)),"·",bdRateExtend(P251:P256,V251:V256,AH251:AH256,AN251:AN256))</f>
        <v>·</v>
      </c>
      <c r="BD251" s="61"/>
      <c r="BF251">
        <f t="shared" si="83"/>
        <v>0</v>
      </c>
      <c r="BG251">
        <f t="shared" si="84"/>
        <v>0</v>
      </c>
      <c r="BH251">
        <f t="shared" si="85"/>
        <v>0</v>
      </c>
      <c r="BI251">
        <f t="shared" si="86"/>
        <v>0</v>
      </c>
      <c r="BJ251">
        <f t="shared" si="87"/>
        <v>0</v>
      </c>
      <c r="BK251">
        <f t="shared" si="88"/>
        <v>0</v>
      </c>
      <c r="BL251">
        <f t="shared" si="89"/>
        <v>0</v>
      </c>
      <c r="BM251">
        <f t="shared" si="90"/>
        <v>0</v>
      </c>
      <c r="BN251">
        <f t="shared" si="91"/>
        <v>0</v>
      </c>
    </row>
    <row r="252" spans="1:66" outlineLevel="1" x14ac:dyDescent="0.15">
      <c r="A252" s="8"/>
      <c r="B252" s="8" t="s">
        <v>169</v>
      </c>
      <c r="C252" s="9" t="s">
        <v>255</v>
      </c>
      <c r="D252" s="8">
        <v>499660</v>
      </c>
      <c r="E252" s="10">
        <v>12</v>
      </c>
      <c r="F252" s="9">
        <v>1</v>
      </c>
      <c r="G252" s="9"/>
      <c r="I252" s="22" t="str">
        <f t="shared" si="72"/>
        <v>·</v>
      </c>
      <c r="J252" s="23" t="str">
        <f t="shared" si="73"/>
        <v>·</v>
      </c>
      <c r="K252" s="23" t="str">
        <f t="shared" si="74"/>
        <v>·</v>
      </c>
      <c r="L252" s="23" t="str">
        <f t="shared" si="75"/>
        <v>·</v>
      </c>
      <c r="M252" s="24"/>
      <c r="N252" s="23" t="str">
        <f t="shared" si="76"/>
        <v>·</v>
      </c>
      <c r="O252" s="25"/>
      <c r="P252" s="26"/>
      <c r="Q252" s="26"/>
      <c r="R252" s="26"/>
      <c r="S252" s="40"/>
      <c r="T252" s="41"/>
      <c r="U252" s="41"/>
      <c r="V252" s="41"/>
      <c r="W252" s="42"/>
      <c r="X252" s="50"/>
      <c r="Y252" s="50"/>
      <c r="AA252" s="22" t="str">
        <f t="shared" si="77"/>
        <v>·</v>
      </c>
      <c r="AB252" s="23" t="str">
        <f t="shared" si="78"/>
        <v>·</v>
      </c>
      <c r="AC252" s="23" t="str">
        <f t="shared" si="79"/>
        <v>·</v>
      </c>
      <c r="AD252" s="23" t="str">
        <f t="shared" si="80"/>
        <v>·</v>
      </c>
      <c r="AE252" s="24"/>
      <c r="AF252" s="23" t="str">
        <f t="shared" si="81"/>
        <v>·</v>
      </c>
      <c r="AG252" s="25"/>
      <c r="AH252" s="26"/>
      <c r="AI252" s="26"/>
      <c r="AJ252" s="26"/>
      <c r="AK252" s="40"/>
      <c r="AL252" s="41"/>
      <c r="AM252" s="41"/>
      <c r="AN252" s="41"/>
      <c r="AO252" s="42"/>
      <c r="AP252" s="50"/>
      <c r="AQ252" s="50"/>
      <c r="AS252" s="55" t="e">
        <f t="shared" si="82"/>
        <v>#DIV/0!</v>
      </c>
      <c r="AT252" s="55"/>
      <c r="AV252" s="56"/>
      <c r="AW252" s="56"/>
      <c r="AX252" s="56"/>
      <c r="AY252" s="62"/>
      <c r="BA252" s="56"/>
      <c r="BB252" s="56"/>
      <c r="BC252" s="56"/>
      <c r="BD252" s="62"/>
      <c r="BF252">
        <f t="shared" si="83"/>
        <v>0</v>
      </c>
      <c r="BG252">
        <f t="shared" si="84"/>
        <v>0</v>
      </c>
      <c r="BH252">
        <f t="shared" si="85"/>
        <v>0</v>
      </c>
      <c r="BI252">
        <f t="shared" si="86"/>
        <v>0</v>
      </c>
      <c r="BJ252">
        <f t="shared" si="87"/>
        <v>0</v>
      </c>
      <c r="BK252">
        <f t="shared" si="88"/>
        <v>0</v>
      </c>
      <c r="BL252">
        <f t="shared" si="89"/>
        <v>0</v>
      </c>
      <c r="BM252">
        <f t="shared" si="90"/>
        <v>0</v>
      </c>
      <c r="BN252">
        <f t="shared" si="91"/>
        <v>0</v>
      </c>
    </row>
    <row r="253" spans="1:66" outlineLevel="1" x14ac:dyDescent="0.15">
      <c r="A253" s="5"/>
      <c r="B253" s="5" t="s">
        <v>169</v>
      </c>
      <c r="C253" s="6" t="s">
        <v>256</v>
      </c>
      <c r="D253" s="5">
        <v>499660</v>
      </c>
      <c r="E253" s="7">
        <v>12</v>
      </c>
      <c r="F253" s="6">
        <v>1</v>
      </c>
      <c r="G253" s="6"/>
      <c r="I253" s="17" t="str">
        <f t="shared" si="72"/>
        <v>·</v>
      </c>
      <c r="J253" s="18" t="str">
        <f t="shared" si="73"/>
        <v>·</v>
      </c>
      <c r="K253" s="18" t="str">
        <f t="shared" si="74"/>
        <v>·</v>
      </c>
      <c r="L253" s="18" t="str">
        <f t="shared" si="75"/>
        <v>·</v>
      </c>
      <c r="M253" s="19"/>
      <c r="N253" s="18" t="str">
        <f t="shared" si="76"/>
        <v>·</v>
      </c>
      <c r="O253" s="20"/>
      <c r="P253" s="21"/>
      <c r="Q253" s="21"/>
      <c r="R253" s="21"/>
      <c r="S253" s="37"/>
      <c r="T253" s="38"/>
      <c r="U253" s="38"/>
      <c r="V253" s="38"/>
      <c r="W253" s="39"/>
      <c r="X253" s="49"/>
      <c r="Y253" s="49"/>
      <c r="AA253" s="17" t="str">
        <f t="shared" si="77"/>
        <v>·</v>
      </c>
      <c r="AB253" s="18" t="str">
        <f t="shared" si="78"/>
        <v>·</v>
      </c>
      <c r="AC253" s="18" t="str">
        <f t="shared" si="79"/>
        <v>·</v>
      </c>
      <c r="AD253" s="18" t="str">
        <f t="shared" si="80"/>
        <v>·</v>
      </c>
      <c r="AE253" s="19"/>
      <c r="AF253" s="18" t="str">
        <f t="shared" si="81"/>
        <v>·</v>
      </c>
      <c r="AG253" s="20"/>
      <c r="AH253" s="21"/>
      <c r="AI253" s="21"/>
      <c r="AJ253" s="21"/>
      <c r="AK253" s="37"/>
      <c r="AL253" s="38"/>
      <c r="AM253" s="38"/>
      <c r="AN253" s="38"/>
      <c r="AO253" s="39"/>
      <c r="AP253" s="49"/>
      <c r="AQ253" s="49"/>
      <c r="AS253" s="53" t="e">
        <f t="shared" si="82"/>
        <v>#DIV/0!</v>
      </c>
      <c r="AT253" s="53"/>
      <c r="AV253" s="54"/>
      <c r="AW253" s="54"/>
      <c r="AX253" s="54"/>
      <c r="AY253" s="61"/>
      <c r="BA253" s="54"/>
      <c r="BB253" s="54"/>
      <c r="BC253" s="54"/>
      <c r="BD253" s="61"/>
      <c r="BF253">
        <f t="shared" si="83"/>
        <v>0</v>
      </c>
      <c r="BG253">
        <f t="shared" si="84"/>
        <v>0</v>
      </c>
      <c r="BH253">
        <f t="shared" si="85"/>
        <v>0</v>
      </c>
      <c r="BI253">
        <f t="shared" si="86"/>
        <v>0</v>
      </c>
      <c r="BJ253">
        <f t="shared" si="87"/>
        <v>0</v>
      </c>
      <c r="BK253">
        <f t="shared" si="88"/>
        <v>0</v>
      </c>
      <c r="BL253">
        <f t="shared" si="89"/>
        <v>0</v>
      </c>
      <c r="BM253">
        <f t="shared" si="90"/>
        <v>0</v>
      </c>
      <c r="BN253">
        <f t="shared" si="91"/>
        <v>0</v>
      </c>
    </row>
    <row r="254" spans="1:66" outlineLevel="1" x14ac:dyDescent="0.15">
      <c r="A254" s="8"/>
      <c r="B254" s="8" t="s">
        <v>169</v>
      </c>
      <c r="C254" s="9" t="s">
        <v>257</v>
      </c>
      <c r="D254" s="8">
        <v>499660</v>
      </c>
      <c r="E254" s="10">
        <v>12</v>
      </c>
      <c r="F254" s="9">
        <v>1</v>
      </c>
      <c r="G254" s="9"/>
      <c r="I254" s="22" t="str">
        <f t="shared" si="72"/>
        <v>·</v>
      </c>
      <c r="J254" s="23" t="str">
        <f t="shared" si="73"/>
        <v>·</v>
      </c>
      <c r="K254" s="23" t="str">
        <f t="shared" si="74"/>
        <v>·</v>
      </c>
      <c r="L254" s="23" t="str">
        <f t="shared" si="75"/>
        <v>·</v>
      </c>
      <c r="M254" s="24"/>
      <c r="N254" s="23" t="str">
        <f t="shared" si="76"/>
        <v>·</v>
      </c>
      <c r="O254" s="25"/>
      <c r="P254" s="26"/>
      <c r="Q254" s="26"/>
      <c r="R254" s="26"/>
      <c r="S254" s="40"/>
      <c r="T254" s="41"/>
      <c r="U254" s="41"/>
      <c r="V254" s="41"/>
      <c r="W254" s="42"/>
      <c r="X254" s="50"/>
      <c r="Y254" s="50"/>
      <c r="AA254" s="22" t="str">
        <f t="shared" si="77"/>
        <v>·</v>
      </c>
      <c r="AB254" s="23" t="str">
        <f t="shared" si="78"/>
        <v>·</v>
      </c>
      <c r="AC254" s="23" t="str">
        <f t="shared" si="79"/>
        <v>·</v>
      </c>
      <c r="AD254" s="23" t="str">
        <f t="shared" si="80"/>
        <v>·</v>
      </c>
      <c r="AE254" s="24"/>
      <c r="AF254" s="23" t="str">
        <f t="shared" si="81"/>
        <v>·</v>
      </c>
      <c r="AG254" s="25"/>
      <c r="AH254" s="26"/>
      <c r="AI254" s="26"/>
      <c r="AJ254" s="26"/>
      <c r="AK254" s="40"/>
      <c r="AL254" s="41"/>
      <c r="AM254" s="41"/>
      <c r="AN254" s="41"/>
      <c r="AO254" s="42"/>
      <c r="AP254" s="50"/>
      <c r="AQ254" s="50"/>
      <c r="AS254" s="55" t="e">
        <f t="shared" si="82"/>
        <v>#DIV/0!</v>
      </c>
      <c r="AT254" s="55"/>
      <c r="AV254" s="56"/>
      <c r="AW254" s="56"/>
      <c r="AX254" s="56"/>
      <c r="AY254" s="62"/>
      <c r="BA254" s="56"/>
      <c r="BB254" s="56"/>
      <c r="BC254" s="56"/>
      <c r="BD254" s="62"/>
      <c r="BF254">
        <f t="shared" si="83"/>
        <v>0</v>
      </c>
      <c r="BG254">
        <f t="shared" si="84"/>
        <v>0</v>
      </c>
      <c r="BH254">
        <f t="shared" si="85"/>
        <v>0</v>
      </c>
      <c r="BI254">
        <f t="shared" si="86"/>
        <v>0</v>
      </c>
      <c r="BJ254">
        <f t="shared" si="87"/>
        <v>0</v>
      </c>
      <c r="BK254">
        <f t="shared" si="88"/>
        <v>0</v>
      </c>
      <c r="BL254">
        <f t="shared" si="89"/>
        <v>0</v>
      </c>
      <c r="BM254">
        <f t="shared" si="90"/>
        <v>0</v>
      </c>
      <c r="BN254">
        <f t="shared" si="91"/>
        <v>0</v>
      </c>
    </row>
    <row r="255" spans="1:66" outlineLevel="1" x14ac:dyDescent="0.15">
      <c r="A255" s="5"/>
      <c r="B255" s="5" t="s">
        <v>169</v>
      </c>
      <c r="C255" s="6" t="s">
        <v>258</v>
      </c>
      <c r="D255" s="5">
        <v>499660</v>
      </c>
      <c r="E255" s="7">
        <v>12</v>
      </c>
      <c r="F255" s="6">
        <v>1</v>
      </c>
      <c r="G255" s="6"/>
      <c r="I255" s="17" t="str">
        <f t="shared" si="72"/>
        <v>·</v>
      </c>
      <c r="J255" s="18" t="str">
        <f t="shared" si="73"/>
        <v>·</v>
      </c>
      <c r="K255" s="18" t="str">
        <f t="shared" si="74"/>
        <v>·</v>
      </c>
      <c r="L255" s="18" t="str">
        <f t="shared" si="75"/>
        <v>·</v>
      </c>
      <c r="M255" s="19"/>
      <c r="N255" s="18" t="str">
        <f t="shared" si="76"/>
        <v>·</v>
      </c>
      <c r="O255" s="20"/>
      <c r="P255" s="21"/>
      <c r="Q255" s="21"/>
      <c r="R255" s="21"/>
      <c r="S255" s="37"/>
      <c r="T255" s="38"/>
      <c r="U255" s="38"/>
      <c r="V255" s="38"/>
      <c r="W255" s="39"/>
      <c r="X255" s="49"/>
      <c r="Y255" s="49"/>
      <c r="AA255" s="17" t="str">
        <f t="shared" si="77"/>
        <v>·</v>
      </c>
      <c r="AB255" s="18" t="str">
        <f t="shared" si="78"/>
        <v>·</v>
      </c>
      <c r="AC255" s="18" t="str">
        <f t="shared" si="79"/>
        <v>·</v>
      </c>
      <c r="AD255" s="18" t="str">
        <f t="shared" si="80"/>
        <v>·</v>
      </c>
      <c r="AE255" s="19"/>
      <c r="AF255" s="18" t="str">
        <f t="shared" si="81"/>
        <v>·</v>
      </c>
      <c r="AG255" s="20"/>
      <c r="AH255" s="21"/>
      <c r="AI255" s="21"/>
      <c r="AJ255" s="21"/>
      <c r="AK255" s="37"/>
      <c r="AL255" s="38"/>
      <c r="AM255" s="38"/>
      <c r="AN255" s="38"/>
      <c r="AO255" s="39"/>
      <c r="AP255" s="49"/>
      <c r="AQ255" s="49"/>
      <c r="AS255" s="53" t="e">
        <f t="shared" si="82"/>
        <v>#DIV/0!</v>
      </c>
      <c r="AT255" s="53"/>
      <c r="AV255" s="54"/>
      <c r="AW255" s="54"/>
      <c r="AX255" s="54"/>
      <c r="AY255" s="61"/>
      <c r="BA255" s="54"/>
      <c r="BB255" s="54"/>
      <c r="BC255" s="54"/>
      <c r="BD255" s="61"/>
      <c r="BF255">
        <f t="shared" si="83"/>
        <v>0</v>
      </c>
      <c r="BG255">
        <f t="shared" si="84"/>
        <v>0</v>
      </c>
      <c r="BH255">
        <f t="shared" si="85"/>
        <v>0</v>
      </c>
      <c r="BI255">
        <f t="shared" si="86"/>
        <v>0</v>
      </c>
      <c r="BJ255">
        <f t="shared" si="87"/>
        <v>0</v>
      </c>
      <c r="BK255">
        <f t="shared" si="88"/>
        <v>0</v>
      </c>
      <c r="BL255">
        <f t="shared" si="89"/>
        <v>0</v>
      </c>
      <c r="BM255">
        <f t="shared" si="90"/>
        <v>0</v>
      </c>
      <c r="BN255">
        <f t="shared" si="91"/>
        <v>0</v>
      </c>
    </row>
    <row r="256" spans="1:66" outlineLevel="1" x14ac:dyDescent="0.15">
      <c r="A256" s="8"/>
      <c r="B256" s="14" t="s">
        <v>169</v>
      </c>
      <c r="C256" s="15" t="s">
        <v>259</v>
      </c>
      <c r="D256" s="14">
        <v>499660</v>
      </c>
      <c r="E256" s="16">
        <v>12</v>
      </c>
      <c r="F256" s="15">
        <v>1</v>
      </c>
      <c r="G256" s="15"/>
      <c r="I256" s="32" t="str">
        <f t="shared" si="72"/>
        <v>·</v>
      </c>
      <c r="J256" s="33" t="str">
        <f t="shared" si="73"/>
        <v>·</v>
      </c>
      <c r="K256" s="33" t="str">
        <f t="shared" si="74"/>
        <v>·</v>
      </c>
      <c r="L256" s="33" t="str">
        <f t="shared" si="75"/>
        <v>·</v>
      </c>
      <c r="M256" s="34"/>
      <c r="N256" s="33" t="str">
        <f t="shared" si="76"/>
        <v>·</v>
      </c>
      <c r="O256" s="35"/>
      <c r="P256" s="36"/>
      <c r="Q256" s="36"/>
      <c r="R256" s="36"/>
      <c r="S256" s="46"/>
      <c r="T256" s="47"/>
      <c r="U256" s="47"/>
      <c r="V256" s="47"/>
      <c r="W256" s="48"/>
      <c r="X256" s="52"/>
      <c r="Y256" s="52"/>
      <c r="AA256" s="32" t="str">
        <f t="shared" si="77"/>
        <v>·</v>
      </c>
      <c r="AB256" s="33" t="str">
        <f t="shared" si="78"/>
        <v>·</v>
      </c>
      <c r="AC256" s="33" t="str">
        <f t="shared" si="79"/>
        <v>·</v>
      </c>
      <c r="AD256" s="33" t="str">
        <f t="shared" si="80"/>
        <v>·</v>
      </c>
      <c r="AE256" s="34"/>
      <c r="AF256" s="33" t="str">
        <f t="shared" si="81"/>
        <v>·</v>
      </c>
      <c r="AG256" s="35"/>
      <c r="AH256" s="36"/>
      <c r="AI256" s="36"/>
      <c r="AJ256" s="36"/>
      <c r="AK256" s="46"/>
      <c r="AL256" s="47"/>
      <c r="AM256" s="47"/>
      <c r="AN256" s="47"/>
      <c r="AO256" s="48"/>
      <c r="AP256" s="52"/>
      <c r="AQ256" s="52"/>
      <c r="AS256" s="59" t="e">
        <f t="shared" si="82"/>
        <v>#DIV/0!</v>
      </c>
      <c r="AT256" s="59"/>
      <c r="AV256" s="60"/>
      <c r="AW256" s="60"/>
      <c r="AX256" s="60"/>
      <c r="AY256" s="64"/>
      <c r="BA256" s="60"/>
      <c r="BB256" s="60"/>
      <c r="BC256" s="60"/>
      <c r="BD256" s="64"/>
      <c r="BF256">
        <f t="shared" si="83"/>
        <v>0</v>
      </c>
      <c r="BG256">
        <f t="shared" si="84"/>
        <v>0</v>
      </c>
      <c r="BH256">
        <f t="shared" si="85"/>
        <v>0</v>
      </c>
      <c r="BI256">
        <f t="shared" si="86"/>
        <v>0</v>
      </c>
      <c r="BJ256">
        <f t="shared" si="87"/>
        <v>0</v>
      </c>
      <c r="BK256">
        <f t="shared" si="88"/>
        <v>0</v>
      </c>
      <c r="BL256">
        <f t="shared" si="89"/>
        <v>0</v>
      </c>
      <c r="BM256">
        <f t="shared" si="90"/>
        <v>0</v>
      </c>
      <c r="BN256">
        <f t="shared" si="91"/>
        <v>0</v>
      </c>
    </row>
    <row r="257" spans="1:66" x14ac:dyDescent="0.15">
      <c r="A257" s="5"/>
      <c r="B257" s="5" t="s">
        <v>170</v>
      </c>
      <c r="C257" s="6" t="s">
        <v>254</v>
      </c>
      <c r="D257" s="5">
        <v>499886</v>
      </c>
      <c r="E257" s="7">
        <v>20</v>
      </c>
      <c r="F257" s="6">
        <v>1</v>
      </c>
      <c r="G257" s="6"/>
      <c r="I257" s="17" t="str">
        <f t="shared" si="72"/>
        <v>·</v>
      </c>
      <c r="J257" s="18" t="str">
        <f t="shared" si="73"/>
        <v>·</v>
      </c>
      <c r="K257" s="18" t="str">
        <f t="shared" si="74"/>
        <v>·</v>
      </c>
      <c r="L257" s="18" t="str">
        <f t="shared" si="75"/>
        <v>·</v>
      </c>
      <c r="M257" s="19"/>
      <c r="N257" s="18" t="str">
        <f t="shared" si="76"/>
        <v>·</v>
      </c>
      <c r="O257" s="20"/>
      <c r="P257" s="21"/>
      <c r="Q257" s="21"/>
      <c r="R257" s="21"/>
      <c r="S257" s="37"/>
      <c r="T257" s="38"/>
      <c r="U257" s="38"/>
      <c r="V257" s="38"/>
      <c r="W257" s="39"/>
      <c r="X257" s="49"/>
      <c r="Y257" s="49"/>
      <c r="AA257" s="17" t="str">
        <f t="shared" si="77"/>
        <v>·</v>
      </c>
      <c r="AB257" s="18" t="str">
        <f t="shared" si="78"/>
        <v>·</v>
      </c>
      <c r="AC257" s="18" t="str">
        <f t="shared" si="79"/>
        <v>·</v>
      </c>
      <c r="AD257" s="18" t="str">
        <f t="shared" si="80"/>
        <v>·</v>
      </c>
      <c r="AE257" s="19"/>
      <c r="AF257" s="18" t="str">
        <f t="shared" si="81"/>
        <v>·</v>
      </c>
      <c r="AG257" s="20"/>
      <c r="AH257" s="21"/>
      <c r="AI257" s="21"/>
      <c r="AJ257" s="21"/>
      <c r="AK257" s="37"/>
      <c r="AL257" s="38"/>
      <c r="AM257" s="38"/>
      <c r="AN257" s="38"/>
      <c r="AO257" s="39"/>
      <c r="AP257" s="49"/>
      <c r="AQ257" s="49"/>
      <c r="AS257" s="53" t="e">
        <f t="shared" si="82"/>
        <v>#DIV/0!</v>
      </c>
      <c r="AT257" s="53" t="e">
        <f t="array" ref="AT257">AVERAGE(AI257:AI262/AH257:AH262)-AVERAGE(Q257:Q262/P257:P262)</f>
        <v>#DIV/0!</v>
      </c>
      <c r="AV257" s="54" t="str">
        <f>IF(OR(ISBLANK(R257:R262),ISBLANK(AJ257:AJ262),ISBLANK(T257:T262),ISBLANK(AL257:AL262)),"·",bdRateExtend(R257:R262,T257:T262,AJ257:AJ262,AL257:AL262))</f>
        <v>·</v>
      </c>
      <c r="AW257" s="54" t="str">
        <f>IF(OR(ISBLANK(R257:R262),ISBLANK(AJ257:AJ262),ISBLANK(U257:U262),ISBLANK(AM257:AM262)),"·",bdRateExtend(R257:R262,U257:U262,AJ257:AJ262,AM257:AM262))</f>
        <v>·</v>
      </c>
      <c r="AX257" s="54" t="str">
        <f>IF(OR(ISBLANK(R257:R262),ISBLANK(AJ257:AJ262),ISBLANK(V257:V262),ISBLANK(AN257:AN262)),"·",bdRateExtend(R257:R262,V257:V262,AJ257:AJ262,AN257:AN262))</f>
        <v>·</v>
      </c>
      <c r="AY257" s="61"/>
      <c r="BA257" s="54" t="str">
        <f>IF(OR(ISBLANK(P257:P262),ISBLANK(AH257:AH262),ISBLANK(T257:T262),ISBLANK(AL257:AL262)),"·",bdRateExtend(P257:P262,T257:T262,AH257:AH262,AL257:AL262))</f>
        <v>·</v>
      </c>
      <c r="BB257" s="54" t="str">
        <f>IF(OR(ISBLANK(P257:P262),ISBLANK(AH257:AH262),ISBLANK(U257:U262),ISBLANK(AM257:AM262)),"·",bdRateExtend(P257:P262,U257:U262,AH257:AH262,AM257:AM262))</f>
        <v>·</v>
      </c>
      <c r="BC257" s="54" t="str">
        <f>IF(OR(ISBLANK(P257:P262),ISBLANK(AH257:AH262),ISBLANK(V257:V262),ISBLANK(AN257:AN262)),"·",bdRateExtend(P257:P262,V257:V262,AH257:AH262,AN257:AN262))</f>
        <v>·</v>
      </c>
      <c r="BD257" s="61"/>
      <c r="BF257">
        <f t="shared" si="83"/>
        <v>0</v>
      </c>
      <c r="BG257">
        <f t="shared" si="84"/>
        <v>0</v>
      </c>
      <c r="BH257">
        <f t="shared" si="85"/>
        <v>0</v>
      </c>
      <c r="BI257">
        <f t="shared" si="86"/>
        <v>0</v>
      </c>
      <c r="BJ257">
        <f t="shared" si="87"/>
        <v>0</v>
      </c>
      <c r="BK257">
        <f t="shared" si="88"/>
        <v>0</v>
      </c>
      <c r="BL257">
        <f t="shared" si="89"/>
        <v>0</v>
      </c>
      <c r="BM257">
        <f t="shared" si="90"/>
        <v>0</v>
      </c>
      <c r="BN257">
        <f t="shared" si="91"/>
        <v>0</v>
      </c>
    </row>
    <row r="258" spans="1:66" outlineLevel="1" x14ac:dyDescent="0.15">
      <c r="A258" s="8"/>
      <c r="B258" s="8" t="s">
        <v>170</v>
      </c>
      <c r="C258" s="9" t="s">
        <v>255</v>
      </c>
      <c r="D258" s="8">
        <v>499886</v>
      </c>
      <c r="E258" s="10">
        <v>20</v>
      </c>
      <c r="F258" s="9">
        <v>1</v>
      </c>
      <c r="G258" s="9"/>
      <c r="I258" s="22" t="str">
        <f t="shared" si="72"/>
        <v>·</v>
      </c>
      <c r="J258" s="23" t="str">
        <f t="shared" si="73"/>
        <v>·</v>
      </c>
      <c r="K258" s="23" t="str">
        <f t="shared" si="74"/>
        <v>·</v>
      </c>
      <c r="L258" s="23" t="str">
        <f t="shared" si="75"/>
        <v>·</v>
      </c>
      <c r="M258" s="24"/>
      <c r="N258" s="23" t="str">
        <f t="shared" si="76"/>
        <v>·</v>
      </c>
      <c r="O258" s="25"/>
      <c r="P258" s="26"/>
      <c r="Q258" s="26"/>
      <c r="R258" s="26"/>
      <c r="S258" s="40"/>
      <c r="T258" s="41"/>
      <c r="U258" s="41"/>
      <c r="V258" s="41"/>
      <c r="W258" s="42"/>
      <c r="X258" s="50"/>
      <c r="Y258" s="50"/>
      <c r="AA258" s="22" t="str">
        <f t="shared" si="77"/>
        <v>·</v>
      </c>
      <c r="AB258" s="23" t="str">
        <f t="shared" si="78"/>
        <v>·</v>
      </c>
      <c r="AC258" s="23" t="str">
        <f t="shared" si="79"/>
        <v>·</v>
      </c>
      <c r="AD258" s="23" t="str">
        <f t="shared" si="80"/>
        <v>·</v>
      </c>
      <c r="AE258" s="24"/>
      <c r="AF258" s="23" t="str">
        <f t="shared" si="81"/>
        <v>·</v>
      </c>
      <c r="AG258" s="25"/>
      <c r="AH258" s="26"/>
      <c r="AI258" s="26"/>
      <c r="AJ258" s="26"/>
      <c r="AK258" s="40"/>
      <c r="AL258" s="41"/>
      <c r="AM258" s="41"/>
      <c r="AN258" s="41"/>
      <c r="AO258" s="42"/>
      <c r="AP258" s="50"/>
      <c r="AQ258" s="50"/>
      <c r="AS258" s="55" t="e">
        <f t="shared" si="82"/>
        <v>#DIV/0!</v>
      </c>
      <c r="AT258" s="55"/>
      <c r="AV258" s="56"/>
      <c r="AW258" s="56"/>
      <c r="AX258" s="56"/>
      <c r="AY258" s="62"/>
      <c r="BA258" s="56"/>
      <c r="BB258" s="56"/>
      <c r="BC258" s="56"/>
      <c r="BD258" s="62"/>
      <c r="BF258">
        <f t="shared" si="83"/>
        <v>0</v>
      </c>
      <c r="BG258">
        <f t="shared" si="84"/>
        <v>0</v>
      </c>
      <c r="BH258">
        <f t="shared" si="85"/>
        <v>0</v>
      </c>
      <c r="BI258">
        <f t="shared" si="86"/>
        <v>0</v>
      </c>
      <c r="BJ258">
        <f t="shared" si="87"/>
        <v>0</v>
      </c>
      <c r="BK258">
        <f t="shared" si="88"/>
        <v>0</v>
      </c>
      <c r="BL258">
        <f t="shared" si="89"/>
        <v>0</v>
      </c>
      <c r="BM258">
        <f t="shared" si="90"/>
        <v>0</v>
      </c>
      <c r="BN258">
        <f t="shared" si="91"/>
        <v>0</v>
      </c>
    </row>
    <row r="259" spans="1:66" outlineLevel="1" x14ac:dyDescent="0.15">
      <c r="A259" s="5"/>
      <c r="B259" s="5" t="s">
        <v>170</v>
      </c>
      <c r="C259" s="6" t="s">
        <v>256</v>
      </c>
      <c r="D259" s="5">
        <v>499886</v>
      </c>
      <c r="E259" s="7">
        <v>20</v>
      </c>
      <c r="F259" s="6">
        <v>1</v>
      </c>
      <c r="G259" s="6"/>
      <c r="I259" s="17" t="str">
        <f t="shared" si="72"/>
        <v>·</v>
      </c>
      <c r="J259" s="18" t="str">
        <f t="shared" si="73"/>
        <v>·</v>
      </c>
      <c r="K259" s="18" t="str">
        <f t="shared" si="74"/>
        <v>·</v>
      </c>
      <c r="L259" s="18" t="str">
        <f t="shared" si="75"/>
        <v>·</v>
      </c>
      <c r="M259" s="19"/>
      <c r="N259" s="18" t="str">
        <f t="shared" si="76"/>
        <v>·</v>
      </c>
      <c r="O259" s="20"/>
      <c r="P259" s="21"/>
      <c r="Q259" s="21"/>
      <c r="R259" s="21"/>
      <c r="S259" s="37"/>
      <c r="T259" s="38"/>
      <c r="U259" s="38"/>
      <c r="V259" s="38"/>
      <c r="W259" s="39"/>
      <c r="X259" s="49"/>
      <c r="Y259" s="49"/>
      <c r="AA259" s="17" t="str">
        <f t="shared" si="77"/>
        <v>·</v>
      </c>
      <c r="AB259" s="18" t="str">
        <f t="shared" si="78"/>
        <v>·</v>
      </c>
      <c r="AC259" s="18" t="str">
        <f t="shared" si="79"/>
        <v>·</v>
      </c>
      <c r="AD259" s="18" t="str">
        <f t="shared" si="80"/>
        <v>·</v>
      </c>
      <c r="AE259" s="19"/>
      <c r="AF259" s="18" t="str">
        <f t="shared" si="81"/>
        <v>·</v>
      </c>
      <c r="AG259" s="20"/>
      <c r="AH259" s="21"/>
      <c r="AI259" s="21"/>
      <c r="AJ259" s="21"/>
      <c r="AK259" s="37"/>
      <c r="AL259" s="38"/>
      <c r="AM259" s="38"/>
      <c r="AN259" s="38"/>
      <c r="AO259" s="39"/>
      <c r="AP259" s="49"/>
      <c r="AQ259" s="49"/>
      <c r="AS259" s="53" t="e">
        <f t="shared" si="82"/>
        <v>#DIV/0!</v>
      </c>
      <c r="AT259" s="53"/>
      <c r="AV259" s="54"/>
      <c r="AW259" s="54"/>
      <c r="AX259" s="54"/>
      <c r="AY259" s="61"/>
      <c r="BA259" s="54"/>
      <c r="BB259" s="54"/>
      <c r="BC259" s="54"/>
      <c r="BD259" s="61"/>
      <c r="BF259">
        <f t="shared" si="83"/>
        <v>0</v>
      </c>
      <c r="BG259">
        <f t="shared" si="84"/>
        <v>0</v>
      </c>
      <c r="BH259">
        <f t="shared" si="85"/>
        <v>0</v>
      </c>
      <c r="BI259">
        <f t="shared" si="86"/>
        <v>0</v>
      </c>
      <c r="BJ259">
        <f t="shared" si="87"/>
        <v>0</v>
      </c>
      <c r="BK259">
        <f t="shared" si="88"/>
        <v>0</v>
      </c>
      <c r="BL259">
        <f t="shared" si="89"/>
        <v>0</v>
      </c>
      <c r="BM259">
        <f t="shared" si="90"/>
        <v>0</v>
      </c>
      <c r="BN259">
        <f t="shared" si="91"/>
        <v>0</v>
      </c>
    </row>
    <row r="260" spans="1:66" outlineLevel="1" x14ac:dyDescent="0.15">
      <c r="A260" s="8"/>
      <c r="B260" s="8" t="s">
        <v>170</v>
      </c>
      <c r="C260" s="9" t="s">
        <v>257</v>
      </c>
      <c r="D260" s="8">
        <v>499886</v>
      </c>
      <c r="E260" s="10">
        <v>20</v>
      </c>
      <c r="F260" s="9">
        <v>1</v>
      </c>
      <c r="G260" s="9"/>
      <c r="I260" s="22" t="str">
        <f t="shared" si="72"/>
        <v>·</v>
      </c>
      <c r="J260" s="23" t="str">
        <f t="shared" si="73"/>
        <v>·</v>
      </c>
      <c r="K260" s="23" t="str">
        <f t="shared" si="74"/>
        <v>·</v>
      </c>
      <c r="L260" s="23" t="str">
        <f t="shared" si="75"/>
        <v>·</v>
      </c>
      <c r="M260" s="24"/>
      <c r="N260" s="23" t="str">
        <f t="shared" si="76"/>
        <v>·</v>
      </c>
      <c r="O260" s="25"/>
      <c r="P260" s="26"/>
      <c r="Q260" s="26"/>
      <c r="R260" s="26"/>
      <c r="S260" s="40"/>
      <c r="T260" s="41"/>
      <c r="U260" s="41"/>
      <c r="V260" s="41"/>
      <c r="W260" s="42"/>
      <c r="X260" s="50"/>
      <c r="Y260" s="50"/>
      <c r="AA260" s="22" t="str">
        <f t="shared" si="77"/>
        <v>·</v>
      </c>
      <c r="AB260" s="23" t="str">
        <f t="shared" si="78"/>
        <v>·</v>
      </c>
      <c r="AC260" s="23" t="str">
        <f t="shared" si="79"/>
        <v>·</v>
      </c>
      <c r="AD260" s="23" t="str">
        <f t="shared" si="80"/>
        <v>·</v>
      </c>
      <c r="AE260" s="24"/>
      <c r="AF260" s="23" t="str">
        <f t="shared" si="81"/>
        <v>·</v>
      </c>
      <c r="AG260" s="25"/>
      <c r="AH260" s="26"/>
      <c r="AI260" s="26"/>
      <c r="AJ260" s="26"/>
      <c r="AK260" s="40"/>
      <c r="AL260" s="41"/>
      <c r="AM260" s="41"/>
      <c r="AN260" s="41"/>
      <c r="AO260" s="42"/>
      <c r="AP260" s="50"/>
      <c r="AQ260" s="50"/>
      <c r="AS260" s="55" t="e">
        <f t="shared" si="82"/>
        <v>#DIV/0!</v>
      </c>
      <c r="AT260" s="55"/>
      <c r="AV260" s="56"/>
      <c r="AW260" s="56"/>
      <c r="AX260" s="56"/>
      <c r="AY260" s="62"/>
      <c r="BA260" s="56"/>
      <c r="BB260" s="56"/>
      <c r="BC260" s="56"/>
      <c r="BD260" s="62"/>
      <c r="BF260">
        <f t="shared" si="83"/>
        <v>0</v>
      </c>
      <c r="BG260">
        <f t="shared" si="84"/>
        <v>0</v>
      </c>
      <c r="BH260">
        <f t="shared" si="85"/>
        <v>0</v>
      </c>
      <c r="BI260">
        <f t="shared" si="86"/>
        <v>0</v>
      </c>
      <c r="BJ260">
        <f t="shared" si="87"/>
        <v>0</v>
      </c>
      <c r="BK260">
        <f t="shared" si="88"/>
        <v>0</v>
      </c>
      <c r="BL260">
        <f t="shared" si="89"/>
        <v>0</v>
      </c>
      <c r="BM260">
        <f t="shared" si="90"/>
        <v>0</v>
      </c>
      <c r="BN260">
        <f t="shared" si="91"/>
        <v>0</v>
      </c>
    </row>
    <row r="261" spans="1:66" outlineLevel="1" x14ac:dyDescent="0.15">
      <c r="A261" s="5"/>
      <c r="B261" s="5" t="s">
        <v>170</v>
      </c>
      <c r="C261" s="6" t="s">
        <v>258</v>
      </c>
      <c r="D261" s="5">
        <v>499886</v>
      </c>
      <c r="E261" s="7">
        <v>20</v>
      </c>
      <c r="F261" s="6">
        <v>1</v>
      </c>
      <c r="G261" s="6"/>
      <c r="I261" s="17" t="str">
        <f t="shared" ref="I261:I324" si="92">IF(OR(ISBLANK(P261),ISBLANK(G261)),"·",P261*G261/F261/1000000)</f>
        <v>·</v>
      </c>
      <c r="J261" s="18" t="str">
        <f t="shared" ref="J261:J324" si="93">IF(ISBLANK(P261),"·",P261/D261)</f>
        <v>·</v>
      </c>
      <c r="K261" s="18" t="str">
        <f t="shared" ref="K261:K324" si="94">IF(Q261="","·",Q261/D261)</f>
        <v>·</v>
      </c>
      <c r="L261" s="18" t="str">
        <f t="shared" ref="L261:L298" si="95">IF(ISBLANK(R261),"·",R261/D261)</f>
        <v>·</v>
      </c>
      <c r="M261" s="19"/>
      <c r="N261" s="18" t="str">
        <f t="shared" ref="N261:N324" si="96">IF(ISBLANK(P261),"·",P261/O261)</f>
        <v>·</v>
      </c>
      <c r="O261" s="20"/>
      <c r="P261" s="21"/>
      <c r="Q261" s="21"/>
      <c r="R261" s="21"/>
      <c r="S261" s="37"/>
      <c r="T261" s="38"/>
      <c r="U261" s="38"/>
      <c r="V261" s="38"/>
      <c r="W261" s="39"/>
      <c r="X261" s="49"/>
      <c r="Y261" s="49"/>
      <c r="AA261" s="17" t="str">
        <f t="shared" ref="AA261:AA324" si="97">IF(OR(ISBLANK(AH261),ISBLANK(G261)),"·",AH261*G261/F261/1000000)</f>
        <v>·</v>
      </c>
      <c r="AB261" s="18" t="str">
        <f t="shared" ref="AB261:AB324" si="98">IF(ISBLANK(AH261),"·",AH261/D261)</f>
        <v>·</v>
      </c>
      <c r="AC261" s="18" t="str">
        <f t="shared" ref="AC261:AC324" si="99">IF(AI261="","·",AI261/D261)</f>
        <v>·</v>
      </c>
      <c r="AD261" s="18" t="str">
        <f t="shared" ref="AD261:AD298" si="100">IF(ISBLANK(AJ261),"·",AJ261/D261)</f>
        <v>·</v>
      </c>
      <c r="AE261" s="19"/>
      <c r="AF261" s="18" t="str">
        <f t="shared" ref="AF261:AF324" si="101">IF(ISBLANK(AH261),"·",AH261/AG261)</f>
        <v>·</v>
      </c>
      <c r="AG261" s="20"/>
      <c r="AH261" s="21"/>
      <c r="AI261" s="21"/>
      <c r="AJ261" s="21"/>
      <c r="AK261" s="37"/>
      <c r="AL261" s="38"/>
      <c r="AM261" s="38"/>
      <c r="AN261" s="38"/>
      <c r="AO261" s="39"/>
      <c r="AP261" s="49"/>
      <c r="AQ261" s="49"/>
      <c r="AS261" s="53" t="e">
        <f t="shared" ref="AS261:AS324" si="102">(AI261/AH261)-(Q261/P261)</f>
        <v>#DIV/0!</v>
      </c>
      <c r="AT261" s="53"/>
      <c r="AV261" s="54"/>
      <c r="AW261" s="54"/>
      <c r="AX261" s="54"/>
      <c r="AY261" s="61"/>
      <c r="BA261" s="54"/>
      <c r="BB261" s="54"/>
      <c r="BC261" s="54"/>
      <c r="BD261" s="61"/>
      <c r="BF261">
        <f t="shared" si="83"/>
        <v>0</v>
      </c>
      <c r="BG261">
        <f t="shared" si="84"/>
        <v>0</v>
      </c>
      <c r="BH261">
        <f t="shared" si="85"/>
        <v>0</v>
      </c>
      <c r="BI261">
        <f t="shared" si="86"/>
        <v>0</v>
      </c>
      <c r="BJ261">
        <f t="shared" si="87"/>
        <v>0</v>
      </c>
      <c r="BK261">
        <f t="shared" si="88"/>
        <v>0</v>
      </c>
      <c r="BL261">
        <f t="shared" si="89"/>
        <v>0</v>
      </c>
      <c r="BM261">
        <f t="shared" si="90"/>
        <v>0</v>
      </c>
      <c r="BN261">
        <f t="shared" si="91"/>
        <v>0</v>
      </c>
    </row>
    <row r="262" spans="1:66" outlineLevel="1" x14ac:dyDescent="0.15">
      <c r="A262" s="8"/>
      <c r="B262" s="14" t="s">
        <v>170</v>
      </c>
      <c r="C262" s="15" t="s">
        <v>259</v>
      </c>
      <c r="D262" s="14">
        <v>499886</v>
      </c>
      <c r="E262" s="16">
        <v>20</v>
      </c>
      <c r="F262" s="15">
        <v>1</v>
      </c>
      <c r="G262" s="15"/>
      <c r="I262" s="32" t="str">
        <f t="shared" si="92"/>
        <v>·</v>
      </c>
      <c r="J262" s="33" t="str">
        <f t="shared" si="93"/>
        <v>·</v>
      </c>
      <c r="K262" s="33" t="str">
        <f t="shared" si="94"/>
        <v>·</v>
      </c>
      <c r="L262" s="33" t="str">
        <f t="shared" si="95"/>
        <v>·</v>
      </c>
      <c r="M262" s="34"/>
      <c r="N262" s="33" t="str">
        <f t="shared" si="96"/>
        <v>·</v>
      </c>
      <c r="O262" s="35"/>
      <c r="P262" s="36"/>
      <c r="Q262" s="36"/>
      <c r="R262" s="36"/>
      <c r="S262" s="46"/>
      <c r="T262" s="47"/>
      <c r="U262" s="47"/>
      <c r="V262" s="47"/>
      <c r="W262" s="48"/>
      <c r="X262" s="52"/>
      <c r="Y262" s="52"/>
      <c r="AA262" s="32" t="str">
        <f t="shared" si="97"/>
        <v>·</v>
      </c>
      <c r="AB262" s="33" t="str">
        <f t="shared" si="98"/>
        <v>·</v>
      </c>
      <c r="AC262" s="33" t="str">
        <f t="shared" si="99"/>
        <v>·</v>
      </c>
      <c r="AD262" s="33" t="str">
        <f t="shared" si="100"/>
        <v>·</v>
      </c>
      <c r="AE262" s="34"/>
      <c r="AF262" s="33" t="str">
        <f t="shared" si="101"/>
        <v>·</v>
      </c>
      <c r="AG262" s="35"/>
      <c r="AH262" s="36"/>
      <c r="AI262" s="36"/>
      <c r="AJ262" s="36"/>
      <c r="AK262" s="46"/>
      <c r="AL262" s="47"/>
      <c r="AM262" s="47"/>
      <c r="AN262" s="47"/>
      <c r="AO262" s="48"/>
      <c r="AP262" s="52"/>
      <c r="AQ262" s="52"/>
      <c r="AS262" s="59" t="e">
        <f t="shared" si="102"/>
        <v>#DIV/0!</v>
      </c>
      <c r="AT262" s="59"/>
      <c r="AV262" s="60"/>
      <c r="AW262" s="60"/>
      <c r="AX262" s="60"/>
      <c r="AY262" s="64"/>
      <c r="BA262" s="60"/>
      <c r="BB262" s="60"/>
      <c r="BC262" s="60"/>
      <c r="BD262" s="64"/>
      <c r="BF262">
        <f t="shared" ref="BF262:BF325" si="103">AG262-O262</f>
        <v>0</v>
      </c>
      <c r="BG262">
        <f t="shared" ref="BG262:BG325" si="104">AH262-P262</f>
        <v>0</v>
      </c>
      <c r="BH262">
        <f t="shared" ref="BH262:BH325" si="105">AI262-Q262</f>
        <v>0</v>
      </c>
      <c r="BI262">
        <f t="shared" ref="BI262:BI325" si="106">AJ262-R262</f>
        <v>0</v>
      </c>
      <c r="BJ262">
        <f t="shared" ref="BJ262:BJ325" si="107">AK262-S262</f>
        <v>0</v>
      </c>
      <c r="BK262">
        <f t="shared" ref="BK262:BK325" si="108">AL262-T262</f>
        <v>0</v>
      </c>
      <c r="BL262">
        <f t="shared" ref="BL262:BL325" si="109">AM262-U262</f>
        <v>0</v>
      </c>
      <c r="BM262">
        <f t="shared" ref="BM262:BM325" si="110">AN262-V262</f>
        <v>0</v>
      </c>
      <c r="BN262">
        <f t="shared" ref="BN262:BN325" si="111">AO262-W262</f>
        <v>0</v>
      </c>
    </row>
    <row r="263" spans="1:66" x14ac:dyDescent="0.15">
      <c r="A263" s="5"/>
      <c r="B263" s="5" t="s">
        <v>171</v>
      </c>
      <c r="C263" s="6" t="s">
        <v>254</v>
      </c>
      <c r="D263" s="5">
        <v>63787119</v>
      </c>
      <c r="E263" s="7">
        <v>15</v>
      </c>
      <c r="F263" s="6">
        <v>1</v>
      </c>
      <c r="G263" s="6"/>
      <c r="I263" s="17" t="str">
        <f t="shared" si="92"/>
        <v>·</v>
      </c>
      <c r="J263" s="18" t="str">
        <f t="shared" si="93"/>
        <v>·</v>
      </c>
      <c r="K263" s="18" t="str">
        <f t="shared" si="94"/>
        <v>·</v>
      </c>
      <c r="L263" s="18" t="str">
        <f t="shared" si="95"/>
        <v>·</v>
      </c>
      <c r="M263" s="19"/>
      <c r="N263" s="18" t="str">
        <f t="shared" si="96"/>
        <v>·</v>
      </c>
      <c r="O263" s="20"/>
      <c r="P263" s="21"/>
      <c r="Q263" s="21"/>
      <c r="R263" s="21"/>
      <c r="S263" s="37"/>
      <c r="T263" s="38"/>
      <c r="U263" s="38"/>
      <c r="V263" s="38"/>
      <c r="W263" s="39"/>
      <c r="X263" s="49"/>
      <c r="Y263" s="49"/>
      <c r="AA263" s="17" t="str">
        <f t="shared" si="97"/>
        <v>·</v>
      </c>
      <c r="AB263" s="18" t="str">
        <f t="shared" si="98"/>
        <v>·</v>
      </c>
      <c r="AC263" s="18" t="str">
        <f t="shared" si="99"/>
        <v>·</v>
      </c>
      <c r="AD263" s="18" t="str">
        <f t="shared" si="100"/>
        <v>·</v>
      </c>
      <c r="AE263" s="19"/>
      <c r="AF263" s="18" t="str">
        <f t="shared" si="101"/>
        <v>·</v>
      </c>
      <c r="AG263" s="20"/>
      <c r="AH263" s="21"/>
      <c r="AI263" s="21"/>
      <c r="AJ263" s="21"/>
      <c r="AK263" s="37"/>
      <c r="AL263" s="38"/>
      <c r="AM263" s="38"/>
      <c r="AN263" s="38"/>
      <c r="AO263" s="39"/>
      <c r="AP263" s="49"/>
      <c r="AQ263" s="49"/>
      <c r="AS263" s="53" t="e">
        <f t="shared" si="102"/>
        <v>#DIV/0!</v>
      </c>
      <c r="AT263" s="53" t="e">
        <f t="array" ref="AT263">AVERAGE(AI263:AI268/AH263:AH268)-AVERAGE(Q263:Q268/P263:P268)</f>
        <v>#DIV/0!</v>
      </c>
      <c r="AV263" s="54" t="str">
        <f>IF(OR(ISBLANK(R263:R268),ISBLANK(AJ263:AJ268),ISBLANK(T263:T268),ISBLANK(AL263:AL268)),"·",bdRateExtend(R263:R268,T263:T268,AJ263:AJ268,AL263:AL268))</f>
        <v>·</v>
      </c>
      <c r="AW263" s="54" t="str">
        <f>IF(OR(ISBLANK(R263:R268),ISBLANK(AJ263:AJ268),ISBLANK(U263:U268),ISBLANK(AM263:AM268)),"·",bdRateExtend(R263:R268,U263:U268,AJ263:AJ268,AM263:AM268))</f>
        <v>·</v>
      </c>
      <c r="AX263" s="54" t="str">
        <f>IF(OR(ISBLANK(R263:R268),ISBLANK(AJ263:AJ268),ISBLANK(V263:V268),ISBLANK(AN263:AN268)),"·",bdRateExtend(R263:R268,V263:V268,AJ263:AJ268,AN263:AN268))</f>
        <v>·</v>
      </c>
      <c r="AY263" s="61"/>
      <c r="BA263" s="54" t="str">
        <f>IF(OR(ISBLANK(P263:P268),ISBLANK(AH263:AH268),ISBLANK(T263:T268),ISBLANK(AL263:AL268)),"·",bdRateExtend(P263:P268,T263:T268,AH263:AH268,AL263:AL268))</f>
        <v>·</v>
      </c>
      <c r="BB263" s="54" t="str">
        <f>IF(OR(ISBLANK(P263:P268),ISBLANK(AH263:AH268),ISBLANK(U263:U268),ISBLANK(AM263:AM268)),"·",bdRateExtend(P263:P268,U263:U268,AH263:AH268,AM263:AM268))</f>
        <v>·</v>
      </c>
      <c r="BC263" s="54" t="str">
        <f>IF(OR(ISBLANK(P263:P268),ISBLANK(AH263:AH268),ISBLANK(V263:V268),ISBLANK(AN263:AN268)),"·",bdRateExtend(P263:P268,V263:V268,AH263:AH268,AN263:AN268))</f>
        <v>·</v>
      </c>
      <c r="BD263" s="61"/>
      <c r="BF263">
        <f t="shared" si="103"/>
        <v>0</v>
      </c>
      <c r="BG263">
        <f t="shared" si="104"/>
        <v>0</v>
      </c>
      <c r="BH263">
        <f t="shared" si="105"/>
        <v>0</v>
      </c>
      <c r="BI263">
        <f t="shared" si="106"/>
        <v>0</v>
      </c>
      <c r="BJ263">
        <f t="shared" si="107"/>
        <v>0</v>
      </c>
      <c r="BK263">
        <f t="shared" si="108"/>
        <v>0</v>
      </c>
      <c r="BL263">
        <f t="shared" si="109"/>
        <v>0</v>
      </c>
      <c r="BM263">
        <f t="shared" si="110"/>
        <v>0</v>
      </c>
      <c r="BN263">
        <f t="shared" si="111"/>
        <v>0</v>
      </c>
    </row>
    <row r="264" spans="1:66" outlineLevel="1" x14ac:dyDescent="0.15">
      <c r="A264" s="8"/>
      <c r="B264" s="8" t="s">
        <v>171</v>
      </c>
      <c r="C264" s="9" t="s">
        <v>255</v>
      </c>
      <c r="D264" s="8">
        <v>63787119</v>
      </c>
      <c r="E264" s="10">
        <v>15</v>
      </c>
      <c r="F264" s="9">
        <v>1</v>
      </c>
      <c r="G264" s="9"/>
      <c r="I264" s="22" t="str">
        <f t="shared" si="92"/>
        <v>·</v>
      </c>
      <c r="J264" s="23" t="str">
        <f t="shared" si="93"/>
        <v>·</v>
      </c>
      <c r="K264" s="23" t="str">
        <f t="shared" si="94"/>
        <v>·</v>
      </c>
      <c r="L264" s="23" t="str">
        <f t="shared" si="95"/>
        <v>·</v>
      </c>
      <c r="M264" s="24"/>
      <c r="N264" s="23" t="str">
        <f t="shared" si="96"/>
        <v>·</v>
      </c>
      <c r="O264" s="25"/>
      <c r="P264" s="26"/>
      <c r="Q264" s="26"/>
      <c r="R264" s="26"/>
      <c r="S264" s="40"/>
      <c r="T264" s="41"/>
      <c r="U264" s="41"/>
      <c r="V264" s="41"/>
      <c r="W264" s="42"/>
      <c r="X264" s="50"/>
      <c r="Y264" s="50"/>
      <c r="AA264" s="22" t="str">
        <f t="shared" si="97"/>
        <v>·</v>
      </c>
      <c r="AB264" s="23" t="str">
        <f t="shared" si="98"/>
        <v>·</v>
      </c>
      <c r="AC264" s="23" t="str">
        <f t="shared" si="99"/>
        <v>·</v>
      </c>
      <c r="AD264" s="23" t="str">
        <f t="shared" si="100"/>
        <v>·</v>
      </c>
      <c r="AE264" s="24"/>
      <c r="AF264" s="23" t="str">
        <f t="shared" si="101"/>
        <v>·</v>
      </c>
      <c r="AG264" s="25"/>
      <c r="AH264" s="26"/>
      <c r="AI264" s="26"/>
      <c r="AJ264" s="26"/>
      <c r="AK264" s="40"/>
      <c r="AL264" s="41"/>
      <c r="AM264" s="41"/>
      <c r="AN264" s="41"/>
      <c r="AO264" s="42"/>
      <c r="AP264" s="50"/>
      <c r="AQ264" s="50"/>
      <c r="AS264" s="55" t="e">
        <f t="shared" si="102"/>
        <v>#DIV/0!</v>
      </c>
      <c r="AT264" s="55"/>
      <c r="AV264" s="56"/>
      <c r="AW264" s="56"/>
      <c r="AX264" s="56"/>
      <c r="AY264" s="62"/>
      <c r="BA264" s="56"/>
      <c r="BB264" s="56"/>
      <c r="BC264" s="56"/>
      <c r="BD264" s="62"/>
      <c r="BF264">
        <f t="shared" si="103"/>
        <v>0</v>
      </c>
      <c r="BG264">
        <f t="shared" si="104"/>
        <v>0</v>
      </c>
      <c r="BH264">
        <f t="shared" si="105"/>
        <v>0</v>
      </c>
      <c r="BI264">
        <f t="shared" si="106"/>
        <v>0</v>
      </c>
      <c r="BJ264">
        <f t="shared" si="107"/>
        <v>0</v>
      </c>
      <c r="BK264">
        <f t="shared" si="108"/>
        <v>0</v>
      </c>
      <c r="BL264">
        <f t="shared" si="109"/>
        <v>0</v>
      </c>
      <c r="BM264">
        <f t="shared" si="110"/>
        <v>0</v>
      </c>
      <c r="BN264">
        <f t="shared" si="111"/>
        <v>0</v>
      </c>
    </row>
    <row r="265" spans="1:66" outlineLevel="1" x14ac:dyDescent="0.15">
      <c r="A265" s="5"/>
      <c r="B265" s="5" t="s">
        <v>171</v>
      </c>
      <c r="C265" s="6" t="s">
        <v>256</v>
      </c>
      <c r="D265" s="5">
        <v>63787119</v>
      </c>
      <c r="E265" s="7">
        <v>15</v>
      </c>
      <c r="F265" s="6">
        <v>1</v>
      </c>
      <c r="G265" s="6"/>
      <c r="I265" s="17" t="str">
        <f t="shared" si="92"/>
        <v>·</v>
      </c>
      <c r="J265" s="18" t="str">
        <f t="shared" si="93"/>
        <v>·</v>
      </c>
      <c r="K265" s="18" t="str">
        <f t="shared" si="94"/>
        <v>·</v>
      </c>
      <c r="L265" s="18" t="str">
        <f t="shared" si="95"/>
        <v>·</v>
      </c>
      <c r="M265" s="19"/>
      <c r="N265" s="18" t="str">
        <f t="shared" si="96"/>
        <v>·</v>
      </c>
      <c r="O265" s="20"/>
      <c r="P265" s="21"/>
      <c r="Q265" s="21"/>
      <c r="R265" s="21"/>
      <c r="S265" s="37"/>
      <c r="T265" s="38"/>
      <c r="U265" s="38"/>
      <c r="V265" s="38"/>
      <c r="W265" s="39"/>
      <c r="X265" s="49"/>
      <c r="Y265" s="49"/>
      <c r="AA265" s="17" t="str">
        <f t="shared" si="97"/>
        <v>·</v>
      </c>
      <c r="AB265" s="18" t="str">
        <f t="shared" si="98"/>
        <v>·</v>
      </c>
      <c r="AC265" s="18" t="str">
        <f t="shared" si="99"/>
        <v>·</v>
      </c>
      <c r="AD265" s="18" t="str">
        <f t="shared" si="100"/>
        <v>·</v>
      </c>
      <c r="AE265" s="19"/>
      <c r="AF265" s="18" t="str">
        <f t="shared" si="101"/>
        <v>·</v>
      </c>
      <c r="AG265" s="20"/>
      <c r="AH265" s="21"/>
      <c r="AI265" s="21"/>
      <c r="AJ265" s="21"/>
      <c r="AK265" s="37"/>
      <c r="AL265" s="38"/>
      <c r="AM265" s="38"/>
      <c r="AN265" s="38"/>
      <c r="AO265" s="39"/>
      <c r="AP265" s="49"/>
      <c r="AQ265" s="49"/>
      <c r="AS265" s="53" t="e">
        <f t="shared" si="102"/>
        <v>#DIV/0!</v>
      </c>
      <c r="AT265" s="53"/>
      <c r="AV265" s="54"/>
      <c r="AW265" s="54"/>
      <c r="AX265" s="54"/>
      <c r="AY265" s="61"/>
      <c r="BA265" s="54"/>
      <c r="BB265" s="54"/>
      <c r="BC265" s="54"/>
      <c r="BD265" s="61"/>
      <c r="BF265">
        <f t="shared" si="103"/>
        <v>0</v>
      </c>
      <c r="BG265">
        <f t="shared" si="104"/>
        <v>0</v>
      </c>
      <c r="BH265">
        <f t="shared" si="105"/>
        <v>0</v>
      </c>
      <c r="BI265">
        <f t="shared" si="106"/>
        <v>0</v>
      </c>
      <c r="BJ265">
        <f t="shared" si="107"/>
        <v>0</v>
      </c>
      <c r="BK265">
        <f t="shared" si="108"/>
        <v>0</v>
      </c>
      <c r="BL265">
        <f t="shared" si="109"/>
        <v>0</v>
      </c>
      <c r="BM265">
        <f t="shared" si="110"/>
        <v>0</v>
      </c>
      <c r="BN265">
        <f t="shared" si="111"/>
        <v>0</v>
      </c>
    </row>
    <row r="266" spans="1:66" outlineLevel="1" x14ac:dyDescent="0.15">
      <c r="A266" s="8"/>
      <c r="B266" s="8" t="s">
        <v>171</v>
      </c>
      <c r="C266" s="9" t="s">
        <v>257</v>
      </c>
      <c r="D266" s="8">
        <v>63787119</v>
      </c>
      <c r="E266" s="10">
        <v>15</v>
      </c>
      <c r="F266" s="9">
        <v>1</v>
      </c>
      <c r="G266" s="9"/>
      <c r="I266" s="22" t="str">
        <f t="shared" si="92"/>
        <v>·</v>
      </c>
      <c r="J266" s="23" t="str">
        <f t="shared" si="93"/>
        <v>·</v>
      </c>
      <c r="K266" s="23" t="str">
        <f t="shared" si="94"/>
        <v>·</v>
      </c>
      <c r="L266" s="23" t="str">
        <f t="shared" si="95"/>
        <v>·</v>
      </c>
      <c r="M266" s="24"/>
      <c r="N266" s="23" t="str">
        <f t="shared" si="96"/>
        <v>·</v>
      </c>
      <c r="O266" s="25"/>
      <c r="P266" s="26"/>
      <c r="Q266" s="26"/>
      <c r="R266" s="26"/>
      <c r="S266" s="40"/>
      <c r="T266" s="41"/>
      <c r="U266" s="41"/>
      <c r="V266" s="41"/>
      <c r="W266" s="42"/>
      <c r="X266" s="50"/>
      <c r="Y266" s="50"/>
      <c r="AA266" s="22" t="str">
        <f t="shared" si="97"/>
        <v>·</v>
      </c>
      <c r="AB266" s="23" t="str">
        <f t="shared" si="98"/>
        <v>·</v>
      </c>
      <c r="AC266" s="23" t="str">
        <f t="shared" si="99"/>
        <v>·</v>
      </c>
      <c r="AD266" s="23" t="str">
        <f t="shared" si="100"/>
        <v>·</v>
      </c>
      <c r="AE266" s="24"/>
      <c r="AF266" s="23" t="str">
        <f t="shared" si="101"/>
        <v>·</v>
      </c>
      <c r="AG266" s="25"/>
      <c r="AH266" s="26"/>
      <c r="AI266" s="26"/>
      <c r="AJ266" s="26"/>
      <c r="AK266" s="40"/>
      <c r="AL266" s="41"/>
      <c r="AM266" s="41"/>
      <c r="AN266" s="41"/>
      <c r="AO266" s="42"/>
      <c r="AP266" s="50"/>
      <c r="AQ266" s="50"/>
      <c r="AS266" s="55" t="e">
        <f t="shared" si="102"/>
        <v>#DIV/0!</v>
      </c>
      <c r="AT266" s="55"/>
      <c r="AV266" s="56"/>
      <c r="AW266" s="56"/>
      <c r="AX266" s="56"/>
      <c r="AY266" s="62"/>
      <c r="BA266" s="56"/>
      <c r="BB266" s="56"/>
      <c r="BC266" s="56"/>
      <c r="BD266" s="62"/>
      <c r="BF266">
        <f t="shared" si="103"/>
        <v>0</v>
      </c>
      <c r="BG266">
        <f t="shared" si="104"/>
        <v>0</v>
      </c>
      <c r="BH266">
        <f t="shared" si="105"/>
        <v>0</v>
      </c>
      <c r="BI266">
        <f t="shared" si="106"/>
        <v>0</v>
      </c>
      <c r="BJ266">
        <f t="shared" si="107"/>
        <v>0</v>
      </c>
      <c r="BK266">
        <f t="shared" si="108"/>
        <v>0</v>
      </c>
      <c r="BL266">
        <f t="shared" si="109"/>
        <v>0</v>
      </c>
      <c r="BM266">
        <f t="shared" si="110"/>
        <v>0</v>
      </c>
      <c r="BN266">
        <f t="shared" si="111"/>
        <v>0</v>
      </c>
    </row>
    <row r="267" spans="1:66" outlineLevel="1" x14ac:dyDescent="0.15">
      <c r="A267" s="5"/>
      <c r="B267" s="5" t="s">
        <v>171</v>
      </c>
      <c r="C267" s="6" t="s">
        <v>258</v>
      </c>
      <c r="D267" s="5">
        <v>63787119</v>
      </c>
      <c r="E267" s="7">
        <v>15</v>
      </c>
      <c r="F267" s="6">
        <v>1</v>
      </c>
      <c r="G267" s="6"/>
      <c r="I267" s="17" t="str">
        <f t="shared" si="92"/>
        <v>·</v>
      </c>
      <c r="J267" s="18" t="str">
        <f t="shared" si="93"/>
        <v>·</v>
      </c>
      <c r="K267" s="18" t="str">
        <f t="shared" si="94"/>
        <v>·</v>
      </c>
      <c r="L267" s="18" t="str">
        <f t="shared" si="95"/>
        <v>·</v>
      </c>
      <c r="M267" s="19"/>
      <c r="N267" s="18" t="str">
        <f t="shared" si="96"/>
        <v>·</v>
      </c>
      <c r="O267" s="20"/>
      <c r="P267" s="21"/>
      <c r="Q267" s="21"/>
      <c r="R267" s="21"/>
      <c r="S267" s="37"/>
      <c r="T267" s="38"/>
      <c r="U267" s="38"/>
      <c r="V267" s="38"/>
      <c r="W267" s="39"/>
      <c r="X267" s="49"/>
      <c r="Y267" s="49"/>
      <c r="AA267" s="17" t="str">
        <f t="shared" si="97"/>
        <v>·</v>
      </c>
      <c r="AB267" s="18" t="str">
        <f t="shared" si="98"/>
        <v>·</v>
      </c>
      <c r="AC267" s="18" t="str">
        <f t="shared" si="99"/>
        <v>·</v>
      </c>
      <c r="AD267" s="18" t="str">
        <f t="shared" si="100"/>
        <v>·</v>
      </c>
      <c r="AE267" s="19"/>
      <c r="AF267" s="18" t="str">
        <f t="shared" si="101"/>
        <v>·</v>
      </c>
      <c r="AG267" s="20"/>
      <c r="AH267" s="21"/>
      <c r="AI267" s="21"/>
      <c r="AJ267" s="21"/>
      <c r="AK267" s="37"/>
      <c r="AL267" s="38"/>
      <c r="AM267" s="38"/>
      <c r="AN267" s="38"/>
      <c r="AO267" s="39"/>
      <c r="AP267" s="49"/>
      <c r="AQ267" s="49"/>
      <c r="AS267" s="53" t="e">
        <f t="shared" si="102"/>
        <v>#DIV/0!</v>
      </c>
      <c r="AT267" s="53"/>
      <c r="AV267" s="54"/>
      <c r="AW267" s="54"/>
      <c r="AX267" s="54"/>
      <c r="AY267" s="61"/>
      <c r="BA267" s="54"/>
      <c r="BB267" s="54"/>
      <c r="BC267" s="54"/>
      <c r="BD267" s="61"/>
      <c r="BF267">
        <f t="shared" si="103"/>
        <v>0</v>
      </c>
      <c r="BG267">
        <f t="shared" si="104"/>
        <v>0</v>
      </c>
      <c r="BH267">
        <f t="shared" si="105"/>
        <v>0</v>
      </c>
      <c r="BI267">
        <f t="shared" si="106"/>
        <v>0</v>
      </c>
      <c r="BJ267">
        <f t="shared" si="107"/>
        <v>0</v>
      </c>
      <c r="BK267">
        <f t="shared" si="108"/>
        <v>0</v>
      </c>
      <c r="BL267">
        <f t="shared" si="109"/>
        <v>0</v>
      </c>
      <c r="BM267">
        <f t="shared" si="110"/>
        <v>0</v>
      </c>
      <c r="BN267">
        <f t="shared" si="111"/>
        <v>0</v>
      </c>
    </row>
    <row r="268" spans="1:66" outlineLevel="1" x14ac:dyDescent="0.15">
      <c r="A268" s="8"/>
      <c r="B268" s="14" t="s">
        <v>171</v>
      </c>
      <c r="C268" s="15" t="s">
        <v>259</v>
      </c>
      <c r="D268" s="14">
        <v>63787119</v>
      </c>
      <c r="E268" s="16">
        <v>15</v>
      </c>
      <c r="F268" s="15">
        <v>1</v>
      </c>
      <c r="G268" s="15"/>
      <c r="I268" s="32" t="str">
        <f t="shared" si="92"/>
        <v>·</v>
      </c>
      <c r="J268" s="33" t="str">
        <f t="shared" si="93"/>
        <v>·</v>
      </c>
      <c r="K268" s="33" t="str">
        <f t="shared" si="94"/>
        <v>·</v>
      </c>
      <c r="L268" s="33" t="str">
        <f t="shared" si="95"/>
        <v>·</v>
      </c>
      <c r="M268" s="34"/>
      <c r="N268" s="33" t="str">
        <f t="shared" si="96"/>
        <v>·</v>
      </c>
      <c r="O268" s="35"/>
      <c r="P268" s="36"/>
      <c r="Q268" s="36"/>
      <c r="R268" s="36"/>
      <c r="S268" s="46"/>
      <c r="T268" s="47"/>
      <c r="U268" s="47"/>
      <c r="V268" s="47"/>
      <c r="W268" s="48"/>
      <c r="X268" s="52"/>
      <c r="Y268" s="52"/>
      <c r="AA268" s="32" t="str">
        <f t="shared" si="97"/>
        <v>·</v>
      </c>
      <c r="AB268" s="33" t="str">
        <f t="shared" si="98"/>
        <v>·</v>
      </c>
      <c r="AC268" s="33" t="str">
        <f t="shared" si="99"/>
        <v>·</v>
      </c>
      <c r="AD268" s="33" t="str">
        <f t="shared" si="100"/>
        <v>·</v>
      </c>
      <c r="AE268" s="34"/>
      <c r="AF268" s="33" t="str">
        <f t="shared" si="101"/>
        <v>·</v>
      </c>
      <c r="AG268" s="35"/>
      <c r="AH268" s="36"/>
      <c r="AI268" s="36"/>
      <c r="AJ268" s="36"/>
      <c r="AK268" s="46"/>
      <c r="AL268" s="47"/>
      <c r="AM268" s="47"/>
      <c r="AN268" s="47"/>
      <c r="AO268" s="48"/>
      <c r="AP268" s="52"/>
      <c r="AQ268" s="52"/>
      <c r="AS268" s="59" t="e">
        <f t="shared" si="102"/>
        <v>#DIV/0!</v>
      </c>
      <c r="AT268" s="59"/>
      <c r="AV268" s="60"/>
      <c r="AW268" s="60"/>
      <c r="AX268" s="60"/>
      <c r="AY268" s="64"/>
      <c r="BA268" s="60"/>
      <c r="BB268" s="60"/>
      <c r="BC268" s="60"/>
      <c r="BD268" s="64"/>
      <c r="BF268">
        <f t="shared" si="103"/>
        <v>0</v>
      </c>
      <c r="BG268">
        <f t="shared" si="104"/>
        <v>0</v>
      </c>
      <c r="BH268">
        <f t="shared" si="105"/>
        <v>0</v>
      </c>
      <c r="BI268">
        <f t="shared" si="106"/>
        <v>0</v>
      </c>
      <c r="BJ268">
        <f t="shared" si="107"/>
        <v>0</v>
      </c>
      <c r="BK268">
        <f t="shared" si="108"/>
        <v>0</v>
      </c>
      <c r="BL268">
        <f t="shared" si="109"/>
        <v>0</v>
      </c>
      <c r="BM268">
        <f t="shared" si="110"/>
        <v>0</v>
      </c>
      <c r="BN268">
        <f t="shared" si="111"/>
        <v>0</v>
      </c>
    </row>
    <row r="269" spans="1:66" x14ac:dyDescent="0.15">
      <c r="A269" s="5"/>
      <c r="B269" s="5" t="s">
        <v>172</v>
      </c>
      <c r="C269" s="6" t="s">
        <v>254</v>
      </c>
      <c r="D269" s="5">
        <v>63864641</v>
      </c>
      <c r="E269" s="7">
        <v>20</v>
      </c>
      <c r="F269" s="6">
        <v>1</v>
      </c>
      <c r="G269" s="6"/>
      <c r="I269" s="17" t="str">
        <f t="shared" si="92"/>
        <v>·</v>
      </c>
      <c r="J269" s="18" t="str">
        <f t="shared" si="93"/>
        <v>·</v>
      </c>
      <c r="K269" s="18" t="str">
        <f t="shared" si="94"/>
        <v>·</v>
      </c>
      <c r="L269" s="18" t="str">
        <f t="shared" si="95"/>
        <v>·</v>
      </c>
      <c r="M269" s="19"/>
      <c r="N269" s="18" t="str">
        <f t="shared" si="96"/>
        <v>·</v>
      </c>
      <c r="O269" s="20"/>
      <c r="P269" s="21"/>
      <c r="Q269" s="21"/>
      <c r="R269" s="21"/>
      <c r="S269" s="37"/>
      <c r="T269" s="38"/>
      <c r="U269" s="38"/>
      <c r="V269" s="38"/>
      <c r="W269" s="39"/>
      <c r="X269" s="49"/>
      <c r="Y269" s="49"/>
      <c r="AA269" s="17" t="str">
        <f t="shared" si="97"/>
        <v>·</v>
      </c>
      <c r="AB269" s="18" t="str">
        <f t="shared" si="98"/>
        <v>·</v>
      </c>
      <c r="AC269" s="18" t="str">
        <f t="shared" si="99"/>
        <v>·</v>
      </c>
      <c r="AD269" s="18" t="str">
        <f t="shared" si="100"/>
        <v>·</v>
      </c>
      <c r="AE269" s="19"/>
      <c r="AF269" s="18" t="str">
        <f t="shared" si="101"/>
        <v>·</v>
      </c>
      <c r="AG269" s="20"/>
      <c r="AH269" s="21"/>
      <c r="AI269" s="21"/>
      <c r="AJ269" s="21"/>
      <c r="AK269" s="37"/>
      <c r="AL269" s="38"/>
      <c r="AM269" s="38"/>
      <c r="AN269" s="38"/>
      <c r="AO269" s="39"/>
      <c r="AP269" s="49"/>
      <c r="AQ269" s="49"/>
      <c r="AS269" s="53" t="e">
        <f t="shared" si="102"/>
        <v>#DIV/0!</v>
      </c>
      <c r="AT269" s="53" t="e">
        <f t="array" ref="AT269">AVERAGE(AI269:AI274/AH269:AH274)-AVERAGE(Q269:Q274/P269:P274)</f>
        <v>#DIV/0!</v>
      </c>
      <c r="AV269" s="54" t="str">
        <f>IF(OR(ISBLANK(R269:R274),ISBLANK(AJ269:AJ274),ISBLANK(T269:T274),ISBLANK(AL269:AL274)),"·",bdRateExtend(R269:R274,T269:T274,AJ269:AJ274,AL269:AL274))</f>
        <v>·</v>
      </c>
      <c r="AW269" s="54" t="str">
        <f>IF(OR(ISBLANK(R269:R274),ISBLANK(AJ269:AJ274),ISBLANK(U269:U274),ISBLANK(AM269:AM274)),"·",bdRateExtend(R269:R274,U269:U274,AJ269:AJ274,AM269:AM274))</f>
        <v>·</v>
      </c>
      <c r="AX269" s="54" t="str">
        <f>IF(OR(ISBLANK(R269:R274),ISBLANK(AJ269:AJ274),ISBLANK(V269:V274),ISBLANK(AN269:AN274)),"·",bdRateExtend(R269:R274,V269:V274,AJ269:AJ274,AN269:AN274))</f>
        <v>·</v>
      </c>
      <c r="AY269" s="61"/>
      <c r="BA269" s="54" t="str">
        <f>IF(OR(ISBLANK(P269:P274),ISBLANK(AH269:AH274),ISBLANK(T269:T274),ISBLANK(AL269:AL274)),"·",bdRateExtend(P269:P274,T269:T274,AH269:AH274,AL269:AL274))</f>
        <v>·</v>
      </c>
      <c r="BB269" s="54" t="str">
        <f>IF(OR(ISBLANK(P269:P274),ISBLANK(AH269:AH274),ISBLANK(U269:U274),ISBLANK(AM269:AM274)),"·",bdRateExtend(P269:P274,U269:U274,AH269:AH274,AM269:AM274))</f>
        <v>·</v>
      </c>
      <c r="BC269" s="54" t="str">
        <f>IF(OR(ISBLANK(P269:P274),ISBLANK(AH269:AH274),ISBLANK(V269:V274),ISBLANK(AN269:AN274)),"·",bdRateExtend(P269:P274,V269:V274,AH269:AH274,AN269:AN274))</f>
        <v>·</v>
      </c>
      <c r="BD269" s="61"/>
      <c r="BF269">
        <f t="shared" si="103"/>
        <v>0</v>
      </c>
      <c r="BG269">
        <f t="shared" si="104"/>
        <v>0</v>
      </c>
      <c r="BH269">
        <f t="shared" si="105"/>
        <v>0</v>
      </c>
      <c r="BI269">
        <f t="shared" si="106"/>
        <v>0</v>
      </c>
      <c r="BJ269">
        <f t="shared" si="107"/>
        <v>0</v>
      </c>
      <c r="BK269">
        <f t="shared" si="108"/>
        <v>0</v>
      </c>
      <c r="BL269">
        <f t="shared" si="109"/>
        <v>0</v>
      </c>
      <c r="BM269">
        <f t="shared" si="110"/>
        <v>0</v>
      </c>
      <c r="BN269">
        <f t="shared" si="111"/>
        <v>0</v>
      </c>
    </row>
    <row r="270" spans="1:66" outlineLevel="1" x14ac:dyDescent="0.15">
      <c r="A270" s="8"/>
      <c r="B270" s="8" t="s">
        <v>172</v>
      </c>
      <c r="C270" s="9" t="s">
        <v>255</v>
      </c>
      <c r="D270" s="8">
        <v>63864641</v>
      </c>
      <c r="E270" s="10">
        <v>20</v>
      </c>
      <c r="F270" s="9">
        <v>1</v>
      </c>
      <c r="G270" s="9"/>
      <c r="I270" s="22" t="str">
        <f t="shared" si="92"/>
        <v>·</v>
      </c>
      <c r="J270" s="23" t="str">
        <f t="shared" si="93"/>
        <v>·</v>
      </c>
      <c r="K270" s="23" t="str">
        <f t="shared" si="94"/>
        <v>·</v>
      </c>
      <c r="L270" s="23" t="str">
        <f t="shared" si="95"/>
        <v>·</v>
      </c>
      <c r="M270" s="24"/>
      <c r="N270" s="23" t="str">
        <f t="shared" si="96"/>
        <v>·</v>
      </c>
      <c r="O270" s="25"/>
      <c r="P270" s="26"/>
      <c r="Q270" s="26"/>
      <c r="R270" s="26"/>
      <c r="S270" s="40"/>
      <c r="T270" s="41"/>
      <c r="U270" s="41"/>
      <c r="V270" s="41"/>
      <c r="W270" s="42"/>
      <c r="X270" s="50"/>
      <c r="Y270" s="50"/>
      <c r="AA270" s="22" t="str">
        <f t="shared" si="97"/>
        <v>·</v>
      </c>
      <c r="AB270" s="23" t="str">
        <f t="shared" si="98"/>
        <v>·</v>
      </c>
      <c r="AC270" s="23" t="str">
        <f t="shared" si="99"/>
        <v>·</v>
      </c>
      <c r="AD270" s="23" t="str">
        <f t="shared" si="100"/>
        <v>·</v>
      </c>
      <c r="AE270" s="24"/>
      <c r="AF270" s="23" t="str">
        <f t="shared" si="101"/>
        <v>·</v>
      </c>
      <c r="AG270" s="25"/>
      <c r="AH270" s="26"/>
      <c r="AI270" s="26"/>
      <c r="AJ270" s="26"/>
      <c r="AK270" s="40"/>
      <c r="AL270" s="41"/>
      <c r="AM270" s="41"/>
      <c r="AN270" s="41"/>
      <c r="AO270" s="42"/>
      <c r="AP270" s="50"/>
      <c r="AQ270" s="50"/>
      <c r="AS270" s="55" t="e">
        <f t="shared" si="102"/>
        <v>#DIV/0!</v>
      </c>
      <c r="AT270" s="55"/>
      <c r="AV270" s="56"/>
      <c r="AW270" s="56"/>
      <c r="AX270" s="56"/>
      <c r="AY270" s="62"/>
      <c r="BA270" s="56"/>
      <c r="BB270" s="56"/>
      <c r="BC270" s="56"/>
      <c r="BD270" s="62"/>
      <c r="BF270">
        <f t="shared" si="103"/>
        <v>0</v>
      </c>
      <c r="BG270">
        <f t="shared" si="104"/>
        <v>0</v>
      </c>
      <c r="BH270">
        <f t="shared" si="105"/>
        <v>0</v>
      </c>
      <c r="BI270">
        <f t="shared" si="106"/>
        <v>0</v>
      </c>
      <c r="BJ270">
        <f t="shared" si="107"/>
        <v>0</v>
      </c>
      <c r="BK270">
        <f t="shared" si="108"/>
        <v>0</v>
      </c>
      <c r="BL270">
        <f t="shared" si="109"/>
        <v>0</v>
      </c>
      <c r="BM270">
        <f t="shared" si="110"/>
        <v>0</v>
      </c>
      <c r="BN270">
        <f t="shared" si="111"/>
        <v>0</v>
      </c>
    </row>
    <row r="271" spans="1:66" outlineLevel="1" x14ac:dyDescent="0.15">
      <c r="A271" s="5"/>
      <c r="B271" s="5" t="s">
        <v>172</v>
      </c>
      <c r="C271" s="6" t="s">
        <v>256</v>
      </c>
      <c r="D271" s="5">
        <v>63864641</v>
      </c>
      <c r="E271" s="7">
        <v>20</v>
      </c>
      <c r="F271" s="6">
        <v>1</v>
      </c>
      <c r="G271" s="6"/>
      <c r="I271" s="17" t="str">
        <f t="shared" si="92"/>
        <v>·</v>
      </c>
      <c r="J271" s="18" t="str">
        <f t="shared" si="93"/>
        <v>·</v>
      </c>
      <c r="K271" s="18" t="str">
        <f t="shared" si="94"/>
        <v>·</v>
      </c>
      <c r="L271" s="18" t="str">
        <f t="shared" si="95"/>
        <v>·</v>
      </c>
      <c r="M271" s="19"/>
      <c r="N271" s="18" t="str">
        <f t="shared" si="96"/>
        <v>·</v>
      </c>
      <c r="O271" s="20"/>
      <c r="P271" s="21"/>
      <c r="Q271" s="21"/>
      <c r="R271" s="21"/>
      <c r="S271" s="37"/>
      <c r="T271" s="38"/>
      <c r="U271" s="38"/>
      <c r="V271" s="38"/>
      <c r="W271" s="39"/>
      <c r="X271" s="49"/>
      <c r="Y271" s="49"/>
      <c r="AA271" s="17" t="str">
        <f t="shared" si="97"/>
        <v>·</v>
      </c>
      <c r="AB271" s="18" t="str">
        <f t="shared" si="98"/>
        <v>·</v>
      </c>
      <c r="AC271" s="18" t="str">
        <f t="shared" si="99"/>
        <v>·</v>
      </c>
      <c r="AD271" s="18" t="str">
        <f t="shared" si="100"/>
        <v>·</v>
      </c>
      <c r="AE271" s="19"/>
      <c r="AF271" s="18" t="str">
        <f t="shared" si="101"/>
        <v>·</v>
      </c>
      <c r="AG271" s="20"/>
      <c r="AH271" s="21"/>
      <c r="AI271" s="21"/>
      <c r="AJ271" s="21"/>
      <c r="AK271" s="37"/>
      <c r="AL271" s="38"/>
      <c r="AM271" s="38"/>
      <c r="AN271" s="38"/>
      <c r="AO271" s="39"/>
      <c r="AP271" s="49"/>
      <c r="AQ271" s="49"/>
      <c r="AS271" s="53" t="e">
        <f t="shared" si="102"/>
        <v>#DIV/0!</v>
      </c>
      <c r="AT271" s="53"/>
      <c r="AV271" s="54"/>
      <c r="AW271" s="54"/>
      <c r="AX271" s="54"/>
      <c r="AY271" s="61"/>
      <c r="BA271" s="54"/>
      <c r="BB271" s="54"/>
      <c r="BC271" s="54"/>
      <c r="BD271" s="61"/>
      <c r="BF271">
        <f t="shared" si="103"/>
        <v>0</v>
      </c>
      <c r="BG271">
        <f t="shared" si="104"/>
        <v>0</v>
      </c>
      <c r="BH271">
        <f t="shared" si="105"/>
        <v>0</v>
      </c>
      <c r="BI271">
        <f t="shared" si="106"/>
        <v>0</v>
      </c>
      <c r="BJ271">
        <f t="shared" si="107"/>
        <v>0</v>
      </c>
      <c r="BK271">
        <f t="shared" si="108"/>
        <v>0</v>
      </c>
      <c r="BL271">
        <f t="shared" si="109"/>
        <v>0</v>
      </c>
      <c r="BM271">
        <f t="shared" si="110"/>
        <v>0</v>
      </c>
      <c r="BN271">
        <f t="shared" si="111"/>
        <v>0</v>
      </c>
    </row>
    <row r="272" spans="1:66" outlineLevel="1" x14ac:dyDescent="0.15">
      <c r="A272" s="8"/>
      <c r="B272" s="8" t="s">
        <v>172</v>
      </c>
      <c r="C272" s="9" t="s">
        <v>257</v>
      </c>
      <c r="D272" s="8">
        <v>63864641</v>
      </c>
      <c r="E272" s="10">
        <v>20</v>
      </c>
      <c r="F272" s="9">
        <v>1</v>
      </c>
      <c r="G272" s="9"/>
      <c r="I272" s="22" t="str">
        <f t="shared" si="92"/>
        <v>·</v>
      </c>
      <c r="J272" s="23" t="str">
        <f t="shared" si="93"/>
        <v>·</v>
      </c>
      <c r="K272" s="23" t="str">
        <f t="shared" si="94"/>
        <v>·</v>
      </c>
      <c r="L272" s="23" t="str">
        <f t="shared" si="95"/>
        <v>·</v>
      </c>
      <c r="M272" s="24"/>
      <c r="N272" s="23" t="str">
        <f t="shared" si="96"/>
        <v>·</v>
      </c>
      <c r="O272" s="25"/>
      <c r="P272" s="26"/>
      <c r="Q272" s="26"/>
      <c r="R272" s="26"/>
      <c r="S272" s="40"/>
      <c r="T272" s="41"/>
      <c r="U272" s="41"/>
      <c r="V272" s="41"/>
      <c r="W272" s="42"/>
      <c r="X272" s="50"/>
      <c r="Y272" s="50"/>
      <c r="AA272" s="22" t="str">
        <f t="shared" si="97"/>
        <v>·</v>
      </c>
      <c r="AB272" s="23" t="str">
        <f t="shared" si="98"/>
        <v>·</v>
      </c>
      <c r="AC272" s="23" t="str">
        <f t="shared" si="99"/>
        <v>·</v>
      </c>
      <c r="AD272" s="23" t="str">
        <f t="shared" si="100"/>
        <v>·</v>
      </c>
      <c r="AE272" s="24"/>
      <c r="AF272" s="23" t="str">
        <f t="shared" si="101"/>
        <v>·</v>
      </c>
      <c r="AG272" s="25"/>
      <c r="AH272" s="26"/>
      <c r="AI272" s="26"/>
      <c r="AJ272" s="26"/>
      <c r="AK272" s="40"/>
      <c r="AL272" s="41"/>
      <c r="AM272" s="41"/>
      <c r="AN272" s="41"/>
      <c r="AO272" s="42"/>
      <c r="AP272" s="50"/>
      <c r="AQ272" s="50"/>
      <c r="AS272" s="55" t="e">
        <f t="shared" si="102"/>
        <v>#DIV/0!</v>
      </c>
      <c r="AT272" s="55"/>
      <c r="AV272" s="56"/>
      <c r="AW272" s="56"/>
      <c r="AX272" s="56"/>
      <c r="AY272" s="62"/>
      <c r="BA272" s="56"/>
      <c r="BB272" s="56"/>
      <c r="BC272" s="56"/>
      <c r="BD272" s="62"/>
      <c r="BF272">
        <f t="shared" si="103"/>
        <v>0</v>
      </c>
      <c r="BG272">
        <f t="shared" si="104"/>
        <v>0</v>
      </c>
      <c r="BH272">
        <f t="shared" si="105"/>
        <v>0</v>
      </c>
      <c r="BI272">
        <f t="shared" si="106"/>
        <v>0</v>
      </c>
      <c r="BJ272">
        <f t="shared" si="107"/>
        <v>0</v>
      </c>
      <c r="BK272">
        <f t="shared" si="108"/>
        <v>0</v>
      </c>
      <c r="BL272">
        <f t="shared" si="109"/>
        <v>0</v>
      </c>
      <c r="BM272">
        <f t="shared" si="110"/>
        <v>0</v>
      </c>
      <c r="BN272">
        <f t="shared" si="111"/>
        <v>0</v>
      </c>
    </row>
    <row r="273" spans="1:66" outlineLevel="1" x14ac:dyDescent="0.15">
      <c r="A273" s="5"/>
      <c r="B273" s="5" t="s">
        <v>172</v>
      </c>
      <c r="C273" s="6" t="s">
        <v>258</v>
      </c>
      <c r="D273" s="5">
        <v>63864641</v>
      </c>
      <c r="E273" s="7">
        <v>20</v>
      </c>
      <c r="F273" s="6">
        <v>1</v>
      </c>
      <c r="G273" s="6"/>
      <c r="I273" s="17" t="str">
        <f t="shared" si="92"/>
        <v>·</v>
      </c>
      <c r="J273" s="18" t="str">
        <f t="shared" si="93"/>
        <v>·</v>
      </c>
      <c r="K273" s="18" t="str">
        <f t="shared" si="94"/>
        <v>·</v>
      </c>
      <c r="L273" s="18" t="str">
        <f t="shared" si="95"/>
        <v>·</v>
      </c>
      <c r="M273" s="19"/>
      <c r="N273" s="18" t="str">
        <f t="shared" si="96"/>
        <v>·</v>
      </c>
      <c r="O273" s="20"/>
      <c r="P273" s="21"/>
      <c r="Q273" s="21"/>
      <c r="R273" s="21"/>
      <c r="S273" s="37"/>
      <c r="T273" s="38"/>
      <c r="U273" s="38"/>
      <c r="V273" s="38"/>
      <c r="W273" s="39"/>
      <c r="X273" s="49"/>
      <c r="Y273" s="49"/>
      <c r="AA273" s="17" t="str">
        <f t="shared" si="97"/>
        <v>·</v>
      </c>
      <c r="AB273" s="18" t="str">
        <f t="shared" si="98"/>
        <v>·</v>
      </c>
      <c r="AC273" s="18" t="str">
        <f t="shared" si="99"/>
        <v>·</v>
      </c>
      <c r="AD273" s="18" t="str">
        <f t="shared" si="100"/>
        <v>·</v>
      </c>
      <c r="AE273" s="19"/>
      <c r="AF273" s="18" t="str">
        <f t="shared" si="101"/>
        <v>·</v>
      </c>
      <c r="AG273" s="20"/>
      <c r="AH273" s="21"/>
      <c r="AI273" s="21"/>
      <c r="AJ273" s="21"/>
      <c r="AK273" s="37"/>
      <c r="AL273" s="38"/>
      <c r="AM273" s="38"/>
      <c r="AN273" s="38"/>
      <c r="AO273" s="39"/>
      <c r="AP273" s="49"/>
      <c r="AQ273" s="49"/>
      <c r="AS273" s="53" t="e">
        <f t="shared" si="102"/>
        <v>#DIV/0!</v>
      </c>
      <c r="AT273" s="53"/>
      <c r="AV273" s="54"/>
      <c r="AW273" s="54"/>
      <c r="AX273" s="54"/>
      <c r="AY273" s="61"/>
      <c r="BA273" s="54"/>
      <c r="BB273" s="54"/>
      <c r="BC273" s="54"/>
      <c r="BD273" s="61"/>
      <c r="BF273">
        <f t="shared" si="103"/>
        <v>0</v>
      </c>
      <c r="BG273">
        <f t="shared" si="104"/>
        <v>0</v>
      </c>
      <c r="BH273">
        <f t="shared" si="105"/>
        <v>0</v>
      </c>
      <c r="BI273">
        <f t="shared" si="106"/>
        <v>0</v>
      </c>
      <c r="BJ273">
        <f t="shared" si="107"/>
        <v>0</v>
      </c>
      <c r="BK273">
        <f t="shared" si="108"/>
        <v>0</v>
      </c>
      <c r="BL273">
        <f t="shared" si="109"/>
        <v>0</v>
      </c>
      <c r="BM273">
        <f t="shared" si="110"/>
        <v>0</v>
      </c>
      <c r="BN273">
        <f t="shared" si="111"/>
        <v>0</v>
      </c>
    </row>
    <row r="274" spans="1:66" outlineLevel="1" x14ac:dyDescent="0.15">
      <c r="A274" s="8"/>
      <c r="B274" s="14" t="s">
        <v>172</v>
      </c>
      <c r="C274" s="15" t="s">
        <v>259</v>
      </c>
      <c r="D274" s="14">
        <v>63864641</v>
      </c>
      <c r="E274" s="16">
        <v>20</v>
      </c>
      <c r="F274" s="15">
        <v>1</v>
      </c>
      <c r="G274" s="15"/>
      <c r="I274" s="32" t="str">
        <f t="shared" si="92"/>
        <v>·</v>
      </c>
      <c r="J274" s="33" t="str">
        <f t="shared" si="93"/>
        <v>·</v>
      </c>
      <c r="K274" s="33" t="str">
        <f t="shared" si="94"/>
        <v>·</v>
      </c>
      <c r="L274" s="33" t="str">
        <f t="shared" si="95"/>
        <v>·</v>
      </c>
      <c r="M274" s="34"/>
      <c r="N274" s="33" t="str">
        <f t="shared" si="96"/>
        <v>·</v>
      </c>
      <c r="O274" s="35"/>
      <c r="P274" s="36"/>
      <c r="Q274" s="36"/>
      <c r="R274" s="36"/>
      <c r="S274" s="46"/>
      <c r="T274" s="47"/>
      <c r="U274" s="47"/>
      <c r="V274" s="47"/>
      <c r="W274" s="48"/>
      <c r="X274" s="52"/>
      <c r="Y274" s="52"/>
      <c r="AA274" s="32" t="str">
        <f t="shared" si="97"/>
        <v>·</v>
      </c>
      <c r="AB274" s="33" t="str">
        <f t="shared" si="98"/>
        <v>·</v>
      </c>
      <c r="AC274" s="33" t="str">
        <f t="shared" si="99"/>
        <v>·</v>
      </c>
      <c r="AD274" s="33" t="str">
        <f t="shared" si="100"/>
        <v>·</v>
      </c>
      <c r="AE274" s="34"/>
      <c r="AF274" s="33" t="str">
        <f t="shared" si="101"/>
        <v>·</v>
      </c>
      <c r="AG274" s="35"/>
      <c r="AH274" s="36"/>
      <c r="AI274" s="36"/>
      <c r="AJ274" s="36"/>
      <c r="AK274" s="46"/>
      <c r="AL274" s="47"/>
      <c r="AM274" s="47"/>
      <c r="AN274" s="47"/>
      <c r="AO274" s="48"/>
      <c r="AP274" s="52"/>
      <c r="AQ274" s="52"/>
      <c r="AS274" s="59" t="e">
        <f t="shared" si="102"/>
        <v>#DIV/0!</v>
      </c>
      <c r="AT274" s="59"/>
      <c r="AV274" s="60"/>
      <c r="AW274" s="60"/>
      <c r="AX274" s="60"/>
      <c r="AY274" s="64"/>
      <c r="BA274" s="60"/>
      <c r="BB274" s="60"/>
      <c r="BC274" s="60"/>
      <c r="BD274" s="64"/>
      <c r="BF274">
        <f t="shared" si="103"/>
        <v>0</v>
      </c>
      <c r="BG274">
        <f t="shared" si="104"/>
        <v>0</v>
      </c>
      <c r="BH274">
        <f t="shared" si="105"/>
        <v>0</v>
      </c>
      <c r="BI274">
        <f t="shared" si="106"/>
        <v>0</v>
      </c>
      <c r="BJ274">
        <f t="shared" si="107"/>
        <v>0</v>
      </c>
      <c r="BK274">
        <f t="shared" si="108"/>
        <v>0</v>
      </c>
      <c r="BL274">
        <f t="shared" si="109"/>
        <v>0</v>
      </c>
      <c r="BM274">
        <f t="shared" si="110"/>
        <v>0</v>
      </c>
      <c r="BN274">
        <f t="shared" si="111"/>
        <v>0</v>
      </c>
    </row>
    <row r="275" spans="1:66" x14ac:dyDescent="0.15">
      <c r="A275" s="5"/>
      <c r="B275" s="5" t="s">
        <v>173</v>
      </c>
      <c r="C275" s="6" t="s">
        <v>254</v>
      </c>
      <c r="D275" s="5">
        <v>2000297</v>
      </c>
      <c r="E275" s="7">
        <v>20</v>
      </c>
      <c r="F275" s="6">
        <v>1</v>
      </c>
      <c r="G275" s="6"/>
      <c r="I275" s="17" t="str">
        <f t="shared" si="92"/>
        <v>·</v>
      </c>
      <c r="J275" s="18" t="str">
        <f t="shared" si="93"/>
        <v>·</v>
      </c>
      <c r="K275" s="18" t="str">
        <f t="shared" si="94"/>
        <v>·</v>
      </c>
      <c r="L275" s="18" t="str">
        <f t="shared" si="95"/>
        <v>·</v>
      </c>
      <c r="M275" s="19"/>
      <c r="N275" s="18" t="str">
        <f t="shared" si="96"/>
        <v>·</v>
      </c>
      <c r="O275" s="20"/>
      <c r="P275" s="21"/>
      <c r="Q275" s="21"/>
      <c r="R275" s="21"/>
      <c r="S275" s="37"/>
      <c r="T275" s="38"/>
      <c r="U275" s="38"/>
      <c r="V275" s="38"/>
      <c r="W275" s="39"/>
      <c r="X275" s="49"/>
      <c r="Y275" s="49"/>
      <c r="AA275" s="17" t="str">
        <f t="shared" si="97"/>
        <v>·</v>
      </c>
      <c r="AB275" s="18" t="str">
        <f t="shared" si="98"/>
        <v>·</v>
      </c>
      <c r="AC275" s="18" t="str">
        <f t="shared" si="99"/>
        <v>·</v>
      </c>
      <c r="AD275" s="18" t="str">
        <f t="shared" si="100"/>
        <v>·</v>
      </c>
      <c r="AE275" s="19"/>
      <c r="AF275" s="18" t="str">
        <f t="shared" si="101"/>
        <v>·</v>
      </c>
      <c r="AG275" s="20"/>
      <c r="AH275" s="21"/>
      <c r="AI275" s="21"/>
      <c r="AJ275" s="21"/>
      <c r="AK275" s="37"/>
      <c r="AL275" s="38"/>
      <c r="AM275" s="38"/>
      <c r="AN275" s="38"/>
      <c r="AO275" s="39"/>
      <c r="AP275" s="49"/>
      <c r="AQ275" s="49"/>
      <c r="AS275" s="53" t="e">
        <f t="shared" si="102"/>
        <v>#DIV/0!</v>
      </c>
      <c r="AT275" s="53" t="e">
        <f t="array" ref="AT275">AVERAGE(AI275:AI280/AH275:AH280)-AVERAGE(Q275:Q280/P275:P280)</f>
        <v>#DIV/0!</v>
      </c>
      <c r="AV275" s="54" t="str">
        <f>IF(OR(ISBLANK(R275:R280),ISBLANK(AJ275:AJ280),ISBLANK(T275:T280),ISBLANK(AL275:AL280)),"·",bdRateExtend(R275:R280,T275:T280,AJ275:AJ280,AL275:AL280))</f>
        <v>·</v>
      </c>
      <c r="AW275" s="54" t="str">
        <f>IF(OR(ISBLANK(R275:R280),ISBLANK(AJ275:AJ280),ISBLANK(U275:U280),ISBLANK(AM275:AM280)),"·",bdRateExtend(R275:R280,U275:U280,AJ275:AJ280,AM275:AM280))</f>
        <v>·</v>
      </c>
      <c r="AX275" s="54" t="str">
        <f>IF(OR(ISBLANK(R275:R280),ISBLANK(AJ275:AJ280),ISBLANK(V275:V280),ISBLANK(AN275:AN280)),"·",bdRateExtend(R275:R280,V275:V280,AJ275:AJ280,AN275:AN280))</f>
        <v>·</v>
      </c>
      <c r="AY275" s="61"/>
      <c r="BA275" s="54" t="str">
        <f>IF(OR(ISBLANK(P275:P280),ISBLANK(AH275:AH280),ISBLANK(T275:T280),ISBLANK(AL275:AL280)),"·",bdRateExtend(P275:P280,T275:T280,AH275:AH280,AL275:AL280))</f>
        <v>·</v>
      </c>
      <c r="BB275" s="54" t="str">
        <f>IF(OR(ISBLANK(P275:P280),ISBLANK(AH275:AH280),ISBLANK(U275:U280),ISBLANK(AM275:AM280)),"·",bdRateExtend(P275:P280,U275:U280,AH275:AH280,AM275:AM280))</f>
        <v>·</v>
      </c>
      <c r="BC275" s="54" t="str">
        <f>IF(OR(ISBLANK(P275:P280),ISBLANK(AH275:AH280),ISBLANK(V275:V280),ISBLANK(AN275:AN280)),"·",bdRateExtend(P275:P280,V275:V280,AH275:AH280,AN275:AN280))</f>
        <v>·</v>
      </c>
      <c r="BD275" s="61"/>
      <c r="BF275">
        <f t="shared" si="103"/>
        <v>0</v>
      </c>
      <c r="BG275">
        <f t="shared" si="104"/>
        <v>0</v>
      </c>
      <c r="BH275">
        <f t="shared" si="105"/>
        <v>0</v>
      </c>
      <c r="BI275">
        <f t="shared" si="106"/>
        <v>0</v>
      </c>
      <c r="BJ275">
        <f t="shared" si="107"/>
        <v>0</v>
      </c>
      <c r="BK275">
        <f t="shared" si="108"/>
        <v>0</v>
      </c>
      <c r="BL275">
        <f t="shared" si="109"/>
        <v>0</v>
      </c>
      <c r="BM275">
        <f t="shared" si="110"/>
        <v>0</v>
      </c>
      <c r="BN275">
        <f t="shared" si="111"/>
        <v>0</v>
      </c>
    </row>
    <row r="276" spans="1:66" outlineLevel="1" x14ac:dyDescent="0.15">
      <c r="A276" s="8"/>
      <c r="B276" s="8" t="s">
        <v>173</v>
      </c>
      <c r="C276" s="9" t="s">
        <v>255</v>
      </c>
      <c r="D276" s="8">
        <v>2000297</v>
      </c>
      <c r="E276" s="10">
        <v>20</v>
      </c>
      <c r="F276" s="9">
        <v>1</v>
      </c>
      <c r="G276" s="9"/>
      <c r="I276" s="22" t="str">
        <f t="shared" si="92"/>
        <v>·</v>
      </c>
      <c r="J276" s="23" t="str">
        <f t="shared" si="93"/>
        <v>·</v>
      </c>
      <c r="K276" s="23" t="str">
        <f t="shared" si="94"/>
        <v>·</v>
      </c>
      <c r="L276" s="23" t="str">
        <f t="shared" si="95"/>
        <v>·</v>
      </c>
      <c r="M276" s="24"/>
      <c r="N276" s="23" t="str">
        <f t="shared" si="96"/>
        <v>·</v>
      </c>
      <c r="O276" s="25"/>
      <c r="P276" s="26"/>
      <c r="Q276" s="26"/>
      <c r="R276" s="26"/>
      <c r="S276" s="40"/>
      <c r="T276" s="41"/>
      <c r="U276" s="41"/>
      <c r="V276" s="41"/>
      <c r="W276" s="42"/>
      <c r="X276" s="50"/>
      <c r="Y276" s="50"/>
      <c r="AA276" s="22" t="str">
        <f t="shared" si="97"/>
        <v>·</v>
      </c>
      <c r="AB276" s="23" t="str">
        <f t="shared" si="98"/>
        <v>·</v>
      </c>
      <c r="AC276" s="23" t="str">
        <f t="shared" si="99"/>
        <v>·</v>
      </c>
      <c r="AD276" s="23" t="str">
        <f t="shared" si="100"/>
        <v>·</v>
      </c>
      <c r="AE276" s="24"/>
      <c r="AF276" s="23" t="str">
        <f t="shared" si="101"/>
        <v>·</v>
      </c>
      <c r="AG276" s="25"/>
      <c r="AH276" s="26"/>
      <c r="AI276" s="26"/>
      <c r="AJ276" s="26"/>
      <c r="AK276" s="40"/>
      <c r="AL276" s="41"/>
      <c r="AM276" s="41"/>
      <c r="AN276" s="41"/>
      <c r="AO276" s="42"/>
      <c r="AP276" s="50"/>
      <c r="AQ276" s="50"/>
      <c r="AS276" s="55" t="e">
        <f t="shared" si="102"/>
        <v>#DIV/0!</v>
      </c>
      <c r="AT276" s="55"/>
      <c r="AV276" s="56"/>
      <c r="AW276" s="56"/>
      <c r="AX276" s="56"/>
      <c r="AY276" s="62"/>
      <c r="BA276" s="56"/>
      <c r="BB276" s="56"/>
      <c r="BC276" s="56"/>
      <c r="BD276" s="62"/>
      <c r="BF276">
        <f t="shared" si="103"/>
        <v>0</v>
      </c>
      <c r="BG276">
        <f t="shared" si="104"/>
        <v>0</v>
      </c>
      <c r="BH276">
        <f t="shared" si="105"/>
        <v>0</v>
      </c>
      <c r="BI276">
        <f t="shared" si="106"/>
        <v>0</v>
      </c>
      <c r="BJ276">
        <f t="shared" si="107"/>
        <v>0</v>
      </c>
      <c r="BK276">
        <f t="shared" si="108"/>
        <v>0</v>
      </c>
      <c r="BL276">
        <f t="shared" si="109"/>
        <v>0</v>
      </c>
      <c r="BM276">
        <f t="shared" si="110"/>
        <v>0</v>
      </c>
      <c r="BN276">
        <f t="shared" si="111"/>
        <v>0</v>
      </c>
    </row>
    <row r="277" spans="1:66" outlineLevel="1" x14ac:dyDescent="0.15">
      <c r="A277" s="5"/>
      <c r="B277" s="5" t="s">
        <v>173</v>
      </c>
      <c r="C277" s="6" t="s">
        <v>256</v>
      </c>
      <c r="D277" s="5">
        <v>2000297</v>
      </c>
      <c r="E277" s="7">
        <v>20</v>
      </c>
      <c r="F277" s="6">
        <v>1</v>
      </c>
      <c r="G277" s="6"/>
      <c r="I277" s="17" t="str">
        <f t="shared" si="92"/>
        <v>·</v>
      </c>
      <c r="J277" s="18" t="str">
        <f t="shared" si="93"/>
        <v>·</v>
      </c>
      <c r="K277" s="18" t="str">
        <f t="shared" si="94"/>
        <v>·</v>
      </c>
      <c r="L277" s="18" t="str">
        <f t="shared" si="95"/>
        <v>·</v>
      </c>
      <c r="M277" s="19"/>
      <c r="N277" s="18" t="str">
        <f t="shared" si="96"/>
        <v>·</v>
      </c>
      <c r="O277" s="20"/>
      <c r="P277" s="21"/>
      <c r="Q277" s="21"/>
      <c r="R277" s="21"/>
      <c r="S277" s="37"/>
      <c r="T277" s="38"/>
      <c r="U277" s="38"/>
      <c r="V277" s="38"/>
      <c r="W277" s="39"/>
      <c r="X277" s="49"/>
      <c r="Y277" s="49"/>
      <c r="AA277" s="17" t="str">
        <f t="shared" si="97"/>
        <v>·</v>
      </c>
      <c r="AB277" s="18" t="str">
        <f t="shared" si="98"/>
        <v>·</v>
      </c>
      <c r="AC277" s="18" t="str">
        <f t="shared" si="99"/>
        <v>·</v>
      </c>
      <c r="AD277" s="18" t="str">
        <f t="shared" si="100"/>
        <v>·</v>
      </c>
      <c r="AE277" s="19"/>
      <c r="AF277" s="18" t="str">
        <f t="shared" si="101"/>
        <v>·</v>
      </c>
      <c r="AG277" s="20"/>
      <c r="AH277" s="21"/>
      <c r="AI277" s="21"/>
      <c r="AJ277" s="21"/>
      <c r="AK277" s="37"/>
      <c r="AL277" s="38"/>
      <c r="AM277" s="38"/>
      <c r="AN277" s="38"/>
      <c r="AO277" s="39"/>
      <c r="AP277" s="49"/>
      <c r="AQ277" s="49"/>
      <c r="AS277" s="53" t="e">
        <f t="shared" si="102"/>
        <v>#DIV/0!</v>
      </c>
      <c r="AT277" s="53"/>
      <c r="AV277" s="54"/>
      <c r="AW277" s="54"/>
      <c r="AX277" s="54"/>
      <c r="AY277" s="61"/>
      <c r="BA277" s="54"/>
      <c r="BB277" s="54"/>
      <c r="BC277" s="54"/>
      <c r="BD277" s="61"/>
      <c r="BF277">
        <f t="shared" si="103"/>
        <v>0</v>
      </c>
      <c r="BG277">
        <f t="shared" si="104"/>
        <v>0</v>
      </c>
      <c r="BH277">
        <f t="shared" si="105"/>
        <v>0</v>
      </c>
      <c r="BI277">
        <f t="shared" si="106"/>
        <v>0</v>
      </c>
      <c r="BJ277">
        <f t="shared" si="107"/>
        <v>0</v>
      </c>
      <c r="BK277">
        <f t="shared" si="108"/>
        <v>0</v>
      </c>
      <c r="BL277">
        <f t="shared" si="109"/>
        <v>0</v>
      </c>
      <c r="BM277">
        <f t="shared" si="110"/>
        <v>0</v>
      </c>
      <c r="BN277">
        <f t="shared" si="111"/>
        <v>0</v>
      </c>
    </row>
    <row r="278" spans="1:66" outlineLevel="1" x14ac:dyDescent="0.15">
      <c r="A278" s="8"/>
      <c r="B278" s="8" t="s">
        <v>173</v>
      </c>
      <c r="C278" s="9" t="s">
        <v>257</v>
      </c>
      <c r="D278" s="8">
        <v>2000297</v>
      </c>
      <c r="E278" s="10">
        <v>20</v>
      </c>
      <c r="F278" s="9">
        <v>1</v>
      </c>
      <c r="G278" s="9"/>
      <c r="I278" s="22" t="str">
        <f t="shared" si="92"/>
        <v>·</v>
      </c>
      <c r="J278" s="23" t="str">
        <f t="shared" si="93"/>
        <v>·</v>
      </c>
      <c r="K278" s="23" t="str">
        <f t="shared" si="94"/>
        <v>·</v>
      </c>
      <c r="L278" s="23" t="str">
        <f t="shared" si="95"/>
        <v>·</v>
      </c>
      <c r="M278" s="24"/>
      <c r="N278" s="23" t="str">
        <f t="shared" si="96"/>
        <v>·</v>
      </c>
      <c r="O278" s="25"/>
      <c r="P278" s="26"/>
      <c r="Q278" s="26"/>
      <c r="R278" s="26"/>
      <c r="S278" s="40"/>
      <c r="T278" s="41"/>
      <c r="U278" s="41"/>
      <c r="V278" s="41"/>
      <c r="W278" s="42"/>
      <c r="X278" s="50"/>
      <c r="Y278" s="50"/>
      <c r="AA278" s="22" t="str">
        <f t="shared" si="97"/>
        <v>·</v>
      </c>
      <c r="AB278" s="23" t="str">
        <f t="shared" si="98"/>
        <v>·</v>
      </c>
      <c r="AC278" s="23" t="str">
        <f t="shared" si="99"/>
        <v>·</v>
      </c>
      <c r="AD278" s="23" t="str">
        <f t="shared" si="100"/>
        <v>·</v>
      </c>
      <c r="AE278" s="24"/>
      <c r="AF278" s="23" t="str">
        <f t="shared" si="101"/>
        <v>·</v>
      </c>
      <c r="AG278" s="25"/>
      <c r="AH278" s="26"/>
      <c r="AI278" s="26"/>
      <c r="AJ278" s="26"/>
      <c r="AK278" s="40"/>
      <c r="AL278" s="41"/>
      <c r="AM278" s="41"/>
      <c r="AN278" s="41"/>
      <c r="AO278" s="42"/>
      <c r="AP278" s="50"/>
      <c r="AQ278" s="50"/>
      <c r="AS278" s="55" t="e">
        <f t="shared" si="102"/>
        <v>#DIV/0!</v>
      </c>
      <c r="AT278" s="55"/>
      <c r="AV278" s="56"/>
      <c r="AW278" s="56"/>
      <c r="AX278" s="56"/>
      <c r="AY278" s="62"/>
      <c r="BA278" s="56"/>
      <c r="BB278" s="56"/>
      <c r="BC278" s="56"/>
      <c r="BD278" s="62"/>
      <c r="BF278">
        <f t="shared" si="103"/>
        <v>0</v>
      </c>
      <c r="BG278">
        <f t="shared" si="104"/>
        <v>0</v>
      </c>
      <c r="BH278">
        <f t="shared" si="105"/>
        <v>0</v>
      </c>
      <c r="BI278">
        <f t="shared" si="106"/>
        <v>0</v>
      </c>
      <c r="BJ278">
        <f t="shared" si="107"/>
        <v>0</v>
      </c>
      <c r="BK278">
        <f t="shared" si="108"/>
        <v>0</v>
      </c>
      <c r="BL278">
        <f t="shared" si="109"/>
        <v>0</v>
      </c>
      <c r="BM278">
        <f t="shared" si="110"/>
        <v>0</v>
      </c>
      <c r="BN278">
        <f t="shared" si="111"/>
        <v>0</v>
      </c>
    </row>
    <row r="279" spans="1:66" outlineLevel="1" x14ac:dyDescent="0.15">
      <c r="A279" s="5"/>
      <c r="B279" s="5" t="s">
        <v>173</v>
      </c>
      <c r="C279" s="6" t="s">
        <v>258</v>
      </c>
      <c r="D279" s="5">
        <v>2000297</v>
      </c>
      <c r="E279" s="7">
        <v>20</v>
      </c>
      <c r="F279" s="6">
        <v>1</v>
      </c>
      <c r="G279" s="6"/>
      <c r="I279" s="17" t="str">
        <f t="shared" si="92"/>
        <v>·</v>
      </c>
      <c r="J279" s="18" t="str">
        <f t="shared" si="93"/>
        <v>·</v>
      </c>
      <c r="K279" s="18" t="str">
        <f t="shared" si="94"/>
        <v>·</v>
      </c>
      <c r="L279" s="18" t="str">
        <f t="shared" si="95"/>
        <v>·</v>
      </c>
      <c r="M279" s="19"/>
      <c r="N279" s="18" t="str">
        <f t="shared" si="96"/>
        <v>·</v>
      </c>
      <c r="O279" s="20"/>
      <c r="P279" s="21"/>
      <c r="Q279" s="21"/>
      <c r="R279" s="21"/>
      <c r="S279" s="37"/>
      <c r="T279" s="38"/>
      <c r="U279" s="38"/>
      <c r="V279" s="38"/>
      <c r="W279" s="39"/>
      <c r="X279" s="49"/>
      <c r="Y279" s="49"/>
      <c r="AA279" s="17" t="str">
        <f t="shared" si="97"/>
        <v>·</v>
      </c>
      <c r="AB279" s="18" t="str">
        <f t="shared" si="98"/>
        <v>·</v>
      </c>
      <c r="AC279" s="18" t="str">
        <f t="shared" si="99"/>
        <v>·</v>
      </c>
      <c r="AD279" s="18" t="str">
        <f t="shared" si="100"/>
        <v>·</v>
      </c>
      <c r="AE279" s="19"/>
      <c r="AF279" s="18" t="str">
        <f t="shared" si="101"/>
        <v>·</v>
      </c>
      <c r="AG279" s="20"/>
      <c r="AH279" s="21"/>
      <c r="AI279" s="21"/>
      <c r="AJ279" s="21"/>
      <c r="AK279" s="37"/>
      <c r="AL279" s="38"/>
      <c r="AM279" s="38"/>
      <c r="AN279" s="38"/>
      <c r="AO279" s="39"/>
      <c r="AP279" s="49"/>
      <c r="AQ279" s="49"/>
      <c r="AS279" s="53" t="e">
        <f t="shared" si="102"/>
        <v>#DIV/0!</v>
      </c>
      <c r="AT279" s="53"/>
      <c r="AV279" s="54"/>
      <c r="AW279" s="54"/>
      <c r="AX279" s="54"/>
      <c r="AY279" s="61"/>
      <c r="BA279" s="54"/>
      <c r="BB279" s="54"/>
      <c r="BC279" s="54"/>
      <c r="BD279" s="61"/>
      <c r="BF279">
        <f t="shared" si="103"/>
        <v>0</v>
      </c>
      <c r="BG279">
        <f t="shared" si="104"/>
        <v>0</v>
      </c>
      <c r="BH279">
        <f t="shared" si="105"/>
        <v>0</v>
      </c>
      <c r="BI279">
        <f t="shared" si="106"/>
        <v>0</v>
      </c>
      <c r="BJ279">
        <f t="shared" si="107"/>
        <v>0</v>
      </c>
      <c r="BK279">
        <f t="shared" si="108"/>
        <v>0</v>
      </c>
      <c r="BL279">
        <f t="shared" si="109"/>
        <v>0</v>
      </c>
      <c r="BM279">
        <f t="shared" si="110"/>
        <v>0</v>
      </c>
      <c r="BN279">
        <f t="shared" si="111"/>
        <v>0</v>
      </c>
    </row>
    <row r="280" spans="1:66" outlineLevel="1" x14ac:dyDescent="0.15">
      <c r="A280" s="14"/>
      <c r="B280" s="14" t="s">
        <v>173</v>
      </c>
      <c r="C280" s="15" t="s">
        <v>259</v>
      </c>
      <c r="D280" s="14">
        <v>2000297</v>
      </c>
      <c r="E280" s="16">
        <v>20</v>
      </c>
      <c r="F280" s="15">
        <v>1</v>
      </c>
      <c r="G280" s="15"/>
      <c r="I280" s="32" t="str">
        <f t="shared" si="92"/>
        <v>·</v>
      </c>
      <c r="J280" s="33" t="str">
        <f t="shared" si="93"/>
        <v>·</v>
      </c>
      <c r="K280" s="33" t="str">
        <f t="shared" si="94"/>
        <v>·</v>
      </c>
      <c r="L280" s="33" t="str">
        <f t="shared" si="95"/>
        <v>·</v>
      </c>
      <c r="M280" s="34"/>
      <c r="N280" s="33" t="str">
        <f t="shared" si="96"/>
        <v>·</v>
      </c>
      <c r="O280" s="35"/>
      <c r="P280" s="36"/>
      <c r="Q280" s="36"/>
      <c r="R280" s="36"/>
      <c r="S280" s="46"/>
      <c r="T280" s="47"/>
      <c r="U280" s="47"/>
      <c r="V280" s="47"/>
      <c r="W280" s="48"/>
      <c r="X280" s="52"/>
      <c r="Y280" s="52"/>
      <c r="AA280" s="32" t="str">
        <f t="shared" si="97"/>
        <v>·</v>
      </c>
      <c r="AB280" s="33" t="str">
        <f t="shared" si="98"/>
        <v>·</v>
      </c>
      <c r="AC280" s="33" t="str">
        <f t="shared" si="99"/>
        <v>·</v>
      </c>
      <c r="AD280" s="33" t="str">
        <f t="shared" si="100"/>
        <v>·</v>
      </c>
      <c r="AE280" s="34"/>
      <c r="AF280" s="33" t="str">
        <f t="shared" si="101"/>
        <v>·</v>
      </c>
      <c r="AG280" s="35"/>
      <c r="AH280" s="36"/>
      <c r="AI280" s="36"/>
      <c r="AJ280" s="36"/>
      <c r="AK280" s="46"/>
      <c r="AL280" s="47"/>
      <c r="AM280" s="47"/>
      <c r="AN280" s="47"/>
      <c r="AO280" s="48"/>
      <c r="AP280" s="52"/>
      <c r="AQ280" s="52"/>
      <c r="AR280" s="82"/>
      <c r="AS280" s="59" t="e">
        <f t="shared" si="102"/>
        <v>#DIV/0!</v>
      </c>
      <c r="AT280" s="59"/>
      <c r="AV280" s="60"/>
      <c r="AW280" s="60"/>
      <c r="AX280" s="60"/>
      <c r="AY280" s="64"/>
      <c r="BA280" s="60"/>
      <c r="BB280" s="60"/>
      <c r="BC280" s="60"/>
      <c r="BD280" s="64"/>
      <c r="BF280">
        <f t="shared" si="103"/>
        <v>0</v>
      </c>
      <c r="BG280">
        <f t="shared" si="104"/>
        <v>0</v>
      </c>
      <c r="BH280">
        <f t="shared" si="105"/>
        <v>0</v>
      </c>
      <c r="BI280">
        <f t="shared" si="106"/>
        <v>0</v>
      </c>
      <c r="BJ280">
        <f t="shared" si="107"/>
        <v>0</v>
      </c>
      <c r="BK280">
        <f t="shared" si="108"/>
        <v>0</v>
      </c>
      <c r="BL280">
        <f t="shared" si="109"/>
        <v>0</v>
      </c>
      <c r="BM280">
        <f t="shared" si="110"/>
        <v>0</v>
      </c>
      <c r="BN280">
        <f t="shared" si="111"/>
        <v>0</v>
      </c>
    </row>
    <row r="281" spans="1:66" x14ac:dyDescent="0.15">
      <c r="A281" s="5" t="s">
        <v>261</v>
      </c>
      <c r="B281" s="5" t="s">
        <v>174</v>
      </c>
      <c r="C281" s="6" t="s">
        <v>254</v>
      </c>
      <c r="D281" s="5">
        <v>19948121</v>
      </c>
      <c r="E281" s="7">
        <v>21</v>
      </c>
      <c r="F281" s="6">
        <v>1</v>
      </c>
      <c r="G281" s="6"/>
      <c r="I281" s="17" t="str">
        <f t="shared" si="92"/>
        <v>·</v>
      </c>
      <c r="J281" s="18" t="str">
        <f t="shared" si="93"/>
        <v>·</v>
      </c>
      <c r="K281" s="18" t="str">
        <f t="shared" si="94"/>
        <v>·</v>
      </c>
      <c r="L281" s="18" t="str">
        <f t="shared" si="95"/>
        <v>·</v>
      </c>
      <c r="M281" s="18" t="str">
        <f t="shared" ref="M281:M312" si="112">IF(ISBLANK(Q281),"·",S281/D281)</f>
        <v>·</v>
      </c>
      <c r="N281" s="18" t="str">
        <f t="shared" si="96"/>
        <v>·</v>
      </c>
      <c r="O281" s="20"/>
      <c r="P281" s="21"/>
      <c r="Q281" s="21"/>
      <c r="R281" s="21"/>
      <c r="S281" s="21"/>
      <c r="T281" s="38"/>
      <c r="U281" s="38"/>
      <c r="V281" s="38"/>
      <c r="W281" s="38"/>
      <c r="X281" s="49"/>
      <c r="Y281" s="49"/>
      <c r="AA281" s="17" t="str">
        <f t="shared" si="97"/>
        <v>·</v>
      </c>
      <c r="AB281" s="18" t="str">
        <f t="shared" si="98"/>
        <v>·</v>
      </c>
      <c r="AC281" s="18" t="str">
        <f t="shared" si="99"/>
        <v>·</v>
      </c>
      <c r="AD281" s="18" t="str">
        <f t="shared" si="100"/>
        <v>·</v>
      </c>
      <c r="AE281" s="18" t="str">
        <f t="shared" ref="AE281:AE312" si="113">IF(ISBLANK(AI281),"·",AK281/D281)</f>
        <v>·</v>
      </c>
      <c r="AF281" s="18" t="str">
        <f t="shared" si="101"/>
        <v>·</v>
      </c>
      <c r="AG281" s="20"/>
      <c r="AH281" s="21"/>
      <c r="AI281" s="21"/>
      <c r="AJ281" s="21"/>
      <c r="AK281" s="21"/>
      <c r="AL281" s="38"/>
      <c r="AM281" s="38"/>
      <c r="AN281" s="38"/>
      <c r="AO281" s="38"/>
      <c r="AP281" s="49"/>
      <c r="AQ281" s="49"/>
      <c r="AR281" s="82"/>
      <c r="AS281" s="53" t="e">
        <f t="shared" si="102"/>
        <v>#DIV/0!</v>
      </c>
      <c r="AT281" s="53" t="e">
        <f t="array" ref="AT281">AVERAGE(AI281:AI286/AH281:AH286)-AVERAGE(Q281:Q286/P281:P286)</f>
        <v>#DIV/0!</v>
      </c>
      <c r="AV281" s="54" t="str">
        <f>IF(OR(ISBLANK(R281:R286),ISBLANK(AJ281:AJ286),ISBLANK(T281:T286),ISBLANK(AL281:AL286)),"·",bdRateExtend(R281:R286,T281:T286,AJ281:AJ286,AL281:AL286))</f>
        <v>·</v>
      </c>
      <c r="AW281" s="54" t="str">
        <f>IF(OR(ISBLANK(R281:R286),ISBLANK(AJ281:AJ286),ISBLANK(U281:U286),ISBLANK(AM281:AM286)),"·",bdRateExtend(R281:R286,U281:U286,AJ281:AJ286,AM281:AM286))</f>
        <v>·</v>
      </c>
      <c r="AX281" s="54" t="str">
        <f>IF(OR(ISBLANK(R281:R286),ISBLANK(AJ281:AJ286),ISBLANK(V281:V286),ISBLANK(AN281:AN286)),"·",bdRateExtend(R281:R286,V281:V286,AJ281:AJ286,AN281:AN286))</f>
        <v>·</v>
      </c>
      <c r="AY281" s="54" t="str">
        <f>IF(OR(ISBLANK(S281:S286),ISBLANK(AK281:AK286),ISBLANK(W281:W286),ISBLANK(AO281:AO286)),"·",bdRateExtend(S281:S286,W281:W286,AK281:AK286,AO281:AO286))</f>
        <v>·</v>
      </c>
      <c r="BA281" s="54" t="str">
        <f>IF(OR(ISBLANK(P281:P286),ISBLANK(AH281:AH286),ISBLANK(T281:T286),ISBLANK(AL281:AL286)),"·",bdRateExtend(P281:P286,T281:T286,AH281:AH286,AL281:AL286))</f>
        <v>·</v>
      </c>
      <c r="BB281" s="54" t="str">
        <f>IF(OR(ISBLANK(P281:P286),ISBLANK(AH281:AH286),ISBLANK(U281:U286),ISBLANK(AM281:AM286)),"·",bdRateExtend(P281:P286,U281:U286,AH281:AH286,AM281:AM286))</f>
        <v>·</v>
      </c>
      <c r="BC281" s="54" t="str">
        <f>IF(OR(ISBLANK(P281:P286),ISBLANK(AH281:AH286),ISBLANK(V281:V286),ISBLANK(AN281:AN286)),"·",bdRateExtend(P281:P286,V281:V286,AH281:AH286,AN281:AN286))</f>
        <v>·</v>
      </c>
      <c r="BD281" s="54" t="str">
        <f>IF(OR(ISBLANK(P281:P286),ISBLANK(AH281:AH286),ISBLANK(W281:W286),ISBLANK(AO281:AO286)),"·",bdRateExtend(P281:P286,W281:W286,AH281:AH286,AO281:AO286))</f>
        <v>·</v>
      </c>
      <c r="BF281">
        <f t="shared" si="103"/>
        <v>0</v>
      </c>
      <c r="BG281">
        <f t="shared" si="104"/>
        <v>0</v>
      </c>
      <c r="BH281">
        <f t="shared" si="105"/>
        <v>0</v>
      </c>
      <c r="BI281">
        <f t="shared" si="106"/>
        <v>0</v>
      </c>
      <c r="BJ281">
        <f t="shared" si="107"/>
        <v>0</v>
      </c>
      <c r="BK281">
        <f t="shared" si="108"/>
        <v>0</v>
      </c>
      <c r="BL281">
        <f t="shared" si="109"/>
        <v>0</v>
      </c>
      <c r="BM281">
        <f t="shared" si="110"/>
        <v>0</v>
      </c>
      <c r="BN281">
        <f t="shared" si="111"/>
        <v>0</v>
      </c>
    </row>
    <row r="282" spans="1:66" outlineLevel="1" x14ac:dyDescent="0.15">
      <c r="A282" s="8"/>
      <c r="B282" s="8" t="s">
        <v>174</v>
      </c>
      <c r="C282" s="9" t="s">
        <v>255</v>
      </c>
      <c r="D282" s="8">
        <v>19948121</v>
      </c>
      <c r="E282" s="10">
        <v>21</v>
      </c>
      <c r="F282" s="9">
        <v>1</v>
      </c>
      <c r="G282" s="9"/>
      <c r="I282" s="22" t="str">
        <f t="shared" si="92"/>
        <v>·</v>
      </c>
      <c r="J282" s="23" t="str">
        <f t="shared" si="93"/>
        <v>·</v>
      </c>
      <c r="K282" s="23" t="str">
        <f t="shared" si="94"/>
        <v>·</v>
      </c>
      <c r="L282" s="23" t="str">
        <f t="shared" si="95"/>
        <v>·</v>
      </c>
      <c r="M282" s="23" t="str">
        <f t="shared" si="112"/>
        <v>·</v>
      </c>
      <c r="N282" s="23" t="str">
        <f t="shared" si="96"/>
        <v>·</v>
      </c>
      <c r="O282" s="25"/>
      <c r="P282" s="26"/>
      <c r="Q282" s="26"/>
      <c r="R282" s="26"/>
      <c r="S282" s="26"/>
      <c r="T282" s="41"/>
      <c r="U282" s="41"/>
      <c r="V282" s="41"/>
      <c r="W282" s="41"/>
      <c r="X282" s="50"/>
      <c r="Y282" s="50"/>
      <c r="AA282" s="22" t="str">
        <f t="shared" si="97"/>
        <v>·</v>
      </c>
      <c r="AB282" s="23" t="str">
        <f t="shared" si="98"/>
        <v>·</v>
      </c>
      <c r="AC282" s="23" t="str">
        <f t="shared" si="99"/>
        <v>·</v>
      </c>
      <c r="AD282" s="23" t="str">
        <f t="shared" si="100"/>
        <v>·</v>
      </c>
      <c r="AE282" s="23" t="str">
        <f t="shared" si="113"/>
        <v>·</v>
      </c>
      <c r="AF282" s="23" t="str">
        <f t="shared" si="101"/>
        <v>·</v>
      </c>
      <c r="AG282" s="25"/>
      <c r="AH282" s="26"/>
      <c r="AI282" s="26"/>
      <c r="AJ282" s="26"/>
      <c r="AK282" s="26"/>
      <c r="AL282" s="41"/>
      <c r="AM282" s="41"/>
      <c r="AN282" s="41"/>
      <c r="AO282" s="41"/>
      <c r="AP282" s="50"/>
      <c r="AQ282" s="50"/>
      <c r="AR282" s="82"/>
      <c r="AS282" s="55" t="e">
        <f t="shared" si="102"/>
        <v>#DIV/0!</v>
      </c>
      <c r="AT282" s="55"/>
      <c r="AV282" s="56"/>
      <c r="AW282" s="56"/>
      <c r="AX282" s="56"/>
      <c r="AY282" s="56"/>
      <c r="BA282" s="56"/>
      <c r="BB282" s="56"/>
      <c r="BC282" s="56"/>
      <c r="BD282" s="56"/>
      <c r="BF282">
        <f t="shared" si="103"/>
        <v>0</v>
      </c>
      <c r="BG282">
        <f t="shared" si="104"/>
        <v>0</v>
      </c>
      <c r="BH282">
        <f t="shared" si="105"/>
        <v>0</v>
      </c>
      <c r="BI282">
        <f t="shared" si="106"/>
        <v>0</v>
      </c>
      <c r="BJ282">
        <f t="shared" si="107"/>
        <v>0</v>
      </c>
      <c r="BK282">
        <f t="shared" si="108"/>
        <v>0</v>
      </c>
      <c r="BL282">
        <f t="shared" si="109"/>
        <v>0</v>
      </c>
      <c r="BM282">
        <f t="shared" si="110"/>
        <v>0</v>
      </c>
      <c r="BN282">
        <f t="shared" si="111"/>
        <v>0</v>
      </c>
    </row>
    <row r="283" spans="1:66" outlineLevel="1" x14ac:dyDescent="0.15">
      <c r="A283" s="5"/>
      <c r="B283" s="5" t="s">
        <v>174</v>
      </c>
      <c r="C283" s="6" t="s">
        <v>256</v>
      </c>
      <c r="D283" s="5">
        <v>19948121</v>
      </c>
      <c r="E283" s="7">
        <v>21</v>
      </c>
      <c r="F283" s="6">
        <v>1</v>
      </c>
      <c r="G283" s="6"/>
      <c r="I283" s="17" t="str">
        <f t="shared" si="92"/>
        <v>·</v>
      </c>
      <c r="J283" s="18" t="str">
        <f t="shared" si="93"/>
        <v>·</v>
      </c>
      <c r="K283" s="18" t="str">
        <f t="shared" si="94"/>
        <v>·</v>
      </c>
      <c r="L283" s="18" t="str">
        <f t="shared" si="95"/>
        <v>·</v>
      </c>
      <c r="M283" s="18" t="str">
        <f t="shared" si="112"/>
        <v>·</v>
      </c>
      <c r="N283" s="18" t="str">
        <f t="shared" si="96"/>
        <v>·</v>
      </c>
      <c r="O283" s="20"/>
      <c r="P283" s="21"/>
      <c r="Q283" s="21"/>
      <c r="R283" s="21"/>
      <c r="S283" s="21"/>
      <c r="T283" s="38"/>
      <c r="U283" s="38"/>
      <c r="V283" s="38"/>
      <c r="W283" s="38"/>
      <c r="X283" s="49"/>
      <c r="Y283" s="49"/>
      <c r="AA283" s="17" t="str">
        <f t="shared" si="97"/>
        <v>·</v>
      </c>
      <c r="AB283" s="18" t="str">
        <f t="shared" si="98"/>
        <v>·</v>
      </c>
      <c r="AC283" s="18" t="str">
        <f t="shared" si="99"/>
        <v>·</v>
      </c>
      <c r="AD283" s="18" t="str">
        <f t="shared" si="100"/>
        <v>·</v>
      </c>
      <c r="AE283" s="18" t="str">
        <f t="shared" si="113"/>
        <v>·</v>
      </c>
      <c r="AF283" s="18" t="str">
        <f t="shared" si="101"/>
        <v>·</v>
      </c>
      <c r="AG283" s="20"/>
      <c r="AH283" s="21"/>
      <c r="AI283" s="21"/>
      <c r="AJ283" s="21"/>
      <c r="AK283" s="21"/>
      <c r="AL283" s="38"/>
      <c r="AM283" s="38"/>
      <c r="AN283" s="38"/>
      <c r="AO283" s="38"/>
      <c r="AP283" s="49"/>
      <c r="AQ283" s="49"/>
      <c r="AR283" s="82"/>
      <c r="AS283" s="53" t="e">
        <f t="shared" si="102"/>
        <v>#DIV/0!</v>
      </c>
      <c r="AT283" s="53"/>
      <c r="AV283" s="54"/>
      <c r="AW283" s="54"/>
      <c r="AX283" s="54"/>
      <c r="AY283" s="54"/>
      <c r="BA283" s="54"/>
      <c r="BB283" s="54"/>
      <c r="BC283" s="54"/>
      <c r="BD283" s="54"/>
      <c r="BF283">
        <f t="shared" si="103"/>
        <v>0</v>
      </c>
      <c r="BG283">
        <f t="shared" si="104"/>
        <v>0</v>
      </c>
      <c r="BH283">
        <f t="shared" si="105"/>
        <v>0</v>
      </c>
      <c r="BI283">
        <f t="shared" si="106"/>
        <v>0</v>
      </c>
      <c r="BJ283">
        <f t="shared" si="107"/>
        <v>0</v>
      </c>
      <c r="BK283">
        <f t="shared" si="108"/>
        <v>0</v>
      </c>
      <c r="BL283">
        <f t="shared" si="109"/>
        <v>0</v>
      </c>
      <c r="BM283">
        <f t="shared" si="110"/>
        <v>0</v>
      </c>
      <c r="BN283">
        <f t="shared" si="111"/>
        <v>0</v>
      </c>
    </row>
    <row r="284" spans="1:66" outlineLevel="1" x14ac:dyDescent="0.15">
      <c r="A284" s="8"/>
      <c r="B284" s="8" t="s">
        <v>174</v>
      </c>
      <c r="C284" s="9" t="s">
        <v>257</v>
      </c>
      <c r="D284" s="8">
        <v>19948121</v>
      </c>
      <c r="E284" s="10">
        <v>21</v>
      </c>
      <c r="F284" s="9">
        <v>1</v>
      </c>
      <c r="G284" s="9"/>
      <c r="I284" s="22" t="str">
        <f t="shared" si="92"/>
        <v>·</v>
      </c>
      <c r="J284" s="23" t="str">
        <f t="shared" si="93"/>
        <v>·</v>
      </c>
      <c r="K284" s="23" t="str">
        <f t="shared" si="94"/>
        <v>·</v>
      </c>
      <c r="L284" s="23" t="str">
        <f t="shared" si="95"/>
        <v>·</v>
      </c>
      <c r="M284" s="23" t="str">
        <f t="shared" si="112"/>
        <v>·</v>
      </c>
      <c r="N284" s="23" t="str">
        <f t="shared" si="96"/>
        <v>·</v>
      </c>
      <c r="O284" s="25"/>
      <c r="P284" s="26"/>
      <c r="Q284" s="26"/>
      <c r="R284" s="26"/>
      <c r="S284" s="26"/>
      <c r="T284" s="41"/>
      <c r="U284" s="41"/>
      <c r="V284" s="41"/>
      <c r="W284" s="41"/>
      <c r="X284" s="50"/>
      <c r="Y284" s="50"/>
      <c r="AA284" s="22" t="str">
        <f t="shared" si="97"/>
        <v>·</v>
      </c>
      <c r="AB284" s="23" t="str">
        <f t="shared" si="98"/>
        <v>·</v>
      </c>
      <c r="AC284" s="23" t="str">
        <f t="shared" si="99"/>
        <v>·</v>
      </c>
      <c r="AD284" s="23" t="str">
        <f t="shared" si="100"/>
        <v>·</v>
      </c>
      <c r="AE284" s="23" t="str">
        <f t="shared" si="113"/>
        <v>·</v>
      </c>
      <c r="AF284" s="23" t="str">
        <f t="shared" si="101"/>
        <v>·</v>
      </c>
      <c r="AG284" s="25"/>
      <c r="AH284" s="26"/>
      <c r="AI284" s="26"/>
      <c r="AJ284" s="26"/>
      <c r="AK284" s="26"/>
      <c r="AL284" s="41"/>
      <c r="AM284" s="41"/>
      <c r="AN284" s="41"/>
      <c r="AO284" s="41"/>
      <c r="AP284" s="50"/>
      <c r="AQ284" s="50"/>
      <c r="AR284" s="82"/>
      <c r="AS284" s="55" t="e">
        <f t="shared" si="102"/>
        <v>#DIV/0!</v>
      </c>
      <c r="AT284" s="55"/>
      <c r="AV284" s="56"/>
      <c r="AW284" s="56"/>
      <c r="AX284" s="56"/>
      <c r="AY284" s="56"/>
      <c r="BA284" s="56"/>
      <c r="BB284" s="56"/>
      <c r="BC284" s="56"/>
      <c r="BD284" s="56"/>
      <c r="BF284">
        <f t="shared" si="103"/>
        <v>0</v>
      </c>
      <c r="BG284">
        <f t="shared" si="104"/>
        <v>0</v>
      </c>
      <c r="BH284">
        <f t="shared" si="105"/>
        <v>0</v>
      </c>
      <c r="BI284">
        <f t="shared" si="106"/>
        <v>0</v>
      </c>
      <c r="BJ284">
        <f t="shared" si="107"/>
        <v>0</v>
      </c>
      <c r="BK284">
        <f t="shared" si="108"/>
        <v>0</v>
      </c>
      <c r="BL284">
        <f t="shared" si="109"/>
        <v>0</v>
      </c>
      <c r="BM284">
        <f t="shared" si="110"/>
        <v>0</v>
      </c>
      <c r="BN284">
        <f t="shared" si="111"/>
        <v>0</v>
      </c>
    </row>
    <row r="285" spans="1:66" outlineLevel="1" x14ac:dyDescent="0.15">
      <c r="A285" s="5"/>
      <c r="B285" s="5" t="s">
        <v>174</v>
      </c>
      <c r="C285" s="6" t="s">
        <v>258</v>
      </c>
      <c r="D285" s="5">
        <v>19948121</v>
      </c>
      <c r="E285" s="7">
        <v>21</v>
      </c>
      <c r="F285" s="6">
        <v>1</v>
      </c>
      <c r="G285" s="6"/>
      <c r="I285" s="17" t="str">
        <f t="shared" si="92"/>
        <v>·</v>
      </c>
      <c r="J285" s="18" t="str">
        <f t="shared" si="93"/>
        <v>·</v>
      </c>
      <c r="K285" s="18" t="str">
        <f t="shared" si="94"/>
        <v>·</v>
      </c>
      <c r="L285" s="18" t="str">
        <f t="shared" si="95"/>
        <v>·</v>
      </c>
      <c r="M285" s="18" t="str">
        <f t="shared" si="112"/>
        <v>·</v>
      </c>
      <c r="N285" s="18" t="str">
        <f t="shared" si="96"/>
        <v>·</v>
      </c>
      <c r="O285" s="20"/>
      <c r="P285" s="21"/>
      <c r="Q285" s="21"/>
      <c r="R285" s="21"/>
      <c r="S285" s="21"/>
      <c r="T285" s="38"/>
      <c r="U285" s="38"/>
      <c r="V285" s="38"/>
      <c r="W285" s="38"/>
      <c r="X285" s="49"/>
      <c r="Y285" s="49"/>
      <c r="AA285" s="17" t="str">
        <f t="shared" si="97"/>
        <v>·</v>
      </c>
      <c r="AB285" s="18" t="str">
        <f t="shared" si="98"/>
        <v>·</v>
      </c>
      <c r="AC285" s="18" t="str">
        <f t="shared" si="99"/>
        <v>·</v>
      </c>
      <c r="AD285" s="18" t="str">
        <f t="shared" si="100"/>
        <v>·</v>
      </c>
      <c r="AE285" s="18" t="str">
        <f t="shared" si="113"/>
        <v>·</v>
      </c>
      <c r="AF285" s="18" t="str">
        <f t="shared" si="101"/>
        <v>·</v>
      </c>
      <c r="AG285" s="20"/>
      <c r="AH285" s="21"/>
      <c r="AI285" s="21"/>
      <c r="AJ285" s="21"/>
      <c r="AK285" s="21"/>
      <c r="AL285" s="38"/>
      <c r="AM285" s="38"/>
      <c r="AN285" s="38"/>
      <c r="AO285" s="38"/>
      <c r="AP285" s="49"/>
      <c r="AQ285" s="49"/>
      <c r="AR285" s="82"/>
      <c r="AS285" s="53" t="e">
        <f t="shared" si="102"/>
        <v>#DIV/0!</v>
      </c>
      <c r="AT285" s="53"/>
      <c r="AV285" s="54"/>
      <c r="AW285" s="54"/>
      <c r="AX285" s="54"/>
      <c r="AY285" s="54"/>
      <c r="BA285" s="54"/>
      <c r="BB285" s="54"/>
      <c r="BC285" s="54"/>
      <c r="BD285" s="54"/>
      <c r="BF285">
        <f t="shared" si="103"/>
        <v>0</v>
      </c>
      <c r="BG285">
        <f t="shared" si="104"/>
        <v>0</v>
      </c>
      <c r="BH285">
        <f t="shared" si="105"/>
        <v>0</v>
      </c>
      <c r="BI285">
        <f t="shared" si="106"/>
        <v>0</v>
      </c>
      <c r="BJ285">
        <f t="shared" si="107"/>
        <v>0</v>
      </c>
      <c r="BK285">
        <f t="shared" si="108"/>
        <v>0</v>
      </c>
      <c r="BL285">
        <f t="shared" si="109"/>
        <v>0</v>
      </c>
      <c r="BM285">
        <f t="shared" si="110"/>
        <v>0</v>
      </c>
      <c r="BN285">
        <f t="shared" si="111"/>
        <v>0</v>
      </c>
    </row>
    <row r="286" spans="1:66" outlineLevel="1" x14ac:dyDescent="0.15">
      <c r="A286" s="8"/>
      <c r="B286" s="14" t="s">
        <v>174</v>
      </c>
      <c r="C286" s="15" t="s">
        <v>259</v>
      </c>
      <c r="D286" s="14">
        <v>19948121</v>
      </c>
      <c r="E286" s="16">
        <v>21</v>
      </c>
      <c r="F286" s="15">
        <v>1</v>
      </c>
      <c r="G286" s="15"/>
      <c r="I286" s="32" t="str">
        <f t="shared" si="92"/>
        <v>·</v>
      </c>
      <c r="J286" s="33" t="str">
        <f t="shared" si="93"/>
        <v>·</v>
      </c>
      <c r="K286" s="33" t="str">
        <f t="shared" si="94"/>
        <v>·</v>
      </c>
      <c r="L286" s="33" t="str">
        <f t="shared" si="95"/>
        <v>·</v>
      </c>
      <c r="M286" s="33" t="str">
        <f t="shared" si="112"/>
        <v>·</v>
      </c>
      <c r="N286" s="33" t="str">
        <f t="shared" si="96"/>
        <v>·</v>
      </c>
      <c r="O286" s="35"/>
      <c r="P286" s="36"/>
      <c r="Q286" s="36"/>
      <c r="R286" s="36"/>
      <c r="S286" s="36"/>
      <c r="T286" s="47"/>
      <c r="U286" s="47"/>
      <c r="V286" s="47"/>
      <c r="W286" s="47"/>
      <c r="X286" s="52"/>
      <c r="Y286" s="52"/>
      <c r="AA286" s="32" t="str">
        <f t="shared" si="97"/>
        <v>·</v>
      </c>
      <c r="AB286" s="33" t="str">
        <f t="shared" si="98"/>
        <v>·</v>
      </c>
      <c r="AC286" s="33" t="str">
        <f t="shared" si="99"/>
        <v>·</v>
      </c>
      <c r="AD286" s="33" t="str">
        <f t="shared" si="100"/>
        <v>·</v>
      </c>
      <c r="AE286" s="33" t="str">
        <f t="shared" si="113"/>
        <v>·</v>
      </c>
      <c r="AF286" s="33" t="str">
        <f t="shared" si="101"/>
        <v>·</v>
      </c>
      <c r="AG286" s="35"/>
      <c r="AH286" s="36"/>
      <c r="AI286" s="36"/>
      <c r="AJ286" s="36"/>
      <c r="AK286" s="36"/>
      <c r="AL286" s="47"/>
      <c r="AM286" s="47"/>
      <c r="AN286" s="47"/>
      <c r="AO286" s="47"/>
      <c r="AP286" s="52"/>
      <c r="AQ286" s="52"/>
      <c r="AR286" s="82"/>
      <c r="AS286" s="59" t="e">
        <f t="shared" si="102"/>
        <v>#DIV/0!</v>
      </c>
      <c r="AT286" s="59"/>
      <c r="AV286" s="60"/>
      <c r="AW286" s="60"/>
      <c r="AX286" s="60"/>
      <c r="AY286" s="60"/>
      <c r="BA286" s="60"/>
      <c r="BB286" s="60"/>
      <c r="BC286" s="60"/>
      <c r="BD286" s="60"/>
      <c r="BF286">
        <f t="shared" si="103"/>
        <v>0</v>
      </c>
      <c r="BG286">
        <f t="shared" si="104"/>
        <v>0</v>
      </c>
      <c r="BH286">
        <f t="shared" si="105"/>
        <v>0</v>
      </c>
      <c r="BI286">
        <f t="shared" si="106"/>
        <v>0</v>
      </c>
      <c r="BJ286">
        <f t="shared" si="107"/>
        <v>0</v>
      </c>
      <c r="BK286">
        <f t="shared" si="108"/>
        <v>0</v>
      </c>
      <c r="BL286">
        <f t="shared" si="109"/>
        <v>0</v>
      </c>
      <c r="BM286">
        <f t="shared" si="110"/>
        <v>0</v>
      </c>
      <c r="BN286">
        <f t="shared" si="111"/>
        <v>0</v>
      </c>
    </row>
    <row r="287" spans="1:66" x14ac:dyDescent="0.15">
      <c r="A287" s="5"/>
      <c r="B287" s="5" t="s">
        <v>175</v>
      </c>
      <c r="C287" s="6" t="s">
        <v>254</v>
      </c>
      <c r="D287" s="5">
        <v>5255920</v>
      </c>
      <c r="E287" s="7">
        <v>20</v>
      </c>
      <c r="F287" s="6">
        <v>1</v>
      </c>
      <c r="G287" s="6"/>
      <c r="I287" s="17" t="str">
        <f t="shared" si="92"/>
        <v>·</v>
      </c>
      <c r="J287" s="18" t="str">
        <f t="shared" si="93"/>
        <v>·</v>
      </c>
      <c r="K287" s="18" t="str">
        <f t="shared" si="94"/>
        <v>·</v>
      </c>
      <c r="L287" s="18" t="str">
        <f t="shared" si="95"/>
        <v>·</v>
      </c>
      <c r="M287" s="18" t="str">
        <f t="shared" si="112"/>
        <v>·</v>
      </c>
      <c r="N287" s="18" t="str">
        <f t="shared" si="96"/>
        <v>·</v>
      </c>
      <c r="O287" s="20"/>
      <c r="P287" s="21"/>
      <c r="Q287" s="21"/>
      <c r="R287" s="21"/>
      <c r="S287" s="21"/>
      <c r="T287" s="38"/>
      <c r="U287" s="38"/>
      <c r="V287" s="38"/>
      <c r="W287" s="38"/>
      <c r="X287" s="49"/>
      <c r="Y287" s="49"/>
      <c r="AA287" s="17" t="str">
        <f t="shared" si="97"/>
        <v>·</v>
      </c>
      <c r="AB287" s="18" t="str">
        <f t="shared" si="98"/>
        <v>·</v>
      </c>
      <c r="AC287" s="18" t="str">
        <f t="shared" si="99"/>
        <v>·</v>
      </c>
      <c r="AD287" s="18" t="str">
        <f t="shared" si="100"/>
        <v>·</v>
      </c>
      <c r="AE287" s="18" t="str">
        <f t="shared" si="113"/>
        <v>·</v>
      </c>
      <c r="AF287" s="18" t="str">
        <f t="shared" si="101"/>
        <v>·</v>
      </c>
      <c r="AG287" s="20"/>
      <c r="AH287" s="21"/>
      <c r="AI287" s="21"/>
      <c r="AJ287" s="21"/>
      <c r="AK287" s="21"/>
      <c r="AL287" s="38"/>
      <c r="AM287" s="38"/>
      <c r="AN287" s="38"/>
      <c r="AO287" s="38"/>
      <c r="AP287" s="49"/>
      <c r="AQ287" s="49"/>
      <c r="AR287" s="82"/>
      <c r="AS287" s="53" t="e">
        <f t="shared" si="102"/>
        <v>#DIV/0!</v>
      </c>
      <c r="AT287" s="53" t="e">
        <f t="array" ref="AT287">AVERAGE(AI287:AI292/AH287:AH292)-AVERAGE(Q287:Q292/P287:P292)</f>
        <v>#DIV/0!</v>
      </c>
      <c r="AV287" s="54" t="str">
        <f>IF(OR(ISBLANK(R287:R292),ISBLANK(AJ287:AJ292),ISBLANK(T287:T292),ISBLANK(AL287:AL292)),"·",bdRateExtend(R287:R292,T287:T292,AJ287:AJ292,AL287:AL292))</f>
        <v>·</v>
      </c>
      <c r="AW287" s="54" t="str">
        <f>IF(OR(ISBLANK(R287:R292),ISBLANK(AJ287:AJ292),ISBLANK(U287:U292),ISBLANK(AM287:AM292)),"·",bdRateExtend(R287:R292,U287:U292,AJ287:AJ292,AM287:AM292))</f>
        <v>·</v>
      </c>
      <c r="AX287" s="54" t="str">
        <f>IF(OR(ISBLANK(R287:R292),ISBLANK(AJ287:AJ292),ISBLANK(V287:V292),ISBLANK(AN287:AN292)),"·",bdRateExtend(R287:R292,V287:V292,AJ287:AJ292,AN287:AN292))</f>
        <v>·</v>
      </c>
      <c r="AY287" s="54" t="str">
        <f>IF(OR(ISBLANK(S287:S292),ISBLANK(AK287:AK292),ISBLANK(W287:W292),ISBLANK(AO287:AO292)),"·",bdRateExtend(S287:S292,W287:W292,AK287:AK292,AO287:AO292))</f>
        <v>·</v>
      </c>
      <c r="BA287" s="54" t="str">
        <f>IF(OR(ISBLANK(P287:P292),ISBLANK(AH287:AH292),ISBLANK(T287:T292),ISBLANK(AL287:AL292)),"·",bdRateExtend(P287:P292,T287:T292,AH287:AH292,AL287:AL292))</f>
        <v>·</v>
      </c>
      <c r="BB287" s="54" t="str">
        <f>IF(OR(ISBLANK(P287:P292),ISBLANK(AH287:AH292),ISBLANK(U287:U292),ISBLANK(AM287:AM292)),"·",bdRateExtend(P287:P292,U287:U292,AH287:AH292,AM287:AM292))</f>
        <v>·</v>
      </c>
      <c r="BC287" s="54" t="str">
        <f>IF(OR(ISBLANK(P287:P292),ISBLANK(AH287:AH292),ISBLANK(V287:V292),ISBLANK(AN287:AN292)),"·",bdRateExtend(P287:P292,V287:V292,AH287:AH292,AN287:AN292))</f>
        <v>·</v>
      </c>
      <c r="BD287" s="54" t="str">
        <f>IF(OR(ISBLANK(P287:P292),ISBLANK(AH287:AH292),ISBLANK(W287:W292),ISBLANK(AO287:AO292)),"·",bdRateExtend(P287:P292,W287:W292,AH287:AH292,AO287:AO292))</f>
        <v>·</v>
      </c>
      <c r="BF287">
        <f t="shared" si="103"/>
        <v>0</v>
      </c>
      <c r="BG287">
        <f t="shared" si="104"/>
        <v>0</v>
      </c>
      <c r="BH287">
        <f t="shared" si="105"/>
        <v>0</v>
      </c>
      <c r="BI287">
        <f t="shared" si="106"/>
        <v>0</v>
      </c>
      <c r="BJ287">
        <f t="shared" si="107"/>
        <v>0</v>
      </c>
      <c r="BK287">
        <f t="shared" si="108"/>
        <v>0</v>
      </c>
      <c r="BL287">
        <f t="shared" si="109"/>
        <v>0</v>
      </c>
      <c r="BM287">
        <f t="shared" si="110"/>
        <v>0</v>
      </c>
      <c r="BN287">
        <f t="shared" si="111"/>
        <v>0</v>
      </c>
    </row>
    <row r="288" spans="1:66" outlineLevel="1" x14ac:dyDescent="0.15">
      <c r="A288" s="8"/>
      <c r="B288" s="8" t="s">
        <v>175</v>
      </c>
      <c r="C288" s="9" t="s">
        <v>255</v>
      </c>
      <c r="D288" s="8">
        <v>5255920</v>
      </c>
      <c r="E288" s="10">
        <v>20</v>
      </c>
      <c r="F288" s="9">
        <v>1</v>
      </c>
      <c r="G288" s="9"/>
      <c r="I288" s="22" t="str">
        <f t="shared" si="92"/>
        <v>·</v>
      </c>
      <c r="J288" s="23" t="str">
        <f t="shared" si="93"/>
        <v>·</v>
      </c>
      <c r="K288" s="23" t="str">
        <f t="shared" si="94"/>
        <v>·</v>
      </c>
      <c r="L288" s="23" t="str">
        <f t="shared" si="95"/>
        <v>·</v>
      </c>
      <c r="M288" s="23" t="str">
        <f t="shared" si="112"/>
        <v>·</v>
      </c>
      <c r="N288" s="23" t="str">
        <f t="shared" si="96"/>
        <v>·</v>
      </c>
      <c r="O288" s="25"/>
      <c r="P288" s="26"/>
      <c r="Q288" s="26"/>
      <c r="R288" s="26"/>
      <c r="S288" s="26"/>
      <c r="T288" s="41"/>
      <c r="U288" s="41"/>
      <c r="V288" s="41"/>
      <c r="W288" s="41"/>
      <c r="X288" s="50"/>
      <c r="Y288" s="50"/>
      <c r="AA288" s="22" t="str">
        <f t="shared" si="97"/>
        <v>·</v>
      </c>
      <c r="AB288" s="23" t="str">
        <f t="shared" si="98"/>
        <v>·</v>
      </c>
      <c r="AC288" s="23" t="str">
        <f t="shared" si="99"/>
        <v>·</v>
      </c>
      <c r="AD288" s="23" t="str">
        <f t="shared" si="100"/>
        <v>·</v>
      </c>
      <c r="AE288" s="23" t="str">
        <f t="shared" si="113"/>
        <v>·</v>
      </c>
      <c r="AF288" s="23" t="str">
        <f t="shared" si="101"/>
        <v>·</v>
      </c>
      <c r="AG288" s="25"/>
      <c r="AH288" s="26"/>
      <c r="AI288" s="26"/>
      <c r="AJ288" s="26"/>
      <c r="AK288" s="26"/>
      <c r="AL288" s="41"/>
      <c r="AM288" s="41"/>
      <c r="AN288" s="41"/>
      <c r="AO288" s="41"/>
      <c r="AP288" s="50"/>
      <c r="AQ288" s="50"/>
      <c r="AR288" s="82"/>
      <c r="AS288" s="55" t="e">
        <f t="shared" si="102"/>
        <v>#DIV/0!</v>
      </c>
      <c r="AT288" s="55"/>
      <c r="AV288" s="56"/>
      <c r="AW288" s="56"/>
      <c r="AX288" s="56"/>
      <c r="AY288" s="56"/>
      <c r="BA288" s="56"/>
      <c r="BB288" s="56"/>
      <c r="BC288" s="56"/>
      <c r="BD288" s="56"/>
      <c r="BF288">
        <f t="shared" si="103"/>
        <v>0</v>
      </c>
      <c r="BG288">
        <f t="shared" si="104"/>
        <v>0</v>
      </c>
      <c r="BH288">
        <f t="shared" si="105"/>
        <v>0</v>
      </c>
      <c r="BI288">
        <f t="shared" si="106"/>
        <v>0</v>
      </c>
      <c r="BJ288">
        <f t="shared" si="107"/>
        <v>0</v>
      </c>
      <c r="BK288">
        <f t="shared" si="108"/>
        <v>0</v>
      </c>
      <c r="BL288">
        <f t="shared" si="109"/>
        <v>0</v>
      </c>
      <c r="BM288">
        <f t="shared" si="110"/>
        <v>0</v>
      </c>
      <c r="BN288">
        <f t="shared" si="111"/>
        <v>0</v>
      </c>
    </row>
    <row r="289" spans="1:66" outlineLevel="1" x14ac:dyDescent="0.15">
      <c r="A289" s="5"/>
      <c r="B289" s="5" t="s">
        <v>175</v>
      </c>
      <c r="C289" s="6" t="s">
        <v>256</v>
      </c>
      <c r="D289" s="5">
        <v>5255920</v>
      </c>
      <c r="E289" s="7">
        <v>20</v>
      </c>
      <c r="F289" s="6">
        <v>1</v>
      </c>
      <c r="G289" s="6"/>
      <c r="I289" s="17" t="str">
        <f t="shared" si="92"/>
        <v>·</v>
      </c>
      <c r="J289" s="18" t="str">
        <f t="shared" si="93"/>
        <v>·</v>
      </c>
      <c r="K289" s="18" t="str">
        <f t="shared" si="94"/>
        <v>·</v>
      </c>
      <c r="L289" s="18" t="str">
        <f t="shared" si="95"/>
        <v>·</v>
      </c>
      <c r="M289" s="18" t="str">
        <f t="shared" si="112"/>
        <v>·</v>
      </c>
      <c r="N289" s="18" t="str">
        <f t="shared" si="96"/>
        <v>·</v>
      </c>
      <c r="O289" s="20"/>
      <c r="P289" s="21"/>
      <c r="Q289" s="21"/>
      <c r="R289" s="21"/>
      <c r="S289" s="21"/>
      <c r="T289" s="38"/>
      <c r="U289" s="38"/>
      <c r="V289" s="38"/>
      <c r="W289" s="38"/>
      <c r="X289" s="49"/>
      <c r="Y289" s="49"/>
      <c r="AA289" s="17" t="str">
        <f t="shared" si="97"/>
        <v>·</v>
      </c>
      <c r="AB289" s="18" t="str">
        <f t="shared" si="98"/>
        <v>·</v>
      </c>
      <c r="AC289" s="18" t="str">
        <f t="shared" si="99"/>
        <v>·</v>
      </c>
      <c r="AD289" s="18" t="str">
        <f t="shared" si="100"/>
        <v>·</v>
      </c>
      <c r="AE289" s="18" t="str">
        <f t="shared" si="113"/>
        <v>·</v>
      </c>
      <c r="AF289" s="18" t="str">
        <f t="shared" si="101"/>
        <v>·</v>
      </c>
      <c r="AG289" s="20"/>
      <c r="AH289" s="21"/>
      <c r="AI289" s="21"/>
      <c r="AJ289" s="21"/>
      <c r="AK289" s="21"/>
      <c r="AL289" s="38"/>
      <c r="AM289" s="38"/>
      <c r="AN289" s="38"/>
      <c r="AO289" s="38"/>
      <c r="AP289" s="49"/>
      <c r="AQ289" s="49"/>
      <c r="AR289" s="82"/>
      <c r="AS289" s="53" t="e">
        <f t="shared" si="102"/>
        <v>#DIV/0!</v>
      </c>
      <c r="AT289" s="53"/>
      <c r="AV289" s="54"/>
      <c r="AW289" s="54"/>
      <c r="AX289" s="54"/>
      <c r="AY289" s="54"/>
      <c r="BA289" s="54"/>
      <c r="BB289" s="54"/>
      <c r="BC289" s="54"/>
      <c r="BD289" s="54"/>
      <c r="BF289">
        <f t="shared" si="103"/>
        <v>0</v>
      </c>
      <c r="BG289">
        <f t="shared" si="104"/>
        <v>0</v>
      </c>
      <c r="BH289">
        <f t="shared" si="105"/>
        <v>0</v>
      </c>
      <c r="BI289">
        <f t="shared" si="106"/>
        <v>0</v>
      </c>
      <c r="BJ289">
        <f t="shared" si="107"/>
        <v>0</v>
      </c>
      <c r="BK289">
        <f t="shared" si="108"/>
        <v>0</v>
      </c>
      <c r="BL289">
        <f t="shared" si="109"/>
        <v>0</v>
      </c>
      <c r="BM289">
        <f t="shared" si="110"/>
        <v>0</v>
      </c>
      <c r="BN289">
        <f t="shared" si="111"/>
        <v>0</v>
      </c>
    </row>
    <row r="290" spans="1:66" outlineLevel="1" x14ac:dyDescent="0.15">
      <c r="A290" s="8"/>
      <c r="B290" s="8" t="s">
        <v>175</v>
      </c>
      <c r="C290" s="9" t="s">
        <v>257</v>
      </c>
      <c r="D290" s="8">
        <v>5255920</v>
      </c>
      <c r="E290" s="10">
        <v>20</v>
      </c>
      <c r="F290" s="9">
        <v>1</v>
      </c>
      <c r="G290" s="9"/>
      <c r="I290" s="22" t="str">
        <f t="shared" si="92"/>
        <v>·</v>
      </c>
      <c r="J290" s="23" t="str">
        <f t="shared" si="93"/>
        <v>·</v>
      </c>
      <c r="K290" s="23" t="str">
        <f t="shared" si="94"/>
        <v>·</v>
      </c>
      <c r="L290" s="23" t="str">
        <f t="shared" si="95"/>
        <v>·</v>
      </c>
      <c r="M290" s="23" t="str">
        <f t="shared" si="112"/>
        <v>·</v>
      </c>
      <c r="N290" s="23" t="str">
        <f t="shared" si="96"/>
        <v>·</v>
      </c>
      <c r="O290" s="25"/>
      <c r="P290" s="26"/>
      <c r="Q290" s="26"/>
      <c r="R290" s="26"/>
      <c r="S290" s="26"/>
      <c r="T290" s="41"/>
      <c r="U290" s="41"/>
      <c r="V290" s="41"/>
      <c r="W290" s="41"/>
      <c r="X290" s="50"/>
      <c r="Y290" s="50"/>
      <c r="AA290" s="22" t="str">
        <f t="shared" si="97"/>
        <v>·</v>
      </c>
      <c r="AB290" s="23" t="str">
        <f t="shared" si="98"/>
        <v>·</v>
      </c>
      <c r="AC290" s="23" t="str">
        <f t="shared" si="99"/>
        <v>·</v>
      </c>
      <c r="AD290" s="23" t="str">
        <f t="shared" si="100"/>
        <v>·</v>
      </c>
      <c r="AE290" s="23" t="str">
        <f t="shared" si="113"/>
        <v>·</v>
      </c>
      <c r="AF290" s="23" t="str">
        <f t="shared" si="101"/>
        <v>·</v>
      </c>
      <c r="AG290" s="25"/>
      <c r="AH290" s="26"/>
      <c r="AI290" s="26"/>
      <c r="AJ290" s="26"/>
      <c r="AK290" s="26"/>
      <c r="AL290" s="41"/>
      <c r="AM290" s="41"/>
      <c r="AN290" s="41"/>
      <c r="AO290" s="41"/>
      <c r="AP290" s="50"/>
      <c r="AQ290" s="50"/>
      <c r="AR290" s="82"/>
      <c r="AS290" s="55" t="e">
        <f t="shared" si="102"/>
        <v>#DIV/0!</v>
      </c>
      <c r="AT290" s="55"/>
      <c r="AV290" s="56"/>
      <c r="AW290" s="56"/>
      <c r="AX290" s="56"/>
      <c r="AY290" s="56"/>
      <c r="BA290" s="56"/>
      <c r="BB290" s="56"/>
      <c r="BC290" s="56"/>
      <c r="BD290" s="56"/>
      <c r="BF290">
        <f t="shared" si="103"/>
        <v>0</v>
      </c>
      <c r="BG290">
        <f t="shared" si="104"/>
        <v>0</v>
      </c>
      <c r="BH290">
        <f t="shared" si="105"/>
        <v>0</v>
      </c>
      <c r="BI290">
        <f t="shared" si="106"/>
        <v>0</v>
      </c>
      <c r="BJ290">
        <f t="shared" si="107"/>
        <v>0</v>
      </c>
      <c r="BK290">
        <f t="shared" si="108"/>
        <v>0</v>
      </c>
      <c r="BL290">
        <f t="shared" si="109"/>
        <v>0</v>
      </c>
      <c r="BM290">
        <f t="shared" si="110"/>
        <v>0</v>
      </c>
      <c r="BN290">
        <f t="shared" si="111"/>
        <v>0</v>
      </c>
    </row>
    <row r="291" spans="1:66" outlineLevel="1" x14ac:dyDescent="0.15">
      <c r="A291" s="5"/>
      <c r="B291" s="5" t="s">
        <v>175</v>
      </c>
      <c r="C291" s="6" t="s">
        <v>258</v>
      </c>
      <c r="D291" s="5">
        <v>5255920</v>
      </c>
      <c r="E291" s="7">
        <v>20</v>
      </c>
      <c r="F291" s="6">
        <v>1</v>
      </c>
      <c r="G291" s="6"/>
      <c r="I291" s="17" t="str">
        <f t="shared" si="92"/>
        <v>·</v>
      </c>
      <c r="J291" s="18" t="str">
        <f t="shared" si="93"/>
        <v>·</v>
      </c>
      <c r="K291" s="18" t="str">
        <f t="shared" si="94"/>
        <v>·</v>
      </c>
      <c r="L291" s="18" t="str">
        <f t="shared" si="95"/>
        <v>·</v>
      </c>
      <c r="M291" s="18" t="str">
        <f t="shared" si="112"/>
        <v>·</v>
      </c>
      <c r="N291" s="18" t="str">
        <f t="shared" si="96"/>
        <v>·</v>
      </c>
      <c r="O291" s="20"/>
      <c r="P291" s="21"/>
      <c r="Q291" s="21"/>
      <c r="R291" s="21"/>
      <c r="S291" s="21"/>
      <c r="T291" s="38"/>
      <c r="U291" s="38"/>
      <c r="V291" s="38"/>
      <c r="W291" s="38"/>
      <c r="X291" s="49"/>
      <c r="Y291" s="49"/>
      <c r="AA291" s="17" t="str">
        <f t="shared" si="97"/>
        <v>·</v>
      </c>
      <c r="AB291" s="18" t="str">
        <f t="shared" si="98"/>
        <v>·</v>
      </c>
      <c r="AC291" s="18" t="str">
        <f t="shared" si="99"/>
        <v>·</v>
      </c>
      <c r="AD291" s="18" t="str">
        <f t="shared" si="100"/>
        <v>·</v>
      </c>
      <c r="AE291" s="18" t="str">
        <f t="shared" si="113"/>
        <v>·</v>
      </c>
      <c r="AF291" s="18" t="str">
        <f t="shared" si="101"/>
        <v>·</v>
      </c>
      <c r="AG291" s="20"/>
      <c r="AH291" s="21"/>
      <c r="AI291" s="21"/>
      <c r="AJ291" s="21"/>
      <c r="AK291" s="21"/>
      <c r="AL291" s="38"/>
      <c r="AM291" s="38"/>
      <c r="AN291" s="38"/>
      <c r="AO291" s="38"/>
      <c r="AP291" s="49"/>
      <c r="AQ291" s="49"/>
      <c r="AR291" s="82"/>
      <c r="AS291" s="53" t="e">
        <f t="shared" si="102"/>
        <v>#DIV/0!</v>
      </c>
      <c r="AT291" s="53"/>
      <c r="AV291" s="54"/>
      <c r="AW291" s="54"/>
      <c r="AX291" s="54"/>
      <c r="AY291" s="54"/>
      <c r="BA291" s="54"/>
      <c r="BB291" s="54"/>
      <c r="BC291" s="54"/>
      <c r="BD291" s="54"/>
      <c r="BF291">
        <f t="shared" si="103"/>
        <v>0</v>
      </c>
      <c r="BG291">
        <f t="shared" si="104"/>
        <v>0</v>
      </c>
      <c r="BH291">
        <f t="shared" si="105"/>
        <v>0</v>
      </c>
      <c r="BI291">
        <f t="shared" si="106"/>
        <v>0</v>
      </c>
      <c r="BJ291">
        <f t="shared" si="107"/>
        <v>0</v>
      </c>
      <c r="BK291">
        <f t="shared" si="108"/>
        <v>0</v>
      </c>
      <c r="BL291">
        <f t="shared" si="109"/>
        <v>0</v>
      </c>
      <c r="BM291">
        <f t="shared" si="110"/>
        <v>0</v>
      </c>
      <c r="BN291">
        <f t="shared" si="111"/>
        <v>0</v>
      </c>
    </row>
    <row r="292" spans="1:66" outlineLevel="1" x14ac:dyDescent="0.15">
      <c r="A292" s="8"/>
      <c r="B292" s="14" t="s">
        <v>175</v>
      </c>
      <c r="C292" s="15" t="s">
        <v>259</v>
      </c>
      <c r="D292" s="14">
        <v>5255920</v>
      </c>
      <c r="E292" s="16">
        <v>20</v>
      </c>
      <c r="F292" s="15">
        <v>1</v>
      </c>
      <c r="G292" s="15"/>
      <c r="I292" s="32" t="str">
        <f t="shared" si="92"/>
        <v>·</v>
      </c>
      <c r="J292" s="33" t="str">
        <f t="shared" si="93"/>
        <v>·</v>
      </c>
      <c r="K292" s="33" t="str">
        <f t="shared" si="94"/>
        <v>·</v>
      </c>
      <c r="L292" s="33" t="str">
        <f t="shared" si="95"/>
        <v>·</v>
      </c>
      <c r="M292" s="33" t="str">
        <f t="shared" si="112"/>
        <v>·</v>
      </c>
      <c r="N292" s="33" t="str">
        <f t="shared" si="96"/>
        <v>·</v>
      </c>
      <c r="O292" s="35"/>
      <c r="P292" s="36"/>
      <c r="Q292" s="36"/>
      <c r="R292" s="36"/>
      <c r="S292" s="36"/>
      <c r="T292" s="47"/>
      <c r="U292" s="47"/>
      <c r="V292" s="47"/>
      <c r="W292" s="47"/>
      <c r="X292" s="52"/>
      <c r="Y292" s="52"/>
      <c r="AA292" s="32" t="str">
        <f t="shared" si="97"/>
        <v>·</v>
      </c>
      <c r="AB292" s="33" t="str">
        <f t="shared" si="98"/>
        <v>·</v>
      </c>
      <c r="AC292" s="33" t="str">
        <f t="shared" si="99"/>
        <v>·</v>
      </c>
      <c r="AD292" s="33" t="str">
        <f t="shared" si="100"/>
        <v>·</v>
      </c>
      <c r="AE292" s="33" t="str">
        <f t="shared" si="113"/>
        <v>·</v>
      </c>
      <c r="AF292" s="33" t="str">
        <f t="shared" si="101"/>
        <v>·</v>
      </c>
      <c r="AG292" s="35"/>
      <c r="AH292" s="36"/>
      <c r="AI292" s="36"/>
      <c r="AJ292" s="36"/>
      <c r="AK292" s="36"/>
      <c r="AL292" s="47"/>
      <c r="AM292" s="47"/>
      <c r="AN292" s="47"/>
      <c r="AO292" s="47"/>
      <c r="AP292" s="52"/>
      <c r="AQ292" s="52"/>
      <c r="AR292" s="82"/>
      <c r="AS292" s="59" t="e">
        <f t="shared" si="102"/>
        <v>#DIV/0!</v>
      </c>
      <c r="AT292" s="59"/>
      <c r="AV292" s="60"/>
      <c r="AW292" s="60"/>
      <c r="AX292" s="60"/>
      <c r="AY292" s="60"/>
      <c r="BA292" s="60"/>
      <c r="BB292" s="60"/>
      <c r="BC292" s="60"/>
      <c r="BD292" s="60"/>
      <c r="BF292">
        <f t="shared" si="103"/>
        <v>0</v>
      </c>
      <c r="BG292">
        <f t="shared" si="104"/>
        <v>0</v>
      </c>
      <c r="BH292">
        <f t="shared" si="105"/>
        <v>0</v>
      </c>
      <c r="BI292">
        <f t="shared" si="106"/>
        <v>0</v>
      </c>
      <c r="BJ292">
        <f t="shared" si="107"/>
        <v>0</v>
      </c>
      <c r="BK292">
        <f t="shared" si="108"/>
        <v>0</v>
      </c>
      <c r="BL292">
        <f t="shared" si="109"/>
        <v>0</v>
      </c>
      <c r="BM292">
        <f t="shared" si="110"/>
        <v>0</v>
      </c>
      <c r="BN292">
        <f t="shared" si="111"/>
        <v>0</v>
      </c>
    </row>
    <row r="293" spans="1:66" x14ac:dyDescent="0.15">
      <c r="A293" s="5"/>
      <c r="B293" s="5" t="s">
        <v>176</v>
      </c>
      <c r="C293" s="6" t="s">
        <v>254</v>
      </c>
      <c r="D293" s="5">
        <v>7148516</v>
      </c>
      <c r="E293" s="7">
        <v>21</v>
      </c>
      <c r="F293" s="6">
        <v>1</v>
      </c>
      <c r="G293" s="6"/>
      <c r="I293" s="17" t="str">
        <f t="shared" si="92"/>
        <v>·</v>
      </c>
      <c r="J293" s="18" t="str">
        <f t="shared" si="93"/>
        <v>·</v>
      </c>
      <c r="K293" s="18" t="str">
        <f t="shared" si="94"/>
        <v>·</v>
      </c>
      <c r="L293" s="18" t="str">
        <f t="shared" si="95"/>
        <v>·</v>
      </c>
      <c r="M293" s="18" t="str">
        <f t="shared" si="112"/>
        <v>·</v>
      </c>
      <c r="N293" s="18" t="str">
        <f t="shared" si="96"/>
        <v>·</v>
      </c>
      <c r="O293" s="20"/>
      <c r="P293" s="21"/>
      <c r="Q293" s="21"/>
      <c r="R293" s="21"/>
      <c r="S293" s="21"/>
      <c r="T293" s="38"/>
      <c r="U293" s="38"/>
      <c r="V293" s="38"/>
      <c r="W293" s="38"/>
      <c r="X293" s="49"/>
      <c r="Y293" s="49"/>
      <c r="AA293" s="17" t="str">
        <f t="shared" si="97"/>
        <v>·</v>
      </c>
      <c r="AB293" s="18" t="str">
        <f t="shared" si="98"/>
        <v>·</v>
      </c>
      <c r="AC293" s="18" t="str">
        <f t="shared" si="99"/>
        <v>·</v>
      </c>
      <c r="AD293" s="18" t="str">
        <f t="shared" si="100"/>
        <v>·</v>
      </c>
      <c r="AE293" s="18" t="str">
        <f t="shared" si="113"/>
        <v>·</v>
      </c>
      <c r="AF293" s="18" t="str">
        <f t="shared" si="101"/>
        <v>·</v>
      </c>
      <c r="AG293" s="20"/>
      <c r="AH293" s="21"/>
      <c r="AI293" s="21"/>
      <c r="AJ293" s="21"/>
      <c r="AK293" s="21"/>
      <c r="AL293" s="38"/>
      <c r="AM293" s="38"/>
      <c r="AN293" s="38"/>
      <c r="AO293" s="38"/>
      <c r="AP293" s="49"/>
      <c r="AQ293" s="49"/>
      <c r="AR293" s="82"/>
      <c r="AS293" s="53" t="e">
        <f t="shared" si="102"/>
        <v>#DIV/0!</v>
      </c>
      <c r="AT293" s="53" t="e">
        <f t="array" ref="AT293">AVERAGE(AI293:AI298/AH293:AH298)-AVERAGE(Q293:Q298/P293:P298)</f>
        <v>#DIV/0!</v>
      </c>
      <c r="AV293" s="54" t="str">
        <f>IF(OR(ISBLANK(R293:R298),ISBLANK(AJ293:AJ298),ISBLANK(T293:T298),ISBLANK(AL293:AL298)),"·",bdRateExtend(R293:R298,T293:T298,AJ293:AJ298,AL293:AL298))</f>
        <v>·</v>
      </c>
      <c r="AW293" s="54" t="str">
        <f>IF(OR(ISBLANK(R293:R298),ISBLANK(AJ293:AJ298),ISBLANK(U293:U298),ISBLANK(AM293:AM298)),"·",bdRateExtend(R293:R298,U293:U298,AJ293:AJ298,AM293:AM298))</f>
        <v>·</v>
      </c>
      <c r="AX293" s="54" t="str">
        <f>IF(OR(ISBLANK(R293:R298),ISBLANK(AJ293:AJ298),ISBLANK(V293:V298),ISBLANK(AN293:AN298)),"·",bdRateExtend(R293:R298,V293:V298,AJ293:AJ298,AN293:AN298))</f>
        <v>·</v>
      </c>
      <c r="AY293" s="54" t="str">
        <f>IF(OR(ISBLANK(S293:S298),ISBLANK(AK293:AK298),ISBLANK(W293:W298),ISBLANK(AO293:AO298)),"·",bdRateExtend(S293:S298,W293:W298,AK293:AK298,AO293:AO298))</f>
        <v>·</v>
      </c>
      <c r="BA293" s="54" t="str">
        <f>IF(OR(ISBLANK(P293:P298),ISBLANK(AH293:AH298),ISBLANK(T293:T298),ISBLANK(AL293:AL298)),"·",bdRateExtend(P293:P298,T293:T298,AH293:AH298,AL293:AL298))</f>
        <v>·</v>
      </c>
      <c r="BB293" s="54" t="str">
        <f>IF(OR(ISBLANK(P293:P298),ISBLANK(AH293:AH298),ISBLANK(U293:U298),ISBLANK(AM293:AM298)),"·",bdRateExtend(P293:P298,U293:U298,AH293:AH298,AM293:AM298))</f>
        <v>·</v>
      </c>
      <c r="BC293" s="54" t="str">
        <f>IF(OR(ISBLANK(P293:P298),ISBLANK(AH293:AH298),ISBLANK(V293:V298),ISBLANK(AN293:AN298)),"·",bdRateExtend(P293:P298,V293:V298,AH293:AH298,AN293:AN298))</f>
        <v>·</v>
      </c>
      <c r="BD293" s="54" t="str">
        <f>IF(OR(ISBLANK(P293:P298),ISBLANK(AH293:AH298),ISBLANK(W293:W298),ISBLANK(AO293:AO298)),"·",bdRateExtend(P293:P298,W293:W298,AH293:AH298,AO293:AO298))</f>
        <v>·</v>
      </c>
      <c r="BF293">
        <f t="shared" si="103"/>
        <v>0</v>
      </c>
      <c r="BG293">
        <f t="shared" si="104"/>
        <v>0</v>
      </c>
      <c r="BH293">
        <f t="shared" si="105"/>
        <v>0</v>
      </c>
      <c r="BI293">
        <f t="shared" si="106"/>
        <v>0</v>
      </c>
      <c r="BJ293">
        <f t="shared" si="107"/>
        <v>0</v>
      </c>
      <c r="BK293">
        <f t="shared" si="108"/>
        <v>0</v>
      </c>
      <c r="BL293">
        <f t="shared" si="109"/>
        <v>0</v>
      </c>
      <c r="BM293">
        <f t="shared" si="110"/>
        <v>0</v>
      </c>
      <c r="BN293">
        <f t="shared" si="111"/>
        <v>0</v>
      </c>
    </row>
    <row r="294" spans="1:66" outlineLevel="1" x14ac:dyDescent="0.15">
      <c r="A294" s="8"/>
      <c r="B294" s="8" t="s">
        <v>176</v>
      </c>
      <c r="C294" s="9" t="s">
        <v>255</v>
      </c>
      <c r="D294" s="8">
        <v>7148516</v>
      </c>
      <c r="E294" s="10">
        <v>21</v>
      </c>
      <c r="F294" s="9">
        <v>1</v>
      </c>
      <c r="G294" s="9"/>
      <c r="I294" s="22" t="str">
        <f t="shared" si="92"/>
        <v>·</v>
      </c>
      <c r="J294" s="23" t="str">
        <f t="shared" si="93"/>
        <v>·</v>
      </c>
      <c r="K294" s="23" t="str">
        <f t="shared" si="94"/>
        <v>·</v>
      </c>
      <c r="L294" s="23" t="str">
        <f t="shared" si="95"/>
        <v>·</v>
      </c>
      <c r="M294" s="23" t="str">
        <f t="shared" si="112"/>
        <v>·</v>
      </c>
      <c r="N294" s="23" t="str">
        <f t="shared" si="96"/>
        <v>·</v>
      </c>
      <c r="O294" s="25"/>
      <c r="P294" s="26"/>
      <c r="Q294" s="26"/>
      <c r="R294" s="26"/>
      <c r="S294" s="26"/>
      <c r="T294" s="41"/>
      <c r="U294" s="41"/>
      <c r="V294" s="41"/>
      <c r="W294" s="41"/>
      <c r="X294" s="50"/>
      <c r="Y294" s="50"/>
      <c r="AA294" s="22" t="str">
        <f t="shared" si="97"/>
        <v>·</v>
      </c>
      <c r="AB294" s="23" t="str">
        <f t="shared" si="98"/>
        <v>·</v>
      </c>
      <c r="AC294" s="23" t="str">
        <f t="shared" si="99"/>
        <v>·</v>
      </c>
      <c r="AD294" s="23" t="str">
        <f t="shared" si="100"/>
        <v>·</v>
      </c>
      <c r="AE294" s="23" t="str">
        <f t="shared" si="113"/>
        <v>·</v>
      </c>
      <c r="AF294" s="23" t="str">
        <f t="shared" si="101"/>
        <v>·</v>
      </c>
      <c r="AG294" s="25"/>
      <c r="AH294" s="26"/>
      <c r="AI294" s="26"/>
      <c r="AJ294" s="26"/>
      <c r="AK294" s="26"/>
      <c r="AL294" s="41"/>
      <c r="AM294" s="41"/>
      <c r="AN294" s="41"/>
      <c r="AO294" s="41"/>
      <c r="AP294" s="50"/>
      <c r="AQ294" s="50"/>
      <c r="AR294" s="82"/>
      <c r="AS294" s="55" t="e">
        <f t="shared" si="102"/>
        <v>#DIV/0!</v>
      </c>
      <c r="AT294" s="55"/>
      <c r="AV294" s="56"/>
      <c r="AW294" s="56"/>
      <c r="AX294" s="56"/>
      <c r="AY294" s="56"/>
      <c r="BA294" s="56"/>
      <c r="BB294" s="56"/>
      <c r="BC294" s="56"/>
      <c r="BD294" s="56"/>
      <c r="BF294">
        <f t="shared" si="103"/>
        <v>0</v>
      </c>
      <c r="BG294">
        <f t="shared" si="104"/>
        <v>0</v>
      </c>
      <c r="BH294">
        <f t="shared" si="105"/>
        <v>0</v>
      </c>
      <c r="BI294">
        <f t="shared" si="106"/>
        <v>0</v>
      </c>
      <c r="BJ294">
        <f t="shared" si="107"/>
        <v>0</v>
      </c>
      <c r="BK294">
        <f t="shared" si="108"/>
        <v>0</v>
      </c>
      <c r="BL294">
        <f t="shared" si="109"/>
        <v>0</v>
      </c>
      <c r="BM294">
        <f t="shared" si="110"/>
        <v>0</v>
      </c>
      <c r="BN294">
        <f t="shared" si="111"/>
        <v>0</v>
      </c>
    </row>
    <row r="295" spans="1:66" outlineLevel="1" x14ac:dyDescent="0.15">
      <c r="A295" s="5"/>
      <c r="B295" s="5" t="s">
        <v>176</v>
      </c>
      <c r="C295" s="6" t="s">
        <v>256</v>
      </c>
      <c r="D295" s="5">
        <v>7148516</v>
      </c>
      <c r="E295" s="7">
        <v>21</v>
      </c>
      <c r="F295" s="6">
        <v>1</v>
      </c>
      <c r="G295" s="6"/>
      <c r="I295" s="17" t="str">
        <f t="shared" si="92"/>
        <v>·</v>
      </c>
      <c r="J295" s="18" t="str">
        <f t="shared" si="93"/>
        <v>·</v>
      </c>
      <c r="K295" s="18" t="str">
        <f t="shared" si="94"/>
        <v>·</v>
      </c>
      <c r="L295" s="18" t="str">
        <f t="shared" si="95"/>
        <v>·</v>
      </c>
      <c r="M295" s="18" t="str">
        <f t="shared" si="112"/>
        <v>·</v>
      </c>
      <c r="N295" s="18" t="str">
        <f t="shared" si="96"/>
        <v>·</v>
      </c>
      <c r="O295" s="20"/>
      <c r="P295" s="21"/>
      <c r="Q295" s="21"/>
      <c r="R295" s="21"/>
      <c r="S295" s="21"/>
      <c r="T295" s="38"/>
      <c r="U295" s="38"/>
      <c r="V295" s="38"/>
      <c r="W295" s="38"/>
      <c r="X295" s="49"/>
      <c r="Y295" s="49"/>
      <c r="AA295" s="17" t="str">
        <f t="shared" si="97"/>
        <v>·</v>
      </c>
      <c r="AB295" s="18" t="str">
        <f t="shared" si="98"/>
        <v>·</v>
      </c>
      <c r="AC295" s="18" t="str">
        <f t="shared" si="99"/>
        <v>·</v>
      </c>
      <c r="AD295" s="18" t="str">
        <f t="shared" si="100"/>
        <v>·</v>
      </c>
      <c r="AE295" s="18" t="str">
        <f t="shared" si="113"/>
        <v>·</v>
      </c>
      <c r="AF295" s="18" t="str">
        <f t="shared" si="101"/>
        <v>·</v>
      </c>
      <c r="AG295" s="20"/>
      <c r="AH295" s="21"/>
      <c r="AI295" s="21"/>
      <c r="AJ295" s="21"/>
      <c r="AK295" s="21"/>
      <c r="AL295" s="38"/>
      <c r="AM295" s="38"/>
      <c r="AN295" s="38"/>
      <c r="AO295" s="38"/>
      <c r="AP295" s="49"/>
      <c r="AQ295" s="49"/>
      <c r="AR295" s="82"/>
      <c r="AS295" s="53" t="e">
        <f t="shared" si="102"/>
        <v>#DIV/0!</v>
      </c>
      <c r="AT295" s="53"/>
      <c r="AV295" s="54"/>
      <c r="AW295" s="54"/>
      <c r="AX295" s="54"/>
      <c r="AY295" s="54"/>
      <c r="BA295" s="54"/>
      <c r="BB295" s="54"/>
      <c r="BC295" s="54"/>
      <c r="BD295" s="54"/>
      <c r="BF295">
        <f t="shared" si="103"/>
        <v>0</v>
      </c>
      <c r="BG295">
        <f t="shared" si="104"/>
        <v>0</v>
      </c>
      <c r="BH295">
        <f t="shared" si="105"/>
        <v>0</v>
      </c>
      <c r="BI295">
        <f t="shared" si="106"/>
        <v>0</v>
      </c>
      <c r="BJ295">
        <f t="shared" si="107"/>
        <v>0</v>
      </c>
      <c r="BK295">
        <f t="shared" si="108"/>
        <v>0</v>
      </c>
      <c r="BL295">
        <f t="shared" si="109"/>
        <v>0</v>
      </c>
      <c r="BM295">
        <f t="shared" si="110"/>
        <v>0</v>
      </c>
      <c r="BN295">
        <f t="shared" si="111"/>
        <v>0</v>
      </c>
    </row>
    <row r="296" spans="1:66" outlineLevel="1" x14ac:dyDescent="0.15">
      <c r="A296" s="8"/>
      <c r="B296" s="8" t="s">
        <v>176</v>
      </c>
      <c r="C296" s="9" t="s">
        <v>257</v>
      </c>
      <c r="D296" s="8">
        <v>7148516</v>
      </c>
      <c r="E296" s="10">
        <v>21</v>
      </c>
      <c r="F296" s="9">
        <v>1</v>
      </c>
      <c r="G296" s="9"/>
      <c r="I296" s="22" t="str">
        <f t="shared" si="92"/>
        <v>·</v>
      </c>
      <c r="J296" s="23" t="str">
        <f t="shared" si="93"/>
        <v>·</v>
      </c>
      <c r="K296" s="23" t="str">
        <f t="shared" si="94"/>
        <v>·</v>
      </c>
      <c r="L296" s="23" t="str">
        <f t="shared" si="95"/>
        <v>·</v>
      </c>
      <c r="M296" s="23" t="str">
        <f t="shared" si="112"/>
        <v>·</v>
      </c>
      <c r="N296" s="23" t="str">
        <f t="shared" si="96"/>
        <v>·</v>
      </c>
      <c r="O296" s="25"/>
      <c r="P296" s="26"/>
      <c r="Q296" s="26"/>
      <c r="R296" s="26"/>
      <c r="S296" s="26"/>
      <c r="T296" s="41"/>
      <c r="U296" s="41"/>
      <c r="V296" s="41"/>
      <c r="W296" s="41"/>
      <c r="X296" s="50"/>
      <c r="Y296" s="50"/>
      <c r="AA296" s="22" t="str">
        <f t="shared" si="97"/>
        <v>·</v>
      </c>
      <c r="AB296" s="23" t="str">
        <f t="shared" si="98"/>
        <v>·</v>
      </c>
      <c r="AC296" s="23" t="str">
        <f t="shared" si="99"/>
        <v>·</v>
      </c>
      <c r="AD296" s="23" t="str">
        <f t="shared" si="100"/>
        <v>·</v>
      </c>
      <c r="AE296" s="23" t="str">
        <f t="shared" si="113"/>
        <v>·</v>
      </c>
      <c r="AF296" s="23" t="str">
        <f t="shared" si="101"/>
        <v>·</v>
      </c>
      <c r="AG296" s="25"/>
      <c r="AH296" s="26"/>
      <c r="AI296" s="26"/>
      <c r="AJ296" s="26"/>
      <c r="AK296" s="26"/>
      <c r="AL296" s="41"/>
      <c r="AM296" s="41"/>
      <c r="AN296" s="41"/>
      <c r="AO296" s="41"/>
      <c r="AP296" s="50"/>
      <c r="AQ296" s="50"/>
      <c r="AR296" s="82"/>
      <c r="AS296" s="55" t="e">
        <f t="shared" si="102"/>
        <v>#DIV/0!</v>
      </c>
      <c r="AT296" s="55"/>
      <c r="AV296" s="56"/>
      <c r="AW296" s="56"/>
      <c r="AX296" s="56"/>
      <c r="AY296" s="56"/>
      <c r="BA296" s="56"/>
      <c r="BB296" s="56"/>
      <c r="BC296" s="56"/>
      <c r="BD296" s="56"/>
      <c r="BF296">
        <f t="shared" si="103"/>
        <v>0</v>
      </c>
      <c r="BG296">
        <f t="shared" si="104"/>
        <v>0</v>
      </c>
      <c r="BH296">
        <f t="shared" si="105"/>
        <v>0</v>
      </c>
      <c r="BI296">
        <f t="shared" si="106"/>
        <v>0</v>
      </c>
      <c r="BJ296">
        <f t="shared" si="107"/>
        <v>0</v>
      </c>
      <c r="BK296">
        <f t="shared" si="108"/>
        <v>0</v>
      </c>
      <c r="BL296">
        <f t="shared" si="109"/>
        <v>0</v>
      </c>
      <c r="BM296">
        <f t="shared" si="110"/>
        <v>0</v>
      </c>
      <c r="BN296">
        <f t="shared" si="111"/>
        <v>0</v>
      </c>
    </row>
    <row r="297" spans="1:66" outlineLevel="1" x14ac:dyDescent="0.15">
      <c r="A297" s="5"/>
      <c r="B297" s="5" t="s">
        <v>176</v>
      </c>
      <c r="C297" s="6" t="s">
        <v>258</v>
      </c>
      <c r="D297" s="5">
        <v>7148516</v>
      </c>
      <c r="E297" s="7">
        <v>21</v>
      </c>
      <c r="F297" s="6">
        <v>1</v>
      </c>
      <c r="G297" s="6"/>
      <c r="I297" s="17" t="str">
        <f t="shared" si="92"/>
        <v>·</v>
      </c>
      <c r="J297" s="18" t="str">
        <f t="shared" si="93"/>
        <v>·</v>
      </c>
      <c r="K297" s="18" t="str">
        <f t="shared" si="94"/>
        <v>·</v>
      </c>
      <c r="L297" s="18" t="str">
        <f t="shared" si="95"/>
        <v>·</v>
      </c>
      <c r="M297" s="18" t="str">
        <f t="shared" si="112"/>
        <v>·</v>
      </c>
      <c r="N297" s="18" t="str">
        <f t="shared" si="96"/>
        <v>·</v>
      </c>
      <c r="O297" s="20"/>
      <c r="P297" s="21"/>
      <c r="Q297" s="21"/>
      <c r="R297" s="21"/>
      <c r="S297" s="21"/>
      <c r="T297" s="38"/>
      <c r="U297" s="38"/>
      <c r="V297" s="38"/>
      <c r="W297" s="38"/>
      <c r="X297" s="49"/>
      <c r="Y297" s="49"/>
      <c r="AA297" s="17" t="str">
        <f t="shared" si="97"/>
        <v>·</v>
      </c>
      <c r="AB297" s="18" t="str">
        <f t="shared" si="98"/>
        <v>·</v>
      </c>
      <c r="AC297" s="18" t="str">
        <f t="shared" si="99"/>
        <v>·</v>
      </c>
      <c r="AD297" s="18" t="str">
        <f t="shared" si="100"/>
        <v>·</v>
      </c>
      <c r="AE297" s="18" t="str">
        <f t="shared" si="113"/>
        <v>·</v>
      </c>
      <c r="AF297" s="18" t="str">
        <f t="shared" si="101"/>
        <v>·</v>
      </c>
      <c r="AG297" s="20"/>
      <c r="AH297" s="21"/>
      <c r="AI297" s="21"/>
      <c r="AJ297" s="21"/>
      <c r="AK297" s="21"/>
      <c r="AL297" s="38"/>
      <c r="AM297" s="38"/>
      <c r="AN297" s="38"/>
      <c r="AO297" s="38"/>
      <c r="AP297" s="49"/>
      <c r="AQ297" s="49"/>
      <c r="AR297" s="82"/>
      <c r="AS297" s="53" t="e">
        <f t="shared" si="102"/>
        <v>#DIV/0!</v>
      </c>
      <c r="AT297" s="53"/>
      <c r="AV297" s="54"/>
      <c r="AW297" s="54"/>
      <c r="AX297" s="54"/>
      <c r="AY297" s="54"/>
      <c r="BA297" s="54"/>
      <c r="BB297" s="54"/>
      <c r="BC297" s="54"/>
      <c r="BD297" s="54"/>
      <c r="BF297">
        <f t="shared" si="103"/>
        <v>0</v>
      </c>
      <c r="BG297">
        <f t="shared" si="104"/>
        <v>0</v>
      </c>
      <c r="BH297">
        <f t="shared" si="105"/>
        <v>0</v>
      </c>
      <c r="BI297">
        <f t="shared" si="106"/>
        <v>0</v>
      </c>
      <c r="BJ297">
        <f t="shared" si="107"/>
        <v>0</v>
      </c>
      <c r="BK297">
        <f t="shared" si="108"/>
        <v>0</v>
      </c>
      <c r="BL297">
        <f t="shared" si="109"/>
        <v>0</v>
      </c>
      <c r="BM297">
        <f t="shared" si="110"/>
        <v>0</v>
      </c>
      <c r="BN297">
        <f t="shared" si="111"/>
        <v>0</v>
      </c>
    </row>
    <row r="298" spans="1:66" outlineLevel="1" x14ac:dyDescent="0.15">
      <c r="A298" s="14"/>
      <c r="B298" s="14" t="s">
        <v>176</v>
      </c>
      <c r="C298" s="15" t="s">
        <v>259</v>
      </c>
      <c r="D298" s="14">
        <v>7148516</v>
      </c>
      <c r="E298" s="16">
        <v>21</v>
      </c>
      <c r="F298" s="15">
        <v>1</v>
      </c>
      <c r="G298" s="15"/>
      <c r="I298" s="32" t="str">
        <f t="shared" si="92"/>
        <v>·</v>
      </c>
      <c r="J298" s="33" t="str">
        <f t="shared" si="93"/>
        <v>·</v>
      </c>
      <c r="K298" s="33" t="str">
        <f t="shared" si="94"/>
        <v>·</v>
      </c>
      <c r="L298" s="33" t="str">
        <f t="shared" si="95"/>
        <v>·</v>
      </c>
      <c r="M298" s="33" t="str">
        <f t="shared" si="112"/>
        <v>·</v>
      </c>
      <c r="N298" s="33" t="str">
        <f t="shared" si="96"/>
        <v>·</v>
      </c>
      <c r="O298" s="35"/>
      <c r="P298" s="36"/>
      <c r="Q298" s="36"/>
      <c r="R298" s="36"/>
      <c r="S298" s="36"/>
      <c r="T298" s="47"/>
      <c r="U298" s="47"/>
      <c r="V298" s="47"/>
      <c r="W298" s="47"/>
      <c r="X298" s="52"/>
      <c r="Y298" s="52"/>
      <c r="AA298" s="32" t="str">
        <f t="shared" si="97"/>
        <v>·</v>
      </c>
      <c r="AB298" s="33" t="str">
        <f t="shared" si="98"/>
        <v>·</v>
      </c>
      <c r="AC298" s="33" t="str">
        <f t="shared" si="99"/>
        <v>·</v>
      </c>
      <c r="AD298" s="33" t="str">
        <f t="shared" si="100"/>
        <v>·</v>
      </c>
      <c r="AE298" s="33" t="str">
        <f t="shared" si="113"/>
        <v>·</v>
      </c>
      <c r="AF298" s="33" t="str">
        <f t="shared" si="101"/>
        <v>·</v>
      </c>
      <c r="AG298" s="35"/>
      <c r="AH298" s="36"/>
      <c r="AI298" s="36"/>
      <c r="AJ298" s="36"/>
      <c r="AK298" s="36"/>
      <c r="AL298" s="47"/>
      <c r="AM298" s="47"/>
      <c r="AN298" s="47"/>
      <c r="AO298" s="47"/>
      <c r="AP298" s="52"/>
      <c r="AQ298" s="52"/>
      <c r="AR298" s="82"/>
      <c r="AS298" s="59" t="e">
        <f t="shared" si="102"/>
        <v>#DIV/0!</v>
      </c>
      <c r="AT298" s="59"/>
      <c r="AV298" s="60"/>
      <c r="AW298" s="60"/>
      <c r="AX298" s="60"/>
      <c r="AY298" s="60"/>
      <c r="BA298" s="60"/>
      <c r="BB298" s="60"/>
      <c r="BC298" s="60"/>
      <c r="BD298" s="60"/>
      <c r="BF298">
        <f t="shared" si="103"/>
        <v>0</v>
      </c>
      <c r="BG298">
        <f t="shared" si="104"/>
        <v>0</v>
      </c>
      <c r="BH298">
        <f t="shared" si="105"/>
        <v>0</v>
      </c>
      <c r="BI298">
        <f t="shared" si="106"/>
        <v>0</v>
      </c>
      <c r="BJ298">
        <f t="shared" si="107"/>
        <v>0</v>
      </c>
      <c r="BK298">
        <f t="shared" si="108"/>
        <v>0</v>
      </c>
      <c r="BL298">
        <f t="shared" si="109"/>
        <v>0</v>
      </c>
      <c r="BM298">
        <f t="shared" si="110"/>
        <v>0</v>
      </c>
      <c r="BN298">
        <f t="shared" si="111"/>
        <v>0</v>
      </c>
    </row>
    <row r="299" spans="1:66" x14ac:dyDescent="0.15">
      <c r="A299" s="5" t="s">
        <v>262</v>
      </c>
      <c r="B299" s="5" t="s">
        <v>177</v>
      </c>
      <c r="C299" s="6" t="s">
        <v>254</v>
      </c>
      <c r="D299" s="5">
        <v>123940658</v>
      </c>
      <c r="E299" s="7">
        <v>18</v>
      </c>
      <c r="F299" s="6">
        <v>1500</v>
      </c>
      <c r="G299" s="6">
        <v>10</v>
      </c>
      <c r="I299" s="17" t="str">
        <f t="shared" si="92"/>
        <v>·</v>
      </c>
      <c r="J299" s="18" t="str">
        <f t="shared" si="93"/>
        <v>·</v>
      </c>
      <c r="K299" s="18" t="str">
        <f t="shared" si="94"/>
        <v>·</v>
      </c>
      <c r="L299" s="19"/>
      <c r="M299" s="18" t="str">
        <f t="shared" si="112"/>
        <v>·</v>
      </c>
      <c r="N299" s="18" t="str">
        <f t="shared" si="96"/>
        <v>·</v>
      </c>
      <c r="O299" s="20"/>
      <c r="P299" s="21"/>
      <c r="Q299" s="21"/>
      <c r="R299" s="37"/>
      <c r="S299" s="21"/>
      <c r="T299" s="39"/>
      <c r="U299" s="39"/>
      <c r="V299" s="39"/>
      <c r="W299" s="38"/>
      <c r="X299" s="49"/>
      <c r="Y299" s="49"/>
      <c r="AA299" s="17" t="str">
        <f t="shared" si="97"/>
        <v>·</v>
      </c>
      <c r="AB299" s="18" t="str">
        <f t="shared" si="98"/>
        <v>·</v>
      </c>
      <c r="AC299" s="18" t="str">
        <f t="shared" si="99"/>
        <v>·</v>
      </c>
      <c r="AD299" s="19"/>
      <c r="AE299" s="18" t="str">
        <f t="shared" si="113"/>
        <v>·</v>
      </c>
      <c r="AF299" s="18" t="str">
        <f t="shared" si="101"/>
        <v>·</v>
      </c>
      <c r="AG299" s="20"/>
      <c r="AH299" s="21"/>
      <c r="AI299" s="21"/>
      <c r="AJ299" s="37"/>
      <c r="AK299" s="21"/>
      <c r="AL299" s="39"/>
      <c r="AM299" s="39"/>
      <c r="AN299" s="39"/>
      <c r="AO299" s="38"/>
      <c r="AP299" s="49"/>
      <c r="AQ299" s="49"/>
      <c r="AR299" s="82"/>
      <c r="AS299" s="53" t="e">
        <f t="shared" si="102"/>
        <v>#DIV/0!</v>
      </c>
      <c r="AT299" s="53" t="e">
        <f t="array" ref="AT299">AVERAGE(AI299:AI304/AH299:AH304)-AVERAGE(Q299:Q304/P299:P304)</f>
        <v>#DIV/0!</v>
      </c>
      <c r="AV299" s="61"/>
      <c r="AW299" s="61"/>
      <c r="AX299" s="61"/>
      <c r="AY299" s="54" t="str">
        <f>IF(OR(ISBLANK(S299:S304),ISBLANK(AK299:AK304),ISBLANK(W299:W304),ISBLANK(AO299:AO304)),"·",bdRateExtend(S299:S304,W299:W304,AK299:AK304,AO299:AO304))</f>
        <v>·</v>
      </c>
      <c r="BA299" s="61"/>
      <c r="BB299" s="61"/>
      <c r="BC299" s="61"/>
      <c r="BD299" s="54" t="str">
        <f>IF(OR(ISBLANK(P299:P304),ISBLANK(AH299:AH304),ISBLANK(W299:W304),ISBLANK(AO299:AO304)),"·",bdRateExtend(P299:P304,W299:W304,AH299:AH304,AO299:AO304))</f>
        <v>·</v>
      </c>
      <c r="BF299">
        <f t="shared" si="103"/>
        <v>0</v>
      </c>
      <c r="BG299">
        <f t="shared" si="104"/>
        <v>0</v>
      </c>
      <c r="BH299">
        <f t="shared" si="105"/>
        <v>0</v>
      </c>
      <c r="BI299">
        <f t="shared" si="106"/>
        <v>0</v>
      </c>
      <c r="BJ299">
        <f t="shared" si="107"/>
        <v>0</v>
      </c>
      <c r="BK299">
        <f t="shared" si="108"/>
        <v>0</v>
      </c>
      <c r="BL299">
        <f t="shared" si="109"/>
        <v>0</v>
      </c>
      <c r="BM299">
        <f t="shared" si="110"/>
        <v>0</v>
      </c>
      <c r="BN299">
        <f t="shared" si="111"/>
        <v>0</v>
      </c>
    </row>
    <row r="300" spans="1:66" outlineLevel="1" x14ac:dyDescent="0.15">
      <c r="A300" s="8"/>
      <c r="B300" s="8" t="s">
        <v>177</v>
      </c>
      <c r="C300" s="9" t="s">
        <v>255</v>
      </c>
      <c r="D300" s="8">
        <v>123940658</v>
      </c>
      <c r="E300" s="10">
        <v>18</v>
      </c>
      <c r="F300" s="9">
        <v>1500</v>
      </c>
      <c r="G300" s="9">
        <v>10</v>
      </c>
      <c r="I300" s="22" t="str">
        <f t="shared" si="92"/>
        <v>·</v>
      </c>
      <c r="J300" s="23" t="str">
        <f t="shared" si="93"/>
        <v>·</v>
      </c>
      <c r="K300" s="23" t="str">
        <f t="shared" si="94"/>
        <v>·</v>
      </c>
      <c r="L300" s="24"/>
      <c r="M300" s="23" t="str">
        <f t="shared" si="112"/>
        <v>·</v>
      </c>
      <c r="N300" s="23" t="str">
        <f t="shared" si="96"/>
        <v>·</v>
      </c>
      <c r="O300" s="25"/>
      <c r="P300" s="26"/>
      <c r="Q300" s="26"/>
      <c r="R300" s="40"/>
      <c r="S300" s="26"/>
      <c r="T300" s="42"/>
      <c r="U300" s="42"/>
      <c r="V300" s="42"/>
      <c r="W300" s="41"/>
      <c r="X300" s="50"/>
      <c r="Y300" s="50"/>
      <c r="AA300" s="22" t="str">
        <f t="shared" si="97"/>
        <v>·</v>
      </c>
      <c r="AB300" s="23" t="str">
        <f t="shared" si="98"/>
        <v>·</v>
      </c>
      <c r="AC300" s="23" t="str">
        <f t="shared" si="99"/>
        <v>·</v>
      </c>
      <c r="AD300" s="24"/>
      <c r="AE300" s="23" t="str">
        <f t="shared" si="113"/>
        <v>·</v>
      </c>
      <c r="AF300" s="23" t="str">
        <f t="shared" si="101"/>
        <v>·</v>
      </c>
      <c r="AG300" s="25"/>
      <c r="AH300" s="26"/>
      <c r="AI300" s="26"/>
      <c r="AJ300" s="40"/>
      <c r="AK300" s="26"/>
      <c r="AL300" s="42"/>
      <c r="AM300" s="42"/>
      <c r="AN300" s="42"/>
      <c r="AO300" s="41"/>
      <c r="AP300" s="50"/>
      <c r="AQ300" s="50"/>
      <c r="AS300" s="55" t="e">
        <f t="shared" si="102"/>
        <v>#DIV/0!</v>
      </c>
      <c r="AT300" s="55"/>
      <c r="AV300" s="62"/>
      <c r="AW300" s="62"/>
      <c r="AX300" s="62"/>
      <c r="AY300" s="56"/>
      <c r="BA300" s="62"/>
      <c r="BB300" s="62"/>
      <c r="BC300" s="62"/>
      <c r="BD300" s="56"/>
      <c r="BF300">
        <f t="shared" si="103"/>
        <v>0</v>
      </c>
      <c r="BG300">
        <f t="shared" si="104"/>
        <v>0</v>
      </c>
      <c r="BH300">
        <f t="shared" si="105"/>
        <v>0</v>
      </c>
      <c r="BI300">
        <f t="shared" si="106"/>
        <v>0</v>
      </c>
      <c r="BJ300">
        <f t="shared" si="107"/>
        <v>0</v>
      </c>
      <c r="BK300">
        <f t="shared" si="108"/>
        <v>0</v>
      </c>
      <c r="BL300">
        <f t="shared" si="109"/>
        <v>0</v>
      </c>
      <c r="BM300">
        <f t="shared" si="110"/>
        <v>0</v>
      </c>
      <c r="BN300">
        <f t="shared" si="111"/>
        <v>0</v>
      </c>
    </row>
    <row r="301" spans="1:66" outlineLevel="1" x14ac:dyDescent="0.15">
      <c r="A301" s="5"/>
      <c r="B301" s="5" t="s">
        <v>177</v>
      </c>
      <c r="C301" s="6" t="s">
        <v>256</v>
      </c>
      <c r="D301" s="5">
        <v>123940658</v>
      </c>
      <c r="E301" s="7">
        <v>18</v>
      </c>
      <c r="F301" s="6">
        <v>1500</v>
      </c>
      <c r="G301" s="6">
        <v>10</v>
      </c>
      <c r="I301" s="17" t="str">
        <f t="shared" si="92"/>
        <v>·</v>
      </c>
      <c r="J301" s="18" t="str">
        <f t="shared" si="93"/>
        <v>·</v>
      </c>
      <c r="K301" s="18" t="str">
        <f t="shared" si="94"/>
        <v>·</v>
      </c>
      <c r="L301" s="19"/>
      <c r="M301" s="18" t="str">
        <f t="shared" si="112"/>
        <v>·</v>
      </c>
      <c r="N301" s="18" t="str">
        <f t="shared" si="96"/>
        <v>·</v>
      </c>
      <c r="O301" s="20"/>
      <c r="P301" s="21"/>
      <c r="Q301" s="21"/>
      <c r="R301" s="37"/>
      <c r="S301" s="21"/>
      <c r="T301" s="39"/>
      <c r="U301" s="39"/>
      <c r="V301" s="39"/>
      <c r="W301" s="38"/>
      <c r="X301" s="49"/>
      <c r="Y301" s="49"/>
      <c r="AA301" s="17" t="str">
        <f t="shared" si="97"/>
        <v>·</v>
      </c>
      <c r="AB301" s="18" t="str">
        <f t="shared" si="98"/>
        <v>·</v>
      </c>
      <c r="AC301" s="18" t="str">
        <f t="shared" si="99"/>
        <v>·</v>
      </c>
      <c r="AD301" s="19"/>
      <c r="AE301" s="18" t="str">
        <f t="shared" si="113"/>
        <v>·</v>
      </c>
      <c r="AF301" s="18" t="str">
        <f t="shared" si="101"/>
        <v>·</v>
      </c>
      <c r="AG301" s="20"/>
      <c r="AH301" s="21"/>
      <c r="AI301" s="21"/>
      <c r="AJ301" s="37"/>
      <c r="AK301" s="21"/>
      <c r="AL301" s="39"/>
      <c r="AM301" s="39"/>
      <c r="AN301" s="39"/>
      <c r="AO301" s="38"/>
      <c r="AP301" s="49"/>
      <c r="AQ301" s="49"/>
      <c r="AS301" s="53" t="e">
        <f t="shared" si="102"/>
        <v>#DIV/0!</v>
      </c>
      <c r="AT301" s="53"/>
      <c r="AV301" s="61"/>
      <c r="AW301" s="61"/>
      <c r="AX301" s="61"/>
      <c r="AY301" s="54"/>
      <c r="BA301" s="61"/>
      <c r="BB301" s="61"/>
      <c r="BC301" s="61"/>
      <c r="BD301" s="54"/>
      <c r="BF301">
        <f t="shared" si="103"/>
        <v>0</v>
      </c>
      <c r="BG301">
        <f t="shared" si="104"/>
        <v>0</v>
      </c>
      <c r="BH301">
        <f t="shared" si="105"/>
        <v>0</v>
      </c>
      <c r="BI301">
        <f t="shared" si="106"/>
        <v>0</v>
      </c>
      <c r="BJ301">
        <f t="shared" si="107"/>
        <v>0</v>
      </c>
      <c r="BK301">
        <f t="shared" si="108"/>
        <v>0</v>
      </c>
      <c r="BL301">
        <f t="shared" si="109"/>
        <v>0</v>
      </c>
      <c r="BM301">
        <f t="shared" si="110"/>
        <v>0</v>
      </c>
      <c r="BN301">
        <f t="shared" si="111"/>
        <v>0</v>
      </c>
    </row>
    <row r="302" spans="1:66" outlineLevel="1" x14ac:dyDescent="0.15">
      <c r="A302" s="8"/>
      <c r="B302" s="8" t="s">
        <v>177</v>
      </c>
      <c r="C302" s="9" t="s">
        <v>257</v>
      </c>
      <c r="D302" s="8">
        <v>123940658</v>
      </c>
      <c r="E302" s="10">
        <v>18</v>
      </c>
      <c r="F302" s="9">
        <v>1500</v>
      </c>
      <c r="G302" s="9">
        <v>10</v>
      </c>
      <c r="I302" s="22" t="str">
        <f t="shared" si="92"/>
        <v>·</v>
      </c>
      <c r="J302" s="23" t="str">
        <f t="shared" si="93"/>
        <v>·</v>
      </c>
      <c r="K302" s="23" t="str">
        <f t="shared" si="94"/>
        <v>·</v>
      </c>
      <c r="L302" s="24"/>
      <c r="M302" s="23" t="str">
        <f t="shared" si="112"/>
        <v>·</v>
      </c>
      <c r="N302" s="23" t="str">
        <f t="shared" si="96"/>
        <v>·</v>
      </c>
      <c r="O302" s="25"/>
      <c r="P302" s="26"/>
      <c r="Q302" s="26"/>
      <c r="R302" s="40"/>
      <c r="S302" s="26"/>
      <c r="T302" s="42"/>
      <c r="U302" s="42"/>
      <c r="V302" s="42"/>
      <c r="W302" s="41"/>
      <c r="X302" s="50"/>
      <c r="Y302" s="50"/>
      <c r="AA302" s="22" t="str">
        <f t="shared" si="97"/>
        <v>·</v>
      </c>
      <c r="AB302" s="23" t="str">
        <f t="shared" si="98"/>
        <v>·</v>
      </c>
      <c r="AC302" s="23" t="str">
        <f t="shared" si="99"/>
        <v>·</v>
      </c>
      <c r="AD302" s="24"/>
      <c r="AE302" s="23" t="str">
        <f t="shared" si="113"/>
        <v>·</v>
      </c>
      <c r="AF302" s="23" t="str">
        <f t="shared" si="101"/>
        <v>·</v>
      </c>
      <c r="AG302" s="25"/>
      <c r="AH302" s="26"/>
      <c r="AI302" s="26"/>
      <c r="AJ302" s="40"/>
      <c r="AK302" s="26"/>
      <c r="AL302" s="42"/>
      <c r="AM302" s="42"/>
      <c r="AN302" s="42"/>
      <c r="AO302" s="41"/>
      <c r="AP302" s="50"/>
      <c r="AQ302" s="50"/>
      <c r="AS302" s="55" t="e">
        <f t="shared" si="102"/>
        <v>#DIV/0!</v>
      </c>
      <c r="AT302" s="55"/>
      <c r="AV302" s="62"/>
      <c r="AW302" s="62"/>
      <c r="AX302" s="62"/>
      <c r="AY302" s="56"/>
      <c r="BA302" s="62"/>
      <c r="BB302" s="62"/>
      <c r="BC302" s="62"/>
      <c r="BD302" s="56"/>
      <c r="BF302">
        <f t="shared" si="103"/>
        <v>0</v>
      </c>
      <c r="BG302">
        <f t="shared" si="104"/>
        <v>0</v>
      </c>
      <c r="BH302">
        <f t="shared" si="105"/>
        <v>0</v>
      </c>
      <c r="BI302">
        <f t="shared" si="106"/>
        <v>0</v>
      </c>
      <c r="BJ302">
        <f t="shared" si="107"/>
        <v>0</v>
      </c>
      <c r="BK302">
        <f t="shared" si="108"/>
        <v>0</v>
      </c>
      <c r="BL302">
        <f t="shared" si="109"/>
        <v>0</v>
      </c>
      <c r="BM302">
        <f t="shared" si="110"/>
        <v>0</v>
      </c>
      <c r="BN302">
        <f t="shared" si="111"/>
        <v>0</v>
      </c>
    </row>
    <row r="303" spans="1:66" outlineLevel="1" x14ac:dyDescent="0.15">
      <c r="A303" s="5"/>
      <c r="B303" s="5" t="s">
        <v>177</v>
      </c>
      <c r="C303" s="6" t="s">
        <v>258</v>
      </c>
      <c r="D303" s="5">
        <v>123940658</v>
      </c>
      <c r="E303" s="7">
        <v>18</v>
      </c>
      <c r="F303" s="6">
        <v>1500</v>
      </c>
      <c r="G303" s="6">
        <v>10</v>
      </c>
      <c r="I303" s="17" t="str">
        <f t="shared" si="92"/>
        <v>·</v>
      </c>
      <c r="J303" s="18" t="str">
        <f t="shared" si="93"/>
        <v>·</v>
      </c>
      <c r="K303" s="18" t="str">
        <f t="shared" si="94"/>
        <v>·</v>
      </c>
      <c r="L303" s="19"/>
      <c r="M303" s="18" t="str">
        <f t="shared" si="112"/>
        <v>·</v>
      </c>
      <c r="N303" s="18" t="str">
        <f t="shared" si="96"/>
        <v>·</v>
      </c>
      <c r="O303" s="20"/>
      <c r="P303" s="21"/>
      <c r="Q303" s="21"/>
      <c r="R303" s="37"/>
      <c r="S303" s="21"/>
      <c r="T303" s="39"/>
      <c r="U303" s="39"/>
      <c r="V303" s="39"/>
      <c r="W303" s="38"/>
      <c r="X303" s="49"/>
      <c r="Y303" s="49"/>
      <c r="AA303" s="17" t="str">
        <f t="shared" si="97"/>
        <v>·</v>
      </c>
      <c r="AB303" s="18" t="str">
        <f t="shared" si="98"/>
        <v>·</v>
      </c>
      <c r="AC303" s="18" t="str">
        <f t="shared" si="99"/>
        <v>·</v>
      </c>
      <c r="AD303" s="19"/>
      <c r="AE303" s="18" t="str">
        <f t="shared" si="113"/>
        <v>·</v>
      </c>
      <c r="AF303" s="18" t="str">
        <f t="shared" si="101"/>
        <v>·</v>
      </c>
      <c r="AG303" s="20"/>
      <c r="AH303" s="21"/>
      <c r="AI303" s="21"/>
      <c r="AJ303" s="37"/>
      <c r="AK303" s="21"/>
      <c r="AL303" s="39"/>
      <c r="AM303" s="39"/>
      <c r="AN303" s="39"/>
      <c r="AO303" s="38"/>
      <c r="AP303" s="49"/>
      <c r="AQ303" s="49"/>
      <c r="AS303" s="53" t="e">
        <f t="shared" si="102"/>
        <v>#DIV/0!</v>
      </c>
      <c r="AT303" s="53"/>
      <c r="AV303" s="61"/>
      <c r="AW303" s="61"/>
      <c r="AX303" s="61"/>
      <c r="AY303" s="54"/>
      <c r="BA303" s="61"/>
      <c r="BB303" s="61"/>
      <c r="BC303" s="61"/>
      <c r="BD303" s="54"/>
      <c r="BF303">
        <f t="shared" si="103"/>
        <v>0</v>
      </c>
      <c r="BG303">
        <f t="shared" si="104"/>
        <v>0</v>
      </c>
      <c r="BH303">
        <f t="shared" si="105"/>
        <v>0</v>
      </c>
      <c r="BI303">
        <f t="shared" si="106"/>
        <v>0</v>
      </c>
      <c r="BJ303">
        <f t="shared" si="107"/>
        <v>0</v>
      </c>
      <c r="BK303">
        <f t="shared" si="108"/>
        <v>0</v>
      </c>
      <c r="BL303">
        <f t="shared" si="109"/>
        <v>0</v>
      </c>
      <c r="BM303">
        <f t="shared" si="110"/>
        <v>0</v>
      </c>
      <c r="BN303">
        <f t="shared" si="111"/>
        <v>0</v>
      </c>
    </row>
    <row r="304" spans="1:66" outlineLevel="1" x14ac:dyDescent="0.15">
      <c r="A304" s="8"/>
      <c r="B304" s="14" t="s">
        <v>177</v>
      </c>
      <c r="C304" s="15" t="s">
        <v>259</v>
      </c>
      <c r="D304" s="14">
        <v>123940658</v>
      </c>
      <c r="E304" s="16">
        <v>18</v>
      </c>
      <c r="F304" s="15">
        <v>1500</v>
      </c>
      <c r="G304" s="15">
        <v>10</v>
      </c>
      <c r="I304" s="32" t="str">
        <f t="shared" si="92"/>
        <v>·</v>
      </c>
      <c r="J304" s="33" t="str">
        <f t="shared" si="93"/>
        <v>·</v>
      </c>
      <c r="K304" s="33" t="str">
        <f t="shared" si="94"/>
        <v>·</v>
      </c>
      <c r="L304" s="34"/>
      <c r="M304" s="33" t="str">
        <f t="shared" si="112"/>
        <v>·</v>
      </c>
      <c r="N304" s="33" t="str">
        <f t="shared" si="96"/>
        <v>·</v>
      </c>
      <c r="O304" s="35"/>
      <c r="P304" s="36"/>
      <c r="Q304" s="36"/>
      <c r="R304" s="46"/>
      <c r="S304" s="36"/>
      <c r="T304" s="48"/>
      <c r="U304" s="48"/>
      <c r="V304" s="48"/>
      <c r="W304" s="47"/>
      <c r="X304" s="52"/>
      <c r="Y304" s="52"/>
      <c r="AA304" s="32" t="str">
        <f t="shared" si="97"/>
        <v>·</v>
      </c>
      <c r="AB304" s="33" t="str">
        <f t="shared" si="98"/>
        <v>·</v>
      </c>
      <c r="AC304" s="33" t="str">
        <f t="shared" si="99"/>
        <v>·</v>
      </c>
      <c r="AD304" s="34"/>
      <c r="AE304" s="33" t="str">
        <f t="shared" si="113"/>
        <v>·</v>
      </c>
      <c r="AF304" s="33" t="str">
        <f t="shared" si="101"/>
        <v>·</v>
      </c>
      <c r="AG304" s="35"/>
      <c r="AH304" s="36"/>
      <c r="AI304" s="36"/>
      <c r="AJ304" s="46"/>
      <c r="AK304" s="36"/>
      <c r="AL304" s="48"/>
      <c r="AM304" s="48"/>
      <c r="AN304" s="48"/>
      <c r="AO304" s="47"/>
      <c r="AP304" s="52"/>
      <c r="AQ304" s="52"/>
      <c r="AS304" s="59" t="e">
        <f t="shared" si="102"/>
        <v>#DIV/0!</v>
      </c>
      <c r="AT304" s="59"/>
      <c r="AV304" s="64"/>
      <c r="AW304" s="64"/>
      <c r="AX304" s="64"/>
      <c r="AY304" s="60"/>
      <c r="BA304" s="64"/>
      <c r="BB304" s="64"/>
      <c r="BC304" s="64"/>
      <c r="BD304" s="60"/>
      <c r="BF304">
        <f t="shared" si="103"/>
        <v>0</v>
      </c>
      <c r="BG304">
        <f t="shared" si="104"/>
        <v>0</v>
      </c>
      <c r="BH304">
        <f t="shared" si="105"/>
        <v>0</v>
      </c>
      <c r="BI304">
        <f t="shared" si="106"/>
        <v>0</v>
      </c>
      <c r="BJ304">
        <f t="shared" si="107"/>
        <v>0</v>
      </c>
      <c r="BK304">
        <f t="shared" si="108"/>
        <v>0</v>
      </c>
      <c r="BL304">
        <f t="shared" si="109"/>
        <v>0</v>
      </c>
      <c r="BM304">
        <f t="shared" si="110"/>
        <v>0</v>
      </c>
      <c r="BN304">
        <f t="shared" si="111"/>
        <v>0</v>
      </c>
    </row>
    <row r="305" spans="1:66" x14ac:dyDescent="0.15">
      <c r="A305" s="5"/>
      <c r="B305" s="5" t="s">
        <v>178</v>
      </c>
      <c r="C305" s="6" t="s">
        <v>254</v>
      </c>
      <c r="D305" s="5">
        <v>125751705</v>
      </c>
      <c r="E305" s="7">
        <v>18</v>
      </c>
      <c r="F305" s="6">
        <v>1500</v>
      </c>
      <c r="G305" s="6">
        <v>10</v>
      </c>
      <c r="I305" s="17" t="str">
        <f t="shared" si="92"/>
        <v>·</v>
      </c>
      <c r="J305" s="18" t="str">
        <f t="shared" si="93"/>
        <v>·</v>
      </c>
      <c r="K305" s="18" t="str">
        <f t="shared" si="94"/>
        <v>·</v>
      </c>
      <c r="L305" s="19"/>
      <c r="M305" s="18" t="str">
        <f t="shared" si="112"/>
        <v>·</v>
      </c>
      <c r="N305" s="18" t="str">
        <f t="shared" si="96"/>
        <v>·</v>
      </c>
      <c r="O305" s="20"/>
      <c r="P305" s="21"/>
      <c r="Q305" s="21"/>
      <c r="R305" s="37"/>
      <c r="S305" s="21"/>
      <c r="T305" s="39"/>
      <c r="U305" s="39"/>
      <c r="V305" s="39"/>
      <c r="W305" s="38"/>
      <c r="X305" s="49"/>
      <c r="Y305" s="49"/>
      <c r="AA305" s="17" t="str">
        <f t="shared" si="97"/>
        <v>·</v>
      </c>
      <c r="AB305" s="18" t="str">
        <f t="shared" si="98"/>
        <v>·</v>
      </c>
      <c r="AC305" s="18" t="str">
        <f t="shared" si="99"/>
        <v>·</v>
      </c>
      <c r="AD305" s="19"/>
      <c r="AE305" s="18" t="str">
        <f t="shared" si="113"/>
        <v>·</v>
      </c>
      <c r="AF305" s="18" t="str">
        <f t="shared" si="101"/>
        <v>·</v>
      </c>
      <c r="AG305" s="20"/>
      <c r="AH305" s="21"/>
      <c r="AI305" s="21"/>
      <c r="AJ305" s="37"/>
      <c r="AK305" s="21"/>
      <c r="AL305" s="39"/>
      <c r="AM305" s="39"/>
      <c r="AN305" s="39"/>
      <c r="AO305" s="38"/>
      <c r="AP305" s="49"/>
      <c r="AQ305" s="49"/>
      <c r="AS305" s="53" t="e">
        <f t="shared" si="102"/>
        <v>#DIV/0!</v>
      </c>
      <c r="AT305" s="53" t="e">
        <f t="array" ref="AT305">AVERAGE(AI305:AI310/AH305:AH310)-AVERAGE(Q305:Q310/P305:P310)</f>
        <v>#DIV/0!</v>
      </c>
      <c r="AV305" s="61"/>
      <c r="AW305" s="61"/>
      <c r="AX305" s="61"/>
      <c r="AY305" s="54" t="str">
        <f>IF(OR(ISBLANK(S305:S310),ISBLANK(AK305:AK310),ISBLANK(W305:W310),ISBLANK(AO305:AO310)),"·",bdRateExtend(S305:S310,W305:W310,AK305:AK310,AO305:AO310))</f>
        <v>·</v>
      </c>
      <c r="BA305" s="61"/>
      <c r="BB305" s="61"/>
      <c r="BC305" s="61"/>
      <c r="BD305" s="54" t="str">
        <f>IF(OR(ISBLANK(P305:P310),ISBLANK(AH305:AH310),ISBLANK(W305:W310),ISBLANK(AO305:AO310)),"·",bdRateExtend(P305:P310,W305:W310,AH305:AH310,AO305:AO310))</f>
        <v>·</v>
      </c>
      <c r="BF305">
        <f t="shared" si="103"/>
        <v>0</v>
      </c>
      <c r="BG305">
        <f t="shared" si="104"/>
        <v>0</v>
      </c>
      <c r="BH305">
        <f t="shared" si="105"/>
        <v>0</v>
      </c>
      <c r="BI305">
        <f t="shared" si="106"/>
        <v>0</v>
      </c>
      <c r="BJ305">
        <f t="shared" si="107"/>
        <v>0</v>
      </c>
      <c r="BK305">
        <f t="shared" si="108"/>
        <v>0</v>
      </c>
      <c r="BL305">
        <f t="shared" si="109"/>
        <v>0</v>
      </c>
      <c r="BM305">
        <f t="shared" si="110"/>
        <v>0</v>
      </c>
      <c r="BN305">
        <f t="shared" si="111"/>
        <v>0</v>
      </c>
    </row>
    <row r="306" spans="1:66" outlineLevel="1" x14ac:dyDescent="0.15">
      <c r="A306" s="8"/>
      <c r="B306" s="8" t="s">
        <v>178</v>
      </c>
      <c r="C306" s="9" t="s">
        <v>255</v>
      </c>
      <c r="D306" s="8">
        <v>125751705</v>
      </c>
      <c r="E306" s="10">
        <v>18</v>
      </c>
      <c r="F306" s="9">
        <v>1500</v>
      </c>
      <c r="G306" s="9">
        <v>10</v>
      </c>
      <c r="I306" s="22" t="str">
        <f t="shared" si="92"/>
        <v>·</v>
      </c>
      <c r="J306" s="23" t="str">
        <f t="shared" si="93"/>
        <v>·</v>
      </c>
      <c r="K306" s="23" t="str">
        <f t="shared" si="94"/>
        <v>·</v>
      </c>
      <c r="L306" s="24"/>
      <c r="M306" s="23" t="str">
        <f t="shared" si="112"/>
        <v>·</v>
      </c>
      <c r="N306" s="23" t="str">
        <f t="shared" si="96"/>
        <v>·</v>
      </c>
      <c r="O306" s="25"/>
      <c r="P306" s="26"/>
      <c r="Q306" s="26"/>
      <c r="R306" s="40"/>
      <c r="S306" s="26"/>
      <c r="T306" s="42"/>
      <c r="U306" s="42"/>
      <c r="V306" s="42"/>
      <c r="W306" s="41"/>
      <c r="X306" s="50"/>
      <c r="Y306" s="50"/>
      <c r="AA306" s="22" t="str">
        <f t="shared" si="97"/>
        <v>·</v>
      </c>
      <c r="AB306" s="23" t="str">
        <f t="shared" si="98"/>
        <v>·</v>
      </c>
      <c r="AC306" s="23" t="str">
        <f t="shared" si="99"/>
        <v>·</v>
      </c>
      <c r="AD306" s="24"/>
      <c r="AE306" s="23" t="str">
        <f t="shared" si="113"/>
        <v>·</v>
      </c>
      <c r="AF306" s="23" t="str">
        <f t="shared" si="101"/>
        <v>·</v>
      </c>
      <c r="AG306" s="25"/>
      <c r="AH306" s="26"/>
      <c r="AI306" s="26"/>
      <c r="AJ306" s="40"/>
      <c r="AK306" s="26"/>
      <c r="AL306" s="42"/>
      <c r="AM306" s="42"/>
      <c r="AN306" s="42"/>
      <c r="AO306" s="41"/>
      <c r="AP306" s="50"/>
      <c r="AQ306" s="50"/>
      <c r="AS306" s="55" t="e">
        <f t="shared" si="102"/>
        <v>#DIV/0!</v>
      </c>
      <c r="AT306" s="55"/>
      <c r="AV306" s="62"/>
      <c r="AW306" s="62"/>
      <c r="AX306" s="62"/>
      <c r="AY306" s="56"/>
      <c r="BA306" s="62"/>
      <c r="BB306" s="62"/>
      <c r="BC306" s="62"/>
      <c r="BD306" s="56"/>
      <c r="BF306">
        <f t="shared" si="103"/>
        <v>0</v>
      </c>
      <c r="BG306">
        <f t="shared" si="104"/>
        <v>0</v>
      </c>
      <c r="BH306">
        <f t="shared" si="105"/>
        <v>0</v>
      </c>
      <c r="BI306">
        <f t="shared" si="106"/>
        <v>0</v>
      </c>
      <c r="BJ306">
        <f t="shared" si="107"/>
        <v>0</v>
      </c>
      <c r="BK306">
        <f t="shared" si="108"/>
        <v>0</v>
      </c>
      <c r="BL306">
        <f t="shared" si="109"/>
        <v>0</v>
      </c>
      <c r="BM306">
        <f t="shared" si="110"/>
        <v>0</v>
      </c>
      <c r="BN306">
        <f t="shared" si="111"/>
        <v>0</v>
      </c>
    </row>
    <row r="307" spans="1:66" outlineLevel="1" x14ac:dyDescent="0.15">
      <c r="A307" s="5"/>
      <c r="B307" s="5" t="s">
        <v>178</v>
      </c>
      <c r="C307" s="6" t="s">
        <v>256</v>
      </c>
      <c r="D307" s="5">
        <v>125751705</v>
      </c>
      <c r="E307" s="7">
        <v>18</v>
      </c>
      <c r="F307" s="6">
        <v>1500</v>
      </c>
      <c r="G307" s="6">
        <v>10</v>
      </c>
      <c r="I307" s="17" t="str">
        <f t="shared" si="92"/>
        <v>·</v>
      </c>
      <c r="J307" s="18" t="str">
        <f t="shared" si="93"/>
        <v>·</v>
      </c>
      <c r="K307" s="18" t="str">
        <f t="shared" si="94"/>
        <v>·</v>
      </c>
      <c r="L307" s="19"/>
      <c r="M307" s="18" t="str">
        <f t="shared" si="112"/>
        <v>·</v>
      </c>
      <c r="N307" s="18" t="str">
        <f t="shared" si="96"/>
        <v>·</v>
      </c>
      <c r="O307" s="20"/>
      <c r="P307" s="21"/>
      <c r="Q307" s="21"/>
      <c r="R307" s="37"/>
      <c r="S307" s="21"/>
      <c r="T307" s="39"/>
      <c r="U307" s="39"/>
      <c r="V307" s="39"/>
      <c r="W307" s="38"/>
      <c r="X307" s="49"/>
      <c r="Y307" s="49"/>
      <c r="AA307" s="17" t="str">
        <f t="shared" si="97"/>
        <v>·</v>
      </c>
      <c r="AB307" s="18" t="str">
        <f t="shared" si="98"/>
        <v>·</v>
      </c>
      <c r="AC307" s="18" t="str">
        <f t="shared" si="99"/>
        <v>·</v>
      </c>
      <c r="AD307" s="19"/>
      <c r="AE307" s="18" t="str">
        <f t="shared" si="113"/>
        <v>·</v>
      </c>
      <c r="AF307" s="18" t="str">
        <f t="shared" si="101"/>
        <v>·</v>
      </c>
      <c r="AG307" s="20"/>
      <c r="AH307" s="21"/>
      <c r="AI307" s="21"/>
      <c r="AJ307" s="37"/>
      <c r="AK307" s="21"/>
      <c r="AL307" s="39"/>
      <c r="AM307" s="39"/>
      <c r="AN307" s="39"/>
      <c r="AO307" s="38"/>
      <c r="AP307" s="49"/>
      <c r="AQ307" s="49"/>
      <c r="AS307" s="53" t="e">
        <f t="shared" si="102"/>
        <v>#DIV/0!</v>
      </c>
      <c r="AT307" s="53"/>
      <c r="AV307" s="61"/>
      <c r="AW307" s="61"/>
      <c r="AX307" s="61"/>
      <c r="AY307" s="54"/>
      <c r="BA307" s="61"/>
      <c r="BB307" s="61"/>
      <c r="BC307" s="61"/>
      <c r="BD307" s="54"/>
      <c r="BF307">
        <f t="shared" si="103"/>
        <v>0</v>
      </c>
      <c r="BG307">
        <f t="shared" si="104"/>
        <v>0</v>
      </c>
      <c r="BH307">
        <f t="shared" si="105"/>
        <v>0</v>
      </c>
      <c r="BI307">
        <f t="shared" si="106"/>
        <v>0</v>
      </c>
      <c r="BJ307">
        <f t="shared" si="107"/>
        <v>0</v>
      </c>
      <c r="BK307">
        <f t="shared" si="108"/>
        <v>0</v>
      </c>
      <c r="BL307">
        <f t="shared" si="109"/>
        <v>0</v>
      </c>
      <c r="BM307">
        <f t="shared" si="110"/>
        <v>0</v>
      </c>
      <c r="BN307">
        <f t="shared" si="111"/>
        <v>0</v>
      </c>
    </row>
    <row r="308" spans="1:66" outlineLevel="1" x14ac:dyDescent="0.15">
      <c r="A308" s="8"/>
      <c r="B308" s="8" t="s">
        <v>178</v>
      </c>
      <c r="C308" s="9" t="s">
        <v>257</v>
      </c>
      <c r="D308" s="8">
        <v>125751705</v>
      </c>
      <c r="E308" s="10">
        <v>18</v>
      </c>
      <c r="F308" s="9">
        <v>1500</v>
      </c>
      <c r="G308" s="9">
        <v>10</v>
      </c>
      <c r="I308" s="22" t="str">
        <f t="shared" si="92"/>
        <v>·</v>
      </c>
      <c r="J308" s="23" t="str">
        <f t="shared" si="93"/>
        <v>·</v>
      </c>
      <c r="K308" s="23" t="str">
        <f t="shared" si="94"/>
        <v>·</v>
      </c>
      <c r="L308" s="24"/>
      <c r="M308" s="23" t="str">
        <f t="shared" si="112"/>
        <v>·</v>
      </c>
      <c r="N308" s="23" t="str">
        <f t="shared" si="96"/>
        <v>·</v>
      </c>
      <c r="O308" s="25"/>
      <c r="P308" s="26"/>
      <c r="Q308" s="26"/>
      <c r="R308" s="40"/>
      <c r="S308" s="26"/>
      <c r="T308" s="42"/>
      <c r="U308" s="42"/>
      <c r="V308" s="42"/>
      <c r="W308" s="41"/>
      <c r="X308" s="50"/>
      <c r="Y308" s="50"/>
      <c r="AA308" s="22" t="str">
        <f t="shared" si="97"/>
        <v>·</v>
      </c>
      <c r="AB308" s="23" t="str">
        <f t="shared" si="98"/>
        <v>·</v>
      </c>
      <c r="AC308" s="23" t="str">
        <f t="shared" si="99"/>
        <v>·</v>
      </c>
      <c r="AD308" s="24"/>
      <c r="AE308" s="23" t="str">
        <f t="shared" si="113"/>
        <v>·</v>
      </c>
      <c r="AF308" s="23" t="str">
        <f t="shared" si="101"/>
        <v>·</v>
      </c>
      <c r="AG308" s="25"/>
      <c r="AH308" s="26"/>
      <c r="AI308" s="26"/>
      <c r="AJ308" s="40"/>
      <c r="AK308" s="26"/>
      <c r="AL308" s="42"/>
      <c r="AM308" s="42"/>
      <c r="AN308" s="42"/>
      <c r="AO308" s="41"/>
      <c r="AP308" s="50"/>
      <c r="AQ308" s="50"/>
      <c r="AS308" s="55" t="e">
        <f t="shared" si="102"/>
        <v>#DIV/0!</v>
      </c>
      <c r="AT308" s="55"/>
      <c r="AV308" s="62"/>
      <c r="AW308" s="62"/>
      <c r="AX308" s="62"/>
      <c r="AY308" s="56"/>
      <c r="BA308" s="62"/>
      <c r="BB308" s="62"/>
      <c r="BC308" s="62"/>
      <c r="BD308" s="56"/>
      <c r="BF308">
        <f t="shared" si="103"/>
        <v>0</v>
      </c>
      <c r="BG308">
        <f t="shared" si="104"/>
        <v>0</v>
      </c>
      <c r="BH308">
        <f t="shared" si="105"/>
        <v>0</v>
      </c>
      <c r="BI308">
        <f t="shared" si="106"/>
        <v>0</v>
      </c>
      <c r="BJ308">
        <f t="shared" si="107"/>
        <v>0</v>
      </c>
      <c r="BK308">
        <f t="shared" si="108"/>
        <v>0</v>
      </c>
      <c r="BL308">
        <f t="shared" si="109"/>
        <v>0</v>
      </c>
      <c r="BM308">
        <f t="shared" si="110"/>
        <v>0</v>
      </c>
      <c r="BN308">
        <f t="shared" si="111"/>
        <v>0</v>
      </c>
    </row>
    <row r="309" spans="1:66" outlineLevel="1" x14ac:dyDescent="0.15">
      <c r="A309" s="5"/>
      <c r="B309" s="5" t="s">
        <v>178</v>
      </c>
      <c r="C309" s="6" t="s">
        <v>258</v>
      </c>
      <c r="D309" s="5">
        <v>125751705</v>
      </c>
      <c r="E309" s="7">
        <v>18</v>
      </c>
      <c r="F309" s="6">
        <v>1500</v>
      </c>
      <c r="G309" s="6">
        <v>10</v>
      </c>
      <c r="I309" s="17" t="str">
        <f t="shared" si="92"/>
        <v>·</v>
      </c>
      <c r="J309" s="18" t="str">
        <f t="shared" si="93"/>
        <v>·</v>
      </c>
      <c r="K309" s="18" t="str">
        <f t="shared" si="94"/>
        <v>·</v>
      </c>
      <c r="L309" s="19"/>
      <c r="M309" s="18" t="str">
        <f t="shared" si="112"/>
        <v>·</v>
      </c>
      <c r="N309" s="18" t="str">
        <f t="shared" si="96"/>
        <v>·</v>
      </c>
      <c r="O309" s="20"/>
      <c r="P309" s="21"/>
      <c r="Q309" s="21"/>
      <c r="R309" s="37"/>
      <c r="S309" s="21"/>
      <c r="T309" s="39"/>
      <c r="U309" s="39"/>
      <c r="V309" s="39"/>
      <c r="W309" s="38"/>
      <c r="X309" s="49"/>
      <c r="Y309" s="49"/>
      <c r="AA309" s="17" t="str">
        <f t="shared" si="97"/>
        <v>·</v>
      </c>
      <c r="AB309" s="18" t="str">
        <f t="shared" si="98"/>
        <v>·</v>
      </c>
      <c r="AC309" s="18" t="str">
        <f t="shared" si="99"/>
        <v>·</v>
      </c>
      <c r="AD309" s="19"/>
      <c r="AE309" s="18" t="str">
        <f t="shared" si="113"/>
        <v>·</v>
      </c>
      <c r="AF309" s="18" t="str">
        <f t="shared" si="101"/>
        <v>·</v>
      </c>
      <c r="AG309" s="20"/>
      <c r="AH309" s="21"/>
      <c r="AI309" s="21"/>
      <c r="AJ309" s="37"/>
      <c r="AK309" s="21"/>
      <c r="AL309" s="39"/>
      <c r="AM309" s="39"/>
      <c r="AN309" s="39"/>
      <c r="AO309" s="38"/>
      <c r="AP309" s="49"/>
      <c r="AQ309" s="49"/>
      <c r="AS309" s="53" t="e">
        <f t="shared" si="102"/>
        <v>#DIV/0!</v>
      </c>
      <c r="AT309" s="53"/>
      <c r="AV309" s="61"/>
      <c r="AW309" s="61"/>
      <c r="AX309" s="61"/>
      <c r="AY309" s="54"/>
      <c r="BA309" s="61"/>
      <c r="BB309" s="61"/>
      <c r="BC309" s="61"/>
      <c r="BD309" s="54"/>
      <c r="BF309">
        <f t="shared" si="103"/>
        <v>0</v>
      </c>
      <c r="BG309">
        <f t="shared" si="104"/>
        <v>0</v>
      </c>
      <c r="BH309">
        <f t="shared" si="105"/>
        <v>0</v>
      </c>
      <c r="BI309">
        <f t="shared" si="106"/>
        <v>0</v>
      </c>
      <c r="BJ309">
        <f t="shared" si="107"/>
        <v>0</v>
      </c>
      <c r="BK309">
        <f t="shared" si="108"/>
        <v>0</v>
      </c>
      <c r="BL309">
        <f t="shared" si="109"/>
        <v>0</v>
      </c>
      <c r="BM309">
        <f t="shared" si="110"/>
        <v>0</v>
      </c>
      <c r="BN309">
        <f t="shared" si="111"/>
        <v>0</v>
      </c>
    </row>
    <row r="310" spans="1:66" outlineLevel="1" x14ac:dyDescent="0.15">
      <c r="A310" s="8"/>
      <c r="B310" s="14" t="s">
        <v>178</v>
      </c>
      <c r="C310" s="15" t="s">
        <v>259</v>
      </c>
      <c r="D310" s="14">
        <v>125751705</v>
      </c>
      <c r="E310" s="16">
        <v>18</v>
      </c>
      <c r="F310" s="15">
        <v>1500</v>
      </c>
      <c r="G310" s="15">
        <v>10</v>
      </c>
      <c r="I310" s="32" t="str">
        <f t="shared" si="92"/>
        <v>·</v>
      </c>
      <c r="J310" s="33" t="str">
        <f t="shared" si="93"/>
        <v>·</v>
      </c>
      <c r="K310" s="33" t="str">
        <f t="shared" si="94"/>
        <v>·</v>
      </c>
      <c r="L310" s="34"/>
      <c r="M310" s="33" t="str">
        <f t="shared" si="112"/>
        <v>·</v>
      </c>
      <c r="N310" s="33" t="str">
        <f t="shared" si="96"/>
        <v>·</v>
      </c>
      <c r="O310" s="35"/>
      <c r="P310" s="36"/>
      <c r="Q310" s="36"/>
      <c r="R310" s="46"/>
      <c r="S310" s="36"/>
      <c r="T310" s="48"/>
      <c r="U310" s="48"/>
      <c r="V310" s="48"/>
      <c r="W310" s="47"/>
      <c r="X310" s="52"/>
      <c r="Y310" s="52"/>
      <c r="AA310" s="32" t="str">
        <f t="shared" si="97"/>
        <v>·</v>
      </c>
      <c r="AB310" s="33" t="str">
        <f t="shared" si="98"/>
        <v>·</v>
      </c>
      <c r="AC310" s="33" t="str">
        <f t="shared" si="99"/>
        <v>·</v>
      </c>
      <c r="AD310" s="34"/>
      <c r="AE310" s="33" t="str">
        <f t="shared" si="113"/>
        <v>·</v>
      </c>
      <c r="AF310" s="33" t="str">
        <f t="shared" si="101"/>
        <v>·</v>
      </c>
      <c r="AG310" s="35"/>
      <c r="AH310" s="36"/>
      <c r="AI310" s="36"/>
      <c r="AJ310" s="46"/>
      <c r="AK310" s="36"/>
      <c r="AL310" s="48"/>
      <c r="AM310" s="48"/>
      <c r="AN310" s="48"/>
      <c r="AO310" s="47"/>
      <c r="AP310" s="52"/>
      <c r="AQ310" s="52"/>
      <c r="AS310" s="59" t="e">
        <f t="shared" si="102"/>
        <v>#DIV/0!</v>
      </c>
      <c r="AT310" s="59"/>
      <c r="AV310" s="64"/>
      <c r="AW310" s="64"/>
      <c r="AX310" s="64"/>
      <c r="AY310" s="60"/>
      <c r="BA310" s="64"/>
      <c r="BB310" s="64"/>
      <c r="BC310" s="64"/>
      <c r="BD310" s="60"/>
      <c r="BF310">
        <f t="shared" si="103"/>
        <v>0</v>
      </c>
      <c r="BG310">
        <f t="shared" si="104"/>
        <v>0</v>
      </c>
      <c r="BH310">
        <f t="shared" si="105"/>
        <v>0</v>
      </c>
      <c r="BI310">
        <f t="shared" si="106"/>
        <v>0</v>
      </c>
      <c r="BJ310">
        <f t="shared" si="107"/>
        <v>0</v>
      </c>
      <c r="BK310">
        <f t="shared" si="108"/>
        <v>0</v>
      </c>
      <c r="BL310">
        <f t="shared" si="109"/>
        <v>0</v>
      </c>
      <c r="BM310">
        <f t="shared" si="110"/>
        <v>0</v>
      </c>
      <c r="BN310">
        <f t="shared" si="111"/>
        <v>0</v>
      </c>
    </row>
    <row r="311" spans="1:66" x14ac:dyDescent="0.15">
      <c r="A311" s="5"/>
      <c r="B311" s="5" t="s">
        <v>179</v>
      </c>
      <c r="C311" s="6" t="s">
        <v>254</v>
      </c>
      <c r="D311" s="5">
        <v>126093865</v>
      </c>
      <c r="E311" s="7">
        <v>18</v>
      </c>
      <c r="F311" s="6">
        <v>1500</v>
      </c>
      <c r="G311" s="6">
        <v>10</v>
      </c>
      <c r="I311" s="17" t="str">
        <f t="shared" si="92"/>
        <v>·</v>
      </c>
      <c r="J311" s="18" t="str">
        <f t="shared" si="93"/>
        <v>·</v>
      </c>
      <c r="K311" s="18" t="str">
        <f t="shared" si="94"/>
        <v>·</v>
      </c>
      <c r="L311" s="19"/>
      <c r="M311" s="18" t="str">
        <f t="shared" si="112"/>
        <v>·</v>
      </c>
      <c r="N311" s="18" t="str">
        <f t="shared" si="96"/>
        <v>·</v>
      </c>
      <c r="O311" s="20"/>
      <c r="P311" s="21"/>
      <c r="Q311" s="21"/>
      <c r="R311" s="37"/>
      <c r="S311" s="21"/>
      <c r="T311" s="39"/>
      <c r="U311" s="39"/>
      <c r="V311" s="39"/>
      <c r="W311" s="38"/>
      <c r="X311" s="49"/>
      <c r="Y311" s="49"/>
      <c r="AA311" s="17" t="str">
        <f t="shared" si="97"/>
        <v>·</v>
      </c>
      <c r="AB311" s="18" t="str">
        <f t="shared" si="98"/>
        <v>·</v>
      </c>
      <c r="AC311" s="18" t="str">
        <f t="shared" si="99"/>
        <v>·</v>
      </c>
      <c r="AD311" s="19"/>
      <c r="AE311" s="18" t="str">
        <f t="shared" si="113"/>
        <v>·</v>
      </c>
      <c r="AF311" s="18" t="str">
        <f t="shared" si="101"/>
        <v>·</v>
      </c>
      <c r="AG311" s="20"/>
      <c r="AH311" s="21"/>
      <c r="AI311" s="21"/>
      <c r="AJ311" s="37"/>
      <c r="AK311" s="21"/>
      <c r="AL311" s="39"/>
      <c r="AM311" s="39"/>
      <c r="AN311" s="39"/>
      <c r="AO311" s="38"/>
      <c r="AP311" s="49"/>
      <c r="AQ311" s="49"/>
      <c r="AS311" s="53" t="e">
        <f t="shared" si="102"/>
        <v>#DIV/0!</v>
      </c>
      <c r="AT311" s="53" t="e">
        <f t="array" ref="AT311">AVERAGE(AI311:AI316/AH311:AH316)-AVERAGE(Q311:Q316/P311:P316)</f>
        <v>#DIV/0!</v>
      </c>
      <c r="AV311" s="61"/>
      <c r="AW311" s="61"/>
      <c r="AX311" s="61"/>
      <c r="AY311" s="54" t="str">
        <f>IF(OR(ISBLANK(S311:S316),ISBLANK(AK311:AK316),ISBLANK(W311:W316),ISBLANK(AO311:AO316)),"·",bdRateExtend(S311:S316,W311:W316,AK311:AK316,AO311:AO316))</f>
        <v>·</v>
      </c>
      <c r="BA311" s="61"/>
      <c r="BB311" s="61"/>
      <c r="BC311" s="61"/>
      <c r="BD311" s="54" t="str">
        <f>IF(OR(ISBLANK(P311:P316),ISBLANK(AH311:AH316),ISBLANK(W311:W316),ISBLANK(AO311:AO316)),"·",bdRateExtend(P311:P316,W311:W316,AH311:AH316,AO311:AO316))</f>
        <v>·</v>
      </c>
      <c r="BF311">
        <f t="shared" si="103"/>
        <v>0</v>
      </c>
      <c r="BG311">
        <f t="shared" si="104"/>
        <v>0</v>
      </c>
      <c r="BH311">
        <f t="shared" si="105"/>
        <v>0</v>
      </c>
      <c r="BI311">
        <f t="shared" si="106"/>
        <v>0</v>
      </c>
      <c r="BJ311">
        <f t="shared" si="107"/>
        <v>0</v>
      </c>
      <c r="BK311">
        <f t="shared" si="108"/>
        <v>0</v>
      </c>
      <c r="BL311">
        <f t="shared" si="109"/>
        <v>0</v>
      </c>
      <c r="BM311">
        <f t="shared" si="110"/>
        <v>0</v>
      </c>
      <c r="BN311">
        <f t="shared" si="111"/>
        <v>0</v>
      </c>
    </row>
    <row r="312" spans="1:66" outlineLevel="1" x14ac:dyDescent="0.15">
      <c r="A312" s="8"/>
      <c r="B312" s="8" t="s">
        <v>179</v>
      </c>
      <c r="C312" s="9" t="s">
        <v>255</v>
      </c>
      <c r="D312" s="8">
        <v>126093865</v>
      </c>
      <c r="E312" s="10">
        <v>18</v>
      </c>
      <c r="F312" s="9">
        <v>1500</v>
      </c>
      <c r="G312" s="9">
        <v>10</v>
      </c>
      <c r="I312" s="22" t="str">
        <f t="shared" si="92"/>
        <v>·</v>
      </c>
      <c r="J312" s="23" t="str">
        <f t="shared" si="93"/>
        <v>·</v>
      </c>
      <c r="K312" s="23" t="str">
        <f t="shared" si="94"/>
        <v>·</v>
      </c>
      <c r="L312" s="24"/>
      <c r="M312" s="23" t="str">
        <f t="shared" si="112"/>
        <v>·</v>
      </c>
      <c r="N312" s="23" t="str">
        <f t="shared" si="96"/>
        <v>·</v>
      </c>
      <c r="O312" s="25"/>
      <c r="P312" s="26"/>
      <c r="Q312" s="26"/>
      <c r="R312" s="40"/>
      <c r="S312" s="26"/>
      <c r="T312" s="42"/>
      <c r="U312" s="42"/>
      <c r="V312" s="42"/>
      <c r="W312" s="41"/>
      <c r="X312" s="50"/>
      <c r="Y312" s="50"/>
      <c r="AA312" s="22" t="str">
        <f t="shared" si="97"/>
        <v>·</v>
      </c>
      <c r="AB312" s="23" t="str">
        <f t="shared" si="98"/>
        <v>·</v>
      </c>
      <c r="AC312" s="23" t="str">
        <f t="shared" si="99"/>
        <v>·</v>
      </c>
      <c r="AD312" s="24"/>
      <c r="AE312" s="23" t="str">
        <f t="shared" si="113"/>
        <v>·</v>
      </c>
      <c r="AF312" s="23" t="str">
        <f t="shared" si="101"/>
        <v>·</v>
      </c>
      <c r="AG312" s="25"/>
      <c r="AH312" s="26"/>
      <c r="AI312" s="26"/>
      <c r="AJ312" s="40"/>
      <c r="AK312" s="26"/>
      <c r="AL312" s="42"/>
      <c r="AM312" s="42"/>
      <c r="AN312" s="42"/>
      <c r="AO312" s="41"/>
      <c r="AP312" s="50"/>
      <c r="AQ312" s="50"/>
      <c r="AS312" s="55" t="e">
        <f t="shared" si="102"/>
        <v>#DIV/0!</v>
      </c>
      <c r="AT312" s="55"/>
      <c r="AV312" s="62"/>
      <c r="AW312" s="62"/>
      <c r="AX312" s="62"/>
      <c r="AY312" s="56"/>
      <c r="BA312" s="62"/>
      <c r="BB312" s="62"/>
      <c r="BC312" s="62"/>
      <c r="BD312" s="56"/>
      <c r="BF312">
        <f t="shared" si="103"/>
        <v>0</v>
      </c>
      <c r="BG312">
        <f t="shared" si="104"/>
        <v>0</v>
      </c>
      <c r="BH312">
        <f t="shared" si="105"/>
        <v>0</v>
      </c>
      <c r="BI312">
        <f t="shared" si="106"/>
        <v>0</v>
      </c>
      <c r="BJ312">
        <f t="shared" si="107"/>
        <v>0</v>
      </c>
      <c r="BK312">
        <f t="shared" si="108"/>
        <v>0</v>
      </c>
      <c r="BL312">
        <f t="shared" si="109"/>
        <v>0</v>
      </c>
      <c r="BM312">
        <f t="shared" si="110"/>
        <v>0</v>
      </c>
      <c r="BN312">
        <f t="shared" si="111"/>
        <v>0</v>
      </c>
    </row>
    <row r="313" spans="1:66" outlineLevel="1" x14ac:dyDescent="0.15">
      <c r="A313" s="5"/>
      <c r="B313" s="5" t="s">
        <v>179</v>
      </c>
      <c r="C313" s="6" t="s">
        <v>256</v>
      </c>
      <c r="D313" s="5">
        <v>126093865</v>
      </c>
      <c r="E313" s="7">
        <v>18</v>
      </c>
      <c r="F313" s="6">
        <v>1500</v>
      </c>
      <c r="G313" s="6">
        <v>10</v>
      </c>
      <c r="I313" s="17" t="str">
        <f t="shared" si="92"/>
        <v>·</v>
      </c>
      <c r="J313" s="18" t="str">
        <f t="shared" si="93"/>
        <v>·</v>
      </c>
      <c r="K313" s="18" t="str">
        <f t="shared" si="94"/>
        <v>·</v>
      </c>
      <c r="L313" s="19"/>
      <c r="M313" s="18" t="str">
        <f t="shared" ref="M313:M340" si="114">IF(ISBLANK(Q313),"·",S313/D313)</f>
        <v>·</v>
      </c>
      <c r="N313" s="18" t="str">
        <f t="shared" si="96"/>
        <v>·</v>
      </c>
      <c r="O313" s="20"/>
      <c r="P313" s="21"/>
      <c r="Q313" s="21"/>
      <c r="R313" s="37"/>
      <c r="S313" s="21"/>
      <c r="T313" s="39"/>
      <c r="U313" s="39"/>
      <c r="V313" s="39"/>
      <c r="W313" s="38"/>
      <c r="X313" s="49"/>
      <c r="Y313" s="49"/>
      <c r="AA313" s="17" t="str">
        <f t="shared" si="97"/>
        <v>·</v>
      </c>
      <c r="AB313" s="18" t="str">
        <f t="shared" si="98"/>
        <v>·</v>
      </c>
      <c r="AC313" s="18" t="str">
        <f t="shared" si="99"/>
        <v>·</v>
      </c>
      <c r="AD313" s="19"/>
      <c r="AE313" s="18" t="str">
        <f t="shared" ref="AE313:AE340" si="115">IF(ISBLANK(AI313),"·",AK313/D313)</f>
        <v>·</v>
      </c>
      <c r="AF313" s="18" t="str">
        <f t="shared" si="101"/>
        <v>·</v>
      </c>
      <c r="AG313" s="20"/>
      <c r="AH313" s="21"/>
      <c r="AI313" s="21"/>
      <c r="AJ313" s="37"/>
      <c r="AK313" s="21"/>
      <c r="AL313" s="39"/>
      <c r="AM313" s="39"/>
      <c r="AN313" s="39"/>
      <c r="AO313" s="38"/>
      <c r="AP313" s="49"/>
      <c r="AQ313" s="49"/>
      <c r="AS313" s="53" t="e">
        <f t="shared" si="102"/>
        <v>#DIV/0!</v>
      </c>
      <c r="AT313" s="53"/>
      <c r="AV313" s="61"/>
      <c r="AW313" s="61"/>
      <c r="AX313" s="61"/>
      <c r="AY313" s="54"/>
      <c r="BA313" s="61"/>
      <c r="BB313" s="61"/>
      <c r="BC313" s="61"/>
      <c r="BD313" s="54"/>
      <c r="BF313">
        <f t="shared" si="103"/>
        <v>0</v>
      </c>
      <c r="BG313">
        <f t="shared" si="104"/>
        <v>0</v>
      </c>
      <c r="BH313">
        <f t="shared" si="105"/>
        <v>0</v>
      </c>
      <c r="BI313">
        <f t="shared" si="106"/>
        <v>0</v>
      </c>
      <c r="BJ313">
        <f t="shared" si="107"/>
        <v>0</v>
      </c>
      <c r="BK313">
        <f t="shared" si="108"/>
        <v>0</v>
      </c>
      <c r="BL313">
        <f t="shared" si="109"/>
        <v>0</v>
      </c>
      <c r="BM313">
        <f t="shared" si="110"/>
        <v>0</v>
      </c>
      <c r="BN313">
        <f t="shared" si="111"/>
        <v>0</v>
      </c>
    </row>
    <row r="314" spans="1:66" outlineLevel="1" x14ac:dyDescent="0.15">
      <c r="A314" s="8"/>
      <c r="B314" s="8" t="s">
        <v>179</v>
      </c>
      <c r="C314" s="9" t="s">
        <v>257</v>
      </c>
      <c r="D314" s="8">
        <v>126093865</v>
      </c>
      <c r="E314" s="10">
        <v>18</v>
      </c>
      <c r="F314" s="9">
        <v>1500</v>
      </c>
      <c r="G314" s="9">
        <v>10</v>
      </c>
      <c r="I314" s="22" t="str">
        <f t="shared" si="92"/>
        <v>·</v>
      </c>
      <c r="J314" s="23" t="str">
        <f t="shared" si="93"/>
        <v>·</v>
      </c>
      <c r="K314" s="23" t="str">
        <f t="shared" si="94"/>
        <v>·</v>
      </c>
      <c r="L314" s="24"/>
      <c r="M314" s="23" t="str">
        <f t="shared" si="114"/>
        <v>·</v>
      </c>
      <c r="N314" s="23" t="str">
        <f t="shared" si="96"/>
        <v>·</v>
      </c>
      <c r="O314" s="25"/>
      <c r="P314" s="26"/>
      <c r="Q314" s="26"/>
      <c r="R314" s="40"/>
      <c r="S314" s="26"/>
      <c r="T314" s="42"/>
      <c r="U314" s="42"/>
      <c r="V314" s="42"/>
      <c r="W314" s="41"/>
      <c r="X314" s="50"/>
      <c r="Y314" s="50"/>
      <c r="AA314" s="22" t="str">
        <f t="shared" si="97"/>
        <v>·</v>
      </c>
      <c r="AB314" s="23" t="str">
        <f t="shared" si="98"/>
        <v>·</v>
      </c>
      <c r="AC314" s="23" t="str">
        <f t="shared" si="99"/>
        <v>·</v>
      </c>
      <c r="AD314" s="24"/>
      <c r="AE314" s="23" t="str">
        <f t="shared" si="115"/>
        <v>·</v>
      </c>
      <c r="AF314" s="23" t="str">
        <f t="shared" si="101"/>
        <v>·</v>
      </c>
      <c r="AG314" s="25"/>
      <c r="AH314" s="26"/>
      <c r="AI314" s="26"/>
      <c r="AJ314" s="40"/>
      <c r="AK314" s="26"/>
      <c r="AL314" s="42"/>
      <c r="AM314" s="42"/>
      <c r="AN314" s="42"/>
      <c r="AO314" s="41"/>
      <c r="AP314" s="50"/>
      <c r="AQ314" s="50"/>
      <c r="AS314" s="55" t="e">
        <f t="shared" si="102"/>
        <v>#DIV/0!</v>
      </c>
      <c r="AT314" s="55"/>
      <c r="AV314" s="62"/>
      <c r="AW314" s="62"/>
      <c r="AX314" s="62"/>
      <c r="AY314" s="56"/>
      <c r="BA314" s="62"/>
      <c r="BB314" s="62"/>
      <c r="BC314" s="62"/>
      <c r="BD314" s="56"/>
      <c r="BF314">
        <f t="shared" si="103"/>
        <v>0</v>
      </c>
      <c r="BG314">
        <f t="shared" si="104"/>
        <v>0</v>
      </c>
      <c r="BH314">
        <f t="shared" si="105"/>
        <v>0</v>
      </c>
      <c r="BI314">
        <f t="shared" si="106"/>
        <v>0</v>
      </c>
      <c r="BJ314">
        <f t="shared" si="107"/>
        <v>0</v>
      </c>
      <c r="BK314">
        <f t="shared" si="108"/>
        <v>0</v>
      </c>
      <c r="BL314">
        <f t="shared" si="109"/>
        <v>0</v>
      </c>
      <c r="BM314">
        <f t="shared" si="110"/>
        <v>0</v>
      </c>
      <c r="BN314">
        <f t="shared" si="111"/>
        <v>0</v>
      </c>
    </row>
    <row r="315" spans="1:66" outlineLevel="1" x14ac:dyDescent="0.15">
      <c r="A315" s="5"/>
      <c r="B315" s="5" t="s">
        <v>179</v>
      </c>
      <c r="C315" s="6" t="s">
        <v>258</v>
      </c>
      <c r="D315" s="5">
        <v>126093865</v>
      </c>
      <c r="E315" s="7">
        <v>18</v>
      </c>
      <c r="F315" s="6">
        <v>1500</v>
      </c>
      <c r="G315" s="6">
        <v>10</v>
      </c>
      <c r="I315" s="17" t="str">
        <f t="shared" si="92"/>
        <v>·</v>
      </c>
      <c r="J315" s="18" t="str">
        <f t="shared" si="93"/>
        <v>·</v>
      </c>
      <c r="K315" s="18" t="str">
        <f t="shared" si="94"/>
        <v>·</v>
      </c>
      <c r="L315" s="19"/>
      <c r="M315" s="18" t="str">
        <f t="shared" si="114"/>
        <v>·</v>
      </c>
      <c r="N315" s="18" t="str">
        <f t="shared" si="96"/>
        <v>·</v>
      </c>
      <c r="O315" s="20"/>
      <c r="P315" s="21"/>
      <c r="Q315" s="21"/>
      <c r="R315" s="37"/>
      <c r="S315" s="21"/>
      <c r="T315" s="39"/>
      <c r="U315" s="39"/>
      <c r="V315" s="39"/>
      <c r="W315" s="38"/>
      <c r="X315" s="49"/>
      <c r="Y315" s="49"/>
      <c r="AA315" s="17" t="str">
        <f t="shared" si="97"/>
        <v>·</v>
      </c>
      <c r="AB315" s="18" t="str">
        <f t="shared" si="98"/>
        <v>·</v>
      </c>
      <c r="AC315" s="18" t="str">
        <f t="shared" si="99"/>
        <v>·</v>
      </c>
      <c r="AD315" s="19"/>
      <c r="AE315" s="18" t="str">
        <f t="shared" si="115"/>
        <v>·</v>
      </c>
      <c r="AF315" s="18" t="str">
        <f t="shared" si="101"/>
        <v>·</v>
      </c>
      <c r="AG315" s="20"/>
      <c r="AH315" s="21"/>
      <c r="AI315" s="21"/>
      <c r="AJ315" s="37"/>
      <c r="AK315" s="21"/>
      <c r="AL315" s="39"/>
      <c r="AM315" s="39"/>
      <c r="AN315" s="39"/>
      <c r="AO315" s="38"/>
      <c r="AP315" s="49"/>
      <c r="AQ315" s="49"/>
      <c r="AS315" s="53" t="e">
        <f t="shared" si="102"/>
        <v>#DIV/0!</v>
      </c>
      <c r="AT315" s="53"/>
      <c r="AV315" s="61"/>
      <c r="AW315" s="61"/>
      <c r="AX315" s="61"/>
      <c r="AY315" s="54"/>
      <c r="BA315" s="61"/>
      <c r="BB315" s="61"/>
      <c r="BC315" s="61"/>
      <c r="BD315" s="54"/>
      <c r="BF315">
        <f t="shared" si="103"/>
        <v>0</v>
      </c>
      <c r="BG315">
        <f t="shared" si="104"/>
        <v>0</v>
      </c>
      <c r="BH315">
        <f t="shared" si="105"/>
        <v>0</v>
      </c>
      <c r="BI315">
        <f t="shared" si="106"/>
        <v>0</v>
      </c>
      <c r="BJ315">
        <f t="shared" si="107"/>
        <v>0</v>
      </c>
      <c r="BK315">
        <f t="shared" si="108"/>
        <v>0</v>
      </c>
      <c r="BL315">
        <f t="shared" si="109"/>
        <v>0</v>
      </c>
      <c r="BM315">
        <f t="shared" si="110"/>
        <v>0</v>
      </c>
      <c r="BN315">
        <f t="shared" si="111"/>
        <v>0</v>
      </c>
    </row>
    <row r="316" spans="1:66" outlineLevel="1" x14ac:dyDescent="0.15">
      <c r="A316" s="8"/>
      <c r="B316" s="14" t="s">
        <v>179</v>
      </c>
      <c r="C316" s="15" t="s">
        <v>259</v>
      </c>
      <c r="D316" s="14">
        <v>126093865</v>
      </c>
      <c r="E316" s="16">
        <v>18</v>
      </c>
      <c r="F316" s="15">
        <v>1500</v>
      </c>
      <c r="G316" s="15">
        <v>10</v>
      </c>
      <c r="I316" s="32" t="str">
        <f t="shared" si="92"/>
        <v>·</v>
      </c>
      <c r="J316" s="33" t="str">
        <f t="shared" si="93"/>
        <v>·</v>
      </c>
      <c r="K316" s="33" t="str">
        <f t="shared" si="94"/>
        <v>·</v>
      </c>
      <c r="L316" s="34"/>
      <c r="M316" s="33" t="str">
        <f t="shared" si="114"/>
        <v>·</v>
      </c>
      <c r="N316" s="33" t="str">
        <f t="shared" si="96"/>
        <v>·</v>
      </c>
      <c r="O316" s="35"/>
      <c r="P316" s="36"/>
      <c r="Q316" s="36"/>
      <c r="R316" s="46"/>
      <c r="S316" s="36"/>
      <c r="T316" s="48"/>
      <c r="U316" s="48"/>
      <c r="V316" s="48"/>
      <c r="W316" s="47"/>
      <c r="X316" s="52"/>
      <c r="Y316" s="52"/>
      <c r="AA316" s="32" t="str">
        <f t="shared" si="97"/>
        <v>·</v>
      </c>
      <c r="AB316" s="33" t="str">
        <f t="shared" si="98"/>
        <v>·</v>
      </c>
      <c r="AC316" s="33" t="str">
        <f t="shared" si="99"/>
        <v>·</v>
      </c>
      <c r="AD316" s="34"/>
      <c r="AE316" s="33" t="str">
        <f t="shared" si="115"/>
        <v>·</v>
      </c>
      <c r="AF316" s="33" t="str">
        <f t="shared" si="101"/>
        <v>·</v>
      </c>
      <c r="AG316" s="35"/>
      <c r="AH316" s="36"/>
      <c r="AI316" s="36"/>
      <c r="AJ316" s="46"/>
      <c r="AK316" s="36"/>
      <c r="AL316" s="48"/>
      <c r="AM316" s="48"/>
      <c r="AN316" s="48"/>
      <c r="AO316" s="47"/>
      <c r="AP316" s="52"/>
      <c r="AQ316" s="52"/>
      <c r="AS316" s="59" t="e">
        <f t="shared" si="102"/>
        <v>#DIV/0!</v>
      </c>
      <c r="AT316" s="59"/>
      <c r="AV316" s="64"/>
      <c r="AW316" s="64"/>
      <c r="AX316" s="64"/>
      <c r="AY316" s="60"/>
      <c r="BA316" s="64"/>
      <c r="BB316" s="64"/>
      <c r="BC316" s="64"/>
      <c r="BD316" s="60"/>
      <c r="BF316">
        <f t="shared" si="103"/>
        <v>0</v>
      </c>
      <c r="BG316">
        <f t="shared" si="104"/>
        <v>0</v>
      </c>
      <c r="BH316">
        <f t="shared" si="105"/>
        <v>0</v>
      </c>
      <c r="BI316">
        <f t="shared" si="106"/>
        <v>0</v>
      </c>
      <c r="BJ316">
        <f t="shared" si="107"/>
        <v>0</v>
      </c>
      <c r="BK316">
        <f t="shared" si="108"/>
        <v>0</v>
      </c>
      <c r="BL316">
        <f t="shared" si="109"/>
        <v>0</v>
      </c>
      <c r="BM316">
        <f t="shared" si="110"/>
        <v>0</v>
      </c>
      <c r="BN316">
        <f t="shared" si="111"/>
        <v>0</v>
      </c>
    </row>
    <row r="317" spans="1:66" x14ac:dyDescent="0.15">
      <c r="A317" s="5"/>
      <c r="B317" s="5" t="s">
        <v>180</v>
      </c>
      <c r="C317" s="6" t="s">
        <v>254</v>
      </c>
      <c r="D317" s="5">
        <v>2233793</v>
      </c>
      <c r="E317" s="7">
        <v>18</v>
      </c>
      <c r="F317" s="6">
        <v>74</v>
      </c>
      <c r="G317" s="6">
        <v>5</v>
      </c>
      <c r="I317" s="17" t="str">
        <f t="shared" si="92"/>
        <v>·</v>
      </c>
      <c r="J317" s="18" t="str">
        <f t="shared" si="93"/>
        <v>·</v>
      </c>
      <c r="K317" s="18" t="str">
        <f t="shared" si="94"/>
        <v>·</v>
      </c>
      <c r="L317" s="19"/>
      <c r="M317" s="18" t="str">
        <f t="shared" si="114"/>
        <v>·</v>
      </c>
      <c r="N317" s="18" t="str">
        <f t="shared" si="96"/>
        <v>·</v>
      </c>
      <c r="O317" s="20"/>
      <c r="P317" s="21"/>
      <c r="Q317" s="21"/>
      <c r="R317" s="37"/>
      <c r="S317" s="21"/>
      <c r="T317" s="39"/>
      <c r="U317" s="39"/>
      <c r="V317" s="39"/>
      <c r="W317" s="38"/>
      <c r="X317" s="49"/>
      <c r="Y317" s="49"/>
      <c r="AA317" s="17" t="str">
        <f t="shared" si="97"/>
        <v>·</v>
      </c>
      <c r="AB317" s="18" t="str">
        <f t="shared" si="98"/>
        <v>·</v>
      </c>
      <c r="AC317" s="18" t="str">
        <f t="shared" si="99"/>
        <v>·</v>
      </c>
      <c r="AD317" s="19"/>
      <c r="AE317" s="18" t="str">
        <f t="shared" si="115"/>
        <v>·</v>
      </c>
      <c r="AF317" s="18" t="str">
        <f t="shared" si="101"/>
        <v>·</v>
      </c>
      <c r="AG317" s="20"/>
      <c r="AH317" s="21"/>
      <c r="AI317" s="21"/>
      <c r="AJ317" s="37"/>
      <c r="AK317" s="21"/>
      <c r="AL317" s="39"/>
      <c r="AM317" s="39"/>
      <c r="AN317" s="39"/>
      <c r="AO317" s="38"/>
      <c r="AP317" s="49"/>
      <c r="AQ317" s="49"/>
      <c r="AS317" s="53" t="e">
        <f t="shared" si="102"/>
        <v>#DIV/0!</v>
      </c>
      <c r="AT317" s="53" t="e">
        <f t="array" ref="AT317">AVERAGE(AI317:AI322/AH317:AH322)-AVERAGE(Q317:Q322/P317:P322)</f>
        <v>#DIV/0!</v>
      </c>
      <c r="AV317" s="61"/>
      <c r="AW317" s="61"/>
      <c r="AX317" s="61"/>
      <c r="AY317" s="54" t="str">
        <f>IF(OR(ISBLANK(S317:S322),ISBLANK(AK317:AK322),ISBLANK(W317:W322),ISBLANK(AO317:AO322)),"·",bdRateExtend(S317:S322,W317:W322,AK317:AK322,AO317:AO322))</f>
        <v>·</v>
      </c>
      <c r="BA317" s="61"/>
      <c r="BB317" s="61"/>
      <c r="BC317" s="61"/>
      <c r="BD317" s="54" t="str">
        <f>IF(OR(ISBLANK(P317:P322),ISBLANK(AH317:AH322),ISBLANK(W317:W322),ISBLANK(AO317:AO322)),"·",bdRateExtend(P317:P322,W317:W322,AH317:AH322,AO317:AO322))</f>
        <v>·</v>
      </c>
      <c r="BF317">
        <f t="shared" si="103"/>
        <v>0</v>
      </c>
      <c r="BG317">
        <f t="shared" si="104"/>
        <v>0</v>
      </c>
      <c r="BH317">
        <f t="shared" si="105"/>
        <v>0</v>
      </c>
      <c r="BI317">
        <f t="shared" si="106"/>
        <v>0</v>
      </c>
      <c r="BJ317">
        <f t="shared" si="107"/>
        <v>0</v>
      </c>
      <c r="BK317">
        <f t="shared" si="108"/>
        <v>0</v>
      </c>
      <c r="BL317">
        <f t="shared" si="109"/>
        <v>0</v>
      </c>
      <c r="BM317">
        <f t="shared" si="110"/>
        <v>0</v>
      </c>
      <c r="BN317">
        <f t="shared" si="111"/>
        <v>0</v>
      </c>
    </row>
    <row r="318" spans="1:66" outlineLevel="1" x14ac:dyDescent="0.15">
      <c r="A318" s="8"/>
      <c r="B318" s="8" t="s">
        <v>180</v>
      </c>
      <c r="C318" s="9" t="s">
        <v>255</v>
      </c>
      <c r="D318" s="8">
        <v>2233793</v>
      </c>
      <c r="E318" s="10">
        <v>18</v>
      </c>
      <c r="F318" s="9">
        <v>74</v>
      </c>
      <c r="G318" s="9">
        <v>5</v>
      </c>
      <c r="I318" s="22" t="str">
        <f t="shared" si="92"/>
        <v>·</v>
      </c>
      <c r="J318" s="23" t="str">
        <f t="shared" si="93"/>
        <v>·</v>
      </c>
      <c r="K318" s="23" t="str">
        <f t="shared" si="94"/>
        <v>·</v>
      </c>
      <c r="L318" s="24"/>
      <c r="M318" s="23" t="str">
        <f t="shared" si="114"/>
        <v>·</v>
      </c>
      <c r="N318" s="23" t="str">
        <f t="shared" si="96"/>
        <v>·</v>
      </c>
      <c r="O318" s="25"/>
      <c r="P318" s="26"/>
      <c r="Q318" s="26"/>
      <c r="R318" s="40"/>
      <c r="S318" s="26"/>
      <c r="T318" s="42"/>
      <c r="U318" s="42"/>
      <c r="V318" s="42"/>
      <c r="W318" s="41"/>
      <c r="X318" s="50"/>
      <c r="Y318" s="50"/>
      <c r="AA318" s="22" t="str">
        <f t="shared" si="97"/>
        <v>·</v>
      </c>
      <c r="AB318" s="23" t="str">
        <f t="shared" si="98"/>
        <v>·</v>
      </c>
      <c r="AC318" s="23" t="str">
        <f t="shared" si="99"/>
        <v>·</v>
      </c>
      <c r="AD318" s="24"/>
      <c r="AE318" s="23" t="str">
        <f t="shared" si="115"/>
        <v>·</v>
      </c>
      <c r="AF318" s="23" t="str">
        <f t="shared" si="101"/>
        <v>·</v>
      </c>
      <c r="AG318" s="25"/>
      <c r="AH318" s="26"/>
      <c r="AI318" s="26"/>
      <c r="AJ318" s="40"/>
      <c r="AK318" s="26"/>
      <c r="AL318" s="42"/>
      <c r="AM318" s="42"/>
      <c r="AN318" s="42"/>
      <c r="AO318" s="41"/>
      <c r="AP318" s="50"/>
      <c r="AQ318" s="50"/>
      <c r="AS318" s="55" t="e">
        <f t="shared" si="102"/>
        <v>#DIV/0!</v>
      </c>
      <c r="AT318" s="55"/>
      <c r="AV318" s="62"/>
      <c r="AW318" s="62"/>
      <c r="AX318" s="62"/>
      <c r="AY318" s="56"/>
      <c r="BA318" s="62"/>
      <c r="BB318" s="62"/>
      <c r="BC318" s="62"/>
      <c r="BD318" s="56"/>
      <c r="BF318">
        <f t="shared" si="103"/>
        <v>0</v>
      </c>
      <c r="BG318">
        <f t="shared" si="104"/>
        <v>0</v>
      </c>
      <c r="BH318">
        <f t="shared" si="105"/>
        <v>0</v>
      </c>
      <c r="BI318">
        <f t="shared" si="106"/>
        <v>0</v>
      </c>
      <c r="BJ318">
        <f t="shared" si="107"/>
        <v>0</v>
      </c>
      <c r="BK318">
        <f t="shared" si="108"/>
        <v>0</v>
      </c>
      <c r="BL318">
        <f t="shared" si="109"/>
        <v>0</v>
      </c>
      <c r="BM318">
        <f t="shared" si="110"/>
        <v>0</v>
      </c>
      <c r="BN318">
        <f t="shared" si="111"/>
        <v>0</v>
      </c>
    </row>
    <row r="319" spans="1:66" outlineLevel="1" x14ac:dyDescent="0.15">
      <c r="A319" s="5"/>
      <c r="B319" s="5" t="s">
        <v>180</v>
      </c>
      <c r="C319" s="6" t="s">
        <v>256</v>
      </c>
      <c r="D319" s="5">
        <v>2233793</v>
      </c>
      <c r="E319" s="7">
        <v>18</v>
      </c>
      <c r="F319" s="6">
        <v>74</v>
      </c>
      <c r="G319" s="6">
        <v>5</v>
      </c>
      <c r="I319" s="17" t="str">
        <f t="shared" si="92"/>
        <v>·</v>
      </c>
      <c r="J319" s="18" t="str">
        <f t="shared" si="93"/>
        <v>·</v>
      </c>
      <c r="K319" s="18" t="str">
        <f t="shared" si="94"/>
        <v>·</v>
      </c>
      <c r="L319" s="19"/>
      <c r="M319" s="18" t="str">
        <f t="shared" si="114"/>
        <v>·</v>
      </c>
      <c r="N319" s="18" t="str">
        <f t="shared" si="96"/>
        <v>·</v>
      </c>
      <c r="O319" s="20"/>
      <c r="P319" s="21"/>
      <c r="Q319" s="21"/>
      <c r="R319" s="37"/>
      <c r="S319" s="21"/>
      <c r="T319" s="39"/>
      <c r="U319" s="39"/>
      <c r="V319" s="39"/>
      <c r="W319" s="38"/>
      <c r="X319" s="49"/>
      <c r="Y319" s="49"/>
      <c r="AA319" s="17" t="str">
        <f t="shared" si="97"/>
        <v>·</v>
      </c>
      <c r="AB319" s="18" t="str">
        <f t="shared" si="98"/>
        <v>·</v>
      </c>
      <c r="AC319" s="18" t="str">
        <f t="shared" si="99"/>
        <v>·</v>
      </c>
      <c r="AD319" s="19"/>
      <c r="AE319" s="18" t="str">
        <f t="shared" si="115"/>
        <v>·</v>
      </c>
      <c r="AF319" s="18" t="str">
        <f t="shared" si="101"/>
        <v>·</v>
      </c>
      <c r="AG319" s="20"/>
      <c r="AH319" s="21"/>
      <c r="AI319" s="21"/>
      <c r="AJ319" s="37"/>
      <c r="AK319" s="21"/>
      <c r="AL319" s="39"/>
      <c r="AM319" s="39"/>
      <c r="AN319" s="39"/>
      <c r="AO319" s="38"/>
      <c r="AP319" s="49"/>
      <c r="AQ319" s="49"/>
      <c r="AS319" s="53" t="e">
        <f t="shared" si="102"/>
        <v>#DIV/0!</v>
      </c>
      <c r="AT319" s="53"/>
      <c r="AV319" s="61"/>
      <c r="AW319" s="61"/>
      <c r="AX319" s="61"/>
      <c r="AY319" s="54"/>
      <c r="BA319" s="61"/>
      <c r="BB319" s="61"/>
      <c r="BC319" s="61"/>
      <c r="BD319" s="54"/>
      <c r="BF319">
        <f t="shared" si="103"/>
        <v>0</v>
      </c>
      <c r="BG319">
        <f t="shared" si="104"/>
        <v>0</v>
      </c>
      <c r="BH319">
        <f t="shared" si="105"/>
        <v>0</v>
      </c>
      <c r="BI319">
        <f t="shared" si="106"/>
        <v>0</v>
      </c>
      <c r="BJ319">
        <f t="shared" si="107"/>
        <v>0</v>
      </c>
      <c r="BK319">
        <f t="shared" si="108"/>
        <v>0</v>
      </c>
      <c r="BL319">
        <f t="shared" si="109"/>
        <v>0</v>
      </c>
      <c r="BM319">
        <f t="shared" si="110"/>
        <v>0</v>
      </c>
      <c r="BN319">
        <f t="shared" si="111"/>
        <v>0</v>
      </c>
    </row>
    <row r="320" spans="1:66" outlineLevel="1" x14ac:dyDescent="0.15">
      <c r="A320" s="8"/>
      <c r="B320" s="8" t="s">
        <v>180</v>
      </c>
      <c r="C320" s="9" t="s">
        <v>257</v>
      </c>
      <c r="D320" s="8">
        <v>2233793</v>
      </c>
      <c r="E320" s="10">
        <v>18</v>
      </c>
      <c r="F320" s="9">
        <v>74</v>
      </c>
      <c r="G320" s="9">
        <v>5</v>
      </c>
      <c r="I320" s="22" t="str">
        <f t="shared" si="92"/>
        <v>·</v>
      </c>
      <c r="J320" s="23" t="str">
        <f t="shared" si="93"/>
        <v>·</v>
      </c>
      <c r="K320" s="23" t="str">
        <f t="shared" si="94"/>
        <v>·</v>
      </c>
      <c r="L320" s="24"/>
      <c r="M320" s="23" t="str">
        <f t="shared" si="114"/>
        <v>·</v>
      </c>
      <c r="N320" s="23" t="str">
        <f t="shared" si="96"/>
        <v>·</v>
      </c>
      <c r="O320" s="25"/>
      <c r="P320" s="26"/>
      <c r="Q320" s="26"/>
      <c r="R320" s="40"/>
      <c r="S320" s="26"/>
      <c r="T320" s="42"/>
      <c r="U320" s="42"/>
      <c r="V320" s="42"/>
      <c r="W320" s="41"/>
      <c r="X320" s="50"/>
      <c r="Y320" s="50"/>
      <c r="AA320" s="22" t="str">
        <f t="shared" si="97"/>
        <v>·</v>
      </c>
      <c r="AB320" s="23" t="str">
        <f t="shared" si="98"/>
        <v>·</v>
      </c>
      <c r="AC320" s="23" t="str">
        <f t="shared" si="99"/>
        <v>·</v>
      </c>
      <c r="AD320" s="24"/>
      <c r="AE320" s="23" t="str">
        <f t="shared" si="115"/>
        <v>·</v>
      </c>
      <c r="AF320" s="23" t="str">
        <f t="shared" si="101"/>
        <v>·</v>
      </c>
      <c r="AG320" s="25"/>
      <c r="AH320" s="26"/>
      <c r="AI320" s="26"/>
      <c r="AJ320" s="40"/>
      <c r="AK320" s="26"/>
      <c r="AL320" s="42"/>
      <c r="AM320" s="42"/>
      <c r="AN320" s="42"/>
      <c r="AO320" s="41"/>
      <c r="AP320" s="50"/>
      <c r="AQ320" s="50"/>
      <c r="AS320" s="55" t="e">
        <f t="shared" si="102"/>
        <v>#DIV/0!</v>
      </c>
      <c r="AT320" s="55"/>
      <c r="AV320" s="62"/>
      <c r="AW320" s="62"/>
      <c r="AX320" s="62"/>
      <c r="AY320" s="56"/>
      <c r="BA320" s="62"/>
      <c r="BB320" s="62"/>
      <c r="BC320" s="62"/>
      <c r="BD320" s="56"/>
      <c r="BF320">
        <f t="shared" si="103"/>
        <v>0</v>
      </c>
      <c r="BG320">
        <f t="shared" si="104"/>
        <v>0</v>
      </c>
      <c r="BH320">
        <f t="shared" si="105"/>
        <v>0</v>
      </c>
      <c r="BI320">
        <f t="shared" si="106"/>
        <v>0</v>
      </c>
      <c r="BJ320">
        <f t="shared" si="107"/>
        <v>0</v>
      </c>
      <c r="BK320">
        <f t="shared" si="108"/>
        <v>0</v>
      </c>
      <c r="BL320">
        <f t="shared" si="109"/>
        <v>0</v>
      </c>
      <c r="BM320">
        <f t="shared" si="110"/>
        <v>0</v>
      </c>
      <c r="BN320">
        <f t="shared" si="111"/>
        <v>0</v>
      </c>
    </row>
    <row r="321" spans="1:66" outlineLevel="1" x14ac:dyDescent="0.15">
      <c r="A321" s="5"/>
      <c r="B321" s="5" t="s">
        <v>180</v>
      </c>
      <c r="C321" s="6" t="s">
        <v>258</v>
      </c>
      <c r="D321" s="5">
        <v>2233793</v>
      </c>
      <c r="E321" s="7">
        <v>18</v>
      </c>
      <c r="F321" s="6">
        <v>74</v>
      </c>
      <c r="G321" s="6">
        <v>5</v>
      </c>
      <c r="I321" s="17" t="str">
        <f t="shared" si="92"/>
        <v>·</v>
      </c>
      <c r="J321" s="18" t="str">
        <f t="shared" si="93"/>
        <v>·</v>
      </c>
      <c r="K321" s="18" t="str">
        <f t="shared" si="94"/>
        <v>·</v>
      </c>
      <c r="L321" s="19"/>
      <c r="M321" s="18" t="str">
        <f t="shared" si="114"/>
        <v>·</v>
      </c>
      <c r="N321" s="18" t="str">
        <f t="shared" si="96"/>
        <v>·</v>
      </c>
      <c r="O321" s="20"/>
      <c r="P321" s="21"/>
      <c r="Q321" s="21"/>
      <c r="R321" s="37"/>
      <c r="S321" s="21"/>
      <c r="T321" s="39"/>
      <c r="U321" s="39"/>
      <c r="V321" s="39"/>
      <c r="W321" s="38"/>
      <c r="X321" s="49"/>
      <c r="Y321" s="49"/>
      <c r="AA321" s="17" t="str">
        <f t="shared" si="97"/>
        <v>·</v>
      </c>
      <c r="AB321" s="18" t="str">
        <f t="shared" si="98"/>
        <v>·</v>
      </c>
      <c r="AC321" s="18" t="str">
        <f t="shared" si="99"/>
        <v>·</v>
      </c>
      <c r="AD321" s="19"/>
      <c r="AE321" s="18" t="str">
        <f t="shared" si="115"/>
        <v>·</v>
      </c>
      <c r="AF321" s="18" t="str">
        <f t="shared" si="101"/>
        <v>·</v>
      </c>
      <c r="AG321" s="20"/>
      <c r="AH321" s="21"/>
      <c r="AI321" s="21"/>
      <c r="AJ321" s="37"/>
      <c r="AK321" s="21"/>
      <c r="AL321" s="39"/>
      <c r="AM321" s="39"/>
      <c r="AN321" s="39"/>
      <c r="AO321" s="38"/>
      <c r="AP321" s="49"/>
      <c r="AQ321" s="49"/>
      <c r="AS321" s="53" t="e">
        <f t="shared" si="102"/>
        <v>#DIV/0!</v>
      </c>
      <c r="AT321" s="53"/>
      <c r="AV321" s="61"/>
      <c r="AW321" s="61"/>
      <c r="AX321" s="61"/>
      <c r="AY321" s="54"/>
      <c r="BA321" s="61"/>
      <c r="BB321" s="61"/>
      <c r="BC321" s="61"/>
      <c r="BD321" s="54"/>
      <c r="BF321">
        <f t="shared" si="103"/>
        <v>0</v>
      </c>
      <c r="BG321">
        <f t="shared" si="104"/>
        <v>0</v>
      </c>
      <c r="BH321">
        <f t="shared" si="105"/>
        <v>0</v>
      </c>
      <c r="BI321">
        <f t="shared" si="106"/>
        <v>0</v>
      </c>
      <c r="BJ321">
        <f t="shared" si="107"/>
        <v>0</v>
      </c>
      <c r="BK321">
        <f t="shared" si="108"/>
        <v>0</v>
      </c>
      <c r="BL321">
        <f t="shared" si="109"/>
        <v>0</v>
      </c>
      <c r="BM321">
        <f t="shared" si="110"/>
        <v>0</v>
      </c>
      <c r="BN321">
        <f t="shared" si="111"/>
        <v>0</v>
      </c>
    </row>
    <row r="322" spans="1:66" outlineLevel="1" x14ac:dyDescent="0.15">
      <c r="A322" s="8"/>
      <c r="B322" s="14" t="s">
        <v>180</v>
      </c>
      <c r="C322" s="15" t="s">
        <v>259</v>
      </c>
      <c r="D322" s="14">
        <v>2233793</v>
      </c>
      <c r="E322" s="16">
        <v>18</v>
      </c>
      <c r="F322" s="15">
        <v>74</v>
      </c>
      <c r="G322" s="15">
        <v>5</v>
      </c>
      <c r="I322" s="32" t="str">
        <f t="shared" si="92"/>
        <v>·</v>
      </c>
      <c r="J322" s="33" t="str">
        <f t="shared" si="93"/>
        <v>·</v>
      </c>
      <c r="K322" s="33" t="str">
        <f t="shared" si="94"/>
        <v>·</v>
      </c>
      <c r="L322" s="34"/>
      <c r="M322" s="33" t="str">
        <f t="shared" si="114"/>
        <v>·</v>
      </c>
      <c r="N322" s="33" t="str">
        <f t="shared" si="96"/>
        <v>·</v>
      </c>
      <c r="O322" s="35"/>
      <c r="P322" s="36"/>
      <c r="Q322" s="36"/>
      <c r="R322" s="46"/>
      <c r="S322" s="36"/>
      <c r="T322" s="48"/>
      <c r="U322" s="48"/>
      <c r="V322" s="48"/>
      <c r="W322" s="47"/>
      <c r="X322" s="52"/>
      <c r="Y322" s="52"/>
      <c r="AA322" s="32" t="str">
        <f t="shared" si="97"/>
        <v>·</v>
      </c>
      <c r="AB322" s="33" t="str">
        <f t="shared" si="98"/>
        <v>·</v>
      </c>
      <c r="AC322" s="33" t="str">
        <f t="shared" si="99"/>
        <v>·</v>
      </c>
      <c r="AD322" s="34"/>
      <c r="AE322" s="33" t="str">
        <f t="shared" si="115"/>
        <v>·</v>
      </c>
      <c r="AF322" s="33" t="str">
        <f t="shared" si="101"/>
        <v>·</v>
      </c>
      <c r="AG322" s="35"/>
      <c r="AH322" s="36"/>
      <c r="AI322" s="36"/>
      <c r="AJ322" s="46"/>
      <c r="AK322" s="36"/>
      <c r="AL322" s="48"/>
      <c r="AM322" s="48"/>
      <c r="AN322" s="48"/>
      <c r="AO322" s="47"/>
      <c r="AP322" s="52"/>
      <c r="AQ322" s="52"/>
      <c r="AS322" s="59" t="e">
        <f t="shared" si="102"/>
        <v>#DIV/0!</v>
      </c>
      <c r="AT322" s="59"/>
      <c r="AV322" s="64"/>
      <c r="AW322" s="64"/>
      <c r="AX322" s="64"/>
      <c r="AY322" s="60"/>
      <c r="BA322" s="64"/>
      <c r="BB322" s="64"/>
      <c r="BC322" s="64"/>
      <c r="BD322" s="60"/>
      <c r="BF322">
        <f t="shared" si="103"/>
        <v>0</v>
      </c>
      <c r="BG322">
        <f t="shared" si="104"/>
        <v>0</v>
      </c>
      <c r="BH322">
        <f t="shared" si="105"/>
        <v>0</v>
      </c>
      <c r="BI322">
        <f t="shared" si="106"/>
        <v>0</v>
      </c>
      <c r="BJ322">
        <f t="shared" si="107"/>
        <v>0</v>
      </c>
      <c r="BK322">
        <f t="shared" si="108"/>
        <v>0</v>
      </c>
      <c r="BL322">
        <f t="shared" si="109"/>
        <v>0</v>
      </c>
      <c r="BM322">
        <f t="shared" si="110"/>
        <v>0</v>
      </c>
      <c r="BN322">
        <f t="shared" si="111"/>
        <v>0</v>
      </c>
    </row>
    <row r="323" spans="1:66" x14ac:dyDescent="0.15">
      <c r="A323" s="5"/>
      <c r="B323" s="5" t="s">
        <v>181</v>
      </c>
      <c r="C323" s="6" t="s">
        <v>254</v>
      </c>
      <c r="D323" s="5">
        <v>2016190</v>
      </c>
      <c r="E323" s="7">
        <v>18</v>
      </c>
      <c r="F323" s="6">
        <v>74</v>
      </c>
      <c r="G323" s="6">
        <v>5</v>
      </c>
      <c r="I323" s="17" t="str">
        <f t="shared" si="92"/>
        <v>·</v>
      </c>
      <c r="J323" s="18" t="str">
        <f t="shared" si="93"/>
        <v>·</v>
      </c>
      <c r="K323" s="18" t="str">
        <f t="shared" si="94"/>
        <v>·</v>
      </c>
      <c r="L323" s="19"/>
      <c r="M323" s="18" t="str">
        <f t="shared" si="114"/>
        <v>·</v>
      </c>
      <c r="N323" s="18" t="str">
        <f t="shared" si="96"/>
        <v>·</v>
      </c>
      <c r="O323" s="20"/>
      <c r="P323" s="21"/>
      <c r="Q323" s="21"/>
      <c r="R323" s="37"/>
      <c r="S323" s="21"/>
      <c r="T323" s="39"/>
      <c r="U323" s="39"/>
      <c r="V323" s="39"/>
      <c r="W323" s="38"/>
      <c r="X323" s="49"/>
      <c r="Y323" s="49"/>
      <c r="AA323" s="17" t="str">
        <f t="shared" si="97"/>
        <v>·</v>
      </c>
      <c r="AB323" s="18" t="str">
        <f t="shared" si="98"/>
        <v>·</v>
      </c>
      <c r="AC323" s="18" t="str">
        <f t="shared" si="99"/>
        <v>·</v>
      </c>
      <c r="AD323" s="19"/>
      <c r="AE323" s="18" t="str">
        <f t="shared" si="115"/>
        <v>·</v>
      </c>
      <c r="AF323" s="18" t="str">
        <f t="shared" si="101"/>
        <v>·</v>
      </c>
      <c r="AG323" s="20"/>
      <c r="AH323" s="21"/>
      <c r="AI323" s="21"/>
      <c r="AJ323" s="37"/>
      <c r="AK323" s="21"/>
      <c r="AL323" s="39"/>
      <c r="AM323" s="39"/>
      <c r="AN323" s="39"/>
      <c r="AO323" s="38"/>
      <c r="AP323" s="49"/>
      <c r="AQ323" s="49"/>
      <c r="AS323" s="53" t="e">
        <f t="shared" si="102"/>
        <v>#DIV/0!</v>
      </c>
      <c r="AT323" s="53" t="e">
        <f t="array" ref="AT323">AVERAGE(AI323:AI328/AH323:AH328)-AVERAGE(Q323:Q328/P323:P328)</f>
        <v>#DIV/0!</v>
      </c>
      <c r="AV323" s="61"/>
      <c r="AW323" s="61"/>
      <c r="AX323" s="61"/>
      <c r="AY323" s="54" t="str">
        <f>IF(OR(ISBLANK(S323:S328),ISBLANK(AK323:AK328),ISBLANK(W323:W328),ISBLANK(AO323:AO328)),"·",bdRateExtend(S323:S328,W323:W328,AK323:AK328,AO323:AO328))</f>
        <v>·</v>
      </c>
      <c r="BA323" s="61"/>
      <c r="BB323" s="61"/>
      <c r="BC323" s="61"/>
      <c r="BD323" s="54" t="str">
        <f>IF(OR(ISBLANK(P323:P328),ISBLANK(AH323:AH328),ISBLANK(W323:W328),ISBLANK(AO323:AO328)),"·",bdRateExtend(P323:P328,W323:W328,AH323:AH328,AO323:AO328))</f>
        <v>·</v>
      </c>
      <c r="BF323">
        <f t="shared" si="103"/>
        <v>0</v>
      </c>
      <c r="BG323">
        <f t="shared" si="104"/>
        <v>0</v>
      </c>
      <c r="BH323">
        <f t="shared" si="105"/>
        <v>0</v>
      </c>
      <c r="BI323">
        <f t="shared" si="106"/>
        <v>0</v>
      </c>
      <c r="BJ323">
        <f t="shared" si="107"/>
        <v>0</v>
      </c>
      <c r="BK323">
        <f t="shared" si="108"/>
        <v>0</v>
      </c>
      <c r="BL323">
        <f t="shared" si="109"/>
        <v>0</v>
      </c>
      <c r="BM323">
        <f t="shared" si="110"/>
        <v>0</v>
      </c>
      <c r="BN323">
        <f t="shared" si="111"/>
        <v>0</v>
      </c>
    </row>
    <row r="324" spans="1:66" outlineLevel="1" x14ac:dyDescent="0.15">
      <c r="A324" s="8"/>
      <c r="B324" s="8" t="s">
        <v>181</v>
      </c>
      <c r="C324" s="9" t="s">
        <v>255</v>
      </c>
      <c r="D324" s="8">
        <v>2016190</v>
      </c>
      <c r="E324" s="10">
        <v>18</v>
      </c>
      <c r="F324" s="9">
        <v>74</v>
      </c>
      <c r="G324" s="9">
        <v>5</v>
      </c>
      <c r="I324" s="22" t="str">
        <f t="shared" si="92"/>
        <v>·</v>
      </c>
      <c r="J324" s="23" t="str">
        <f t="shared" si="93"/>
        <v>·</v>
      </c>
      <c r="K324" s="23" t="str">
        <f t="shared" si="94"/>
        <v>·</v>
      </c>
      <c r="L324" s="24"/>
      <c r="M324" s="23" t="str">
        <f t="shared" si="114"/>
        <v>·</v>
      </c>
      <c r="N324" s="23" t="str">
        <f t="shared" si="96"/>
        <v>·</v>
      </c>
      <c r="O324" s="25"/>
      <c r="P324" s="26"/>
      <c r="Q324" s="26"/>
      <c r="R324" s="40"/>
      <c r="S324" s="26"/>
      <c r="T324" s="42"/>
      <c r="U324" s="42"/>
      <c r="V324" s="42"/>
      <c r="W324" s="41"/>
      <c r="X324" s="50"/>
      <c r="Y324" s="50"/>
      <c r="AA324" s="22" t="str">
        <f t="shared" si="97"/>
        <v>·</v>
      </c>
      <c r="AB324" s="23" t="str">
        <f t="shared" si="98"/>
        <v>·</v>
      </c>
      <c r="AC324" s="23" t="str">
        <f t="shared" si="99"/>
        <v>·</v>
      </c>
      <c r="AD324" s="24"/>
      <c r="AE324" s="23" t="str">
        <f t="shared" si="115"/>
        <v>·</v>
      </c>
      <c r="AF324" s="23" t="str">
        <f t="shared" si="101"/>
        <v>·</v>
      </c>
      <c r="AG324" s="25"/>
      <c r="AH324" s="26"/>
      <c r="AI324" s="26"/>
      <c r="AJ324" s="40"/>
      <c r="AK324" s="26"/>
      <c r="AL324" s="42"/>
      <c r="AM324" s="42"/>
      <c r="AN324" s="42"/>
      <c r="AO324" s="41"/>
      <c r="AP324" s="50"/>
      <c r="AQ324" s="50"/>
      <c r="AS324" s="55" t="e">
        <f t="shared" si="102"/>
        <v>#DIV/0!</v>
      </c>
      <c r="AT324" s="55"/>
      <c r="AV324" s="62"/>
      <c r="AW324" s="62"/>
      <c r="AX324" s="62"/>
      <c r="AY324" s="56"/>
      <c r="BA324" s="62"/>
      <c r="BB324" s="62"/>
      <c r="BC324" s="62"/>
      <c r="BD324" s="56"/>
      <c r="BF324">
        <f t="shared" si="103"/>
        <v>0</v>
      </c>
      <c r="BG324">
        <f t="shared" si="104"/>
        <v>0</v>
      </c>
      <c r="BH324">
        <f t="shared" si="105"/>
        <v>0</v>
      </c>
      <c r="BI324">
        <f t="shared" si="106"/>
        <v>0</v>
      </c>
      <c r="BJ324">
        <f t="shared" si="107"/>
        <v>0</v>
      </c>
      <c r="BK324">
        <f t="shared" si="108"/>
        <v>0</v>
      </c>
      <c r="BL324">
        <f t="shared" si="109"/>
        <v>0</v>
      </c>
      <c r="BM324">
        <f t="shared" si="110"/>
        <v>0</v>
      </c>
      <c r="BN324">
        <f t="shared" si="111"/>
        <v>0</v>
      </c>
    </row>
    <row r="325" spans="1:66" outlineLevel="1" x14ac:dyDescent="0.15">
      <c r="A325" s="5"/>
      <c r="B325" s="5" t="s">
        <v>181</v>
      </c>
      <c r="C325" s="6" t="s">
        <v>256</v>
      </c>
      <c r="D325" s="5">
        <v>2016190</v>
      </c>
      <c r="E325" s="7">
        <v>18</v>
      </c>
      <c r="F325" s="6">
        <v>74</v>
      </c>
      <c r="G325" s="6">
        <v>5</v>
      </c>
      <c r="I325" s="17" t="str">
        <f t="shared" ref="I325:I340" si="116">IF(OR(ISBLANK(P325),ISBLANK(G325)),"·",P325*G325/F325/1000000)</f>
        <v>·</v>
      </c>
      <c r="J325" s="18" t="str">
        <f t="shared" ref="J325:J340" si="117">IF(ISBLANK(P325),"·",P325/D325)</f>
        <v>·</v>
      </c>
      <c r="K325" s="18" t="str">
        <f t="shared" ref="K325:K340" si="118">IF(Q325="","·",Q325/D325)</f>
        <v>·</v>
      </c>
      <c r="L325" s="19"/>
      <c r="M325" s="18" t="str">
        <f t="shared" si="114"/>
        <v>·</v>
      </c>
      <c r="N325" s="18" t="str">
        <f t="shared" ref="N325:N340" si="119">IF(ISBLANK(P325),"·",P325/O325)</f>
        <v>·</v>
      </c>
      <c r="O325" s="20"/>
      <c r="P325" s="21"/>
      <c r="Q325" s="21"/>
      <c r="R325" s="37"/>
      <c r="S325" s="21"/>
      <c r="T325" s="39"/>
      <c r="U325" s="39"/>
      <c r="V325" s="39"/>
      <c r="W325" s="38"/>
      <c r="X325" s="49"/>
      <c r="Y325" s="49"/>
      <c r="AA325" s="17" t="str">
        <f t="shared" ref="AA325:AA340" si="120">IF(OR(ISBLANK(AH325),ISBLANK(G325)),"·",AH325*G325/F325/1000000)</f>
        <v>·</v>
      </c>
      <c r="AB325" s="18" t="str">
        <f t="shared" ref="AB325:AB340" si="121">IF(ISBLANK(AH325),"·",AH325/D325)</f>
        <v>·</v>
      </c>
      <c r="AC325" s="18" t="str">
        <f t="shared" ref="AC325:AC340" si="122">IF(AI325="","·",AI325/D325)</f>
        <v>·</v>
      </c>
      <c r="AD325" s="19"/>
      <c r="AE325" s="18" t="str">
        <f t="shared" si="115"/>
        <v>·</v>
      </c>
      <c r="AF325" s="18" t="str">
        <f t="shared" ref="AF325:AF340" si="123">IF(ISBLANK(AH325),"·",AH325/AG325)</f>
        <v>·</v>
      </c>
      <c r="AG325" s="20"/>
      <c r="AH325" s="21"/>
      <c r="AI325" s="21"/>
      <c r="AJ325" s="37"/>
      <c r="AK325" s="21"/>
      <c r="AL325" s="39"/>
      <c r="AM325" s="39"/>
      <c r="AN325" s="39"/>
      <c r="AO325" s="38"/>
      <c r="AP325" s="49"/>
      <c r="AQ325" s="49"/>
      <c r="AS325" s="53" t="e">
        <f t="shared" ref="AS325:AS340" si="124">(AI325/AH325)-(Q325/P325)</f>
        <v>#DIV/0!</v>
      </c>
      <c r="AT325" s="53"/>
      <c r="AV325" s="61"/>
      <c r="AW325" s="61"/>
      <c r="AX325" s="61"/>
      <c r="AY325" s="54"/>
      <c r="BA325" s="61"/>
      <c r="BB325" s="61"/>
      <c r="BC325" s="61"/>
      <c r="BD325" s="54"/>
      <c r="BF325">
        <f t="shared" si="103"/>
        <v>0</v>
      </c>
      <c r="BG325">
        <f t="shared" si="104"/>
        <v>0</v>
      </c>
      <c r="BH325">
        <f t="shared" si="105"/>
        <v>0</v>
      </c>
      <c r="BI325">
        <f t="shared" si="106"/>
        <v>0</v>
      </c>
      <c r="BJ325">
        <f t="shared" si="107"/>
        <v>0</v>
      </c>
      <c r="BK325">
        <f t="shared" si="108"/>
        <v>0</v>
      </c>
      <c r="BL325">
        <f t="shared" si="109"/>
        <v>0</v>
      </c>
      <c r="BM325">
        <f t="shared" si="110"/>
        <v>0</v>
      </c>
      <c r="BN325">
        <f t="shared" si="111"/>
        <v>0</v>
      </c>
    </row>
    <row r="326" spans="1:66" outlineLevel="1" x14ac:dyDescent="0.15">
      <c r="A326" s="8"/>
      <c r="B326" s="8" t="s">
        <v>181</v>
      </c>
      <c r="C326" s="9" t="s">
        <v>257</v>
      </c>
      <c r="D326" s="8">
        <v>2016190</v>
      </c>
      <c r="E326" s="10">
        <v>18</v>
      </c>
      <c r="F326" s="9">
        <v>74</v>
      </c>
      <c r="G326" s="9">
        <v>5</v>
      </c>
      <c r="I326" s="22" t="str">
        <f t="shared" si="116"/>
        <v>·</v>
      </c>
      <c r="J326" s="23" t="str">
        <f t="shared" si="117"/>
        <v>·</v>
      </c>
      <c r="K326" s="23" t="str">
        <f t="shared" si="118"/>
        <v>·</v>
      </c>
      <c r="L326" s="24"/>
      <c r="M326" s="23" t="str">
        <f t="shared" si="114"/>
        <v>·</v>
      </c>
      <c r="N326" s="23" t="str">
        <f t="shared" si="119"/>
        <v>·</v>
      </c>
      <c r="O326" s="25"/>
      <c r="P326" s="26"/>
      <c r="Q326" s="26"/>
      <c r="R326" s="40"/>
      <c r="S326" s="26"/>
      <c r="T326" s="42"/>
      <c r="U326" s="42"/>
      <c r="V326" s="42"/>
      <c r="W326" s="41"/>
      <c r="X326" s="50"/>
      <c r="Y326" s="50"/>
      <c r="AA326" s="22" t="str">
        <f t="shared" si="120"/>
        <v>·</v>
      </c>
      <c r="AB326" s="23" t="str">
        <f t="shared" si="121"/>
        <v>·</v>
      </c>
      <c r="AC326" s="23" t="str">
        <f t="shared" si="122"/>
        <v>·</v>
      </c>
      <c r="AD326" s="24"/>
      <c r="AE326" s="23" t="str">
        <f t="shared" si="115"/>
        <v>·</v>
      </c>
      <c r="AF326" s="23" t="str">
        <f t="shared" si="123"/>
        <v>·</v>
      </c>
      <c r="AG326" s="25"/>
      <c r="AH326" s="26"/>
      <c r="AI326" s="26"/>
      <c r="AJ326" s="40"/>
      <c r="AK326" s="26"/>
      <c r="AL326" s="42"/>
      <c r="AM326" s="42"/>
      <c r="AN326" s="42"/>
      <c r="AO326" s="41"/>
      <c r="AP326" s="50"/>
      <c r="AQ326" s="50"/>
      <c r="AS326" s="55" t="e">
        <f t="shared" si="124"/>
        <v>#DIV/0!</v>
      </c>
      <c r="AT326" s="55"/>
      <c r="AV326" s="62"/>
      <c r="AW326" s="62"/>
      <c r="AX326" s="62"/>
      <c r="AY326" s="56"/>
      <c r="BA326" s="62"/>
      <c r="BB326" s="62"/>
      <c r="BC326" s="62"/>
      <c r="BD326" s="56"/>
      <c r="BF326">
        <f t="shared" ref="BF326:BF340" si="125">AG326-O326</f>
        <v>0</v>
      </c>
      <c r="BG326">
        <f t="shared" ref="BG326:BG340" si="126">AH326-P326</f>
        <v>0</v>
      </c>
      <c r="BH326">
        <f t="shared" ref="BH326:BH340" si="127">AI326-Q326</f>
        <v>0</v>
      </c>
      <c r="BI326">
        <f t="shared" ref="BI326:BI340" si="128">AJ326-R326</f>
        <v>0</v>
      </c>
      <c r="BJ326">
        <f t="shared" ref="BJ326:BJ340" si="129">AK326-S326</f>
        <v>0</v>
      </c>
      <c r="BK326">
        <f t="shared" ref="BK326:BK340" si="130">AL326-T326</f>
        <v>0</v>
      </c>
      <c r="BL326">
        <f t="shared" ref="BL326:BL340" si="131">AM326-U326</f>
        <v>0</v>
      </c>
      <c r="BM326">
        <f t="shared" ref="BM326:BM340" si="132">AN326-V326</f>
        <v>0</v>
      </c>
      <c r="BN326">
        <f t="shared" ref="BN326:BN340" si="133">AO326-W326</f>
        <v>0</v>
      </c>
    </row>
    <row r="327" spans="1:66" outlineLevel="1" x14ac:dyDescent="0.15">
      <c r="A327" s="5"/>
      <c r="B327" s="5" t="s">
        <v>181</v>
      </c>
      <c r="C327" s="6" t="s">
        <v>258</v>
      </c>
      <c r="D327" s="5">
        <v>2016190</v>
      </c>
      <c r="E327" s="7">
        <v>18</v>
      </c>
      <c r="F327" s="6">
        <v>74</v>
      </c>
      <c r="G327" s="6">
        <v>5</v>
      </c>
      <c r="I327" s="17" t="str">
        <f t="shared" si="116"/>
        <v>·</v>
      </c>
      <c r="J327" s="18" t="str">
        <f t="shared" si="117"/>
        <v>·</v>
      </c>
      <c r="K327" s="18" t="str">
        <f t="shared" si="118"/>
        <v>·</v>
      </c>
      <c r="L327" s="19"/>
      <c r="M327" s="18" t="str">
        <f t="shared" si="114"/>
        <v>·</v>
      </c>
      <c r="N327" s="18" t="str">
        <f t="shared" si="119"/>
        <v>·</v>
      </c>
      <c r="O327" s="20"/>
      <c r="P327" s="21"/>
      <c r="Q327" s="21"/>
      <c r="R327" s="37"/>
      <c r="S327" s="21"/>
      <c r="T327" s="39"/>
      <c r="U327" s="39"/>
      <c r="V327" s="39"/>
      <c r="W327" s="38"/>
      <c r="X327" s="49"/>
      <c r="Y327" s="49"/>
      <c r="AA327" s="17" t="str">
        <f t="shared" si="120"/>
        <v>·</v>
      </c>
      <c r="AB327" s="18" t="str">
        <f t="shared" si="121"/>
        <v>·</v>
      </c>
      <c r="AC327" s="18" t="str">
        <f t="shared" si="122"/>
        <v>·</v>
      </c>
      <c r="AD327" s="19"/>
      <c r="AE327" s="18" t="str">
        <f t="shared" si="115"/>
        <v>·</v>
      </c>
      <c r="AF327" s="18" t="str">
        <f t="shared" si="123"/>
        <v>·</v>
      </c>
      <c r="AG327" s="20"/>
      <c r="AH327" s="21"/>
      <c r="AI327" s="21"/>
      <c r="AJ327" s="37"/>
      <c r="AK327" s="21"/>
      <c r="AL327" s="39"/>
      <c r="AM327" s="39"/>
      <c r="AN327" s="39"/>
      <c r="AO327" s="38"/>
      <c r="AP327" s="49"/>
      <c r="AQ327" s="49"/>
      <c r="AS327" s="53" t="e">
        <f t="shared" si="124"/>
        <v>#DIV/0!</v>
      </c>
      <c r="AT327" s="53"/>
      <c r="AV327" s="61"/>
      <c r="AW327" s="61"/>
      <c r="AX327" s="61"/>
      <c r="AY327" s="54"/>
      <c r="BA327" s="61"/>
      <c r="BB327" s="61"/>
      <c r="BC327" s="61"/>
      <c r="BD327" s="54"/>
      <c r="BF327">
        <f t="shared" si="125"/>
        <v>0</v>
      </c>
      <c r="BG327">
        <f t="shared" si="126"/>
        <v>0</v>
      </c>
      <c r="BH327">
        <f t="shared" si="127"/>
        <v>0</v>
      </c>
      <c r="BI327">
        <f t="shared" si="128"/>
        <v>0</v>
      </c>
      <c r="BJ327">
        <f t="shared" si="129"/>
        <v>0</v>
      </c>
      <c r="BK327">
        <f t="shared" si="130"/>
        <v>0</v>
      </c>
      <c r="BL327">
        <f t="shared" si="131"/>
        <v>0</v>
      </c>
      <c r="BM327">
        <f t="shared" si="132"/>
        <v>0</v>
      </c>
      <c r="BN327">
        <f t="shared" si="133"/>
        <v>0</v>
      </c>
    </row>
    <row r="328" spans="1:66" outlineLevel="1" x14ac:dyDescent="0.15">
      <c r="A328" s="8"/>
      <c r="B328" s="14" t="s">
        <v>181</v>
      </c>
      <c r="C328" s="15" t="s">
        <v>259</v>
      </c>
      <c r="D328" s="14">
        <v>2016190</v>
      </c>
      <c r="E328" s="16">
        <v>18</v>
      </c>
      <c r="F328" s="15">
        <v>74</v>
      </c>
      <c r="G328" s="15">
        <v>5</v>
      </c>
      <c r="I328" s="32" t="str">
        <f t="shared" si="116"/>
        <v>·</v>
      </c>
      <c r="J328" s="33" t="str">
        <f t="shared" si="117"/>
        <v>·</v>
      </c>
      <c r="K328" s="33" t="str">
        <f t="shared" si="118"/>
        <v>·</v>
      </c>
      <c r="L328" s="34"/>
      <c r="M328" s="33" t="str">
        <f t="shared" si="114"/>
        <v>·</v>
      </c>
      <c r="N328" s="33" t="str">
        <f t="shared" si="119"/>
        <v>·</v>
      </c>
      <c r="O328" s="35"/>
      <c r="P328" s="36"/>
      <c r="Q328" s="36"/>
      <c r="R328" s="46"/>
      <c r="S328" s="36"/>
      <c r="T328" s="48"/>
      <c r="U328" s="48"/>
      <c r="V328" s="48"/>
      <c r="W328" s="47"/>
      <c r="X328" s="52"/>
      <c r="Y328" s="52"/>
      <c r="AA328" s="32" t="str">
        <f t="shared" si="120"/>
        <v>·</v>
      </c>
      <c r="AB328" s="33" t="str">
        <f t="shared" si="121"/>
        <v>·</v>
      </c>
      <c r="AC328" s="33" t="str">
        <f t="shared" si="122"/>
        <v>·</v>
      </c>
      <c r="AD328" s="34"/>
      <c r="AE328" s="33" t="str">
        <f t="shared" si="115"/>
        <v>·</v>
      </c>
      <c r="AF328" s="33" t="str">
        <f t="shared" si="123"/>
        <v>·</v>
      </c>
      <c r="AG328" s="35"/>
      <c r="AH328" s="36"/>
      <c r="AI328" s="36"/>
      <c r="AJ328" s="46"/>
      <c r="AK328" s="36"/>
      <c r="AL328" s="48"/>
      <c r="AM328" s="48"/>
      <c r="AN328" s="48"/>
      <c r="AO328" s="47"/>
      <c r="AP328" s="52"/>
      <c r="AQ328" s="52"/>
      <c r="AS328" s="59" t="e">
        <f t="shared" si="124"/>
        <v>#DIV/0!</v>
      </c>
      <c r="AT328" s="59"/>
      <c r="AV328" s="64"/>
      <c r="AW328" s="64"/>
      <c r="AX328" s="64"/>
      <c r="AY328" s="60"/>
      <c r="BA328" s="64"/>
      <c r="BB328" s="64"/>
      <c r="BC328" s="64"/>
      <c r="BD328" s="60"/>
      <c r="BF328">
        <f t="shared" si="125"/>
        <v>0</v>
      </c>
      <c r="BG328">
        <f t="shared" si="126"/>
        <v>0</v>
      </c>
      <c r="BH328">
        <f t="shared" si="127"/>
        <v>0</v>
      </c>
      <c r="BI328">
        <f t="shared" si="128"/>
        <v>0</v>
      </c>
      <c r="BJ328">
        <f t="shared" si="129"/>
        <v>0</v>
      </c>
      <c r="BK328">
        <f t="shared" si="130"/>
        <v>0</v>
      </c>
      <c r="BL328">
        <f t="shared" si="131"/>
        <v>0</v>
      </c>
      <c r="BM328">
        <f t="shared" si="132"/>
        <v>0</v>
      </c>
      <c r="BN328">
        <f t="shared" si="133"/>
        <v>0</v>
      </c>
    </row>
    <row r="329" spans="1:66" x14ac:dyDescent="0.15">
      <c r="A329" s="5"/>
      <c r="B329" s="5" t="s">
        <v>182</v>
      </c>
      <c r="C329" s="6" t="s">
        <v>254</v>
      </c>
      <c r="D329" s="5">
        <v>14430189</v>
      </c>
      <c r="E329" s="7">
        <v>18</v>
      </c>
      <c r="F329" s="6">
        <v>500</v>
      </c>
      <c r="G329" s="6">
        <v>5</v>
      </c>
      <c r="I329" s="17" t="str">
        <f t="shared" si="116"/>
        <v>·</v>
      </c>
      <c r="J329" s="18" t="str">
        <f t="shared" si="117"/>
        <v>·</v>
      </c>
      <c r="K329" s="18" t="str">
        <f t="shared" si="118"/>
        <v>·</v>
      </c>
      <c r="L329" s="19"/>
      <c r="M329" s="18" t="str">
        <f t="shared" si="114"/>
        <v>·</v>
      </c>
      <c r="N329" s="18" t="str">
        <f t="shared" si="119"/>
        <v>·</v>
      </c>
      <c r="O329" s="20"/>
      <c r="P329" s="21"/>
      <c r="Q329" s="21"/>
      <c r="R329" s="37"/>
      <c r="S329" s="21"/>
      <c r="T329" s="39"/>
      <c r="U329" s="39"/>
      <c r="V329" s="39"/>
      <c r="W329" s="38"/>
      <c r="X329" s="49"/>
      <c r="Y329" s="49"/>
      <c r="AA329" s="17" t="str">
        <f t="shared" si="120"/>
        <v>·</v>
      </c>
      <c r="AB329" s="18" t="str">
        <f t="shared" si="121"/>
        <v>·</v>
      </c>
      <c r="AC329" s="18" t="str">
        <f t="shared" si="122"/>
        <v>·</v>
      </c>
      <c r="AD329" s="19"/>
      <c r="AE329" s="18" t="str">
        <f t="shared" si="115"/>
        <v>·</v>
      </c>
      <c r="AF329" s="18" t="str">
        <f t="shared" si="123"/>
        <v>·</v>
      </c>
      <c r="AG329" s="20"/>
      <c r="AH329" s="21"/>
      <c r="AI329" s="21"/>
      <c r="AJ329" s="37"/>
      <c r="AK329" s="21"/>
      <c r="AL329" s="39"/>
      <c r="AM329" s="39"/>
      <c r="AN329" s="39"/>
      <c r="AO329" s="38"/>
      <c r="AP329" s="49"/>
      <c r="AQ329" s="49"/>
      <c r="AS329" s="53" t="e">
        <f t="shared" si="124"/>
        <v>#DIV/0!</v>
      </c>
      <c r="AT329" s="53" t="e">
        <f t="array" ref="AT329">AVERAGE(AI329:AI334/AH329:AH334)-AVERAGE(Q329:Q334/P329:P334)</f>
        <v>#DIV/0!</v>
      </c>
      <c r="AV329" s="61"/>
      <c r="AW329" s="61"/>
      <c r="AX329" s="61"/>
      <c r="AY329" s="54" t="str">
        <f>IF(OR(ISBLANK(S329:S334),ISBLANK(AK329:AK334),ISBLANK(W329:W334),ISBLANK(AO329:AO334)),"·",bdRateExtend(S329:S334,W329:W334,AK329:AK334,AO329:AO334))</f>
        <v>·</v>
      </c>
      <c r="BA329" s="61"/>
      <c r="BB329" s="61"/>
      <c r="BC329" s="61"/>
      <c r="BD329" s="54" t="str">
        <f>IF(OR(ISBLANK(P329:P334),ISBLANK(AH329:AH334),ISBLANK(W329:W334),ISBLANK(AO329:AO334)),"·",bdRateExtend(P329:P334,W329:W334,AH329:AH334,AO329:AO334))</f>
        <v>·</v>
      </c>
      <c r="BF329">
        <f t="shared" si="125"/>
        <v>0</v>
      </c>
      <c r="BG329">
        <f t="shared" si="126"/>
        <v>0</v>
      </c>
      <c r="BH329">
        <f t="shared" si="127"/>
        <v>0</v>
      </c>
      <c r="BI329">
        <f t="shared" si="128"/>
        <v>0</v>
      </c>
      <c r="BJ329">
        <f t="shared" si="129"/>
        <v>0</v>
      </c>
      <c r="BK329">
        <f t="shared" si="130"/>
        <v>0</v>
      </c>
      <c r="BL329">
        <f t="shared" si="131"/>
        <v>0</v>
      </c>
      <c r="BM329">
        <f t="shared" si="132"/>
        <v>0</v>
      </c>
      <c r="BN329">
        <f t="shared" si="133"/>
        <v>0</v>
      </c>
    </row>
    <row r="330" spans="1:66" outlineLevel="1" x14ac:dyDescent="0.15">
      <c r="A330" s="8"/>
      <c r="B330" s="8" t="s">
        <v>182</v>
      </c>
      <c r="C330" s="9" t="s">
        <v>255</v>
      </c>
      <c r="D330" s="8">
        <v>14430189</v>
      </c>
      <c r="E330" s="10">
        <v>18</v>
      </c>
      <c r="F330" s="9">
        <v>500</v>
      </c>
      <c r="G330" s="9">
        <v>5</v>
      </c>
      <c r="I330" s="22" t="str">
        <f t="shared" si="116"/>
        <v>·</v>
      </c>
      <c r="J330" s="23" t="str">
        <f t="shared" si="117"/>
        <v>·</v>
      </c>
      <c r="K330" s="23" t="str">
        <f t="shared" si="118"/>
        <v>·</v>
      </c>
      <c r="L330" s="24"/>
      <c r="M330" s="23" t="str">
        <f t="shared" si="114"/>
        <v>·</v>
      </c>
      <c r="N330" s="23" t="str">
        <f t="shared" si="119"/>
        <v>·</v>
      </c>
      <c r="O330" s="25"/>
      <c r="P330" s="26"/>
      <c r="Q330" s="26"/>
      <c r="R330" s="40"/>
      <c r="S330" s="26"/>
      <c r="T330" s="42"/>
      <c r="U330" s="42"/>
      <c r="V330" s="42"/>
      <c r="W330" s="41"/>
      <c r="X330" s="50"/>
      <c r="Y330" s="50"/>
      <c r="AA330" s="22" t="str">
        <f t="shared" si="120"/>
        <v>·</v>
      </c>
      <c r="AB330" s="23" t="str">
        <f t="shared" si="121"/>
        <v>·</v>
      </c>
      <c r="AC330" s="23" t="str">
        <f t="shared" si="122"/>
        <v>·</v>
      </c>
      <c r="AD330" s="24"/>
      <c r="AE330" s="23" t="str">
        <f t="shared" si="115"/>
        <v>·</v>
      </c>
      <c r="AF330" s="23" t="str">
        <f t="shared" si="123"/>
        <v>·</v>
      </c>
      <c r="AG330" s="25"/>
      <c r="AH330" s="26"/>
      <c r="AI330" s="26"/>
      <c r="AJ330" s="40"/>
      <c r="AK330" s="26"/>
      <c r="AL330" s="42"/>
      <c r="AM330" s="42"/>
      <c r="AN330" s="42"/>
      <c r="AO330" s="41"/>
      <c r="AP330" s="50"/>
      <c r="AQ330" s="50"/>
      <c r="AS330" s="55" t="e">
        <f t="shared" si="124"/>
        <v>#DIV/0!</v>
      </c>
      <c r="AT330" s="55"/>
      <c r="AV330" s="62"/>
      <c r="AW330" s="62"/>
      <c r="AX330" s="62"/>
      <c r="AY330" s="56"/>
      <c r="BA330" s="62"/>
      <c r="BB330" s="62"/>
      <c r="BC330" s="62"/>
      <c r="BD330" s="56"/>
      <c r="BF330">
        <f t="shared" si="125"/>
        <v>0</v>
      </c>
      <c r="BG330">
        <f t="shared" si="126"/>
        <v>0</v>
      </c>
      <c r="BH330">
        <f t="shared" si="127"/>
        <v>0</v>
      </c>
      <c r="BI330">
        <f t="shared" si="128"/>
        <v>0</v>
      </c>
      <c r="BJ330">
        <f t="shared" si="129"/>
        <v>0</v>
      </c>
      <c r="BK330">
        <f t="shared" si="130"/>
        <v>0</v>
      </c>
      <c r="BL330">
        <f t="shared" si="131"/>
        <v>0</v>
      </c>
      <c r="BM330">
        <f t="shared" si="132"/>
        <v>0</v>
      </c>
      <c r="BN330">
        <f t="shared" si="133"/>
        <v>0</v>
      </c>
    </row>
    <row r="331" spans="1:66" outlineLevel="1" x14ac:dyDescent="0.15">
      <c r="A331" s="5"/>
      <c r="B331" s="5" t="s">
        <v>182</v>
      </c>
      <c r="C331" s="6" t="s">
        <v>256</v>
      </c>
      <c r="D331" s="5">
        <v>14430189</v>
      </c>
      <c r="E331" s="7">
        <v>18</v>
      </c>
      <c r="F331" s="6">
        <v>500</v>
      </c>
      <c r="G331" s="6">
        <v>5</v>
      </c>
      <c r="I331" s="17" t="str">
        <f t="shared" si="116"/>
        <v>·</v>
      </c>
      <c r="J331" s="18" t="str">
        <f t="shared" si="117"/>
        <v>·</v>
      </c>
      <c r="K331" s="18" t="str">
        <f t="shared" si="118"/>
        <v>·</v>
      </c>
      <c r="L331" s="19"/>
      <c r="M331" s="18" t="str">
        <f t="shared" si="114"/>
        <v>·</v>
      </c>
      <c r="N331" s="18" t="str">
        <f t="shared" si="119"/>
        <v>·</v>
      </c>
      <c r="O331" s="20"/>
      <c r="P331" s="21"/>
      <c r="Q331" s="21"/>
      <c r="R331" s="37"/>
      <c r="S331" s="21"/>
      <c r="T331" s="39"/>
      <c r="U331" s="39"/>
      <c r="V331" s="39"/>
      <c r="W331" s="38"/>
      <c r="X331" s="49"/>
      <c r="Y331" s="49"/>
      <c r="AA331" s="17" t="str">
        <f t="shared" si="120"/>
        <v>·</v>
      </c>
      <c r="AB331" s="18" t="str">
        <f t="shared" si="121"/>
        <v>·</v>
      </c>
      <c r="AC331" s="18" t="str">
        <f t="shared" si="122"/>
        <v>·</v>
      </c>
      <c r="AD331" s="19"/>
      <c r="AE331" s="18" t="str">
        <f t="shared" si="115"/>
        <v>·</v>
      </c>
      <c r="AF331" s="18" t="str">
        <f t="shared" si="123"/>
        <v>·</v>
      </c>
      <c r="AG331" s="20"/>
      <c r="AH331" s="21"/>
      <c r="AI331" s="21"/>
      <c r="AJ331" s="37"/>
      <c r="AK331" s="21"/>
      <c r="AL331" s="39"/>
      <c r="AM331" s="39"/>
      <c r="AN331" s="39"/>
      <c r="AO331" s="38"/>
      <c r="AP331" s="49"/>
      <c r="AQ331" s="49"/>
      <c r="AS331" s="53" t="e">
        <f t="shared" si="124"/>
        <v>#DIV/0!</v>
      </c>
      <c r="AT331" s="53"/>
      <c r="AV331" s="61"/>
      <c r="AW331" s="61"/>
      <c r="AX331" s="61"/>
      <c r="AY331" s="54"/>
      <c r="BA331" s="61"/>
      <c r="BB331" s="61"/>
      <c r="BC331" s="61"/>
      <c r="BD331" s="54"/>
      <c r="BF331">
        <f t="shared" si="125"/>
        <v>0</v>
      </c>
      <c r="BG331">
        <f t="shared" si="126"/>
        <v>0</v>
      </c>
      <c r="BH331">
        <f t="shared" si="127"/>
        <v>0</v>
      </c>
      <c r="BI331">
        <f t="shared" si="128"/>
        <v>0</v>
      </c>
      <c r="BJ331">
        <f t="shared" si="129"/>
        <v>0</v>
      </c>
      <c r="BK331">
        <f t="shared" si="130"/>
        <v>0</v>
      </c>
      <c r="BL331">
        <f t="shared" si="131"/>
        <v>0</v>
      </c>
      <c r="BM331">
        <f t="shared" si="132"/>
        <v>0</v>
      </c>
      <c r="BN331">
        <f t="shared" si="133"/>
        <v>0</v>
      </c>
    </row>
    <row r="332" spans="1:66" outlineLevel="1" x14ac:dyDescent="0.15">
      <c r="A332" s="8"/>
      <c r="B332" s="8" t="s">
        <v>182</v>
      </c>
      <c r="C332" s="9" t="s">
        <v>257</v>
      </c>
      <c r="D332" s="8">
        <v>14430189</v>
      </c>
      <c r="E332" s="10">
        <v>18</v>
      </c>
      <c r="F332" s="9">
        <v>500</v>
      </c>
      <c r="G332" s="9">
        <v>5</v>
      </c>
      <c r="I332" s="22" t="str">
        <f t="shared" si="116"/>
        <v>·</v>
      </c>
      <c r="J332" s="23" t="str">
        <f t="shared" si="117"/>
        <v>·</v>
      </c>
      <c r="K332" s="23" t="str">
        <f t="shared" si="118"/>
        <v>·</v>
      </c>
      <c r="L332" s="24"/>
      <c r="M332" s="23" t="str">
        <f t="shared" si="114"/>
        <v>·</v>
      </c>
      <c r="N332" s="23" t="str">
        <f t="shared" si="119"/>
        <v>·</v>
      </c>
      <c r="O332" s="25"/>
      <c r="P332" s="26"/>
      <c r="Q332" s="26"/>
      <c r="R332" s="40"/>
      <c r="S332" s="26"/>
      <c r="T332" s="42"/>
      <c r="U332" s="42"/>
      <c r="V332" s="42"/>
      <c r="W332" s="41"/>
      <c r="X332" s="50"/>
      <c r="Y332" s="50"/>
      <c r="AA332" s="22" t="str">
        <f t="shared" si="120"/>
        <v>·</v>
      </c>
      <c r="AB332" s="23" t="str">
        <f t="shared" si="121"/>
        <v>·</v>
      </c>
      <c r="AC332" s="23" t="str">
        <f t="shared" si="122"/>
        <v>·</v>
      </c>
      <c r="AD332" s="24"/>
      <c r="AE332" s="23" t="str">
        <f t="shared" si="115"/>
        <v>·</v>
      </c>
      <c r="AF332" s="23" t="str">
        <f t="shared" si="123"/>
        <v>·</v>
      </c>
      <c r="AG332" s="25"/>
      <c r="AH332" s="26"/>
      <c r="AI332" s="26"/>
      <c r="AJ332" s="40"/>
      <c r="AK332" s="26"/>
      <c r="AL332" s="42"/>
      <c r="AM332" s="42"/>
      <c r="AN332" s="42"/>
      <c r="AO332" s="41"/>
      <c r="AP332" s="50"/>
      <c r="AQ332" s="50"/>
      <c r="AS332" s="55" t="e">
        <f t="shared" si="124"/>
        <v>#DIV/0!</v>
      </c>
      <c r="AT332" s="55"/>
      <c r="AV332" s="62"/>
      <c r="AW332" s="62"/>
      <c r="AX332" s="62"/>
      <c r="AY332" s="56"/>
      <c r="BA332" s="62"/>
      <c r="BB332" s="62"/>
      <c r="BC332" s="62"/>
      <c r="BD332" s="56"/>
      <c r="BF332">
        <f t="shared" si="125"/>
        <v>0</v>
      </c>
      <c r="BG332">
        <f t="shared" si="126"/>
        <v>0</v>
      </c>
      <c r="BH332">
        <f t="shared" si="127"/>
        <v>0</v>
      </c>
      <c r="BI332">
        <f t="shared" si="128"/>
        <v>0</v>
      </c>
      <c r="BJ332">
        <f t="shared" si="129"/>
        <v>0</v>
      </c>
      <c r="BK332">
        <f t="shared" si="130"/>
        <v>0</v>
      </c>
      <c r="BL332">
        <f t="shared" si="131"/>
        <v>0</v>
      </c>
      <c r="BM332">
        <f t="shared" si="132"/>
        <v>0</v>
      </c>
      <c r="BN332">
        <f t="shared" si="133"/>
        <v>0</v>
      </c>
    </row>
    <row r="333" spans="1:66" outlineLevel="1" x14ac:dyDescent="0.15">
      <c r="A333" s="5"/>
      <c r="B333" s="5" t="s">
        <v>182</v>
      </c>
      <c r="C333" s="6" t="s">
        <v>258</v>
      </c>
      <c r="D333" s="5">
        <v>14430189</v>
      </c>
      <c r="E333" s="7">
        <v>18</v>
      </c>
      <c r="F333" s="6">
        <v>500</v>
      </c>
      <c r="G333" s="6">
        <v>5</v>
      </c>
      <c r="I333" s="17" t="str">
        <f t="shared" si="116"/>
        <v>·</v>
      </c>
      <c r="J333" s="18" t="str">
        <f t="shared" si="117"/>
        <v>·</v>
      </c>
      <c r="K333" s="18" t="str">
        <f t="shared" si="118"/>
        <v>·</v>
      </c>
      <c r="L333" s="19"/>
      <c r="M333" s="18" t="str">
        <f t="shared" si="114"/>
        <v>·</v>
      </c>
      <c r="N333" s="18" t="str">
        <f t="shared" si="119"/>
        <v>·</v>
      </c>
      <c r="O333" s="20"/>
      <c r="P333" s="21"/>
      <c r="Q333" s="21"/>
      <c r="R333" s="37"/>
      <c r="S333" s="21"/>
      <c r="T333" s="39"/>
      <c r="U333" s="39"/>
      <c r="V333" s="39"/>
      <c r="W333" s="38"/>
      <c r="X333" s="49"/>
      <c r="Y333" s="49"/>
      <c r="AA333" s="17" t="str">
        <f t="shared" si="120"/>
        <v>·</v>
      </c>
      <c r="AB333" s="18" t="str">
        <f t="shared" si="121"/>
        <v>·</v>
      </c>
      <c r="AC333" s="18" t="str">
        <f t="shared" si="122"/>
        <v>·</v>
      </c>
      <c r="AD333" s="19"/>
      <c r="AE333" s="18" t="str">
        <f t="shared" si="115"/>
        <v>·</v>
      </c>
      <c r="AF333" s="18" t="str">
        <f t="shared" si="123"/>
        <v>·</v>
      </c>
      <c r="AG333" s="20"/>
      <c r="AH333" s="21"/>
      <c r="AI333" s="21"/>
      <c r="AJ333" s="37"/>
      <c r="AK333" s="21"/>
      <c r="AL333" s="39"/>
      <c r="AM333" s="39"/>
      <c r="AN333" s="39"/>
      <c r="AO333" s="38"/>
      <c r="AP333" s="49"/>
      <c r="AQ333" s="49"/>
      <c r="AS333" s="53" t="e">
        <f t="shared" si="124"/>
        <v>#DIV/0!</v>
      </c>
      <c r="AT333" s="53"/>
      <c r="AV333" s="61"/>
      <c r="AW333" s="61"/>
      <c r="AX333" s="61"/>
      <c r="AY333" s="54"/>
      <c r="BA333" s="61"/>
      <c r="BB333" s="61"/>
      <c r="BC333" s="61"/>
      <c r="BD333" s="54"/>
      <c r="BF333">
        <f t="shared" si="125"/>
        <v>0</v>
      </c>
      <c r="BG333">
        <f t="shared" si="126"/>
        <v>0</v>
      </c>
      <c r="BH333">
        <f t="shared" si="127"/>
        <v>0</v>
      </c>
      <c r="BI333">
        <f t="shared" si="128"/>
        <v>0</v>
      </c>
      <c r="BJ333">
        <f t="shared" si="129"/>
        <v>0</v>
      </c>
      <c r="BK333">
        <f t="shared" si="130"/>
        <v>0</v>
      </c>
      <c r="BL333">
        <f t="shared" si="131"/>
        <v>0</v>
      </c>
      <c r="BM333">
        <f t="shared" si="132"/>
        <v>0</v>
      </c>
      <c r="BN333">
        <f t="shared" si="133"/>
        <v>0</v>
      </c>
    </row>
    <row r="334" spans="1:66" outlineLevel="1" x14ac:dyDescent="0.15">
      <c r="A334" s="8"/>
      <c r="B334" s="14" t="s">
        <v>182</v>
      </c>
      <c r="C334" s="15" t="s">
        <v>259</v>
      </c>
      <c r="D334" s="14">
        <v>14430189</v>
      </c>
      <c r="E334" s="16">
        <v>18</v>
      </c>
      <c r="F334" s="15">
        <v>500</v>
      </c>
      <c r="G334" s="15">
        <v>5</v>
      </c>
      <c r="I334" s="32" t="str">
        <f t="shared" si="116"/>
        <v>·</v>
      </c>
      <c r="J334" s="33" t="str">
        <f t="shared" si="117"/>
        <v>·</v>
      </c>
      <c r="K334" s="33" t="str">
        <f t="shared" si="118"/>
        <v>·</v>
      </c>
      <c r="L334" s="34"/>
      <c r="M334" s="33" t="str">
        <f t="shared" si="114"/>
        <v>·</v>
      </c>
      <c r="N334" s="33" t="str">
        <f t="shared" si="119"/>
        <v>·</v>
      </c>
      <c r="O334" s="35"/>
      <c r="P334" s="36"/>
      <c r="Q334" s="36"/>
      <c r="R334" s="46"/>
      <c r="S334" s="36"/>
      <c r="T334" s="48"/>
      <c r="U334" s="48"/>
      <c r="V334" s="48"/>
      <c r="W334" s="47"/>
      <c r="X334" s="52"/>
      <c r="Y334" s="52"/>
      <c r="AA334" s="32" t="str">
        <f t="shared" si="120"/>
        <v>·</v>
      </c>
      <c r="AB334" s="33" t="str">
        <f t="shared" si="121"/>
        <v>·</v>
      </c>
      <c r="AC334" s="33" t="str">
        <f t="shared" si="122"/>
        <v>·</v>
      </c>
      <c r="AD334" s="34"/>
      <c r="AE334" s="33" t="str">
        <f t="shared" si="115"/>
        <v>·</v>
      </c>
      <c r="AF334" s="33" t="str">
        <f t="shared" si="123"/>
        <v>·</v>
      </c>
      <c r="AG334" s="35"/>
      <c r="AH334" s="36"/>
      <c r="AI334" s="36"/>
      <c r="AJ334" s="46"/>
      <c r="AK334" s="36"/>
      <c r="AL334" s="48"/>
      <c r="AM334" s="48"/>
      <c r="AN334" s="48"/>
      <c r="AO334" s="47"/>
      <c r="AP334" s="52"/>
      <c r="AQ334" s="52"/>
      <c r="AS334" s="59" t="e">
        <f t="shared" si="124"/>
        <v>#DIV/0!</v>
      </c>
      <c r="AT334" s="59"/>
      <c r="AV334" s="64"/>
      <c r="AW334" s="64"/>
      <c r="AX334" s="64"/>
      <c r="AY334" s="60"/>
      <c r="BA334" s="64"/>
      <c r="BB334" s="64"/>
      <c r="BC334" s="64"/>
      <c r="BD334" s="60"/>
      <c r="BF334">
        <f t="shared" si="125"/>
        <v>0</v>
      </c>
      <c r="BG334">
        <f t="shared" si="126"/>
        <v>0</v>
      </c>
      <c r="BH334">
        <f t="shared" si="127"/>
        <v>0</v>
      </c>
      <c r="BI334">
        <f t="shared" si="128"/>
        <v>0</v>
      </c>
      <c r="BJ334">
        <f t="shared" si="129"/>
        <v>0</v>
      </c>
      <c r="BK334">
        <f t="shared" si="130"/>
        <v>0</v>
      </c>
      <c r="BL334">
        <f t="shared" si="131"/>
        <v>0</v>
      </c>
      <c r="BM334">
        <f t="shared" si="132"/>
        <v>0</v>
      </c>
      <c r="BN334">
        <f t="shared" si="133"/>
        <v>0</v>
      </c>
    </row>
    <row r="335" spans="1:66" x14ac:dyDescent="0.15">
      <c r="A335" s="5"/>
      <c r="B335" s="5" t="s">
        <v>183</v>
      </c>
      <c r="C335" s="6" t="s">
        <v>254</v>
      </c>
      <c r="D335" s="5">
        <v>8167066</v>
      </c>
      <c r="E335" s="7">
        <v>18</v>
      </c>
      <c r="F335" s="6">
        <v>300</v>
      </c>
      <c r="G335" s="6">
        <v>5</v>
      </c>
      <c r="I335" s="17" t="str">
        <f t="shared" si="116"/>
        <v>·</v>
      </c>
      <c r="J335" s="18" t="str">
        <f t="shared" si="117"/>
        <v>·</v>
      </c>
      <c r="K335" s="18" t="str">
        <f t="shared" si="118"/>
        <v>·</v>
      </c>
      <c r="L335" s="19"/>
      <c r="M335" s="18" t="str">
        <f t="shared" si="114"/>
        <v>·</v>
      </c>
      <c r="N335" s="18" t="str">
        <f t="shared" si="119"/>
        <v>·</v>
      </c>
      <c r="O335" s="20"/>
      <c r="P335" s="21"/>
      <c r="Q335" s="21"/>
      <c r="R335" s="37"/>
      <c r="S335" s="21"/>
      <c r="T335" s="39"/>
      <c r="U335" s="39"/>
      <c r="V335" s="39"/>
      <c r="W335" s="38"/>
      <c r="X335" s="49"/>
      <c r="Y335" s="49"/>
      <c r="AA335" s="17" t="str">
        <f t="shared" si="120"/>
        <v>·</v>
      </c>
      <c r="AB335" s="18" t="str">
        <f t="shared" si="121"/>
        <v>·</v>
      </c>
      <c r="AC335" s="18" t="str">
        <f t="shared" si="122"/>
        <v>·</v>
      </c>
      <c r="AD335" s="19"/>
      <c r="AE335" s="18" t="str">
        <f t="shared" si="115"/>
        <v>·</v>
      </c>
      <c r="AF335" s="18" t="str">
        <f t="shared" si="123"/>
        <v>·</v>
      </c>
      <c r="AG335" s="20"/>
      <c r="AH335" s="21"/>
      <c r="AI335" s="21"/>
      <c r="AJ335" s="37"/>
      <c r="AK335" s="21"/>
      <c r="AL335" s="39"/>
      <c r="AM335" s="39"/>
      <c r="AN335" s="39"/>
      <c r="AO335" s="38"/>
      <c r="AP335" s="49"/>
      <c r="AQ335" s="49"/>
      <c r="AS335" s="53" t="e">
        <f t="shared" si="124"/>
        <v>#DIV/0!</v>
      </c>
      <c r="AT335" s="53" t="e">
        <f t="array" ref="AT335">AVERAGE(AI335:AI340/AH335:AH340)-AVERAGE(Q335:Q340/P335:P340)</f>
        <v>#DIV/0!</v>
      </c>
      <c r="AV335" s="61"/>
      <c r="AW335" s="61"/>
      <c r="AX335" s="61"/>
      <c r="AY335" s="54" t="str">
        <f>IF(OR(ISBLANK(S335:S340),ISBLANK(AK335:AK340),ISBLANK(W335:W340),ISBLANK(AO335:AO340)),"·",bdRateExtend(S335:S340,W335:W340,AK335:AK340,AO335:AO340))</f>
        <v>·</v>
      </c>
      <c r="BA335" s="61"/>
      <c r="BB335" s="61"/>
      <c r="BC335" s="61"/>
      <c r="BD335" s="54" t="str">
        <f>IF(OR(ISBLANK(P335:P340),ISBLANK(AH335:AH340),ISBLANK(W335:W340),ISBLANK(AO335:AO340)),"·",bdRateExtend(P335:P340,W335:W340,AH335:AH340,AO335:AO340))</f>
        <v>·</v>
      </c>
      <c r="BF335">
        <f t="shared" si="125"/>
        <v>0</v>
      </c>
      <c r="BG335">
        <f t="shared" si="126"/>
        <v>0</v>
      </c>
      <c r="BH335">
        <f t="shared" si="127"/>
        <v>0</v>
      </c>
      <c r="BI335">
        <f t="shared" si="128"/>
        <v>0</v>
      </c>
      <c r="BJ335">
        <f t="shared" si="129"/>
        <v>0</v>
      </c>
      <c r="BK335">
        <f t="shared" si="130"/>
        <v>0</v>
      </c>
      <c r="BL335">
        <f t="shared" si="131"/>
        <v>0</v>
      </c>
      <c r="BM335">
        <f t="shared" si="132"/>
        <v>0</v>
      </c>
      <c r="BN335">
        <f t="shared" si="133"/>
        <v>0</v>
      </c>
    </row>
    <row r="336" spans="1:66" outlineLevel="1" x14ac:dyDescent="0.15">
      <c r="A336" s="8"/>
      <c r="B336" s="8" t="s">
        <v>183</v>
      </c>
      <c r="C336" s="9" t="s">
        <v>255</v>
      </c>
      <c r="D336" s="8">
        <v>8167066</v>
      </c>
      <c r="E336" s="10">
        <v>18</v>
      </c>
      <c r="F336" s="9">
        <v>300</v>
      </c>
      <c r="G336" s="9">
        <v>5</v>
      </c>
      <c r="I336" s="22" t="str">
        <f t="shared" si="116"/>
        <v>·</v>
      </c>
      <c r="J336" s="23" t="str">
        <f t="shared" si="117"/>
        <v>·</v>
      </c>
      <c r="K336" s="23" t="str">
        <f t="shared" si="118"/>
        <v>·</v>
      </c>
      <c r="L336" s="24"/>
      <c r="M336" s="23" t="str">
        <f t="shared" si="114"/>
        <v>·</v>
      </c>
      <c r="N336" s="23" t="str">
        <f t="shared" si="119"/>
        <v>·</v>
      </c>
      <c r="O336" s="25"/>
      <c r="P336" s="26"/>
      <c r="Q336" s="26"/>
      <c r="R336" s="40"/>
      <c r="S336" s="26"/>
      <c r="T336" s="42"/>
      <c r="U336" s="42"/>
      <c r="V336" s="42"/>
      <c r="W336" s="41"/>
      <c r="X336" s="50"/>
      <c r="Y336" s="50"/>
      <c r="AA336" s="22" t="str">
        <f t="shared" si="120"/>
        <v>·</v>
      </c>
      <c r="AB336" s="23" t="str">
        <f t="shared" si="121"/>
        <v>·</v>
      </c>
      <c r="AC336" s="23" t="str">
        <f t="shared" si="122"/>
        <v>·</v>
      </c>
      <c r="AD336" s="24"/>
      <c r="AE336" s="23" t="str">
        <f t="shared" si="115"/>
        <v>·</v>
      </c>
      <c r="AF336" s="23" t="str">
        <f t="shared" si="123"/>
        <v>·</v>
      </c>
      <c r="AG336" s="25"/>
      <c r="AH336" s="26"/>
      <c r="AI336" s="26"/>
      <c r="AJ336" s="40"/>
      <c r="AK336" s="26"/>
      <c r="AL336" s="42"/>
      <c r="AM336" s="42"/>
      <c r="AN336" s="42"/>
      <c r="AO336" s="41"/>
      <c r="AP336" s="50"/>
      <c r="AQ336" s="50"/>
      <c r="AS336" s="55" t="e">
        <f t="shared" si="124"/>
        <v>#DIV/0!</v>
      </c>
      <c r="AT336" s="55"/>
      <c r="AV336" s="62"/>
      <c r="AW336" s="62"/>
      <c r="AX336" s="62"/>
      <c r="AY336" s="56"/>
      <c r="BA336" s="62"/>
      <c r="BB336" s="62"/>
      <c r="BC336" s="62"/>
      <c r="BD336" s="56"/>
      <c r="BF336">
        <f t="shared" si="125"/>
        <v>0</v>
      </c>
      <c r="BG336">
        <f t="shared" si="126"/>
        <v>0</v>
      </c>
      <c r="BH336">
        <f t="shared" si="127"/>
        <v>0</v>
      </c>
      <c r="BI336">
        <f t="shared" si="128"/>
        <v>0</v>
      </c>
      <c r="BJ336">
        <f t="shared" si="129"/>
        <v>0</v>
      </c>
      <c r="BK336">
        <f t="shared" si="130"/>
        <v>0</v>
      </c>
      <c r="BL336">
        <f t="shared" si="131"/>
        <v>0</v>
      </c>
      <c r="BM336">
        <f t="shared" si="132"/>
        <v>0</v>
      </c>
      <c r="BN336">
        <f t="shared" si="133"/>
        <v>0</v>
      </c>
    </row>
    <row r="337" spans="1:66" outlineLevel="1" x14ac:dyDescent="0.15">
      <c r="A337" s="5"/>
      <c r="B337" s="5" t="s">
        <v>183</v>
      </c>
      <c r="C337" s="6" t="s">
        <v>256</v>
      </c>
      <c r="D337" s="5">
        <v>8167066</v>
      </c>
      <c r="E337" s="7">
        <v>18</v>
      </c>
      <c r="F337" s="6">
        <v>300</v>
      </c>
      <c r="G337" s="6">
        <v>5</v>
      </c>
      <c r="I337" s="17" t="str">
        <f t="shared" si="116"/>
        <v>·</v>
      </c>
      <c r="J337" s="18" t="str">
        <f t="shared" si="117"/>
        <v>·</v>
      </c>
      <c r="K337" s="18" t="str">
        <f t="shared" si="118"/>
        <v>·</v>
      </c>
      <c r="L337" s="19"/>
      <c r="M337" s="18" t="str">
        <f t="shared" si="114"/>
        <v>·</v>
      </c>
      <c r="N337" s="18" t="str">
        <f t="shared" si="119"/>
        <v>·</v>
      </c>
      <c r="O337" s="20"/>
      <c r="P337" s="21"/>
      <c r="Q337" s="21"/>
      <c r="R337" s="37"/>
      <c r="S337" s="21"/>
      <c r="T337" s="39"/>
      <c r="U337" s="39"/>
      <c r="V337" s="39"/>
      <c r="W337" s="38"/>
      <c r="X337" s="49"/>
      <c r="Y337" s="49"/>
      <c r="AA337" s="17" t="str">
        <f t="shared" si="120"/>
        <v>·</v>
      </c>
      <c r="AB337" s="18" t="str">
        <f t="shared" si="121"/>
        <v>·</v>
      </c>
      <c r="AC337" s="18" t="str">
        <f t="shared" si="122"/>
        <v>·</v>
      </c>
      <c r="AD337" s="19"/>
      <c r="AE337" s="18" t="str">
        <f t="shared" si="115"/>
        <v>·</v>
      </c>
      <c r="AF337" s="18" t="str">
        <f t="shared" si="123"/>
        <v>·</v>
      </c>
      <c r="AG337" s="20"/>
      <c r="AH337" s="21"/>
      <c r="AI337" s="21"/>
      <c r="AJ337" s="37"/>
      <c r="AK337" s="21"/>
      <c r="AL337" s="39"/>
      <c r="AM337" s="39"/>
      <c r="AN337" s="39"/>
      <c r="AO337" s="38"/>
      <c r="AP337" s="49"/>
      <c r="AQ337" s="49"/>
      <c r="AS337" s="53" t="e">
        <f t="shared" si="124"/>
        <v>#DIV/0!</v>
      </c>
      <c r="AT337" s="53"/>
      <c r="AV337" s="61"/>
      <c r="AW337" s="61"/>
      <c r="AX337" s="61"/>
      <c r="AY337" s="54"/>
      <c r="BA337" s="61"/>
      <c r="BB337" s="61"/>
      <c r="BC337" s="61"/>
      <c r="BD337" s="54"/>
      <c r="BF337">
        <f t="shared" si="125"/>
        <v>0</v>
      </c>
      <c r="BG337">
        <f t="shared" si="126"/>
        <v>0</v>
      </c>
      <c r="BH337">
        <f t="shared" si="127"/>
        <v>0</v>
      </c>
      <c r="BI337">
        <f t="shared" si="128"/>
        <v>0</v>
      </c>
      <c r="BJ337">
        <f t="shared" si="129"/>
        <v>0</v>
      </c>
      <c r="BK337">
        <f t="shared" si="130"/>
        <v>0</v>
      </c>
      <c r="BL337">
        <f t="shared" si="131"/>
        <v>0</v>
      </c>
      <c r="BM337">
        <f t="shared" si="132"/>
        <v>0</v>
      </c>
      <c r="BN337">
        <f t="shared" si="133"/>
        <v>0</v>
      </c>
    </row>
    <row r="338" spans="1:66" outlineLevel="1" x14ac:dyDescent="0.15">
      <c r="A338" s="8"/>
      <c r="B338" s="8" t="s">
        <v>183</v>
      </c>
      <c r="C338" s="9" t="s">
        <v>257</v>
      </c>
      <c r="D338" s="8">
        <v>8167066</v>
      </c>
      <c r="E338" s="10">
        <v>18</v>
      </c>
      <c r="F338" s="9">
        <v>300</v>
      </c>
      <c r="G338" s="9">
        <v>5</v>
      </c>
      <c r="I338" s="22" t="str">
        <f t="shared" si="116"/>
        <v>·</v>
      </c>
      <c r="J338" s="23" t="str">
        <f t="shared" si="117"/>
        <v>·</v>
      </c>
      <c r="K338" s="23" t="str">
        <f t="shared" si="118"/>
        <v>·</v>
      </c>
      <c r="L338" s="24"/>
      <c r="M338" s="23" t="str">
        <f t="shared" si="114"/>
        <v>·</v>
      </c>
      <c r="N338" s="23" t="str">
        <f t="shared" si="119"/>
        <v>·</v>
      </c>
      <c r="O338" s="25"/>
      <c r="P338" s="26"/>
      <c r="Q338" s="26"/>
      <c r="R338" s="40"/>
      <c r="S338" s="26"/>
      <c r="T338" s="42"/>
      <c r="U338" s="42"/>
      <c r="V338" s="42"/>
      <c r="W338" s="41"/>
      <c r="X338" s="50"/>
      <c r="Y338" s="50"/>
      <c r="AA338" s="22" t="str">
        <f t="shared" si="120"/>
        <v>·</v>
      </c>
      <c r="AB338" s="23" t="str">
        <f t="shared" si="121"/>
        <v>·</v>
      </c>
      <c r="AC338" s="23" t="str">
        <f t="shared" si="122"/>
        <v>·</v>
      </c>
      <c r="AD338" s="24"/>
      <c r="AE338" s="23" t="str">
        <f t="shared" si="115"/>
        <v>·</v>
      </c>
      <c r="AF338" s="23" t="str">
        <f t="shared" si="123"/>
        <v>·</v>
      </c>
      <c r="AG338" s="25"/>
      <c r="AH338" s="26"/>
      <c r="AI338" s="26"/>
      <c r="AJ338" s="40"/>
      <c r="AK338" s="26"/>
      <c r="AL338" s="42"/>
      <c r="AM338" s="42"/>
      <c r="AN338" s="42"/>
      <c r="AO338" s="41"/>
      <c r="AP338" s="50"/>
      <c r="AQ338" s="50"/>
      <c r="AS338" s="55" t="e">
        <f t="shared" si="124"/>
        <v>#DIV/0!</v>
      </c>
      <c r="AT338" s="55"/>
      <c r="AV338" s="62"/>
      <c r="AW338" s="62"/>
      <c r="AX338" s="62"/>
      <c r="AY338" s="56"/>
      <c r="BA338" s="62"/>
      <c r="BB338" s="62"/>
      <c r="BC338" s="62"/>
      <c r="BD338" s="56"/>
      <c r="BF338">
        <f t="shared" si="125"/>
        <v>0</v>
      </c>
      <c r="BG338">
        <f t="shared" si="126"/>
        <v>0</v>
      </c>
      <c r="BH338">
        <f t="shared" si="127"/>
        <v>0</v>
      </c>
      <c r="BI338">
        <f t="shared" si="128"/>
        <v>0</v>
      </c>
      <c r="BJ338">
        <f t="shared" si="129"/>
        <v>0</v>
      </c>
      <c r="BK338">
        <f t="shared" si="130"/>
        <v>0</v>
      </c>
      <c r="BL338">
        <f t="shared" si="131"/>
        <v>0</v>
      </c>
      <c r="BM338">
        <f t="shared" si="132"/>
        <v>0</v>
      </c>
      <c r="BN338">
        <f t="shared" si="133"/>
        <v>0</v>
      </c>
    </row>
    <row r="339" spans="1:66" outlineLevel="1" x14ac:dyDescent="0.15">
      <c r="A339" s="5"/>
      <c r="B339" s="5" t="s">
        <v>183</v>
      </c>
      <c r="C339" s="6" t="s">
        <v>258</v>
      </c>
      <c r="D339" s="5">
        <v>8167066</v>
      </c>
      <c r="E339" s="7">
        <v>18</v>
      </c>
      <c r="F339" s="6">
        <v>300</v>
      </c>
      <c r="G339" s="6">
        <v>5</v>
      </c>
      <c r="I339" s="17" t="str">
        <f t="shared" si="116"/>
        <v>·</v>
      </c>
      <c r="J339" s="18" t="str">
        <f t="shared" si="117"/>
        <v>·</v>
      </c>
      <c r="K339" s="18" t="str">
        <f t="shared" si="118"/>
        <v>·</v>
      </c>
      <c r="L339" s="19"/>
      <c r="M339" s="18" t="str">
        <f t="shared" si="114"/>
        <v>·</v>
      </c>
      <c r="N339" s="18" t="str">
        <f t="shared" si="119"/>
        <v>·</v>
      </c>
      <c r="O339" s="20"/>
      <c r="P339" s="21"/>
      <c r="Q339" s="21"/>
      <c r="R339" s="37"/>
      <c r="S339" s="21"/>
      <c r="T339" s="39"/>
      <c r="U339" s="39"/>
      <c r="V339" s="39"/>
      <c r="W339" s="38"/>
      <c r="X339" s="49"/>
      <c r="Y339" s="49"/>
      <c r="AA339" s="17" t="str">
        <f t="shared" si="120"/>
        <v>·</v>
      </c>
      <c r="AB339" s="18" t="str">
        <f t="shared" si="121"/>
        <v>·</v>
      </c>
      <c r="AC339" s="18" t="str">
        <f t="shared" si="122"/>
        <v>·</v>
      </c>
      <c r="AD339" s="19"/>
      <c r="AE339" s="18" t="str">
        <f t="shared" si="115"/>
        <v>·</v>
      </c>
      <c r="AF339" s="18" t="str">
        <f t="shared" si="123"/>
        <v>·</v>
      </c>
      <c r="AG339" s="20"/>
      <c r="AH339" s="21"/>
      <c r="AI339" s="21"/>
      <c r="AJ339" s="37"/>
      <c r="AK339" s="21"/>
      <c r="AL339" s="39"/>
      <c r="AM339" s="39"/>
      <c r="AN339" s="39"/>
      <c r="AO339" s="38"/>
      <c r="AP339" s="49"/>
      <c r="AQ339" s="49"/>
      <c r="AS339" s="53" t="e">
        <f t="shared" si="124"/>
        <v>#DIV/0!</v>
      </c>
      <c r="AT339" s="53"/>
      <c r="AV339" s="61"/>
      <c r="AW339" s="61"/>
      <c r="AX339" s="61"/>
      <c r="AY339" s="54"/>
      <c r="BA339" s="61"/>
      <c r="BB339" s="61"/>
      <c r="BC339" s="61"/>
      <c r="BD339" s="54"/>
      <c r="BF339">
        <f t="shared" si="125"/>
        <v>0</v>
      </c>
      <c r="BG339">
        <f t="shared" si="126"/>
        <v>0</v>
      </c>
      <c r="BH339">
        <f t="shared" si="127"/>
        <v>0</v>
      </c>
      <c r="BI339">
        <f t="shared" si="128"/>
        <v>0</v>
      </c>
      <c r="BJ339">
        <f t="shared" si="129"/>
        <v>0</v>
      </c>
      <c r="BK339">
        <f t="shared" si="130"/>
        <v>0</v>
      </c>
      <c r="BL339">
        <f t="shared" si="131"/>
        <v>0</v>
      </c>
      <c r="BM339">
        <f t="shared" si="132"/>
        <v>0</v>
      </c>
      <c r="BN339">
        <f t="shared" si="133"/>
        <v>0</v>
      </c>
    </row>
    <row r="340" spans="1:66" outlineLevel="1" x14ac:dyDescent="0.15">
      <c r="A340" s="14"/>
      <c r="B340" s="14" t="s">
        <v>183</v>
      </c>
      <c r="C340" s="15" t="s">
        <v>259</v>
      </c>
      <c r="D340" s="14">
        <v>8167066</v>
      </c>
      <c r="E340" s="16">
        <v>18</v>
      </c>
      <c r="F340" s="15">
        <v>300</v>
      </c>
      <c r="G340" s="15">
        <v>5</v>
      </c>
      <c r="I340" s="32" t="str">
        <f t="shared" si="116"/>
        <v>·</v>
      </c>
      <c r="J340" s="33" t="str">
        <f t="shared" si="117"/>
        <v>·</v>
      </c>
      <c r="K340" s="33" t="str">
        <f t="shared" si="118"/>
        <v>·</v>
      </c>
      <c r="L340" s="34"/>
      <c r="M340" s="33" t="str">
        <f t="shared" si="114"/>
        <v>·</v>
      </c>
      <c r="N340" s="33" t="str">
        <f t="shared" si="119"/>
        <v>·</v>
      </c>
      <c r="O340" s="35"/>
      <c r="P340" s="36"/>
      <c r="Q340" s="36"/>
      <c r="R340" s="46"/>
      <c r="S340" s="36"/>
      <c r="T340" s="48"/>
      <c r="U340" s="48"/>
      <c r="V340" s="48"/>
      <c r="W340" s="47"/>
      <c r="X340" s="52"/>
      <c r="Y340" s="52"/>
      <c r="AA340" s="32" t="str">
        <f t="shared" si="120"/>
        <v>·</v>
      </c>
      <c r="AB340" s="33" t="str">
        <f t="shared" si="121"/>
        <v>·</v>
      </c>
      <c r="AC340" s="33" t="str">
        <f t="shared" si="122"/>
        <v>·</v>
      </c>
      <c r="AD340" s="34"/>
      <c r="AE340" s="33" t="str">
        <f t="shared" si="115"/>
        <v>·</v>
      </c>
      <c r="AF340" s="33" t="str">
        <f t="shared" si="123"/>
        <v>·</v>
      </c>
      <c r="AG340" s="35"/>
      <c r="AH340" s="36"/>
      <c r="AI340" s="36"/>
      <c r="AJ340" s="46"/>
      <c r="AK340" s="36"/>
      <c r="AL340" s="48"/>
      <c r="AM340" s="48"/>
      <c r="AN340" s="48"/>
      <c r="AO340" s="47"/>
      <c r="AP340" s="52"/>
      <c r="AQ340" s="52"/>
      <c r="AS340" s="59" t="e">
        <f t="shared" si="124"/>
        <v>#DIV/0!</v>
      </c>
      <c r="AT340" s="59"/>
      <c r="AV340" s="64"/>
      <c r="AW340" s="64"/>
      <c r="AX340" s="64"/>
      <c r="AY340" s="60"/>
      <c r="BA340" s="64"/>
      <c r="BB340" s="64"/>
      <c r="BC340" s="64"/>
      <c r="BD340" s="60"/>
      <c r="BF340">
        <f t="shared" si="125"/>
        <v>0</v>
      </c>
      <c r="BG340">
        <f t="shared" si="126"/>
        <v>0</v>
      </c>
      <c r="BH340">
        <f t="shared" si="127"/>
        <v>0</v>
      </c>
      <c r="BI340">
        <f t="shared" si="128"/>
        <v>0</v>
      </c>
      <c r="BJ340">
        <f t="shared" si="129"/>
        <v>0</v>
      </c>
      <c r="BK340">
        <f t="shared" si="130"/>
        <v>0</v>
      </c>
      <c r="BL340">
        <f t="shared" si="131"/>
        <v>0</v>
      </c>
      <c r="BM340">
        <f t="shared" si="132"/>
        <v>0</v>
      </c>
      <c r="BN340">
        <f t="shared" si="133"/>
        <v>0</v>
      </c>
    </row>
    <row r="341" spans="1:66" x14ac:dyDescent="0.15">
      <c r="B341" s="65" t="s">
        <v>10</v>
      </c>
      <c r="J341" s="66" t="e">
        <f>AVERAGE(J5:J136)</f>
        <v>#DIV/0!</v>
      </c>
      <c r="K341" s="66" t="e">
        <f>AVERAGE(K5:K136)</f>
        <v>#DIV/0!</v>
      </c>
      <c r="L341" s="66" t="e">
        <f>AVERAGE(L5:L136)</f>
        <v>#DIV/0!</v>
      </c>
      <c r="M341" s="67"/>
      <c r="AB341" s="66" t="e">
        <f>AVERAGE(AB5:AB136)</f>
        <v>#DIV/0!</v>
      </c>
      <c r="AC341" s="66" t="e">
        <f>AVERAGE(AC5:AC136)</f>
        <v>#DIV/0!</v>
      </c>
      <c r="AD341" s="66" t="e">
        <f>AVERAGE(AD5:AD136)</f>
        <v>#DIV/0!</v>
      </c>
      <c r="AE341" s="67"/>
      <c r="AT341" s="69" t="e">
        <f>AVERAGE(AT5:AT136)</f>
        <v>#DIV/0!</v>
      </c>
      <c r="AV341" s="70" t="e">
        <f>AVERAGE(AV5:AV136)</f>
        <v>#DIV/0!</v>
      </c>
      <c r="AW341" s="70" t="e">
        <f>AVERAGE(AW5:AW136)</f>
        <v>#DIV/0!</v>
      </c>
      <c r="AX341" s="70" t="e">
        <f>AVERAGE(AX5:AX136)</f>
        <v>#DIV/0!</v>
      </c>
      <c r="AY341" s="71"/>
      <c r="BA341" s="70" t="e">
        <f>AVERAGE(BA5:BA136)</f>
        <v>#DIV/0!</v>
      </c>
      <c r="BB341" s="70" t="e">
        <f>AVERAGE(BB5:BB136)</f>
        <v>#DIV/0!</v>
      </c>
      <c r="BC341" s="70" t="e">
        <f>AVERAGE(BC5:BC136)</f>
        <v>#DIV/0!</v>
      </c>
      <c r="BD341" s="71"/>
    </row>
    <row r="342" spans="1:66" x14ac:dyDescent="0.15">
      <c r="B342" s="65" t="s">
        <v>11</v>
      </c>
      <c r="J342" s="66" t="e">
        <f>AVERAGE(J137:J280)</f>
        <v>#DIV/0!</v>
      </c>
      <c r="K342" s="66" t="e">
        <f>AVERAGE(K137:K280)</f>
        <v>#DIV/0!</v>
      </c>
      <c r="L342" s="66" t="e">
        <f>AVERAGE(L137:L280)</f>
        <v>#DIV/0!</v>
      </c>
      <c r="M342" s="67"/>
      <c r="AB342" s="66" t="e">
        <f>AVERAGE(AB137:AB280)</f>
        <v>#DIV/0!</v>
      </c>
      <c r="AC342" s="66" t="e">
        <f>AVERAGE(AC137:AC280)</f>
        <v>#DIV/0!</v>
      </c>
      <c r="AD342" s="66" t="e">
        <f>AVERAGE(AD137:AD280)</f>
        <v>#DIV/0!</v>
      </c>
      <c r="AE342" s="67"/>
      <c r="AT342" s="69" t="e">
        <f>AVERAGE(AT137:AT280)</f>
        <v>#DIV/0!</v>
      </c>
      <c r="AV342" s="70" t="e">
        <f>AVERAGE(AV137:AV280)</f>
        <v>#DIV/0!</v>
      </c>
      <c r="AW342" s="70" t="e">
        <f>AVERAGE(AW137:AW280)</f>
        <v>#DIV/0!</v>
      </c>
      <c r="AX342" s="70" t="e">
        <f>AVERAGE(AX137:AX280)</f>
        <v>#DIV/0!</v>
      </c>
      <c r="AY342" s="71"/>
      <c r="BA342" s="70" t="e">
        <f>AVERAGE(BA137:BA280)</f>
        <v>#DIV/0!</v>
      </c>
      <c r="BB342" s="70" t="e">
        <f>AVERAGE(BB137:BB280)</f>
        <v>#DIV/0!</v>
      </c>
      <c r="BC342" s="70" t="e">
        <f>AVERAGE(BC137:BC280)</f>
        <v>#DIV/0!</v>
      </c>
      <c r="BD342" s="71"/>
    </row>
    <row r="343" spans="1:66" x14ac:dyDescent="0.15">
      <c r="B343" s="65" t="s">
        <v>12</v>
      </c>
      <c r="J343" s="66" t="e">
        <f>AVERAGE(J281:J298)</f>
        <v>#DIV/0!</v>
      </c>
      <c r="K343" s="66" t="e">
        <f>AVERAGE(K281:K298)</f>
        <v>#DIV/0!</v>
      </c>
      <c r="L343" s="66" t="e">
        <f>AVERAGE(L281:L298)</f>
        <v>#DIV/0!</v>
      </c>
      <c r="M343" s="66" t="e">
        <f>AVERAGE(M281:M298)</f>
        <v>#DIV/0!</v>
      </c>
      <c r="AB343" s="66" t="e">
        <f>AVERAGE(AB281:AB298)</f>
        <v>#DIV/0!</v>
      </c>
      <c r="AC343" s="66" t="e">
        <f>AVERAGE(AC281:AC298)</f>
        <v>#DIV/0!</v>
      </c>
      <c r="AD343" s="66" t="e">
        <f>AVERAGE(AD281:AD298)</f>
        <v>#DIV/0!</v>
      </c>
      <c r="AE343" s="66" t="e">
        <f>AVERAGE(AE281:AE298)</f>
        <v>#DIV/0!</v>
      </c>
      <c r="AT343" s="69" t="e">
        <f>AVERAGE(AT281:AT298)</f>
        <v>#DIV/0!</v>
      </c>
      <c r="AV343" s="70" t="e">
        <f>AVERAGE(AV281:AV298)</f>
        <v>#DIV/0!</v>
      </c>
      <c r="AW343" s="70" t="e">
        <f>AVERAGE(AW281:AW298)</f>
        <v>#DIV/0!</v>
      </c>
      <c r="AX343" s="70" t="e">
        <f>AVERAGE(AX281:AX298)</f>
        <v>#DIV/0!</v>
      </c>
      <c r="AY343" s="70" t="e">
        <f>AVERAGE(AY281:AY298)</f>
        <v>#DIV/0!</v>
      </c>
      <c r="BA343" s="70" t="e">
        <f>AVERAGE(BA281:BA298)</f>
        <v>#DIV/0!</v>
      </c>
      <c r="BB343" s="70" t="e">
        <f>AVERAGE(BB281:BB298)</f>
        <v>#DIV/0!</v>
      </c>
      <c r="BC343" s="70" t="e">
        <f>AVERAGE(BC281:BC298)</f>
        <v>#DIV/0!</v>
      </c>
      <c r="BD343" s="70" t="e">
        <f>AVERAGE(BD281:BD298)</f>
        <v>#DIV/0!</v>
      </c>
    </row>
    <row r="344" spans="1:66" x14ac:dyDescent="0.15">
      <c r="B344" s="65" t="s">
        <v>13</v>
      </c>
      <c r="J344" s="66" t="e">
        <f>AVERAGE(J299:J340)</f>
        <v>#DIV/0!</v>
      </c>
      <c r="K344" s="66" t="e">
        <f>AVERAGE(K299:K340)</f>
        <v>#DIV/0!</v>
      </c>
      <c r="L344" s="67"/>
      <c r="M344" s="66" t="e">
        <f>AVERAGE(M299:M340)</f>
        <v>#DIV/0!</v>
      </c>
      <c r="AB344" s="66" t="e">
        <f>AVERAGE(AB299:AB340)</f>
        <v>#DIV/0!</v>
      </c>
      <c r="AC344" s="66" t="e">
        <f>AVERAGE(AC299:AC340)</f>
        <v>#DIV/0!</v>
      </c>
      <c r="AD344" s="67"/>
      <c r="AE344" s="66" t="e">
        <f>AVERAGE(AE299:AE340)</f>
        <v>#DIV/0!</v>
      </c>
      <c r="AT344" s="69" t="e">
        <f>AVERAGE(AT299:AT340)</f>
        <v>#DIV/0!</v>
      </c>
      <c r="AV344" s="71"/>
      <c r="AW344" s="71"/>
      <c r="AX344" s="71"/>
      <c r="AY344" s="70" t="e">
        <f>AVERAGE(AY299:AY340)</f>
        <v>#DIV/0!</v>
      </c>
      <c r="BA344" s="71"/>
      <c r="BB344" s="71"/>
      <c r="BC344" s="71"/>
      <c r="BD344" s="70" t="e">
        <f>AVERAGE(BD299:BD340)</f>
        <v>#DIV/0!</v>
      </c>
    </row>
    <row r="345" spans="1:66" x14ac:dyDescent="0.15">
      <c r="B345" s="65" t="s">
        <v>14</v>
      </c>
      <c r="J345" s="66" t="e">
        <f>AVERAGE(J5:J340)</f>
        <v>#DIV/0!</v>
      </c>
      <c r="K345" s="66" t="e">
        <f>AVERAGE(K5:K340)</f>
        <v>#DIV/0!</v>
      </c>
      <c r="L345" s="66" t="e">
        <f>AVERAGE(L5:L298)</f>
        <v>#DIV/0!</v>
      </c>
      <c r="M345" s="66" t="e">
        <f>AVERAGE(M281:M340)</f>
        <v>#DIV/0!</v>
      </c>
      <c r="AB345" s="66" t="e">
        <f>AVERAGE(AB5:AB340)</f>
        <v>#DIV/0!</v>
      </c>
      <c r="AC345" s="66" t="e">
        <f>AVERAGE(AC5:AC340)</f>
        <v>#DIV/0!</v>
      </c>
      <c r="AD345" s="66" t="e">
        <f>AVERAGE(AD5:AD298)</f>
        <v>#DIV/0!</v>
      </c>
      <c r="AE345" s="66" t="e">
        <f>AVERAGE(AE281:AE340)</f>
        <v>#DIV/0!</v>
      </c>
      <c r="AT345" s="69" t="e">
        <f>AVERAGE(AT5:AT340)</f>
        <v>#DIV/0!</v>
      </c>
      <c r="AV345" s="70" t="e">
        <f>AVERAGE(AV5:AV298)</f>
        <v>#DIV/0!</v>
      </c>
      <c r="AW345" s="70" t="e">
        <f>AVERAGE(AW5:AW298)</f>
        <v>#DIV/0!</v>
      </c>
      <c r="AX345" s="70" t="e">
        <f>AVERAGE(AX5:AX298)</f>
        <v>#DIV/0!</v>
      </c>
      <c r="AY345" s="70" t="e">
        <f>AVERAGE(AY281:AY340)</f>
        <v>#DIV/0!</v>
      </c>
      <c r="BA345" s="70" t="e">
        <f>AVERAGE(BA5:BA298)</f>
        <v>#DIV/0!</v>
      </c>
      <c r="BB345" s="70" t="e">
        <f>AVERAGE(BB5:BB298)</f>
        <v>#DIV/0!</v>
      </c>
      <c r="BC345" s="70" t="e">
        <f>AVERAGE(BC5:BC298)</f>
        <v>#DIV/0!</v>
      </c>
      <c r="BD345" s="70" t="e">
        <f>AVERAGE(BD281:BD340)</f>
        <v>#DIV/0!</v>
      </c>
    </row>
    <row r="346" spans="1:66" outlineLevel="2" x14ac:dyDescent="0.15">
      <c r="A346" s="65" t="s">
        <v>263</v>
      </c>
      <c r="B346" s="65" t="s">
        <v>264</v>
      </c>
      <c r="X346" s="68">
        <f>SUM(X5:X136,X137:X280,X281:X298,X299:X340)</f>
        <v>0</v>
      </c>
      <c r="Y346" s="68">
        <f>SUM(Y5:Y136,Y137:Y280,Y281:Y298,Y299:Y340)</f>
        <v>0</v>
      </c>
      <c r="AP346" s="68">
        <f>SUM(AP5:AP136,AP137:AP280,AP281:AP298,AP299:AP340)</f>
        <v>0</v>
      </c>
      <c r="AQ346" s="68">
        <f>SUM(AQ5:AQ136,AQ137:AQ280,AQ281:AQ298,AQ299:AQ340)</f>
        <v>0</v>
      </c>
    </row>
    <row r="347" spans="1:66" outlineLevel="2" x14ac:dyDescent="0.15">
      <c r="B347" s="65" t="s">
        <v>265</v>
      </c>
      <c r="AP347" s="69" t="e">
        <f>AP346/X346</f>
        <v>#DIV/0!</v>
      </c>
      <c r="AQ347" s="69" t="e">
        <f>AQ346/Y346</f>
        <v>#DIV/0!</v>
      </c>
    </row>
    <row r="348" spans="1:66" ht="27" outlineLevel="2" x14ac:dyDescent="0.15">
      <c r="B348" s="65" t="s">
        <v>266</v>
      </c>
      <c r="X348" s="68" t="e">
        <f>GEOMEAN(X5:X136,X137:X280,X281:X298,X299:X340)</f>
        <v>#NUM!</v>
      </c>
      <c r="Y348" s="68" t="e">
        <f>GEOMEAN(Y5:Y136,Y137:Y280,Y281:Y298,Y299:Y340)</f>
        <v>#NUM!</v>
      </c>
      <c r="AP348" s="68" t="e">
        <f>GEOMEAN(AP5:AP136,AP137:AP280,AP281:AP298,AP299:AP340)</f>
        <v>#NUM!</v>
      </c>
      <c r="AQ348" s="68" t="e">
        <f>GEOMEAN(AQ5:AQ136,AQ137:AQ280,AQ281:AQ298,AQ299:AQ340)</f>
        <v>#NUM!</v>
      </c>
    </row>
    <row r="349" spans="1:66" ht="27" outlineLevel="2" collapsed="1" x14ac:dyDescent="0.15">
      <c r="B349" s="65" t="s">
        <v>267</v>
      </c>
      <c r="AP349" s="69" t="e">
        <f>AP348/X348</f>
        <v>#NUM!</v>
      </c>
      <c r="AQ349" s="69" t="e">
        <f>AQ348/Y348</f>
        <v>#NUM!</v>
      </c>
    </row>
  </sheetData>
  <mergeCells count="33">
    <mergeCell ref="BF2:BF3"/>
    <mergeCell ref="BG2:BJ2"/>
    <mergeCell ref="BK2:BN2"/>
    <mergeCell ref="AA2:AA3"/>
    <mergeCell ref="AF2:AF3"/>
    <mergeCell ref="AS2:AS3"/>
    <mergeCell ref="AT2:AT3"/>
    <mergeCell ref="AV2:AY2"/>
    <mergeCell ref="BA2:BD2"/>
    <mergeCell ref="A1:G1"/>
    <mergeCell ref="I1:Y1"/>
    <mergeCell ref="AA1:AQ1"/>
    <mergeCell ref="J2:M2"/>
    <mergeCell ref="P2:S2"/>
    <mergeCell ref="T2:W2"/>
    <mergeCell ref="AB2:AE2"/>
    <mergeCell ref="AH2:AK2"/>
    <mergeCell ref="AL2:AO2"/>
    <mergeCell ref="AG2:AG3"/>
    <mergeCell ref="AP2:AP3"/>
    <mergeCell ref="AQ2:AQ3"/>
    <mergeCell ref="A2:A3"/>
    <mergeCell ref="B2:B3"/>
    <mergeCell ref="C2:C3"/>
    <mergeCell ref="D2:D3"/>
    <mergeCell ref="O2:O3"/>
    <mergeCell ref="X2:X3"/>
    <mergeCell ref="Y2:Y3"/>
    <mergeCell ref="E2:E3"/>
    <mergeCell ref="F2:F3"/>
    <mergeCell ref="G2:G3"/>
    <mergeCell ref="I2:I3"/>
    <mergeCell ref="N2:N3"/>
  </mergeCells>
  <phoneticPr fontId="3" type="noConversion"/>
  <conditionalFormatting sqref="AV5 AV6 AV7 AV8 AV9 AV10 AV11 AV12 AV13 AV14 AV15 AV16 AV17 AV18 AV19 AV20 AV21 AV22 AV23 AV24 AV25 AV26 AV27 AV28 AV29 AV30 AV31 AV32 AV33 AV34 AV35 AV36 AV37 AV38 AV39 AV40 AV41 AV42 AV43 AV44 AV45 AV46 AV47 AV48 AV49 AV50 AV51 AV52 AV53 AV54 AV55 AV56 AV57 AV58 AV59 AV60 AV61 AV62 AV63 AV64 AV65 AV66 AV67 AV68 AV69 AV70 AV71 AV72 AV73 AV74 AV75 AV76 AV77 AV78 AV79 AV80 AV81 AV82 AV83 AV84 AV85 AV86 AV87 AV88 AV89 AV90 AV91 AV92 AV93 AV94 AV95 AV96 AV97 AV98 AV99 AV100 AV101 AV102 AV103 AV104 AV105 AV106 AV107 AV108 AV109 AV110 AV111 AV112 AV113 AV114 AV115 AV116 AV117 AV118 AV119 AV120 AV121 AV122 AV123 AV124 AV125 AV126 AV127 AV128 AV129 AV130 AV131 AV132 AV133 AV134 AV135 AV136 AV137 AV138 AV139 AV140 AV141 AV142 AV143 AV144 AV145 AV146 AV147 AV148 AV149 AV150 AV151 AV152 AV153 AV154 AV155 AV156 AV157 AV158 AV159 AV160 AV161 AV162 AV163 AV164 AV165 AV166 AV167 AV168 AV169 AV170 AV171 AV172 AV173 AV174 AV175 AV176 AV177 AV178 AV179 AV180 AV181 AV182 AV183 AV184 AV185 AV186 AV187 AV188 AV189 AV190 AV191 AV192 AV193 AV194 AV195 AV196 AV197 AV198 AV199 AV200 AV201 AV202 AV203 AV204 AV205 AV206 AV207 AV208 AV209 AV210 AV211 AV212 AV213 AV214 AV215 AV216 AV217 AV218 AV219 AV220 AV221 AV222 AV223 AV224 AV225 AV226 AV227 AV228 AV229 AV230 AV231 AV232 AV233 AV234 AV235 AV236 AV237 AV238 AV239 AV240 AV241 AV242 AV243 AV244 AV245 AV246 AV247 AV248 AV249 AV250 AV251 AV252 AV253 AV254 AV255 AV256 AV257 AV258 AV259 AV260 AV261 AV262 AV263 AV264 AV265 AV266 AV267 AV268 AV269 AV270 AV271 AV272 AV273 AV274 AV275 AV276 AV277 AV278 AV279 AV280 AV281 AV282 AV283 AV284 AV285 AV286 AV287 AV288 AV289 AV290 AV291 AV292 AV293 AV294 AV295 AV296 AV297 AV298 AV299 AV300 AV301 AV302 AV303 AV304 AV305 AV306 AV307 AV308 AV309 AV310 AV311 AV312 AV313 AV314 AV315 AV316 AV317 AV318 AV319 AV320 AV321 AV322 AV323 AV324 AV325 AV326 AV327 AV328 AV329 AV330 AV331 AV332 AV333 AV334 AV335 AV336 AV337 AV338 AV339 AV340 AV341 AV342 AV343 AV345">
    <cfRule type="cellIs" dxfId="79" priority="13" operator="greaterThanOrEqual">
      <formula>0.03</formula>
    </cfRule>
    <cfRule type="cellIs" dxfId="78" priority="14" operator="lessThanOrEqual">
      <formula>-0.03</formula>
    </cfRule>
  </conditionalFormatting>
  <conditionalFormatting sqref="AW5 AW6 AW7 AW8 AW9 AW10 AW11 AW12 AW13 AW14 AW15 AW16 AW17 AW18 AW19 AW20 AW21 AW22 AW23 AW24 AW25 AW26 AW27 AW28 AW29 AW30 AW31 AW32 AW33 AW34 AW35 AW36 AW37 AW38 AW39 AW40 AW41 AW42 AW43 AW44 AW45 AW46 AW47 AW48 AW49 AW50 AW51 AW52 AW53 AW54 AW55 AW56 AW57 AW58 AW59 AW60 AW61 AW62 AW63 AW64 AW65 AW66 AW67 AW68 AW69 AW70 AW71 AW72 AW73 AW74 AW75 AW76 AW77 AW78 AW79 AW80 AW81 AW82 AW83 AW84 AW85 AW86 AW87 AW88 AW89 AW90 AW91 AW92 AW93 AW94 AW95 AW96 AW97 AW98 AW99 AW100 AW101 AW102 AW103 AW104 AW105 AW106 AW107 AW108 AW109 AW110 AW111 AW112 AW113 AW114 AW115 AW116 AW117 AW118 AW119 AW120 AW121 AW122 AW123 AW124 AW125 AW126 AW127 AW128 AW129 AW130 AW131 AW132 AW133 AW134 AW135 AW136 AW137 AW138 AW139 AW140 AW141 AW142 AW143 AW144 AW145 AW146 AW147 AW148 AW149 AW150 AW151 AW152 AW153 AW154 AW155 AW156 AW157 AW158 AW159 AW160 AW161 AW162 AW163 AW164 AW165 AW166 AW167 AW168 AW169 AW170 AW171 AW172 AW173 AW174 AW175 AW176 AW177 AW178 AW179 AW180 AW181 AW182 AW183 AW184 AW185 AW186 AW187 AW188 AW189 AW190 AW191 AW192 AW193 AW194 AW195 AW196 AW197 AW198 AW199 AW200 AW201 AW202 AW203 AW204 AW205 AW206 AW207 AW208 AW209 AW210 AW211 AW212 AW213 AW214 AW215 AW216 AW217 AW218 AW219 AW220 AW221 AW222 AW223 AW224 AW225 AW226 AW227 AW228 AW229 AW230 AW231 AW232 AW233 AW234 AW235 AW236 AW237 AW238 AW239 AW240 AW241 AW242 AW243 AW244 AW245 AW246 AW247 AW248 AW249 AW250 AW251 AW252 AW253 AW254 AW255 AW256 AW257 AW258 AW259 AW260 AW261 AW262 AW263 AW264 AW265 AW266 AW267 AW268 AW269 AW270 AW271 AW272 AW273 AW274 AW275 AW276 AW277 AW278 AW279 AW280 AW281 AW282 AW283 AW284 AW285 AW286 AW287 AW288 AW289 AW290 AW291 AW292 AW293 AW294 AW295 AW296 AW297 AW298 AW299 AW300 AW301 AW302 AW303 AW304 AW305 AW306 AW307 AW308 AW309 AW310 AW311 AW312 AW313 AW314 AW315 AW316 AW317 AW318 AW319 AW320 AW321 AW322 AW323 AW324 AW325 AW326 AW327 AW328 AW329 AW330 AW331 AW332 AW333 AW334 AW335 AW336 AW337 AW338 AW339 AW340 AW341 AW342 AW343 AW345">
    <cfRule type="cellIs" dxfId="77" priority="15" operator="greaterThanOrEqual">
      <formula>0.03</formula>
    </cfRule>
    <cfRule type="cellIs" dxfId="76" priority="16" operator="lessThanOrEqual">
      <formula>-0.03</formula>
    </cfRule>
  </conditionalFormatting>
  <conditionalFormatting sqref="AX5 AX6 AX7 AX8 AX9 AX10 AX11 AX12 AX13 AX14 AX15 AX16 AX17 AX18 AX19 AX20 AX21 AX22 AX23 AX24 AX25 AX26 AX27 AX28 AX29 AX30 AX31 AX32 AX33 AX34 AX35 AX36 AX37 AX38 AX39 AX40 AX41 AX42 AX43 AX44 AX45 AX46 AX47 AX48 AX49 AX50 AX51 AX52 AX53 AX54 AX55 AX56 AX57 AX58 AX59 AX60 AX61 AX62 AX63 AX64 AX65 AX66 AX67 AX68 AX69 AX70 AX71 AX72 AX73 AX74 AX75 AX76 AX77 AX78 AX79 AX80 AX81 AX82 AX83 AX84 AX85 AX86 AX87 AX88 AX89 AX90 AX91 AX92 AX93 AX94 AX95 AX96 AX97 AX98 AX99 AX100 AX101 AX102 AX103 AX104 AX105 AX106 AX107 AX108 AX109 AX110 AX111 AX112 AX113 AX114 AX115 AX116 AX117 AX118 AX119 AX120 AX121 AX122 AX123 AX124 AX125 AX126 AX127 AX128 AX129 AX130 AX131 AX132 AX133 AX134 AX135 AX136 AX137 AX138 AX139 AX140 AX141 AX142 AX143 AX144 AX145 AX146 AX147 AX148 AX149 AX150 AX151 AX152 AX153 AX154 AX155 AX156 AX157 AX158 AX159 AX160 AX161 AX162 AX163 AX164 AX165 AX166 AX167 AX168 AX169 AX170 AX171 AX172 AX173 AX174 AX175 AX176 AX177 AX178 AX179 AX180 AX181 AX182 AX183 AX184 AX185 AX186 AX187 AX188 AX189 AX190 AX191 AX192 AX193 AX194 AX195 AX196 AX197 AX198 AX199 AX200 AX201 AX202 AX203 AX204 AX205 AX206 AX207 AX208 AX209 AX210 AX211 AX212 AX213 AX214 AX215 AX216 AX217 AX218 AX219 AX220 AX221 AX222 AX223 AX224 AX225 AX226 AX227 AX228 AX229 AX230 AX231 AX232 AX233 AX234 AX235 AX236 AX237 AX238 AX239 AX240 AX241 AX242 AX243 AX244 AX245 AX246 AX247 AX248 AX249 AX250 AX251 AX252 AX253 AX254 AX255 AX256 AX257 AX258 AX259 AX260 AX261 AX262 AX263 AX264 AX265 AX266 AX267 AX268 AX269 AX270 AX271 AX272 AX273 AX274 AX275 AX276 AX277 AX278 AX279 AX280 AX281 AX282 AX283 AX284 AX285 AX286 AX287 AX288 AX289 AX290 AX291 AX292 AX293 AX294 AX295 AX296 AX297 AX298 AX299 AX300 AX301 AX302 AX303 AX304 AX305 AX306 AX307 AX308 AX309 AX310 AX311 AX312 AX313 AX314 AX315 AX316 AX317 AX318 AX319 AX320 AX321 AX322 AX323 AX324 AX325 AX326 AX327 AX328 AX329 AX330 AX331 AX332 AX333 AX334 AX335 AX336 AX337 AX338 AX339 AX340 AX341 AX342 AX343 AX345">
    <cfRule type="cellIs" dxfId="75" priority="11" operator="greaterThanOrEqual">
      <formula>0.03</formula>
    </cfRule>
    <cfRule type="cellIs" dxfId="74" priority="12" operator="lessThanOrEqual">
      <formula>-0.03</formula>
    </cfRule>
  </conditionalFormatting>
  <conditionalFormatting sqref="AY5 AY6 AY7 AY8 AY9 AY10 AY11 AY12 AY13 AY14 AY15 AY16 AY17 AY18 AY19 AY20 AY21 AY22 AY23 AY24 AY25 AY26 AY27 AY28 AY29 AY30 AY31 AY32 AY33 AY34 AY35 AY36 AY37 AY38 AY39 AY40 AY41 AY42 AY43 AY44 AY45 AY46 AY47 AY48 AY49 AY50 AY51 AY52 AY53 AY54 AY55 AY56 AY57 AY58 AY59 AY60 AY61 AY62 AY63 AY64 AY65 AY66 AY67 AY68 AY69 AY70 AY71 AY72 AY73 AY74 AY75 AY76 AY77 AY78 AY79 AY80 AY81 AY82 AY83 AY84 AY85 AY86 AY87 AY88 AY89 AY90 AY91 AY92 AY93 AY94 AY95 AY96 AY97 AY98 AY99 AY100 AY101 AY102 AY103 AY104 AY105 AY106 AY107 AY108 AY109 AY110 AY111 AY112 AY113 AY114 AY115 AY116 AY117 AY118 AY119 AY120 AY121 AY122 AY123 AY124 AY125 AY126 AY127 AY128 AY129 AY130 AY131 AY132 AY133 AY134 AY135 AY136 AY137 AY138 AY139 AY140 AY141 AY142 AY143 AY144 AY145 AY146 AY147 AY148 AY149 AY150 AY151 AY152 AY153 AY154 AY155 AY156 AY157 AY158 AY159 AY160 AY161 AY162 AY163 AY164 AY165 AY166 AY167 AY168 AY169 AY170 AY171 AY172 AY173 AY174 AY175 AY176 AY177 AY178 AY179 AY180 AY181 AY182 AY183 AY184 AY185 AY186 AY187 AY188 AY189 AY190 AY191 AY192 AY193 AY194 AY195 AY196 AY197 AY198 AY199 AY200 AY201 AY202 AY203 AY204 AY205 AY206 AY207 AY208 AY209 AY210 AY211 AY212 AY213 AY214 AY215 AY216 AY217 AY218 AY219 AY220 AY221 AY222 AY223 AY224 AY225 AY226 AY227 AY228 AY229 AY230 AY231 AY232 AY233 AY234 AY235 AY236 AY237 AY238 AY239 AY240 AY241 AY242 AY243 AY244 AY245 AY246 AY247 AY248 AY249 AY250 AY251 AY252 AY253 AY254 AY255 AY256 AY257 AY258 AY259 AY260 AY261 AY262 AY263 AY264 AY265 AY266 AY267 AY268 AY269 AY270 AY271 AY272 AY273 AY274 AY275 AY276 AY277 AY278 AY279 AY280 AY281 AY282 AY283 AY284 AY285 AY286 AY287 AY288 AY289 AY290 AY291 AY292 AY293 AY294 AY295 AY296 AY297 AY298 AY299 AY300 AY301 AY302 AY303 AY304 AY305 AY306 AY307 AY308 AY309 AY310 AY311 AY312 AY313 AY314 AY315 AY316 AY317 AY318 AY319 AY320 AY321 AY322 AY323 AY324 AY325 AY326 AY327 AY328 AY329 AY330 AY331 AY332 AY333 AY334 AY335 AY336 AY337 AY338 AY339 AY340 AY343 AY344 AY345">
    <cfRule type="cellIs" dxfId="73" priority="5" operator="greaterThanOrEqual">
      <formula>0.03</formula>
    </cfRule>
    <cfRule type="cellIs" dxfId="72" priority="6" operator="lessThanOrEqual">
      <formula>-0.03</formula>
    </cfRule>
  </conditionalFormatting>
  <conditionalFormatting sqref="BA5 BA6 BA7 BA8 BA9 BA10 BA11 BA12 BA13 BA14 BA15 BA16 BA17 BA18 BA19 BA20 BA21 BA22 BA23 BA24 BA25 BA26 BA27 BA28 BA29 BA30 BA31 BA32 BA33 BA34 BA35 BA36 BA37 BA38 BA39 BA40 BA41 BA42 BA43 BA44 BA45 BA46 BA47 BA48 BA49 BA50 BA51 BA52 BA53 BA54 BA55 BA56 BA57 BA58 BA59 BA60 BA61 BA62 BA63 BA64 BA65 BA66 BA67 BA68 BA69 BA70 BA71 BA72 BA73 BA74 BA75 BA76 BA77 BA78 BA79 BA80 BA81 BA82 BA83 BA84 BA85 BA86 BA87 BA88 BA89 BA90 BA91 BA92 BA93 BA94 BA95 BA96 BA97 BA98 BA99 BA100 BA101 BA102 BA103 BA104 BA105 BA106 BA107 BA108 BA109 BA110 BA111 BA112 BA113 BA114 BA115 BA116 BA117 BA118 BA119 BA120 BA121 BA122 BA123 BA124 BA125 BA126 BA127 BA128 BA129 BA130 BA131 BA132 BA133 BA134 BA135 BA136 BA137 BA138 BA139 BA140 BA141 BA142 BA143 BA144 BA145 BA146 BA147 BA148 BA149 BA150 BA151 BA152 BA153 BA154 BA155 BA156 BA157 BA158 BA159 BA160 BA161 BA162 BA163 BA164 BA165 BA166 BA167 BA168 BA169 BA170 BA171 BA172 BA173 BA174 BA175 BA176 BA177 BA178 BA179 BA180 BA181 BA182 BA183 BA184 BA185 BA186 BA187 BA188 BA189 BA190 BA191 BA192 BA193 BA194 BA195 BA196 BA197 BA198 BA199 BA200 BA201 BA202 BA203 BA204 BA205 BA206 BA207 BA208 BA209 BA210 BA211 BA212 BA213 BA214 BA215 BA216 BA217 BA218 BA219 BA220 BA221 BA222 BA223 BA224 BA225 BA226 BA227 BA228 BA229 BA230 BA231 BA232 BA233 BA234 BA235 BA236 BA237 BA238 BA239 BA240 BA241 BA242 BA243 BA244 BA245 BA246 BA247 BA248 BA249 BA250 BA251 BA252 BA253 BA254 BA255 BA256 BA257 BA258 BA259 BA260 BA261 BA262 BA263 BA264 BA265 BA266 BA267 BA268 BA269 BA270 BA271 BA272 BA273 BA274 BA275 BA276 BA277 BA278 BA279 BA280 BA281 BA282 BA283 BA284 BA285 BA286 BA287 BA288 BA289 BA290 BA291 BA292 BA293 BA294 BA295 BA296 BA297 BA298 BA299 BA300 BA301 BA302 BA303 BA304 BA305 BA306 BA307 BA308 BA309 BA310 BA311 BA312 BA313 BA314 BA315 BA316 BA317 BA318 BA319 BA320 BA321 BA322 BA323 BA324 BA325 BA326 BA327 BA328 BA329 BA330 BA331 BA332 BA333 BA334 BA335 BA336 BA337 BA338 BA339 BA340 BA341 BA342 BA343 BA345">
    <cfRule type="cellIs" dxfId="71" priority="3" operator="greaterThanOrEqual">
      <formula>0.03</formula>
    </cfRule>
    <cfRule type="cellIs" dxfId="70" priority="4" operator="lessThanOrEqual">
      <formula>-0.03</formula>
    </cfRule>
  </conditionalFormatting>
  <conditionalFormatting sqref="BB5 BB6 BB7 BB8 BB9 BB10 BB11 BB12 BB13 BB14 BB15 BB16 BB17 BB18 BB19 BB20 BB21 BB22 BB23 BB24 BB25 BB26 BB27 BB28 BB29 BB30 BB31 BB32 BB33 BB34 BB35 BB36 BB37 BB38 BB39 BB40 BB41 BB42 BB43 BB44 BB45 BB46 BB47 BB48 BB49 BB50 BB51 BB52 BB53 BB54 BB55 BB56 BB57 BB58 BB59 BB60 BB61 BB62 BB63 BB64 BB65 BB66 BB67 BB68 BB69 BB70 BB71 BB72 BB73 BB74 BB75 BB76 BB77 BB78 BB79 BB80 BB81 BB82 BB83 BB84 BB85 BB86 BB87 BB88 BB89 BB90 BB91 BB92 BB93 BB94 BB95 BB96 BB97 BB98 BB99 BB100 BB101 BB102 BB103 BB104 BB105 BB106 BB107 BB108 BB109 BB110 BB111 BB112 BB113 BB114 BB115 BB116 BB117 BB118 BB119 BB120 BB121 BB122 BB123 BB124 BB125 BB126 BB127 BB128 BB129 BB130 BB131 BB132 BB133 BB134 BB135 BB136 BB137 BB138 BB139 BB140 BB141 BB142 BB143 BB144 BB145 BB146 BB147 BB148 BB149 BB150 BB151 BB152 BB153 BB154 BB155 BB156 BB157 BB158 BB159 BB160 BB161 BB162 BB163 BB164 BB165 BB166 BB167 BB168 BB169 BB170 BB171 BB172 BB173 BB174 BB175 BB176 BB177 BB178 BB179 BB180 BB181 BB182 BB183 BB184 BB185 BB186 BB187 BB188 BB189 BB190 BB191 BB192 BB193 BB194 BB195 BB196 BB197 BB198 BB199 BB200 BB201 BB202 BB203 BB204 BB205 BB206 BB207 BB208 BB209 BB210 BB211 BB212 BB213 BB214 BB215 BB216 BB217 BB218 BB219 BB220 BB221 BB222 BB223 BB224 BB225 BB226 BB227 BB228 BB229 BB230 BB231 BB232 BB233 BB234 BB235 BB236 BB237 BB238 BB239 BB240 BB241 BB242 BB243 BB244 BB245 BB246 BB247 BB248 BB249 BB250 BB251 BB252 BB253 BB254 BB255 BB256 BB257 BB258 BB259 BB260 BB261 BB262 BB263 BB264 BB265 BB266 BB267 BB268 BB269 BB270 BB271 BB272 BB273 BB274 BB275 BB276 BB277 BB278 BB279 BB280 BB281 BB282 BB283 BB284 BB285 BB286 BB287 BB288 BB289 BB290 BB291 BB292 BB293 BB294 BB295 BB296 BB297 BB298 BB299 BB300 BB301 BB302 BB303 BB304 BB305 BB306 BB307 BB308 BB309 BB310 BB311 BB312 BB313 BB314 BB315 BB316 BB317 BB318 BB319 BB320 BB321 BB322 BB323 BB324 BB325 BB326 BB327 BB328 BB329 BB330 BB331 BB332 BB333 BB334 BB335 BB336 BB337 BB338 BB339 BB340 BB341 BB342 BB343 BB345">
    <cfRule type="cellIs" dxfId="69" priority="1" operator="greaterThanOrEqual">
      <formula>0.03</formula>
    </cfRule>
    <cfRule type="cellIs" dxfId="68" priority="2" operator="lessThanOrEqual">
      <formula>-0.03</formula>
    </cfRule>
  </conditionalFormatting>
  <conditionalFormatting sqref="BC5 BC6 BC7 BC8 BC9 BC10 BC11 BC12 BC13 BC14 BC15 BC16 BC17 BC18 BC19 BC20 BC21 BC22 BC23 BC24 BC25 BC26 BC27 BC28 BC29 BC30 BC31 BC32 BC33 BC34 BC35 BC36 BC37 BC38 BC39 BC40 BC41 BC42 BC43 BC44 BC45 BC46 BC47 BC48 BC49 BC50 BC51 BC52 BC53 BC54 BC55 BC56 BC57 BC58 BC59 BC60 BC61 BC62 BC63 BC64 BC65 BC66 BC67 BC68 BC69 BC70 BC71 BC72 BC73 BC74 BC75 BC76 BC77 BC78 BC79 BC80 BC81 BC82 BC83 BC84 BC85 BC86 BC87 BC88 BC89 BC90 BC91 BC92 BC93 BC94 BC95 BC96 BC97 BC98 BC99 BC100 BC101 BC102 BC103 BC104 BC105 BC106 BC107 BC108 BC109 BC110 BC111 BC112 BC113 BC114 BC115 BC116 BC117 BC118 BC119 BC120 BC121 BC122 BC123 BC124 BC125 BC126 BC127 BC128 BC129 BC130 BC131 BC132 BC133 BC134 BC135 BC136 BC137 BC138 BC139 BC140 BC141 BC142 BC143 BC144 BC145 BC146 BC147 BC148 BC149 BC150 BC151 BC152 BC153 BC154 BC155 BC156 BC157 BC158 BC159 BC160 BC161 BC162 BC163 BC164 BC165 BC166 BC167 BC168 BC169 BC170 BC171 BC172 BC173 BC174 BC175 BC176 BC177 BC178 BC179 BC180 BC181 BC182 BC183 BC184 BC185 BC186 BC187 BC188 BC189 BC190 BC191 BC192 BC193 BC194 BC195 BC196 BC197 BC198 BC199 BC200 BC201 BC202 BC203 BC204 BC205 BC206 BC207 BC208 BC209 BC210 BC211 BC212 BC213 BC214 BC215 BC216 BC217 BC218 BC219 BC220 BC221 BC222 BC223 BC224 BC225 BC226 BC227 BC228 BC229 BC230 BC231 BC232 BC233 BC234 BC235 BC236 BC237 BC238 BC239 BC240 BC241 BC242 BC243 BC244 BC245 BC246 BC247 BC248 BC249 BC250 BC251 BC252 BC253 BC254 BC255 BC256 BC257 BC258 BC259 BC260 BC261 BC262 BC263 BC264 BC265 BC266 BC267 BC268 BC269 BC270 BC271 BC272 BC273 BC274 BC275 BC276 BC277 BC278 BC279 BC280 BC281 BC282 BC283 BC284 BC285 BC286 BC287 BC288 BC289 BC290 BC291 BC292 BC293 BC294 BC295 BC296 BC297 BC298 BC299 BC300 BC301 BC302 BC303 BC304 BC305 BC306 BC307 BC308 BC309 BC310 BC311 BC312 BC313 BC314 BC315 BC316 BC317 BC318 BC319 BC320 BC321 BC322 BC323 BC324 BC325 BC326 BC327 BC328 BC329 BC330 BC331 BC332 BC333 BC334 BC335 BC336 BC337 BC338 BC339 BC340 BC341 BC342 BC343 BC345">
    <cfRule type="cellIs" dxfId="67" priority="9" operator="greaterThanOrEqual">
      <formula>0.03</formula>
    </cfRule>
    <cfRule type="cellIs" dxfId="66" priority="10" operator="lessThanOrEqual">
      <formula>-0.03</formula>
    </cfRule>
  </conditionalFormatting>
  <conditionalFormatting sqref="BD5 BD6 BD7 BD8 BD9 BD10 BD11 BD12 BD13 BD14 BD15 BD16 BD17 BD18 BD19 BD20 BD21 BD22 BD23 BD24 BD25 BD26 BD27 BD28 BD29 BD30 BD31 BD32 BD33 BD34 BD35 BD36 BD37 BD38 BD39 BD40 BD41 BD42 BD43 BD44 BD45 BD46 BD47 BD48 BD49 BD50 BD51 BD52 BD53 BD54 BD55 BD56 BD57 BD58 BD59 BD60 BD61 BD62 BD63 BD64 BD65 BD66 BD67 BD68 BD69 BD70 BD71 BD72 BD73 BD74 BD75 BD76 BD77 BD78 BD79 BD80 BD81 BD82 BD83 BD84 BD85 BD86 BD87 BD88 BD89 BD90 BD91 BD92 BD93 BD94 BD95 BD96 BD97 BD98 BD99 BD100 BD101 BD102 BD103 BD104 BD105 BD106 BD107 BD108 BD109 BD110 BD111 BD112 BD113 BD114 BD115 BD116 BD117 BD118 BD119 BD120 BD121 BD122 BD123 BD124 BD125 BD126 BD127 BD128 BD129 BD130 BD131 BD132 BD133 BD134 BD135 BD136 BD137 BD138 BD139 BD140 BD141 BD142 BD143 BD144 BD145 BD146 BD147 BD148 BD149 BD150 BD151 BD152 BD153 BD154 BD155 BD156 BD157 BD158 BD159 BD160 BD161 BD162 BD163 BD164 BD165 BD166 BD167 BD168 BD169 BD170 BD171 BD172 BD173 BD174 BD175 BD176 BD177 BD178 BD179 BD180 BD181 BD182 BD183 BD184 BD185 BD186 BD187 BD188 BD189 BD190 BD191 BD192 BD193 BD194 BD195 BD196 BD197 BD198 BD199 BD200 BD201 BD202 BD203 BD204 BD205 BD206 BD207 BD208 BD209 BD210 BD211 BD212 BD213 BD214 BD215 BD216 BD217 BD218 BD219 BD220 BD221 BD222 BD223 BD224 BD225 BD226 BD227 BD228 BD229 BD230 BD231 BD232 BD233 BD234 BD235 BD236 BD237 BD238 BD239 BD240 BD241 BD242 BD243 BD244 BD245 BD246 BD247 BD248 BD249 BD250 BD251 BD252 BD253 BD254 BD255 BD256 BD257 BD258 BD259 BD260 BD261 BD262 BD263 BD264 BD265 BD266 BD267 BD268 BD269 BD270 BD271 BD272 BD273 BD274 BD275 BD276 BD277 BD278 BD279 BD280 BD281 BD282 BD283 BD284 BD285 BD286 BD287 BD288 BD289 BD290 BD291 BD292 BD293 BD294 BD295 BD296 BD297 BD298 BD299 BD300 BD301 BD302 BD303 BD304 BD305 BD306 BD307 BD308 BD309 BD310 BD311 BD312 BD313 BD314 BD315 BD316 BD317 BD318 BD319 BD320 BD321 BD322 BD323 BD324 BD325 BD326 BD327 BD328 BD329 BD330 BD331 BD332 BD333 BD334 BD335 BD336 BD337 BD338 BD339 BD340 BD343 BD344 BD345">
    <cfRule type="cellIs" dxfId="65" priority="7" operator="greaterThanOrEqual">
      <formula>0.03</formula>
    </cfRule>
    <cfRule type="cellIs" dxfId="64" priority="8" operator="lessThanOrEqual">
      <formula>-0.03</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V453"/>
  <sheetViews>
    <sheetView workbookViewId="0"/>
  </sheetViews>
  <sheetFormatPr defaultColWidth="9" defaultRowHeight="13.5" x14ac:dyDescent="0.15"/>
  <sheetData>
    <row r="1" spans="1:2" x14ac:dyDescent="0.15">
      <c r="A1" t="s">
        <v>268</v>
      </c>
      <c r="B1">
        <v>1</v>
      </c>
    </row>
    <row r="2" spans="1:2" x14ac:dyDescent="0.15">
      <c r="A2" t="s">
        <v>269</v>
      </c>
      <c r="B2">
        <v>2</v>
      </c>
    </row>
    <row r="3" spans="1:2" x14ac:dyDescent="0.15">
      <c r="A3" t="s">
        <v>270</v>
      </c>
      <c r="B3">
        <v>3</v>
      </c>
    </row>
    <row r="4" spans="1:2" x14ac:dyDescent="0.15">
      <c r="A4" t="s">
        <v>271</v>
      </c>
      <c r="B4">
        <v>4</v>
      </c>
    </row>
    <row r="5" spans="1:2" x14ac:dyDescent="0.15">
      <c r="A5" t="s">
        <v>272</v>
      </c>
      <c r="B5">
        <v>5</v>
      </c>
    </row>
    <row r="6" spans="1:2" x14ac:dyDescent="0.15">
      <c r="A6" t="s">
        <v>273</v>
      </c>
      <c r="B6">
        <v>6</v>
      </c>
    </row>
    <row r="7" spans="1:2" x14ac:dyDescent="0.15">
      <c r="A7" t="s">
        <v>274</v>
      </c>
      <c r="B7">
        <v>7</v>
      </c>
    </row>
    <row r="8" spans="1:2" x14ac:dyDescent="0.15">
      <c r="A8" t="s">
        <v>275</v>
      </c>
      <c r="B8">
        <v>9</v>
      </c>
    </row>
    <row r="9" spans="1:2" x14ac:dyDescent="0.15">
      <c r="A9" t="s">
        <v>276</v>
      </c>
      <c r="B9">
        <v>10</v>
      </c>
    </row>
    <row r="10" spans="1:2" x14ac:dyDescent="0.15">
      <c r="A10" t="s">
        <v>277</v>
      </c>
      <c r="B10">
        <v>11</v>
      </c>
    </row>
    <row r="11" spans="1:2" x14ac:dyDescent="0.15">
      <c r="A11" t="s">
        <v>278</v>
      </c>
      <c r="B11">
        <v>12</v>
      </c>
    </row>
    <row r="12" spans="1:2" x14ac:dyDescent="0.15">
      <c r="A12" t="s">
        <v>279</v>
      </c>
      <c r="B12">
        <v>13</v>
      </c>
    </row>
    <row r="13" spans="1:2" x14ac:dyDescent="0.15">
      <c r="A13" t="s">
        <v>280</v>
      </c>
      <c r="B13">
        <v>14</v>
      </c>
    </row>
    <row r="14" spans="1:2" x14ac:dyDescent="0.15">
      <c r="A14" t="s">
        <v>281</v>
      </c>
      <c r="B14">
        <v>15</v>
      </c>
    </row>
    <row r="15" spans="1:2" x14ac:dyDescent="0.15">
      <c r="A15" t="s">
        <v>282</v>
      </c>
      <c r="B15">
        <v>16</v>
      </c>
    </row>
    <row r="16" spans="1:2" x14ac:dyDescent="0.15">
      <c r="A16" t="s">
        <v>283</v>
      </c>
      <c r="B16">
        <v>17</v>
      </c>
    </row>
    <row r="17" spans="1:2" x14ac:dyDescent="0.15">
      <c r="A17" t="s">
        <v>284</v>
      </c>
      <c r="B17">
        <v>18</v>
      </c>
    </row>
    <row r="18" spans="1:2" x14ac:dyDescent="0.15">
      <c r="A18" t="s">
        <v>285</v>
      </c>
      <c r="B18">
        <v>19</v>
      </c>
    </row>
    <row r="19" spans="1:2" x14ac:dyDescent="0.15">
      <c r="A19" t="s">
        <v>286</v>
      </c>
      <c r="B19">
        <v>20</v>
      </c>
    </row>
    <row r="20" spans="1:2" x14ac:dyDescent="0.15">
      <c r="A20" t="s">
        <v>287</v>
      </c>
      <c r="B20">
        <v>21</v>
      </c>
    </row>
    <row r="21" spans="1:2" x14ac:dyDescent="0.15">
      <c r="A21" t="s">
        <v>288</v>
      </c>
      <c r="B21">
        <v>22</v>
      </c>
    </row>
    <row r="22" spans="1:2" x14ac:dyDescent="0.15">
      <c r="A22" t="s">
        <v>289</v>
      </c>
      <c r="B22">
        <v>23</v>
      </c>
    </row>
    <row r="23" spans="1:2" x14ac:dyDescent="0.15">
      <c r="A23" t="s">
        <v>290</v>
      </c>
      <c r="B23">
        <v>24</v>
      </c>
    </row>
    <row r="24" spans="1:2" x14ac:dyDescent="0.15">
      <c r="A24" t="s">
        <v>291</v>
      </c>
      <c r="B24">
        <v>25</v>
      </c>
    </row>
    <row r="25" spans="1:2" x14ac:dyDescent="0.15">
      <c r="A25" t="s">
        <v>292</v>
      </c>
      <c r="B25">
        <v>27</v>
      </c>
    </row>
    <row r="26" spans="1:2" x14ac:dyDescent="0.15">
      <c r="A26" t="s">
        <v>293</v>
      </c>
      <c r="B26">
        <v>28</v>
      </c>
    </row>
    <row r="27" spans="1:2" x14ac:dyDescent="0.15">
      <c r="A27" t="s">
        <v>294</v>
      </c>
      <c r="B27">
        <v>29</v>
      </c>
    </row>
    <row r="28" spans="1:2" x14ac:dyDescent="0.15">
      <c r="A28" t="s">
        <v>295</v>
      </c>
      <c r="B28">
        <v>30</v>
      </c>
    </row>
    <row r="29" spans="1:2" x14ac:dyDescent="0.15">
      <c r="A29" t="s">
        <v>296</v>
      </c>
      <c r="B29">
        <v>31</v>
      </c>
    </row>
    <row r="30" spans="1:2" x14ac:dyDescent="0.15">
      <c r="A30" t="s">
        <v>297</v>
      </c>
      <c r="B30">
        <v>32</v>
      </c>
    </row>
    <row r="31" spans="1:2" x14ac:dyDescent="0.15">
      <c r="A31" t="s">
        <v>298</v>
      </c>
      <c r="B31">
        <v>33</v>
      </c>
    </row>
    <row r="32" spans="1:2" x14ac:dyDescent="0.15">
      <c r="A32" t="s">
        <v>299</v>
      </c>
      <c r="B32">
        <v>34</v>
      </c>
    </row>
    <row r="33" spans="1:2" x14ac:dyDescent="0.15">
      <c r="A33" t="s">
        <v>300</v>
      </c>
      <c r="B33">
        <v>35</v>
      </c>
    </row>
    <row r="34" spans="1:2" x14ac:dyDescent="0.15">
      <c r="A34" t="s">
        <v>301</v>
      </c>
      <c r="B34">
        <v>36</v>
      </c>
    </row>
    <row r="35" spans="1:2" x14ac:dyDescent="0.15">
      <c r="A35" t="s">
        <v>302</v>
      </c>
      <c r="B35">
        <v>37</v>
      </c>
    </row>
    <row r="36" spans="1:2" x14ac:dyDescent="0.15">
      <c r="A36" t="s">
        <v>303</v>
      </c>
      <c r="B36">
        <v>38</v>
      </c>
    </row>
    <row r="37" spans="1:2" x14ac:dyDescent="0.15">
      <c r="A37" t="s">
        <v>304</v>
      </c>
      <c r="B37">
        <v>39</v>
      </c>
    </row>
    <row r="38" spans="1:2" x14ac:dyDescent="0.15">
      <c r="A38" t="s">
        <v>305</v>
      </c>
      <c r="B38">
        <v>40</v>
      </c>
    </row>
    <row r="39" spans="1:2" x14ac:dyDescent="0.15">
      <c r="A39" t="s">
        <v>306</v>
      </c>
      <c r="B39">
        <v>41</v>
      </c>
    </row>
    <row r="40" spans="1:2" x14ac:dyDescent="0.15">
      <c r="A40" t="s">
        <v>307</v>
      </c>
      <c r="B40">
        <v>42</v>
      </c>
    </row>
    <row r="41" spans="1:2" x14ac:dyDescent="0.15">
      <c r="A41" t="s">
        <v>308</v>
      </c>
      <c r="B41">
        <v>43</v>
      </c>
    </row>
    <row r="42" spans="1:2" x14ac:dyDescent="0.15">
      <c r="A42" t="s">
        <v>309</v>
      </c>
      <c r="B42">
        <v>45</v>
      </c>
    </row>
    <row r="43" spans="1:2" x14ac:dyDescent="0.15">
      <c r="A43" t="s">
        <v>310</v>
      </c>
      <c r="B43">
        <v>46</v>
      </c>
    </row>
    <row r="44" spans="1:2" x14ac:dyDescent="0.15">
      <c r="A44" t="s">
        <v>311</v>
      </c>
      <c r="B44">
        <v>48</v>
      </c>
    </row>
    <row r="45" spans="1:2" x14ac:dyDescent="0.15">
      <c r="A45" t="s">
        <v>312</v>
      </c>
      <c r="B45">
        <v>49</v>
      </c>
    </row>
    <row r="46" spans="1:2" x14ac:dyDescent="0.15">
      <c r="A46" t="s">
        <v>313</v>
      </c>
      <c r="B46">
        <v>50</v>
      </c>
    </row>
    <row r="47" spans="1:2" x14ac:dyDescent="0.15">
      <c r="A47" t="s">
        <v>314</v>
      </c>
      <c r="B47">
        <v>51</v>
      </c>
    </row>
    <row r="48" spans="1:2" x14ac:dyDescent="0.15">
      <c r="A48" t="s">
        <v>315</v>
      </c>
      <c r="B48">
        <v>53</v>
      </c>
    </row>
    <row r="49" spans="1:2" x14ac:dyDescent="0.15">
      <c r="A49" t="s">
        <v>316</v>
      </c>
      <c r="B49">
        <v>54</v>
      </c>
    </row>
    <row r="50" spans="1:2" x14ac:dyDescent="0.15">
      <c r="A50" t="s">
        <v>317</v>
      </c>
      <c r="B50">
        <v>55</v>
      </c>
    </row>
    <row r="51" spans="1:2" x14ac:dyDescent="0.15">
      <c r="A51" t="s">
        <v>318</v>
      </c>
      <c r="B51">
        <v>56</v>
      </c>
    </row>
    <row r="52" spans="1:2" x14ac:dyDescent="0.15">
      <c r="A52" t="s">
        <v>319</v>
      </c>
      <c r="B52" t="s">
        <v>320</v>
      </c>
    </row>
    <row r="53" spans="1:2" x14ac:dyDescent="0.15">
      <c r="A53" t="s">
        <v>321</v>
      </c>
      <c r="B53" t="s">
        <v>322</v>
      </c>
    </row>
    <row r="54" spans="1:2" x14ac:dyDescent="0.15">
      <c r="A54" t="s">
        <v>323</v>
      </c>
      <c r="B54" t="s">
        <v>324</v>
      </c>
    </row>
    <row r="55" spans="1:2" x14ac:dyDescent="0.15">
      <c r="A55" t="s">
        <v>325</v>
      </c>
      <c r="B55" t="s">
        <v>326</v>
      </c>
    </row>
    <row r="56" spans="1:2" x14ac:dyDescent="0.15">
      <c r="A56" t="s">
        <v>327</v>
      </c>
      <c r="B56" t="s">
        <v>328</v>
      </c>
    </row>
    <row r="57" spans="1:2" x14ac:dyDescent="0.15">
      <c r="A57" t="s">
        <v>329</v>
      </c>
      <c r="B57" t="s">
        <v>330</v>
      </c>
    </row>
    <row r="58" spans="1:2" x14ac:dyDescent="0.15">
      <c r="A58" t="s">
        <v>331</v>
      </c>
      <c r="B58" t="s">
        <v>332</v>
      </c>
    </row>
    <row r="59" spans="1:2" x14ac:dyDescent="0.15">
      <c r="A59" t="s">
        <v>333</v>
      </c>
      <c r="B59" t="s">
        <v>334</v>
      </c>
    </row>
    <row r="60" spans="1:2" x14ac:dyDescent="0.15">
      <c r="A60" t="s">
        <v>335</v>
      </c>
      <c r="B60" t="s">
        <v>336</v>
      </c>
    </row>
    <row r="61" spans="1:2" x14ac:dyDescent="0.15">
      <c r="A61" t="s">
        <v>337</v>
      </c>
      <c r="B61" t="s">
        <v>338</v>
      </c>
    </row>
    <row r="62" spans="1:2" x14ac:dyDescent="0.15">
      <c r="A62" t="s">
        <v>339</v>
      </c>
      <c r="B62" t="s">
        <v>340</v>
      </c>
    </row>
    <row r="63" spans="1:2" x14ac:dyDescent="0.15">
      <c r="A63" t="s">
        <v>341</v>
      </c>
      <c r="B63" t="s">
        <v>342</v>
      </c>
    </row>
    <row r="64" spans="1:2" x14ac:dyDescent="0.15">
      <c r="A64" t="s">
        <v>343</v>
      </c>
      <c r="B64" t="s">
        <v>344</v>
      </c>
    </row>
    <row r="65" spans="1:2" x14ac:dyDescent="0.15">
      <c r="A65" t="s">
        <v>345</v>
      </c>
      <c r="B65" t="s">
        <v>346</v>
      </c>
    </row>
    <row r="66" spans="1:2" x14ac:dyDescent="0.15">
      <c r="A66" t="s">
        <v>347</v>
      </c>
      <c r="B66" t="s">
        <v>348</v>
      </c>
    </row>
    <row r="67" spans="1:2" x14ac:dyDescent="0.15">
      <c r="A67" t="s">
        <v>349</v>
      </c>
      <c r="B67" t="s">
        <v>350</v>
      </c>
    </row>
    <row r="68" spans="1:2" x14ac:dyDescent="0.15">
      <c r="A68" t="s">
        <v>351</v>
      </c>
      <c r="B68" t="s">
        <v>352</v>
      </c>
    </row>
    <row r="69" spans="1:2" x14ac:dyDescent="0.15">
      <c r="A69" t="s">
        <v>353</v>
      </c>
      <c r="B69" t="s">
        <v>354</v>
      </c>
    </row>
    <row r="70" spans="1:2" x14ac:dyDescent="0.15">
      <c r="A70" t="s">
        <v>355</v>
      </c>
      <c r="B70" t="s">
        <v>356</v>
      </c>
    </row>
    <row r="71" spans="1:2" x14ac:dyDescent="0.15">
      <c r="A71" t="s">
        <v>357</v>
      </c>
      <c r="B71" t="s">
        <v>358</v>
      </c>
    </row>
    <row r="72" spans="1:2" x14ac:dyDescent="0.15">
      <c r="A72" t="s">
        <v>359</v>
      </c>
      <c r="B72" t="s">
        <v>360</v>
      </c>
    </row>
    <row r="73" spans="1:2" x14ac:dyDescent="0.15">
      <c r="A73" t="s">
        <v>361</v>
      </c>
      <c r="B73" t="s">
        <v>362</v>
      </c>
    </row>
    <row r="74" spans="1:2" x14ac:dyDescent="0.15">
      <c r="A74" t="s">
        <v>363</v>
      </c>
      <c r="B74" t="s">
        <v>364</v>
      </c>
    </row>
    <row r="75" spans="1:2" x14ac:dyDescent="0.15">
      <c r="A75" t="s">
        <v>365</v>
      </c>
      <c r="B75" t="s">
        <v>366</v>
      </c>
    </row>
    <row r="76" spans="1:2" x14ac:dyDescent="0.15">
      <c r="A76" t="s">
        <v>367</v>
      </c>
      <c r="B76" t="s">
        <v>368</v>
      </c>
    </row>
    <row r="77" spans="1:2" x14ac:dyDescent="0.15">
      <c r="A77" t="s">
        <v>369</v>
      </c>
      <c r="B77" t="s">
        <v>370</v>
      </c>
    </row>
    <row r="78" spans="1:2" x14ac:dyDescent="0.15">
      <c r="A78" t="s">
        <v>371</v>
      </c>
      <c r="B78" t="s">
        <v>372</v>
      </c>
    </row>
    <row r="79" spans="1:2" x14ac:dyDescent="0.15">
      <c r="A79" t="s">
        <v>373</v>
      </c>
      <c r="B79" t="s">
        <v>374</v>
      </c>
    </row>
    <row r="80" spans="1:2" x14ac:dyDescent="0.15">
      <c r="A80" t="s">
        <v>375</v>
      </c>
      <c r="B80" t="s">
        <v>376</v>
      </c>
    </row>
    <row r="81" spans="1:2" x14ac:dyDescent="0.15">
      <c r="A81" t="s">
        <v>377</v>
      </c>
      <c r="B81" t="s">
        <v>378</v>
      </c>
    </row>
    <row r="82" spans="1:2" x14ac:dyDescent="0.15">
      <c r="A82" t="s">
        <v>379</v>
      </c>
      <c r="B82" t="s">
        <v>380</v>
      </c>
    </row>
    <row r="83" spans="1:2" x14ac:dyDescent="0.15">
      <c r="A83" t="s">
        <v>381</v>
      </c>
      <c r="B83" t="s">
        <v>382</v>
      </c>
    </row>
    <row r="84" spans="1:2" x14ac:dyDescent="0.15">
      <c r="A84" t="s">
        <v>383</v>
      </c>
      <c r="B84" t="s">
        <v>384</v>
      </c>
    </row>
    <row r="85" spans="1:2" x14ac:dyDescent="0.15">
      <c r="A85" t="s">
        <v>385</v>
      </c>
      <c r="B85" t="s">
        <v>386</v>
      </c>
    </row>
    <row r="86" spans="1:2" x14ac:dyDescent="0.15">
      <c r="A86" t="s">
        <v>387</v>
      </c>
      <c r="B86" t="s">
        <v>388</v>
      </c>
    </row>
    <row r="87" spans="1:2" x14ac:dyDescent="0.15">
      <c r="A87" t="s">
        <v>389</v>
      </c>
      <c r="B87" t="s">
        <v>390</v>
      </c>
    </row>
    <row r="88" spans="1:2" x14ac:dyDescent="0.15">
      <c r="A88" t="s">
        <v>391</v>
      </c>
      <c r="B88" t="s">
        <v>392</v>
      </c>
    </row>
    <row r="89" spans="1:2" x14ac:dyDescent="0.15">
      <c r="A89" t="s">
        <v>393</v>
      </c>
      <c r="B89" t="s">
        <v>394</v>
      </c>
    </row>
    <row r="90" spans="1:2" x14ac:dyDescent="0.15">
      <c r="A90" t="s">
        <v>395</v>
      </c>
      <c r="B90" t="s">
        <v>396</v>
      </c>
    </row>
    <row r="91" spans="1:2" x14ac:dyDescent="0.15">
      <c r="A91" t="s">
        <v>397</v>
      </c>
      <c r="B91" t="s">
        <v>398</v>
      </c>
    </row>
    <row r="92" spans="1:2" x14ac:dyDescent="0.15">
      <c r="A92" t="s">
        <v>399</v>
      </c>
      <c r="B92" t="s">
        <v>400</v>
      </c>
    </row>
    <row r="93" spans="1:2" x14ac:dyDescent="0.15">
      <c r="A93" t="s">
        <v>401</v>
      </c>
      <c r="B93" t="s">
        <v>402</v>
      </c>
    </row>
    <row r="94" spans="1:2" x14ac:dyDescent="0.15">
      <c r="A94" t="s">
        <v>403</v>
      </c>
      <c r="B94" t="s">
        <v>404</v>
      </c>
    </row>
    <row r="95" spans="1:2" x14ac:dyDescent="0.15">
      <c r="A95" t="s">
        <v>405</v>
      </c>
      <c r="B95" t="s">
        <v>406</v>
      </c>
    </row>
    <row r="96" spans="1:2" x14ac:dyDescent="0.15">
      <c r="A96" t="s">
        <v>407</v>
      </c>
      <c r="B96" t="s">
        <v>408</v>
      </c>
    </row>
    <row r="97" spans="1:18" x14ac:dyDescent="0.15">
      <c r="A97" t="s">
        <v>409</v>
      </c>
      <c r="B97" t="s">
        <v>410</v>
      </c>
    </row>
    <row r="98" spans="1:18" x14ac:dyDescent="0.15">
      <c r="A98" t="s">
        <v>411</v>
      </c>
      <c r="B98" t="s">
        <v>412</v>
      </c>
    </row>
    <row r="99" spans="1:18" x14ac:dyDescent="0.15">
      <c r="A99" t="s">
        <v>413</v>
      </c>
      <c r="B99" t="s">
        <v>414</v>
      </c>
    </row>
    <row r="100" spans="1:18" x14ac:dyDescent="0.15">
      <c r="A100" t="s">
        <v>415</v>
      </c>
      <c r="B100" t="s">
        <v>416</v>
      </c>
    </row>
    <row r="101" spans="1:18" x14ac:dyDescent="0.15">
      <c r="A101" t="s">
        <v>417</v>
      </c>
      <c r="B101" t="s">
        <v>418</v>
      </c>
    </row>
    <row r="102" spans="1:18" x14ac:dyDescent="0.15">
      <c r="A102" t="s">
        <v>419</v>
      </c>
      <c r="B102" t="s">
        <v>420</v>
      </c>
    </row>
    <row r="103" spans="1:18" x14ac:dyDescent="0.15">
      <c r="A103" t="s">
        <v>421</v>
      </c>
      <c r="B103" t="s">
        <v>422</v>
      </c>
    </row>
    <row r="104" spans="1:18" x14ac:dyDescent="0.15">
      <c r="A104" t="s">
        <v>423</v>
      </c>
      <c r="B104" t="s">
        <v>424</v>
      </c>
    </row>
    <row r="105" spans="1:18" x14ac:dyDescent="0.15">
      <c r="A105" t="s">
        <v>425</v>
      </c>
      <c r="B105" t="s">
        <v>426</v>
      </c>
    </row>
    <row r="106" spans="1:18" x14ac:dyDescent="0.15">
      <c r="A106" t="s">
        <v>427</v>
      </c>
      <c r="B106" t="s">
        <v>428</v>
      </c>
    </row>
    <row r="107" spans="1:18" x14ac:dyDescent="0.15">
      <c r="A107" t="s">
        <v>429</v>
      </c>
      <c r="B107" t="s">
        <v>430</v>
      </c>
    </row>
    <row r="108" spans="1:18" x14ac:dyDescent="0.15">
      <c r="A108" t="s">
        <v>431</v>
      </c>
      <c r="B108" t="s">
        <v>432</v>
      </c>
    </row>
    <row r="109" spans="1:18" x14ac:dyDescent="0.15">
      <c r="A109" t="s">
        <v>433</v>
      </c>
      <c r="B109" t="s">
        <v>434</v>
      </c>
    </row>
    <row r="110" spans="1:18" x14ac:dyDescent="0.15">
      <c r="A110" t="s">
        <v>435</v>
      </c>
      <c r="B110" t="s">
        <v>150</v>
      </c>
      <c r="C110" t="s">
        <v>103</v>
      </c>
      <c r="D110" t="s">
        <v>132</v>
      </c>
      <c r="E110" t="s">
        <v>50</v>
      </c>
      <c r="F110" t="s">
        <v>83</v>
      </c>
      <c r="G110" t="s">
        <v>129</v>
      </c>
      <c r="H110" t="s">
        <v>63</v>
      </c>
      <c r="I110" t="s">
        <v>126</v>
      </c>
      <c r="J110" t="s">
        <v>76</v>
      </c>
      <c r="K110" t="s">
        <v>117</v>
      </c>
      <c r="L110" t="s">
        <v>62</v>
      </c>
      <c r="M110" t="s">
        <v>147</v>
      </c>
      <c r="N110" t="s">
        <v>120</v>
      </c>
      <c r="O110" t="s">
        <v>59</v>
      </c>
      <c r="P110" t="s">
        <v>141</v>
      </c>
      <c r="Q110" t="s">
        <v>46</v>
      </c>
      <c r="R110" t="s">
        <v>75</v>
      </c>
    </row>
    <row r="111" spans="1:18" x14ac:dyDescent="0.15">
      <c r="A111" t="s">
        <v>436</v>
      </c>
      <c r="B111">
        <v>1</v>
      </c>
    </row>
    <row r="112" spans="1:18" x14ac:dyDescent="0.15">
      <c r="A112" t="s">
        <v>437</v>
      </c>
      <c r="B112">
        <v>2</v>
      </c>
    </row>
    <row r="113" spans="1:2" x14ac:dyDescent="0.15">
      <c r="A113" t="s">
        <v>438</v>
      </c>
      <c r="B113">
        <v>3</v>
      </c>
    </row>
    <row r="114" spans="1:2" x14ac:dyDescent="0.15">
      <c r="A114" t="s">
        <v>439</v>
      </c>
      <c r="B114">
        <v>4</v>
      </c>
    </row>
    <row r="115" spans="1:2" x14ac:dyDescent="0.15">
      <c r="A115" t="s">
        <v>440</v>
      </c>
      <c r="B115">
        <v>5</v>
      </c>
    </row>
    <row r="116" spans="1:2" x14ac:dyDescent="0.15">
      <c r="A116" t="s">
        <v>441</v>
      </c>
      <c r="B116">
        <v>6</v>
      </c>
    </row>
    <row r="117" spans="1:2" x14ac:dyDescent="0.15">
      <c r="A117" t="s">
        <v>442</v>
      </c>
      <c r="B117">
        <v>7</v>
      </c>
    </row>
    <row r="118" spans="1:2" x14ac:dyDescent="0.15">
      <c r="A118" t="s">
        <v>443</v>
      </c>
      <c r="B118">
        <v>9</v>
      </c>
    </row>
    <row r="119" spans="1:2" x14ac:dyDescent="0.15">
      <c r="A119" t="s">
        <v>444</v>
      </c>
      <c r="B119">
        <v>10</v>
      </c>
    </row>
    <row r="120" spans="1:2" x14ac:dyDescent="0.15">
      <c r="A120" t="s">
        <v>445</v>
      </c>
      <c r="B120">
        <v>11</v>
      </c>
    </row>
    <row r="121" spans="1:2" x14ac:dyDescent="0.15">
      <c r="A121" t="s">
        <v>446</v>
      </c>
      <c r="B121">
        <v>12</v>
      </c>
    </row>
    <row r="122" spans="1:2" x14ac:dyDescent="0.15">
      <c r="A122" t="s">
        <v>447</v>
      </c>
      <c r="B122">
        <v>13</v>
      </c>
    </row>
    <row r="123" spans="1:2" x14ac:dyDescent="0.15">
      <c r="A123" t="s">
        <v>448</v>
      </c>
      <c r="B123">
        <v>14</v>
      </c>
    </row>
    <row r="124" spans="1:2" x14ac:dyDescent="0.15">
      <c r="A124" t="s">
        <v>449</v>
      </c>
      <c r="B124">
        <v>15</v>
      </c>
    </row>
    <row r="125" spans="1:2" x14ac:dyDescent="0.15">
      <c r="A125" t="s">
        <v>450</v>
      </c>
      <c r="B125">
        <v>16</v>
      </c>
    </row>
    <row r="126" spans="1:2" x14ac:dyDescent="0.15">
      <c r="A126" t="s">
        <v>451</v>
      </c>
      <c r="B126">
        <v>17</v>
      </c>
    </row>
    <row r="127" spans="1:2" x14ac:dyDescent="0.15">
      <c r="A127" t="s">
        <v>452</v>
      </c>
      <c r="B127">
        <v>18</v>
      </c>
    </row>
    <row r="128" spans="1:2" x14ac:dyDescent="0.15">
      <c r="A128" t="s">
        <v>453</v>
      </c>
      <c r="B128">
        <v>19</v>
      </c>
    </row>
    <row r="129" spans="1:2" x14ac:dyDescent="0.15">
      <c r="A129" t="s">
        <v>454</v>
      </c>
      <c r="B129">
        <v>20</v>
      </c>
    </row>
    <row r="130" spans="1:2" x14ac:dyDescent="0.15">
      <c r="A130" t="s">
        <v>455</v>
      </c>
      <c r="B130">
        <v>21</v>
      </c>
    </row>
    <row r="131" spans="1:2" x14ac:dyDescent="0.15">
      <c r="A131" t="s">
        <v>456</v>
      </c>
      <c r="B131">
        <v>22</v>
      </c>
    </row>
    <row r="132" spans="1:2" x14ac:dyDescent="0.15">
      <c r="A132" t="s">
        <v>457</v>
      </c>
      <c r="B132">
        <v>23</v>
      </c>
    </row>
    <row r="133" spans="1:2" x14ac:dyDescent="0.15">
      <c r="A133" t="s">
        <v>458</v>
      </c>
      <c r="B133">
        <v>24</v>
      </c>
    </row>
    <row r="134" spans="1:2" x14ac:dyDescent="0.15">
      <c r="A134" t="s">
        <v>459</v>
      </c>
      <c r="B134">
        <v>25</v>
      </c>
    </row>
    <row r="135" spans="1:2" x14ac:dyDescent="0.15">
      <c r="A135" t="s">
        <v>460</v>
      </c>
      <c r="B135">
        <v>26</v>
      </c>
    </row>
    <row r="136" spans="1:2" x14ac:dyDescent="0.15">
      <c r="A136" t="s">
        <v>461</v>
      </c>
      <c r="B136">
        <v>27</v>
      </c>
    </row>
    <row r="137" spans="1:2" x14ac:dyDescent="0.15">
      <c r="A137" t="s">
        <v>462</v>
      </c>
      <c r="B137">
        <v>29</v>
      </c>
    </row>
    <row r="138" spans="1:2" x14ac:dyDescent="0.15">
      <c r="A138" t="s">
        <v>463</v>
      </c>
      <c r="B138">
        <v>30</v>
      </c>
    </row>
    <row r="139" spans="1:2" x14ac:dyDescent="0.15">
      <c r="A139" t="s">
        <v>464</v>
      </c>
      <c r="B139">
        <v>31</v>
      </c>
    </row>
    <row r="140" spans="1:2" x14ac:dyDescent="0.15">
      <c r="A140" t="s">
        <v>465</v>
      </c>
      <c r="B140">
        <v>32</v>
      </c>
    </row>
    <row r="141" spans="1:2" x14ac:dyDescent="0.15">
      <c r="A141" t="s">
        <v>466</v>
      </c>
      <c r="B141">
        <v>33</v>
      </c>
    </row>
    <row r="142" spans="1:2" x14ac:dyDescent="0.15">
      <c r="A142" t="s">
        <v>467</v>
      </c>
      <c r="B142">
        <v>34</v>
      </c>
    </row>
    <row r="143" spans="1:2" x14ac:dyDescent="0.15">
      <c r="A143" t="s">
        <v>468</v>
      </c>
      <c r="B143">
        <v>35</v>
      </c>
    </row>
    <row r="144" spans="1:2" x14ac:dyDescent="0.15">
      <c r="A144" t="s">
        <v>469</v>
      </c>
      <c r="B144">
        <v>36</v>
      </c>
    </row>
    <row r="145" spans="1:2" x14ac:dyDescent="0.15">
      <c r="A145" t="s">
        <v>470</v>
      </c>
      <c r="B145">
        <v>37</v>
      </c>
    </row>
    <row r="146" spans="1:2" x14ac:dyDescent="0.15">
      <c r="A146" t="s">
        <v>471</v>
      </c>
      <c r="B146">
        <v>38</v>
      </c>
    </row>
    <row r="147" spans="1:2" x14ac:dyDescent="0.15">
      <c r="A147" t="s">
        <v>472</v>
      </c>
      <c r="B147">
        <v>39</v>
      </c>
    </row>
    <row r="148" spans="1:2" x14ac:dyDescent="0.15">
      <c r="A148" t="s">
        <v>473</v>
      </c>
      <c r="B148">
        <v>40</v>
      </c>
    </row>
    <row r="149" spans="1:2" x14ac:dyDescent="0.15">
      <c r="A149" t="s">
        <v>474</v>
      </c>
      <c r="B149">
        <v>41</v>
      </c>
    </row>
    <row r="150" spans="1:2" x14ac:dyDescent="0.15">
      <c r="A150" t="s">
        <v>475</v>
      </c>
      <c r="B150">
        <v>42</v>
      </c>
    </row>
    <row r="151" spans="1:2" x14ac:dyDescent="0.15">
      <c r="A151" t="s">
        <v>476</v>
      </c>
      <c r="B151">
        <v>43</v>
      </c>
    </row>
    <row r="152" spans="1:2" x14ac:dyDescent="0.15">
      <c r="A152" t="s">
        <v>477</v>
      </c>
      <c r="B152">
        <v>44</v>
      </c>
    </row>
    <row r="153" spans="1:2" x14ac:dyDescent="0.15">
      <c r="A153" t="s">
        <v>478</v>
      </c>
      <c r="B153">
        <v>45</v>
      </c>
    </row>
    <row r="154" spans="1:2" x14ac:dyDescent="0.15">
      <c r="A154" t="s">
        <v>479</v>
      </c>
      <c r="B154">
        <v>46</v>
      </c>
    </row>
    <row r="155" spans="1:2" x14ac:dyDescent="0.15">
      <c r="A155" t="s">
        <v>480</v>
      </c>
      <c r="B155">
        <v>47</v>
      </c>
    </row>
    <row r="156" spans="1:2" x14ac:dyDescent="0.15">
      <c r="A156" t="s">
        <v>481</v>
      </c>
      <c r="B156">
        <v>49</v>
      </c>
    </row>
    <row r="157" spans="1:2" x14ac:dyDescent="0.15">
      <c r="A157" t="s">
        <v>482</v>
      </c>
      <c r="B157">
        <v>50</v>
      </c>
    </row>
    <row r="158" spans="1:2" x14ac:dyDescent="0.15">
      <c r="A158" t="s">
        <v>483</v>
      </c>
      <c r="B158">
        <v>52</v>
      </c>
    </row>
    <row r="159" spans="1:2" x14ac:dyDescent="0.15">
      <c r="A159" t="s">
        <v>484</v>
      </c>
      <c r="B159">
        <v>53</v>
      </c>
    </row>
    <row r="160" spans="1:2" x14ac:dyDescent="0.15">
      <c r="A160" t="s">
        <v>485</v>
      </c>
      <c r="B160">
        <v>54</v>
      </c>
    </row>
    <row r="161" spans="1:2" x14ac:dyDescent="0.15">
      <c r="A161" t="s">
        <v>486</v>
      </c>
      <c r="B161">
        <v>55</v>
      </c>
    </row>
    <row r="162" spans="1:2" x14ac:dyDescent="0.15">
      <c r="A162" t="s">
        <v>487</v>
      </c>
      <c r="B162">
        <v>56</v>
      </c>
    </row>
    <row r="163" spans="1:2" x14ac:dyDescent="0.15">
      <c r="A163" t="s">
        <v>488</v>
      </c>
      <c r="B163">
        <v>57</v>
      </c>
    </row>
    <row r="164" spans="1:2" x14ac:dyDescent="0.15">
      <c r="A164" t="s">
        <v>489</v>
      </c>
      <c r="B164">
        <v>59</v>
      </c>
    </row>
    <row r="165" spans="1:2" x14ac:dyDescent="0.15">
      <c r="A165" t="s">
        <v>490</v>
      </c>
      <c r="B165">
        <v>60</v>
      </c>
    </row>
    <row r="166" spans="1:2" x14ac:dyDescent="0.15">
      <c r="A166" t="s">
        <v>491</v>
      </c>
      <c r="B166">
        <v>61</v>
      </c>
    </row>
    <row r="167" spans="1:2" x14ac:dyDescent="0.15">
      <c r="A167" t="s">
        <v>492</v>
      </c>
      <c r="B167">
        <v>62</v>
      </c>
    </row>
    <row r="168" spans="1:2" x14ac:dyDescent="0.15">
      <c r="A168" t="s">
        <v>493</v>
      </c>
      <c r="B168">
        <v>63</v>
      </c>
    </row>
    <row r="169" spans="1:2" x14ac:dyDescent="0.15">
      <c r="A169" t="s">
        <v>494</v>
      </c>
      <c r="B169">
        <v>64</v>
      </c>
    </row>
    <row r="170" spans="1:2" x14ac:dyDescent="0.15">
      <c r="A170" t="s">
        <v>495</v>
      </c>
      <c r="B170" t="s">
        <v>496</v>
      </c>
    </row>
    <row r="171" spans="1:2" x14ac:dyDescent="0.15">
      <c r="A171" t="s">
        <v>497</v>
      </c>
      <c r="B171" t="s">
        <v>498</v>
      </c>
    </row>
    <row r="172" spans="1:2" x14ac:dyDescent="0.15">
      <c r="A172" t="s">
        <v>499</v>
      </c>
      <c r="B172" t="s">
        <v>500</v>
      </c>
    </row>
    <row r="173" spans="1:2" x14ac:dyDescent="0.15">
      <c r="A173" t="s">
        <v>501</v>
      </c>
      <c r="B173" t="s">
        <v>502</v>
      </c>
    </row>
    <row r="174" spans="1:2" x14ac:dyDescent="0.15">
      <c r="A174" t="s">
        <v>503</v>
      </c>
      <c r="B174" t="s">
        <v>504</v>
      </c>
    </row>
    <row r="175" spans="1:2" x14ac:dyDescent="0.15">
      <c r="A175" t="s">
        <v>505</v>
      </c>
      <c r="B175" t="s">
        <v>506</v>
      </c>
    </row>
    <row r="176" spans="1:2" x14ac:dyDescent="0.15">
      <c r="A176" t="s">
        <v>507</v>
      </c>
      <c r="B176" t="s">
        <v>508</v>
      </c>
    </row>
    <row r="177" spans="1:2" x14ac:dyDescent="0.15">
      <c r="A177" t="s">
        <v>509</v>
      </c>
      <c r="B177" t="s">
        <v>510</v>
      </c>
    </row>
    <row r="178" spans="1:2" x14ac:dyDescent="0.15">
      <c r="A178" t="s">
        <v>511</v>
      </c>
      <c r="B178" t="s">
        <v>512</v>
      </c>
    </row>
    <row r="179" spans="1:2" x14ac:dyDescent="0.15">
      <c r="A179" t="s">
        <v>513</v>
      </c>
      <c r="B179" t="s">
        <v>514</v>
      </c>
    </row>
    <row r="180" spans="1:2" x14ac:dyDescent="0.15">
      <c r="A180" t="s">
        <v>515</v>
      </c>
      <c r="B180" t="s">
        <v>516</v>
      </c>
    </row>
    <row r="181" spans="1:2" x14ac:dyDescent="0.15">
      <c r="A181" t="s">
        <v>517</v>
      </c>
      <c r="B181" t="s">
        <v>518</v>
      </c>
    </row>
    <row r="182" spans="1:2" x14ac:dyDescent="0.15">
      <c r="A182" t="s">
        <v>519</v>
      </c>
      <c r="B182" t="s">
        <v>520</v>
      </c>
    </row>
    <row r="183" spans="1:2" x14ac:dyDescent="0.15">
      <c r="A183" t="s">
        <v>521</v>
      </c>
      <c r="B183" t="s">
        <v>522</v>
      </c>
    </row>
    <row r="184" spans="1:2" x14ac:dyDescent="0.15">
      <c r="A184" t="s">
        <v>523</v>
      </c>
      <c r="B184" t="s">
        <v>524</v>
      </c>
    </row>
    <row r="185" spans="1:2" x14ac:dyDescent="0.15">
      <c r="A185" t="s">
        <v>525</v>
      </c>
      <c r="B185" t="s">
        <v>526</v>
      </c>
    </row>
    <row r="186" spans="1:2" x14ac:dyDescent="0.15">
      <c r="A186" t="s">
        <v>527</v>
      </c>
      <c r="B186" t="s">
        <v>528</v>
      </c>
    </row>
    <row r="187" spans="1:2" x14ac:dyDescent="0.15">
      <c r="A187" t="s">
        <v>529</v>
      </c>
      <c r="B187" t="s">
        <v>530</v>
      </c>
    </row>
    <row r="188" spans="1:2" x14ac:dyDescent="0.15">
      <c r="A188" t="s">
        <v>531</v>
      </c>
      <c r="B188" t="s">
        <v>532</v>
      </c>
    </row>
    <row r="189" spans="1:2" x14ac:dyDescent="0.15">
      <c r="A189" t="s">
        <v>533</v>
      </c>
      <c r="B189" t="s">
        <v>534</v>
      </c>
    </row>
    <row r="190" spans="1:2" x14ac:dyDescent="0.15">
      <c r="A190" t="s">
        <v>535</v>
      </c>
      <c r="B190" t="s">
        <v>536</v>
      </c>
    </row>
    <row r="191" spans="1:2" x14ac:dyDescent="0.15">
      <c r="A191" t="s">
        <v>537</v>
      </c>
      <c r="B191" t="s">
        <v>538</v>
      </c>
    </row>
    <row r="192" spans="1:2" x14ac:dyDescent="0.15">
      <c r="A192" t="s">
        <v>539</v>
      </c>
      <c r="B192" t="s">
        <v>540</v>
      </c>
    </row>
    <row r="193" spans="1:2" x14ac:dyDescent="0.15">
      <c r="A193" t="s">
        <v>541</v>
      </c>
      <c r="B193" t="s">
        <v>542</v>
      </c>
    </row>
    <row r="194" spans="1:2" x14ac:dyDescent="0.15">
      <c r="A194" t="s">
        <v>543</v>
      </c>
      <c r="B194" t="s">
        <v>544</v>
      </c>
    </row>
    <row r="195" spans="1:2" x14ac:dyDescent="0.15">
      <c r="A195" t="s">
        <v>545</v>
      </c>
      <c r="B195" t="s">
        <v>546</v>
      </c>
    </row>
    <row r="196" spans="1:2" x14ac:dyDescent="0.15">
      <c r="A196" t="s">
        <v>547</v>
      </c>
      <c r="B196" t="s">
        <v>548</v>
      </c>
    </row>
    <row r="197" spans="1:2" x14ac:dyDescent="0.15">
      <c r="A197" t="s">
        <v>549</v>
      </c>
      <c r="B197" t="s">
        <v>550</v>
      </c>
    </row>
    <row r="198" spans="1:2" x14ac:dyDescent="0.15">
      <c r="A198" t="s">
        <v>551</v>
      </c>
      <c r="B198" t="s">
        <v>552</v>
      </c>
    </row>
    <row r="199" spans="1:2" x14ac:dyDescent="0.15">
      <c r="A199" t="s">
        <v>553</v>
      </c>
      <c r="B199" t="s">
        <v>554</v>
      </c>
    </row>
    <row r="200" spans="1:2" x14ac:dyDescent="0.15">
      <c r="A200" t="s">
        <v>555</v>
      </c>
      <c r="B200" t="s">
        <v>556</v>
      </c>
    </row>
    <row r="201" spans="1:2" x14ac:dyDescent="0.15">
      <c r="A201" t="s">
        <v>557</v>
      </c>
      <c r="B201" t="s">
        <v>558</v>
      </c>
    </row>
    <row r="202" spans="1:2" x14ac:dyDescent="0.15">
      <c r="A202" t="s">
        <v>559</v>
      </c>
      <c r="B202" t="s">
        <v>560</v>
      </c>
    </row>
    <row r="203" spans="1:2" x14ac:dyDescent="0.15">
      <c r="A203" t="s">
        <v>561</v>
      </c>
      <c r="B203" t="s">
        <v>562</v>
      </c>
    </row>
    <row r="204" spans="1:2" x14ac:dyDescent="0.15">
      <c r="A204" t="s">
        <v>563</v>
      </c>
      <c r="B204" t="s">
        <v>564</v>
      </c>
    </row>
    <row r="205" spans="1:2" x14ac:dyDescent="0.15">
      <c r="A205" t="s">
        <v>565</v>
      </c>
      <c r="B205" t="s">
        <v>566</v>
      </c>
    </row>
    <row r="206" spans="1:2" x14ac:dyDescent="0.15">
      <c r="A206" t="s">
        <v>567</v>
      </c>
      <c r="B206" t="s">
        <v>568</v>
      </c>
    </row>
    <row r="207" spans="1:2" x14ac:dyDescent="0.15">
      <c r="A207" t="s">
        <v>569</v>
      </c>
      <c r="B207" t="s">
        <v>570</v>
      </c>
    </row>
    <row r="208" spans="1:2" x14ac:dyDescent="0.15">
      <c r="A208" t="s">
        <v>571</v>
      </c>
      <c r="B208" t="s">
        <v>572</v>
      </c>
    </row>
    <row r="209" spans="1:2" x14ac:dyDescent="0.15">
      <c r="A209" t="s">
        <v>573</v>
      </c>
      <c r="B209" t="s">
        <v>574</v>
      </c>
    </row>
    <row r="210" spans="1:2" x14ac:dyDescent="0.15">
      <c r="A210" t="s">
        <v>575</v>
      </c>
      <c r="B210" t="s">
        <v>576</v>
      </c>
    </row>
    <row r="211" spans="1:2" x14ac:dyDescent="0.15">
      <c r="A211" t="s">
        <v>577</v>
      </c>
      <c r="B211" t="s">
        <v>578</v>
      </c>
    </row>
    <row r="212" spans="1:2" x14ac:dyDescent="0.15">
      <c r="A212" t="s">
        <v>579</v>
      </c>
      <c r="B212" t="s">
        <v>580</v>
      </c>
    </row>
    <row r="213" spans="1:2" x14ac:dyDescent="0.15">
      <c r="A213" t="s">
        <v>581</v>
      </c>
      <c r="B213" t="s">
        <v>582</v>
      </c>
    </row>
    <row r="214" spans="1:2" x14ac:dyDescent="0.15">
      <c r="A214" t="s">
        <v>583</v>
      </c>
      <c r="B214" t="s">
        <v>584</v>
      </c>
    </row>
    <row r="215" spans="1:2" x14ac:dyDescent="0.15">
      <c r="A215" t="s">
        <v>585</v>
      </c>
      <c r="B215" t="s">
        <v>586</v>
      </c>
    </row>
    <row r="216" spans="1:2" x14ac:dyDescent="0.15">
      <c r="A216" t="s">
        <v>587</v>
      </c>
      <c r="B216" t="s">
        <v>588</v>
      </c>
    </row>
    <row r="217" spans="1:2" x14ac:dyDescent="0.15">
      <c r="A217" t="s">
        <v>589</v>
      </c>
      <c r="B217" t="s">
        <v>590</v>
      </c>
    </row>
    <row r="218" spans="1:2" x14ac:dyDescent="0.15">
      <c r="A218" t="s">
        <v>591</v>
      </c>
      <c r="B218" t="s">
        <v>592</v>
      </c>
    </row>
    <row r="219" spans="1:2" x14ac:dyDescent="0.15">
      <c r="A219" t="s">
        <v>593</v>
      </c>
      <c r="B219" t="s">
        <v>594</v>
      </c>
    </row>
    <row r="220" spans="1:2" x14ac:dyDescent="0.15">
      <c r="A220" t="s">
        <v>595</v>
      </c>
      <c r="B220" t="s">
        <v>596</v>
      </c>
    </row>
    <row r="221" spans="1:2" x14ac:dyDescent="0.15">
      <c r="A221" t="s">
        <v>597</v>
      </c>
      <c r="B221" t="s">
        <v>598</v>
      </c>
    </row>
    <row r="222" spans="1:2" x14ac:dyDescent="0.15">
      <c r="A222" t="s">
        <v>599</v>
      </c>
      <c r="B222" t="s">
        <v>600</v>
      </c>
    </row>
    <row r="223" spans="1:2" x14ac:dyDescent="0.15">
      <c r="A223" t="s">
        <v>601</v>
      </c>
      <c r="B223" t="s">
        <v>602</v>
      </c>
    </row>
    <row r="224" spans="1:2" x14ac:dyDescent="0.15">
      <c r="A224" t="s">
        <v>603</v>
      </c>
      <c r="B224" t="s">
        <v>604</v>
      </c>
    </row>
    <row r="225" spans="1:20" x14ac:dyDescent="0.15">
      <c r="A225" t="s">
        <v>605</v>
      </c>
      <c r="B225" t="s">
        <v>606</v>
      </c>
    </row>
    <row r="226" spans="1:20" x14ac:dyDescent="0.15">
      <c r="A226" t="s">
        <v>607</v>
      </c>
      <c r="B226" t="s">
        <v>608</v>
      </c>
    </row>
    <row r="227" spans="1:20" x14ac:dyDescent="0.15">
      <c r="A227" t="s">
        <v>609</v>
      </c>
      <c r="B227" t="s">
        <v>610</v>
      </c>
    </row>
    <row r="228" spans="1:20" x14ac:dyDescent="0.15">
      <c r="A228" t="s">
        <v>611</v>
      </c>
      <c r="B228" t="s">
        <v>75</v>
      </c>
      <c r="C228" t="s">
        <v>46</v>
      </c>
      <c r="D228" t="s">
        <v>120</v>
      </c>
      <c r="E228" t="s">
        <v>141</v>
      </c>
      <c r="F228" t="s">
        <v>59</v>
      </c>
      <c r="G228" t="s">
        <v>147</v>
      </c>
      <c r="H228" t="s">
        <v>52</v>
      </c>
      <c r="I228" t="s">
        <v>62</v>
      </c>
      <c r="J228" t="s">
        <v>117</v>
      </c>
      <c r="K228" t="s">
        <v>76</v>
      </c>
      <c r="L228" t="s">
        <v>126</v>
      </c>
      <c r="M228" t="s">
        <v>57</v>
      </c>
      <c r="N228" t="s">
        <v>63</v>
      </c>
      <c r="O228" t="s">
        <v>129</v>
      </c>
      <c r="P228" t="s">
        <v>83</v>
      </c>
      <c r="Q228" t="s">
        <v>50</v>
      </c>
      <c r="R228" t="s">
        <v>103</v>
      </c>
      <c r="S228" t="s">
        <v>132</v>
      </c>
      <c r="T228" t="s">
        <v>150</v>
      </c>
    </row>
    <row r="229" spans="1:20" x14ac:dyDescent="0.15">
      <c r="A229" t="s">
        <v>612</v>
      </c>
      <c r="B229">
        <v>1</v>
      </c>
    </row>
    <row r="230" spans="1:20" x14ac:dyDescent="0.15">
      <c r="A230" t="s">
        <v>613</v>
      </c>
      <c r="B230">
        <v>2</v>
      </c>
    </row>
    <row r="231" spans="1:20" x14ac:dyDescent="0.15">
      <c r="A231" t="s">
        <v>614</v>
      </c>
      <c r="B231">
        <v>3</v>
      </c>
    </row>
    <row r="232" spans="1:20" x14ac:dyDescent="0.15">
      <c r="A232" t="s">
        <v>615</v>
      </c>
      <c r="B232">
        <v>4</v>
      </c>
    </row>
    <row r="233" spans="1:20" x14ac:dyDescent="0.15">
      <c r="A233" t="s">
        <v>616</v>
      </c>
      <c r="B233">
        <v>5</v>
      </c>
    </row>
    <row r="234" spans="1:20" x14ac:dyDescent="0.15">
      <c r="A234" t="s">
        <v>617</v>
      </c>
      <c r="B234">
        <v>6</v>
      </c>
    </row>
    <row r="235" spans="1:20" x14ac:dyDescent="0.15">
      <c r="A235" t="s">
        <v>618</v>
      </c>
      <c r="B235">
        <v>8</v>
      </c>
    </row>
    <row r="236" spans="1:20" x14ac:dyDescent="0.15">
      <c r="A236" t="s">
        <v>619</v>
      </c>
      <c r="B236">
        <v>9</v>
      </c>
    </row>
    <row r="237" spans="1:20" x14ac:dyDescent="0.15">
      <c r="A237" t="s">
        <v>620</v>
      </c>
      <c r="B237">
        <v>10</v>
      </c>
    </row>
    <row r="238" spans="1:20" x14ac:dyDescent="0.15">
      <c r="A238" t="s">
        <v>621</v>
      </c>
      <c r="B238">
        <v>11</v>
      </c>
    </row>
    <row r="239" spans="1:20" x14ac:dyDescent="0.15">
      <c r="A239" t="s">
        <v>622</v>
      </c>
      <c r="B239">
        <v>12</v>
      </c>
    </row>
    <row r="240" spans="1:20" x14ac:dyDescent="0.15">
      <c r="A240" t="s">
        <v>623</v>
      </c>
      <c r="B240">
        <v>13</v>
      </c>
    </row>
    <row r="241" spans="1:2" x14ac:dyDescent="0.15">
      <c r="A241" t="s">
        <v>624</v>
      </c>
      <c r="B241">
        <v>14</v>
      </c>
    </row>
    <row r="242" spans="1:2" x14ac:dyDescent="0.15">
      <c r="A242" t="s">
        <v>625</v>
      </c>
      <c r="B242">
        <v>15</v>
      </c>
    </row>
    <row r="243" spans="1:2" x14ac:dyDescent="0.15">
      <c r="A243" t="s">
        <v>626</v>
      </c>
      <c r="B243">
        <v>16</v>
      </c>
    </row>
    <row r="244" spans="1:2" x14ac:dyDescent="0.15">
      <c r="A244" t="s">
        <v>627</v>
      </c>
      <c r="B244">
        <v>17</v>
      </c>
    </row>
    <row r="245" spans="1:2" x14ac:dyDescent="0.15">
      <c r="A245" t="s">
        <v>628</v>
      </c>
      <c r="B245">
        <v>18</v>
      </c>
    </row>
    <row r="246" spans="1:2" x14ac:dyDescent="0.15">
      <c r="A246" t="s">
        <v>629</v>
      </c>
      <c r="B246">
        <v>19</v>
      </c>
    </row>
    <row r="247" spans="1:2" x14ac:dyDescent="0.15">
      <c r="A247" t="s">
        <v>630</v>
      </c>
      <c r="B247">
        <v>20</v>
      </c>
    </row>
    <row r="248" spans="1:2" x14ac:dyDescent="0.15">
      <c r="A248" t="s">
        <v>631</v>
      </c>
      <c r="B248">
        <v>21</v>
      </c>
    </row>
    <row r="249" spans="1:2" x14ac:dyDescent="0.15">
      <c r="A249" t="s">
        <v>632</v>
      </c>
      <c r="B249">
        <v>23</v>
      </c>
    </row>
    <row r="250" spans="1:2" x14ac:dyDescent="0.15">
      <c r="A250" t="s">
        <v>633</v>
      </c>
      <c r="B250">
        <v>24</v>
      </c>
    </row>
    <row r="251" spans="1:2" x14ac:dyDescent="0.15">
      <c r="A251" t="s">
        <v>634</v>
      </c>
      <c r="B251">
        <v>25</v>
      </c>
    </row>
    <row r="252" spans="1:2" x14ac:dyDescent="0.15">
      <c r="A252" t="s">
        <v>635</v>
      </c>
      <c r="B252">
        <v>26</v>
      </c>
    </row>
    <row r="253" spans="1:2" x14ac:dyDescent="0.15">
      <c r="A253" t="s">
        <v>636</v>
      </c>
      <c r="B253">
        <v>27</v>
      </c>
    </row>
    <row r="254" spans="1:2" x14ac:dyDescent="0.15">
      <c r="A254" t="s">
        <v>637</v>
      </c>
      <c r="B254">
        <v>28</v>
      </c>
    </row>
    <row r="255" spans="1:2" x14ac:dyDescent="0.15">
      <c r="A255" t="s">
        <v>638</v>
      </c>
      <c r="B255">
        <v>29</v>
      </c>
    </row>
    <row r="256" spans="1:2" x14ac:dyDescent="0.15">
      <c r="A256" t="s">
        <v>639</v>
      </c>
      <c r="B256">
        <v>30</v>
      </c>
    </row>
    <row r="257" spans="1:2" x14ac:dyDescent="0.15">
      <c r="A257" t="s">
        <v>640</v>
      </c>
      <c r="B257">
        <v>31</v>
      </c>
    </row>
    <row r="258" spans="1:2" x14ac:dyDescent="0.15">
      <c r="A258" t="s">
        <v>641</v>
      </c>
      <c r="B258">
        <v>32</v>
      </c>
    </row>
    <row r="259" spans="1:2" x14ac:dyDescent="0.15">
      <c r="A259" t="s">
        <v>642</v>
      </c>
      <c r="B259">
        <v>33</v>
      </c>
    </row>
    <row r="260" spans="1:2" x14ac:dyDescent="0.15">
      <c r="A260" t="s">
        <v>643</v>
      </c>
      <c r="B260">
        <v>34</v>
      </c>
    </row>
    <row r="261" spans="1:2" x14ac:dyDescent="0.15">
      <c r="A261" t="s">
        <v>644</v>
      </c>
      <c r="B261">
        <v>35</v>
      </c>
    </row>
    <row r="262" spans="1:2" x14ac:dyDescent="0.15">
      <c r="A262" t="s">
        <v>645</v>
      </c>
      <c r="B262">
        <v>36</v>
      </c>
    </row>
    <row r="263" spans="1:2" x14ac:dyDescent="0.15">
      <c r="A263" t="s">
        <v>646</v>
      </c>
      <c r="B263">
        <v>38</v>
      </c>
    </row>
    <row r="264" spans="1:2" x14ac:dyDescent="0.15">
      <c r="A264" t="s">
        <v>647</v>
      </c>
      <c r="B264">
        <v>39</v>
      </c>
    </row>
    <row r="265" spans="1:2" x14ac:dyDescent="0.15">
      <c r="A265" t="s">
        <v>648</v>
      </c>
      <c r="B265">
        <v>40</v>
      </c>
    </row>
    <row r="266" spans="1:2" x14ac:dyDescent="0.15">
      <c r="A266" t="s">
        <v>649</v>
      </c>
      <c r="B266">
        <v>41</v>
      </c>
    </row>
    <row r="267" spans="1:2" x14ac:dyDescent="0.15">
      <c r="A267" t="s">
        <v>650</v>
      </c>
      <c r="B267">
        <v>42</v>
      </c>
    </row>
    <row r="268" spans="1:2" x14ac:dyDescent="0.15">
      <c r="A268" t="s">
        <v>651</v>
      </c>
      <c r="B268">
        <v>43</v>
      </c>
    </row>
    <row r="269" spans="1:2" x14ac:dyDescent="0.15">
      <c r="A269" t="s">
        <v>652</v>
      </c>
      <c r="B269" t="s">
        <v>653</v>
      </c>
    </row>
    <row r="270" spans="1:2" x14ac:dyDescent="0.15">
      <c r="A270" t="s">
        <v>654</v>
      </c>
      <c r="B270" t="s">
        <v>655</v>
      </c>
    </row>
    <row r="271" spans="1:2" x14ac:dyDescent="0.15">
      <c r="A271" t="s">
        <v>656</v>
      </c>
      <c r="B271" t="s">
        <v>657</v>
      </c>
    </row>
    <row r="272" spans="1:2" x14ac:dyDescent="0.15">
      <c r="A272" t="s">
        <v>658</v>
      </c>
      <c r="B272" t="s">
        <v>659</v>
      </c>
    </row>
    <row r="273" spans="1:2" x14ac:dyDescent="0.15">
      <c r="A273" t="s">
        <v>660</v>
      </c>
      <c r="B273" t="s">
        <v>661</v>
      </c>
    </row>
    <row r="274" spans="1:2" x14ac:dyDescent="0.15">
      <c r="A274" t="s">
        <v>662</v>
      </c>
      <c r="B274" t="s">
        <v>663</v>
      </c>
    </row>
    <row r="275" spans="1:2" x14ac:dyDescent="0.15">
      <c r="A275" t="s">
        <v>664</v>
      </c>
      <c r="B275" t="s">
        <v>665</v>
      </c>
    </row>
    <row r="276" spans="1:2" x14ac:dyDescent="0.15">
      <c r="A276" t="s">
        <v>666</v>
      </c>
      <c r="B276" t="s">
        <v>667</v>
      </c>
    </row>
    <row r="277" spans="1:2" x14ac:dyDescent="0.15">
      <c r="A277" t="s">
        <v>668</v>
      </c>
      <c r="B277" t="s">
        <v>669</v>
      </c>
    </row>
    <row r="278" spans="1:2" x14ac:dyDescent="0.15">
      <c r="A278" t="s">
        <v>670</v>
      </c>
      <c r="B278" t="s">
        <v>671</v>
      </c>
    </row>
    <row r="279" spans="1:2" x14ac:dyDescent="0.15">
      <c r="A279" t="s">
        <v>672</v>
      </c>
      <c r="B279" t="s">
        <v>673</v>
      </c>
    </row>
    <row r="280" spans="1:2" x14ac:dyDescent="0.15">
      <c r="A280" t="s">
        <v>674</v>
      </c>
      <c r="B280" t="s">
        <v>675</v>
      </c>
    </row>
    <row r="281" spans="1:2" x14ac:dyDescent="0.15">
      <c r="A281" t="s">
        <v>676</v>
      </c>
      <c r="B281" t="s">
        <v>677</v>
      </c>
    </row>
    <row r="282" spans="1:2" x14ac:dyDescent="0.15">
      <c r="A282" t="s">
        <v>678</v>
      </c>
      <c r="B282" t="s">
        <v>679</v>
      </c>
    </row>
    <row r="283" spans="1:2" x14ac:dyDescent="0.15">
      <c r="A283" t="s">
        <v>680</v>
      </c>
      <c r="B283" t="s">
        <v>681</v>
      </c>
    </row>
    <row r="284" spans="1:2" x14ac:dyDescent="0.15">
      <c r="A284" t="s">
        <v>682</v>
      </c>
      <c r="B284" t="s">
        <v>683</v>
      </c>
    </row>
    <row r="285" spans="1:2" x14ac:dyDescent="0.15">
      <c r="A285" t="s">
        <v>684</v>
      </c>
      <c r="B285" t="s">
        <v>685</v>
      </c>
    </row>
    <row r="286" spans="1:2" x14ac:dyDescent="0.15">
      <c r="A286" t="s">
        <v>686</v>
      </c>
      <c r="B286" t="s">
        <v>687</v>
      </c>
    </row>
    <row r="287" spans="1:2" x14ac:dyDescent="0.15">
      <c r="A287" t="s">
        <v>688</v>
      </c>
      <c r="B287" t="s">
        <v>689</v>
      </c>
    </row>
    <row r="288" spans="1:2" x14ac:dyDescent="0.15">
      <c r="A288" t="s">
        <v>690</v>
      </c>
      <c r="B288" t="s">
        <v>691</v>
      </c>
    </row>
    <row r="289" spans="1:2" x14ac:dyDescent="0.15">
      <c r="A289" t="s">
        <v>692</v>
      </c>
      <c r="B289" t="s">
        <v>693</v>
      </c>
    </row>
    <row r="290" spans="1:2" x14ac:dyDescent="0.15">
      <c r="A290" t="s">
        <v>694</v>
      </c>
      <c r="B290" t="s">
        <v>695</v>
      </c>
    </row>
    <row r="291" spans="1:2" x14ac:dyDescent="0.15">
      <c r="A291" t="s">
        <v>696</v>
      </c>
      <c r="B291" t="s">
        <v>697</v>
      </c>
    </row>
    <row r="292" spans="1:2" x14ac:dyDescent="0.15">
      <c r="A292" t="s">
        <v>698</v>
      </c>
      <c r="B292" t="s">
        <v>699</v>
      </c>
    </row>
    <row r="293" spans="1:2" x14ac:dyDescent="0.15">
      <c r="A293" t="s">
        <v>700</v>
      </c>
      <c r="B293" t="s">
        <v>701</v>
      </c>
    </row>
    <row r="294" spans="1:2" x14ac:dyDescent="0.15">
      <c r="A294" t="s">
        <v>702</v>
      </c>
      <c r="B294" t="s">
        <v>703</v>
      </c>
    </row>
    <row r="295" spans="1:2" x14ac:dyDescent="0.15">
      <c r="A295" t="s">
        <v>704</v>
      </c>
      <c r="B295" t="s">
        <v>705</v>
      </c>
    </row>
    <row r="296" spans="1:2" x14ac:dyDescent="0.15">
      <c r="A296" t="s">
        <v>706</v>
      </c>
      <c r="B296" t="s">
        <v>707</v>
      </c>
    </row>
    <row r="297" spans="1:2" x14ac:dyDescent="0.15">
      <c r="A297" t="s">
        <v>708</v>
      </c>
      <c r="B297" t="s">
        <v>709</v>
      </c>
    </row>
    <row r="298" spans="1:2" x14ac:dyDescent="0.15">
      <c r="A298" t="s">
        <v>710</v>
      </c>
      <c r="B298" t="s">
        <v>711</v>
      </c>
    </row>
    <row r="299" spans="1:2" x14ac:dyDescent="0.15">
      <c r="A299" t="s">
        <v>712</v>
      </c>
      <c r="B299" t="s">
        <v>713</v>
      </c>
    </row>
    <row r="300" spans="1:2" x14ac:dyDescent="0.15">
      <c r="A300" t="s">
        <v>714</v>
      </c>
      <c r="B300" t="s">
        <v>715</v>
      </c>
    </row>
    <row r="301" spans="1:2" x14ac:dyDescent="0.15">
      <c r="A301" t="s">
        <v>716</v>
      </c>
      <c r="B301" t="s">
        <v>717</v>
      </c>
    </row>
    <row r="302" spans="1:2" x14ac:dyDescent="0.15">
      <c r="A302" t="s">
        <v>718</v>
      </c>
      <c r="B302" t="s">
        <v>719</v>
      </c>
    </row>
    <row r="303" spans="1:2" x14ac:dyDescent="0.15">
      <c r="A303" t="s">
        <v>720</v>
      </c>
      <c r="B303" t="s">
        <v>721</v>
      </c>
    </row>
    <row r="304" spans="1:2" x14ac:dyDescent="0.15">
      <c r="A304" t="s">
        <v>722</v>
      </c>
      <c r="B304" t="s">
        <v>723</v>
      </c>
    </row>
    <row r="305" spans="1:2" x14ac:dyDescent="0.15">
      <c r="A305" t="s">
        <v>724</v>
      </c>
      <c r="B305" t="s">
        <v>725</v>
      </c>
    </row>
    <row r="306" spans="1:2" x14ac:dyDescent="0.15">
      <c r="A306" t="s">
        <v>726</v>
      </c>
      <c r="B306" t="s">
        <v>727</v>
      </c>
    </row>
    <row r="307" spans="1:2" x14ac:dyDescent="0.15">
      <c r="A307" t="s">
        <v>728</v>
      </c>
      <c r="B307" t="s">
        <v>729</v>
      </c>
    </row>
    <row r="308" spans="1:2" x14ac:dyDescent="0.15">
      <c r="A308" t="s">
        <v>730</v>
      </c>
      <c r="B308" t="s">
        <v>731</v>
      </c>
    </row>
    <row r="309" spans="1:2" x14ac:dyDescent="0.15">
      <c r="A309" t="s">
        <v>732</v>
      </c>
      <c r="B309" t="s">
        <v>733</v>
      </c>
    </row>
    <row r="310" spans="1:2" x14ac:dyDescent="0.15">
      <c r="A310" t="s">
        <v>734</v>
      </c>
      <c r="B310" t="s">
        <v>735</v>
      </c>
    </row>
    <row r="311" spans="1:2" x14ac:dyDescent="0.15">
      <c r="A311" t="s">
        <v>736</v>
      </c>
      <c r="B311" t="s">
        <v>737</v>
      </c>
    </row>
    <row r="312" spans="1:2" x14ac:dyDescent="0.15">
      <c r="A312" t="s">
        <v>738</v>
      </c>
      <c r="B312" t="s">
        <v>739</v>
      </c>
    </row>
    <row r="313" spans="1:2" x14ac:dyDescent="0.15">
      <c r="A313" t="s">
        <v>740</v>
      </c>
      <c r="B313" t="s">
        <v>741</v>
      </c>
    </row>
    <row r="314" spans="1:2" x14ac:dyDescent="0.15">
      <c r="A314" t="s">
        <v>742</v>
      </c>
      <c r="B314" t="s">
        <v>743</v>
      </c>
    </row>
    <row r="315" spans="1:2" x14ac:dyDescent="0.15">
      <c r="A315" t="s">
        <v>744</v>
      </c>
      <c r="B315" t="s">
        <v>745</v>
      </c>
    </row>
    <row r="316" spans="1:2" x14ac:dyDescent="0.15">
      <c r="A316" t="s">
        <v>746</v>
      </c>
      <c r="B316" t="s">
        <v>747</v>
      </c>
    </row>
    <row r="317" spans="1:2" x14ac:dyDescent="0.15">
      <c r="A317" t="s">
        <v>748</v>
      </c>
      <c r="B317" t="s">
        <v>749</v>
      </c>
    </row>
    <row r="318" spans="1:2" x14ac:dyDescent="0.15">
      <c r="A318" t="s">
        <v>750</v>
      </c>
      <c r="B318" t="s">
        <v>751</v>
      </c>
    </row>
    <row r="319" spans="1:2" x14ac:dyDescent="0.15">
      <c r="A319" t="s">
        <v>752</v>
      </c>
      <c r="B319" t="s">
        <v>753</v>
      </c>
    </row>
    <row r="320" spans="1:2" x14ac:dyDescent="0.15">
      <c r="A320" t="s">
        <v>754</v>
      </c>
      <c r="B320" t="s">
        <v>755</v>
      </c>
    </row>
    <row r="321" spans="1:15" x14ac:dyDescent="0.15">
      <c r="A321" t="s">
        <v>756</v>
      </c>
      <c r="B321" t="s">
        <v>757</v>
      </c>
    </row>
    <row r="322" spans="1:15" x14ac:dyDescent="0.15">
      <c r="A322" t="s">
        <v>758</v>
      </c>
      <c r="B322" t="s">
        <v>759</v>
      </c>
    </row>
    <row r="323" spans="1:15" x14ac:dyDescent="0.15">
      <c r="A323" t="s">
        <v>760</v>
      </c>
      <c r="B323" t="s">
        <v>761</v>
      </c>
    </row>
    <row r="324" spans="1:15" x14ac:dyDescent="0.15">
      <c r="A324" t="s">
        <v>762</v>
      </c>
      <c r="B324" t="s">
        <v>763</v>
      </c>
    </row>
    <row r="325" spans="1:15" x14ac:dyDescent="0.15">
      <c r="A325" t="s">
        <v>764</v>
      </c>
      <c r="B325" t="s">
        <v>765</v>
      </c>
    </row>
    <row r="326" spans="1:15" x14ac:dyDescent="0.15">
      <c r="A326" t="s">
        <v>766</v>
      </c>
      <c r="B326" t="s">
        <v>767</v>
      </c>
    </row>
    <row r="327" spans="1:15" x14ac:dyDescent="0.15">
      <c r="A327" t="s">
        <v>768</v>
      </c>
      <c r="B327" t="s">
        <v>141</v>
      </c>
      <c r="C327" t="s">
        <v>103</v>
      </c>
      <c r="D327" t="s">
        <v>120</v>
      </c>
      <c r="E327" t="s">
        <v>132</v>
      </c>
      <c r="F327" t="s">
        <v>150</v>
      </c>
      <c r="G327" t="s">
        <v>75</v>
      </c>
      <c r="H327" t="s">
        <v>126</v>
      </c>
      <c r="I327" t="s">
        <v>129</v>
      </c>
      <c r="J327" t="s">
        <v>162</v>
      </c>
      <c r="K327" t="s">
        <v>62</v>
      </c>
      <c r="L327" t="s">
        <v>117</v>
      </c>
      <c r="M327" t="s">
        <v>147</v>
      </c>
      <c r="N327" t="s">
        <v>83</v>
      </c>
      <c r="O327" t="s">
        <v>50</v>
      </c>
    </row>
    <row r="328" spans="1:15" x14ac:dyDescent="0.15">
      <c r="A328" t="s">
        <v>769</v>
      </c>
      <c r="B328">
        <v>1</v>
      </c>
    </row>
    <row r="329" spans="1:15" x14ac:dyDescent="0.15">
      <c r="A329" t="s">
        <v>770</v>
      </c>
      <c r="B329">
        <v>2</v>
      </c>
    </row>
    <row r="330" spans="1:15" x14ac:dyDescent="0.15">
      <c r="A330" t="s">
        <v>771</v>
      </c>
      <c r="B330">
        <v>3</v>
      </c>
    </row>
    <row r="331" spans="1:15" x14ac:dyDescent="0.15">
      <c r="A331" t="s">
        <v>772</v>
      </c>
      <c r="B331">
        <v>4</v>
      </c>
    </row>
    <row r="332" spans="1:15" x14ac:dyDescent="0.15">
      <c r="A332" t="s">
        <v>773</v>
      </c>
      <c r="B332">
        <v>5</v>
      </c>
    </row>
    <row r="333" spans="1:15" x14ac:dyDescent="0.15">
      <c r="A333" t="s">
        <v>774</v>
      </c>
      <c r="B333">
        <v>6</v>
      </c>
    </row>
    <row r="334" spans="1:15" x14ac:dyDescent="0.15">
      <c r="A334" t="s">
        <v>775</v>
      </c>
      <c r="B334">
        <v>7</v>
      </c>
    </row>
    <row r="335" spans="1:15" x14ac:dyDescent="0.15">
      <c r="A335" t="s">
        <v>776</v>
      </c>
      <c r="B335">
        <v>9</v>
      </c>
    </row>
    <row r="336" spans="1:15" x14ac:dyDescent="0.15">
      <c r="A336" t="s">
        <v>777</v>
      </c>
      <c r="B336">
        <v>10</v>
      </c>
    </row>
    <row r="337" spans="1:2" x14ac:dyDescent="0.15">
      <c r="A337" t="s">
        <v>778</v>
      </c>
      <c r="B337">
        <v>11</v>
      </c>
    </row>
    <row r="338" spans="1:2" x14ac:dyDescent="0.15">
      <c r="A338" t="s">
        <v>779</v>
      </c>
      <c r="B338">
        <v>12</v>
      </c>
    </row>
    <row r="339" spans="1:2" x14ac:dyDescent="0.15">
      <c r="A339" t="s">
        <v>780</v>
      </c>
      <c r="B339">
        <v>13</v>
      </c>
    </row>
    <row r="340" spans="1:2" x14ac:dyDescent="0.15">
      <c r="A340" t="s">
        <v>781</v>
      </c>
      <c r="B340">
        <v>14</v>
      </c>
    </row>
    <row r="341" spans="1:2" x14ac:dyDescent="0.15">
      <c r="A341" t="s">
        <v>782</v>
      </c>
      <c r="B341">
        <v>15</v>
      </c>
    </row>
    <row r="342" spans="1:2" x14ac:dyDescent="0.15">
      <c r="A342" t="s">
        <v>783</v>
      </c>
      <c r="B342">
        <v>16</v>
      </c>
    </row>
    <row r="343" spans="1:2" x14ac:dyDescent="0.15">
      <c r="A343" t="s">
        <v>784</v>
      </c>
      <c r="B343">
        <v>17</v>
      </c>
    </row>
    <row r="344" spans="1:2" x14ac:dyDescent="0.15">
      <c r="A344" t="s">
        <v>785</v>
      </c>
      <c r="B344">
        <v>18</v>
      </c>
    </row>
    <row r="345" spans="1:2" x14ac:dyDescent="0.15">
      <c r="A345" t="s">
        <v>786</v>
      </c>
      <c r="B345">
        <v>19</v>
      </c>
    </row>
    <row r="346" spans="1:2" x14ac:dyDescent="0.15">
      <c r="A346" t="s">
        <v>787</v>
      </c>
      <c r="B346">
        <v>20</v>
      </c>
    </row>
    <row r="347" spans="1:2" x14ac:dyDescent="0.15">
      <c r="A347" t="s">
        <v>788</v>
      </c>
      <c r="B347">
        <v>21</v>
      </c>
    </row>
    <row r="348" spans="1:2" x14ac:dyDescent="0.15">
      <c r="A348" t="s">
        <v>789</v>
      </c>
      <c r="B348">
        <v>22</v>
      </c>
    </row>
    <row r="349" spans="1:2" x14ac:dyDescent="0.15">
      <c r="A349" t="s">
        <v>790</v>
      </c>
      <c r="B349">
        <v>23</v>
      </c>
    </row>
    <row r="350" spans="1:2" x14ac:dyDescent="0.15">
      <c r="A350" t="s">
        <v>791</v>
      </c>
      <c r="B350">
        <v>24</v>
      </c>
    </row>
    <row r="351" spans="1:2" x14ac:dyDescent="0.15">
      <c r="A351" t="s">
        <v>792</v>
      </c>
      <c r="B351">
        <v>25</v>
      </c>
    </row>
    <row r="352" spans="1:2" x14ac:dyDescent="0.15">
      <c r="A352" t="s">
        <v>793</v>
      </c>
      <c r="B352">
        <v>26</v>
      </c>
    </row>
    <row r="353" spans="1:2" x14ac:dyDescent="0.15">
      <c r="A353" t="s">
        <v>794</v>
      </c>
      <c r="B353">
        <v>27</v>
      </c>
    </row>
    <row r="354" spans="1:2" x14ac:dyDescent="0.15">
      <c r="A354" t="s">
        <v>795</v>
      </c>
      <c r="B354">
        <v>28</v>
      </c>
    </row>
    <row r="355" spans="1:2" x14ac:dyDescent="0.15">
      <c r="A355" t="s">
        <v>796</v>
      </c>
      <c r="B355">
        <v>29</v>
      </c>
    </row>
    <row r="356" spans="1:2" x14ac:dyDescent="0.15">
      <c r="A356" t="s">
        <v>797</v>
      </c>
      <c r="B356">
        <v>31</v>
      </c>
    </row>
    <row r="357" spans="1:2" x14ac:dyDescent="0.15">
      <c r="A357" t="s">
        <v>798</v>
      </c>
      <c r="B357">
        <v>32</v>
      </c>
    </row>
    <row r="358" spans="1:2" x14ac:dyDescent="0.15">
      <c r="A358" t="s">
        <v>799</v>
      </c>
      <c r="B358">
        <v>33</v>
      </c>
    </row>
    <row r="359" spans="1:2" x14ac:dyDescent="0.15">
      <c r="A359" t="s">
        <v>800</v>
      </c>
      <c r="B359">
        <v>34</v>
      </c>
    </row>
    <row r="360" spans="1:2" x14ac:dyDescent="0.15">
      <c r="A360" t="s">
        <v>801</v>
      </c>
      <c r="B360">
        <v>35</v>
      </c>
    </row>
    <row r="361" spans="1:2" x14ac:dyDescent="0.15">
      <c r="A361" t="s">
        <v>802</v>
      </c>
      <c r="B361">
        <v>36</v>
      </c>
    </row>
    <row r="362" spans="1:2" x14ac:dyDescent="0.15">
      <c r="A362" t="s">
        <v>803</v>
      </c>
      <c r="B362">
        <v>37</v>
      </c>
    </row>
    <row r="363" spans="1:2" x14ac:dyDescent="0.15">
      <c r="A363" t="s">
        <v>804</v>
      </c>
      <c r="B363">
        <v>38</v>
      </c>
    </row>
    <row r="364" spans="1:2" x14ac:dyDescent="0.15">
      <c r="A364" t="s">
        <v>805</v>
      </c>
      <c r="B364">
        <v>39</v>
      </c>
    </row>
    <row r="365" spans="1:2" x14ac:dyDescent="0.15">
      <c r="A365" t="s">
        <v>806</v>
      </c>
      <c r="B365">
        <v>40</v>
      </c>
    </row>
    <row r="366" spans="1:2" x14ac:dyDescent="0.15">
      <c r="A366" t="s">
        <v>807</v>
      </c>
      <c r="B366">
        <v>41</v>
      </c>
    </row>
    <row r="367" spans="1:2" x14ac:dyDescent="0.15">
      <c r="A367" t="s">
        <v>808</v>
      </c>
      <c r="B367">
        <v>42</v>
      </c>
    </row>
    <row r="368" spans="1:2" x14ac:dyDescent="0.15">
      <c r="A368" t="s">
        <v>809</v>
      </c>
      <c r="B368">
        <v>43</v>
      </c>
    </row>
    <row r="369" spans="1:2" x14ac:dyDescent="0.15">
      <c r="A369" t="s">
        <v>810</v>
      </c>
      <c r="B369">
        <v>44</v>
      </c>
    </row>
    <row r="370" spans="1:2" x14ac:dyDescent="0.15">
      <c r="A370" t="s">
        <v>811</v>
      </c>
      <c r="B370">
        <v>45</v>
      </c>
    </row>
    <row r="371" spans="1:2" x14ac:dyDescent="0.15">
      <c r="A371" t="s">
        <v>812</v>
      </c>
      <c r="B371">
        <v>46</v>
      </c>
    </row>
    <row r="372" spans="1:2" x14ac:dyDescent="0.15">
      <c r="A372" t="s">
        <v>813</v>
      </c>
      <c r="B372">
        <v>47</v>
      </c>
    </row>
    <row r="373" spans="1:2" x14ac:dyDescent="0.15">
      <c r="A373" t="s">
        <v>814</v>
      </c>
      <c r="B373">
        <v>48</v>
      </c>
    </row>
    <row r="374" spans="1:2" x14ac:dyDescent="0.15">
      <c r="A374" t="s">
        <v>815</v>
      </c>
      <c r="B374">
        <v>49</v>
      </c>
    </row>
    <row r="375" spans="1:2" x14ac:dyDescent="0.15">
      <c r="A375" t="s">
        <v>816</v>
      </c>
      <c r="B375">
        <v>50</v>
      </c>
    </row>
    <row r="376" spans="1:2" x14ac:dyDescent="0.15">
      <c r="A376" t="s">
        <v>817</v>
      </c>
      <c r="B376">
        <v>51</v>
      </c>
    </row>
    <row r="377" spans="1:2" x14ac:dyDescent="0.15">
      <c r="A377" t="s">
        <v>818</v>
      </c>
      <c r="B377">
        <v>53</v>
      </c>
    </row>
    <row r="378" spans="1:2" x14ac:dyDescent="0.15">
      <c r="A378" t="s">
        <v>819</v>
      </c>
      <c r="B378">
        <v>54</v>
      </c>
    </row>
    <row r="379" spans="1:2" x14ac:dyDescent="0.15">
      <c r="A379" t="s">
        <v>820</v>
      </c>
      <c r="B379">
        <v>56</v>
      </c>
    </row>
    <row r="380" spans="1:2" x14ac:dyDescent="0.15">
      <c r="A380" t="s">
        <v>821</v>
      </c>
      <c r="B380">
        <v>57</v>
      </c>
    </row>
    <row r="381" spans="1:2" x14ac:dyDescent="0.15">
      <c r="A381" t="s">
        <v>822</v>
      </c>
      <c r="B381">
        <v>58</v>
      </c>
    </row>
    <row r="382" spans="1:2" x14ac:dyDescent="0.15">
      <c r="A382" t="s">
        <v>823</v>
      </c>
      <c r="B382">
        <v>59</v>
      </c>
    </row>
    <row r="383" spans="1:2" x14ac:dyDescent="0.15">
      <c r="A383" t="s">
        <v>824</v>
      </c>
      <c r="B383">
        <v>61</v>
      </c>
    </row>
    <row r="384" spans="1:2" x14ac:dyDescent="0.15">
      <c r="A384" t="s">
        <v>825</v>
      </c>
      <c r="B384">
        <v>62</v>
      </c>
    </row>
    <row r="385" spans="1:2" x14ac:dyDescent="0.15">
      <c r="A385" t="s">
        <v>826</v>
      </c>
      <c r="B385">
        <v>63</v>
      </c>
    </row>
    <row r="386" spans="1:2" x14ac:dyDescent="0.15">
      <c r="A386" t="s">
        <v>827</v>
      </c>
      <c r="B386">
        <v>64</v>
      </c>
    </row>
    <row r="387" spans="1:2" x14ac:dyDescent="0.15">
      <c r="A387" t="s">
        <v>828</v>
      </c>
      <c r="B387">
        <v>66</v>
      </c>
    </row>
    <row r="388" spans="1:2" x14ac:dyDescent="0.15">
      <c r="A388" t="s">
        <v>829</v>
      </c>
      <c r="B388">
        <v>67</v>
      </c>
    </row>
    <row r="389" spans="1:2" x14ac:dyDescent="0.15">
      <c r="A389" t="s">
        <v>830</v>
      </c>
      <c r="B389">
        <v>68</v>
      </c>
    </row>
    <row r="390" spans="1:2" x14ac:dyDescent="0.15">
      <c r="A390" t="s">
        <v>831</v>
      </c>
      <c r="B390">
        <v>69</v>
      </c>
    </row>
    <row r="391" spans="1:2" x14ac:dyDescent="0.15">
      <c r="A391" t="s">
        <v>832</v>
      </c>
      <c r="B391">
        <v>71</v>
      </c>
    </row>
    <row r="392" spans="1:2" x14ac:dyDescent="0.15">
      <c r="A392" t="s">
        <v>833</v>
      </c>
      <c r="B392">
        <v>72</v>
      </c>
    </row>
    <row r="393" spans="1:2" x14ac:dyDescent="0.15">
      <c r="A393" t="s">
        <v>834</v>
      </c>
      <c r="B393">
        <v>73</v>
      </c>
    </row>
    <row r="394" spans="1:2" x14ac:dyDescent="0.15">
      <c r="A394" t="s">
        <v>835</v>
      </c>
      <c r="B394">
        <v>74</v>
      </c>
    </row>
    <row r="395" spans="1:2" x14ac:dyDescent="0.15">
      <c r="A395" t="s">
        <v>836</v>
      </c>
      <c r="B395" t="s">
        <v>837</v>
      </c>
    </row>
    <row r="396" spans="1:2" x14ac:dyDescent="0.15">
      <c r="A396" t="s">
        <v>838</v>
      </c>
      <c r="B396" t="s">
        <v>839</v>
      </c>
    </row>
    <row r="397" spans="1:2" x14ac:dyDescent="0.15">
      <c r="A397" t="s">
        <v>840</v>
      </c>
      <c r="B397" t="s">
        <v>841</v>
      </c>
    </row>
    <row r="398" spans="1:2" x14ac:dyDescent="0.15">
      <c r="A398" t="s">
        <v>842</v>
      </c>
      <c r="B398" t="s">
        <v>843</v>
      </c>
    </row>
    <row r="399" spans="1:2" x14ac:dyDescent="0.15">
      <c r="A399" t="s">
        <v>844</v>
      </c>
      <c r="B399" t="s">
        <v>845</v>
      </c>
    </row>
    <row r="400" spans="1:2" x14ac:dyDescent="0.15">
      <c r="A400" t="s">
        <v>846</v>
      </c>
      <c r="B400" t="s">
        <v>847</v>
      </c>
    </row>
    <row r="401" spans="1:2" x14ac:dyDescent="0.15">
      <c r="A401" t="s">
        <v>848</v>
      </c>
      <c r="B401" t="s">
        <v>849</v>
      </c>
    </row>
    <row r="402" spans="1:2" x14ac:dyDescent="0.15">
      <c r="A402" t="s">
        <v>850</v>
      </c>
      <c r="B402" t="s">
        <v>851</v>
      </c>
    </row>
    <row r="403" spans="1:2" x14ac:dyDescent="0.15">
      <c r="A403" t="s">
        <v>852</v>
      </c>
      <c r="B403" t="s">
        <v>853</v>
      </c>
    </row>
    <row r="404" spans="1:2" x14ac:dyDescent="0.15">
      <c r="A404" t="s">
        <v>854</v>
      </c>
      <c r="B404" t="s">
        <v>855</v>
      </c>
    </row>
    <row r="405" spans="1:2" x14ac:dyDescent="0.15">
      <c r="A405" t="s">
        <v>856</v>
      </c>
      <c r="B405" t="s">
        <v>857</v>
      </c>
    </row>
    <row r="406" spans="1:2" x14ac:dyDescent="0.15">
      <c r="A406" t="s">
        <v>858</v>
      </c>
      <c r="B406" t="s">
        <v>859</v>
      </c>
    </row>
    <row r="407" spans="1:2" x14ac:dyDescent="0.15">
      <c r="A407" t="s">
        <v>860</v>
      </c>
      <c r="B407" t="s">
        <v>861</v>
      </c>
    </row>
    <row r="408" spans="1:2" x14ac:dyDescent="0.15">
      <c r="A408" t="s">
        <v>862</v>
      </c>
      <c r="B408" t="s">
        <v>863</v>
      </c>
    </row>
    <row r="409" spans="1:2" x14ac:dyDescent="0.15">
      <c r="A409" t="s">
        <v>864</v>
      </c>
      <c r="B409" t="s">
        <v>865</v>
      </c>
    </row>
    <row r="410" spans="1:2" x14ac:dyDescent="0.15">
      <c r="A410" t="s">
        <v>866</v>
      </c>
      <c r="B410" t="s">
        <v>867</v>
      </c>
    </row>
    <row r="411" spans="1:2" x14ac:dyDescent="0.15">
      <c r="A411" t="s">
        <v>868</v>
      </c>
      <c r="B411" t="s">
        <v>869</v>
      </c>
    </row>
    <row r="412" spans="1:2" x14ac:dyDescent="0.15">
      <c r="A412" t="s">
        <v>870</v>
      </c>
      <c r="B412" t="s">
        <v>871</v>
      </c>
    </row>
    <row r="413" spans="1:2" x14ac:dyDescent="0.15">
      <c r="A413" t="s">
        <v>872</v>
      </c>
      <c r="B413" t="s">
        <v>873</v>
      </c>
    </row>
    <row r="414" spans="1:2" x14ac:dyDescent="0.15">
      <c r="A414" t="s">
        <v>874</v>
      </c>
      <c r="B414" t="s">
        <v>875</v>
      </c>
    </row>
    <row r="415" spans="1:2" x14ac:dyDescent="0.15">
      <c r="A415" t="s">
        <v>876</v>
      </c>
      <c r="B415" t="s">
        <v>877</v>
      </c>
    </row>
    <row r="416" spans="1:2" x14ac:dyDescent="0.15">
      <c r="A416" t="s">
        <v>878</v>
      </c>
      <c r="B416" t="s">
        <v>879</v>
      </c>
    </row>
    <row r="417" spans="1:2" x14ac:dyDescent="0.15">
      <c r="A417" t="s">
        <v>880</v>
      </c>
      <c r="B417" t="s">
        <v>881</v>
      </c>
    </row>
    <row r="418" spans="1:2" x14ac:dyDescent="0.15">
      <c r="A418" t="s">
        <v>882</v>
      </c>
      <c r="B418" t="s">
        <v>883</v>
      </c>
    </row>
    <row r="419" spans="1:2" x14ac:dyDescent="0.15">
      <c r="A419" t="s">
        <v>884</v>
      </c>
      <c r="B419" t="s">
        <v>885</v>
      </c>
    </row>
    <row r="420" spans="1:2" x14ac:dyDescent="0.15">
      <c r="A420" t="s">
        <v>886</v>
      </c>
      <c r="B420" t="s">
        <v>887</v>
      </c>
    </row>
    <row r="421" spans="1:2" x14ac:dyDescent="0.15">
      <c r="A421" t="s">
        <v>888</v>
      </c>
      <c r="B421" t="s">
        <v>889</v>
      </c>
    </row>
    <row r="422" spans="1:2" x14ac:dyDescent="0.15">
      <c r="A422" t="s">
        <v>890</v>
      </c>
      <c r="B422" t="s">
        <v>891</v>
      </c>
    </row>
    <row r="423" spans="1:2" x14ac:dyDescent="0.15">
      <c r="A423" t="s">
        <v>892</v>
      </c>
      <c r="B423" t="s">
        <v>893</v>
      </c>
    </row>
    <row r="424" spans="1:2" x14ac:dyDescent="0.15">
      <c r="A424" t="s">
        <v>894</v>
      </c>
      <c r="B424" t="s">
        <v>895</v>
      </c>
    </row>
    <row r="425" spans="1:2" x14ac:dyDescent="0.15">
      <c r="A425" t="s">
        <v>896</v>
      </c>
      <c r="B425" t="s">
        <v>897</v>
      </c>
    </row>
    <row r="426" spans="1:2" x14ac:dyDescent="0.15">
      <c r="A426" t="s">
        <v>898</v>
      </c>
      <c r="B426" t="s">
        <v>899</v>
      </c>
    </row>
    <row r="427" spans="1:2" x14ac:dyDescent="0.15">
      <c r="A427" t="s">
        <v>900</v>
      </c>
      <c r="B427" t="s">
        <v>901</v>
      </c>
    </row>
    <row r="428" spans="1:2" x14ac:dyDescent="0.15">
      <c r="A428" t="s">
        <v>902</v>
      </c>
      <c r="B428" t="s">
        <v>903</v>
      </c>
    </row>
    <row r="429" spans="1:2" x14ac:dyDescent="0.15">
      <c r="A429" t="s">
        <v>904</v>
      </c>
      <c r="B429" t="s">
        <v>905</v>
      </c>
    </row>
    <row r="430" spans="1:2" x14ac:dyDescent="0.15">
      <c r="A430" t="s">
        <v>906</v>
      </c>
      <c r="B430" t="s">
        <v>907</v>
      </c>
    </row>
    <row r="431" spans="1:2" x14ac:dyDescent="0.15">
      <c r="A431" t="s">
        <v>908</v>
      </c>
      <c r="B431" t="s">
        <v>909</v>
      </c>
    </row>
    <row r="432" spans="1:2" x14ac:dyDescent="0.15">
      <c r="A432" t="s">
        <v>910</v>
      </c>
      <c r="B432" t="s">
        <v>911</v>
      </c>
    </row>
    <row r="433" spans="1:2" x14ac:dyDescent="0.15">
      <c r="A433" t="s">
        <v>912</v>
      </c>
      <c r="B433" t="s">
        <v>913</v>
      </c>
    </row>
    <row r="434" spans="1:2" x14ac:dyDescent="0.15">
      <c r="A434" t="s">
        <v>914</v>
      </c>
      <c r="B434" t="s">
        <v>915</v>
      </c>
    </row>
    <row r="435" spans="1:2" x14ac:dyDescent="0.15">
      <c r="A435" t="s">
        <v>916</v>
      </c>
      <c r="B435" t="s">
        <v>917</v>
      </c>
    </row>
    <row r="436" spans="1:2" x14ac:dyDescent="0.15">
      <c r="A436" t="s">
        <v>918</v>
      </c>
      <c r="B436" t="s">
        <v>919</v>
      </c>
    </row>
    <row r="437" spans="1:2" x14ac:dyDescent="0.15">
      <c r="A437" t="s">
        <v>920</v>
      </c>
      <c r="B437" t="s">
        <v>921</v>
      </c>
    </row>
    <row r="438" spans="1:2" x14ac:dyDescent="0.15">
      <c r="A438" t="s">
        <v>922</v>
      </c>
      <c r="B438" t="s">
        <v>923</v>
      </c>
    </row>
    <row r="439" spans="1:2" x14ac:dyDescent="0.15">
      <c r="A439" t="s">
        <v>924</v>
      </c>
      <c r="B439" t="s">
        <v>925</v>
      </c>
    </row>
    <row r="440" spans="1:2" x14ac:dyDescent="0.15">
      <c r="A440" t="s">
        <v>926</v>
      </c>
      <c r="B440" t="s">
        <v>927</v>
      </c>
    </row>
    <row r="441" spans="1:2" x14ac:dyDescent="0.15">
      <c r="A441" t="s">
        <v>928</v>
      </c>
      <c r="B441" t="s">
        <v>929</v>
      </c>
    </row>
    <row r="442" spans="1:2" x14ac:dyDescent="0.15">
      <c r="A442" t="s">
        <v>930</v>
      </c>
      <c r="B442" t="s">
        <v>931</v>
      </c>
    </row>
    <row r="443" spans="1:2" x14ac:dyDescent="0.15">
      <c r="A443" t="s">
        <v>932</v>
      </c>
      <c r="B443" t="s">
        <v>933</v>
      </c>
    </row>
    <row r="444" spans="1:2" x14ac:dyDescent="0.15">
      <c r="A444" t="s">
        <v>934</v>
      </c>
      <c r="B444" t="s">
        <v>935</v>
      </c>
    </row>
    <row r="445" spans="1:2" x14ac:dyDescent="0.15">
      <c r="A445" t="s">
        <v>936</v>
      </c>
      <c r="B445" t="s">
        <v>937</v>
      </c>
    </row>
    <row r="446" spans="1:2" x14ac:dyDescent="0.15">
      <c r="A446" t="s">
        <v>938</v>
      </c>
      <c r="B446" t="s">
        <v>939</v>
      </c>
    </row>
    <row r="447" spans="1:2" x14ac:dyDescent="0.15">
      <c r="A447" t="s">
        <v>940</v>
      </c>
      <c r="B447" t="s">
        <v>941</v>
      </c>
    </row>
    <row r="448" spans="1:2" x14ac:dyDescent="0.15">
      <c r="A448" t="s">
        <v>942</v>
      </c>
      <c r="B448" t="s">
        <v>943</v>
      </c>
    </row>
    <row r="449" spans="1:22" x14ac:dyDescent="0.15">
      <c r="A449" t="s">
        <v>944</v>
      </c>
      <c r="B449" t="s">
        <v>945</v>
      </c>
    </row>
    <row r="450" spans="1:22" x14ac:dyDescent="0.15">
      <c r="A450" t="s">
        <v>946</v>
      </c>
      <c r="B450" t="s">
        <v>947</v>
      </c>
    </row>
    <row r="451" spans="1:22" x14ac:dyDescent="0.15">
      <c r="A451" t="s">
        <v>948</v>
      </c>
      <c r="B451" t="s">
        <v>949</v>
      </c>
    </row>
    <row r="452" spans="1:22" x14ac:dyDescent="0.15">
      <c r="A452" t="s">
        <v>950</v>
      </c>
      <c r="B452" t="s">
        <v>951</v>
      </c>
    </row>
    <row r="453" spans="1:22" x14ac:dyDescent="0.15">
      <c r="A453" t="s">
        <v>952</v>
      </c>
      <c r="B453" t="s">
        <v>83</v>
      </c>
      <c r="C453" t="s">
        <v>50</v>
      </c>
      <c r="D453" t="s">
        <v>129</v>
      </c>
      <c r="E453" t="s">
        <v>98</v>
      </c>
      <c r="F453" t="s">
        <v>40</v>
      </c>
      <c r="G453" t="s">
        <v>54</v>
      </c>
      <c r="H453" t="s">
        <v>150</v>
      </c>
      <c r="I453" t="s">
        <v>103</v>
      </c>
      <c r="J453" t="s">
        <v>132</v>
      </c>
      <c r="K453" t="s">
        <v>46</v>
      </c>
      <c r="L453" t="s">
        <v>120</v>
      </c>
      <c r="M453" t="s">
        <v>141</v>
      </c>
      <c r="N453" t="s">
        <v>59</v>
      </c>
      <c r="O453" t="s">
        <v>75</v>
      </c>
      <c r="P453" t="s">
        <v>112</v>
      </c>
      <c r="Q453" t="s">
        <v>117</v>
      </c>
      <c r="R453" t="s">
        <v>62</v>
      </c>
      <c r="S453" t="s">
        <v>76</v>
      </c>
      <c r="T453" t="s">
        <v>126</v>
      </c>
      <c r="U453" t="s">
        <v>63</v>
      </c>
      <c r="V453" t="s">
        <v>147</v>
      </c>
    </row>
  </sheetData>
  <phoneticPr fontId="3"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outlinePr summaryBelow="0"/>
  </sheetPr>
  <dimension ref="A1:BX349"/>
  <sheetViews>
    <sheetView zoomScale="70" zoomScaleNormal="70" workbookViewId="0">
      <pane xSplit="2" ySplit="4" topLeftCell="I152" activePane="bottomRight" state="frozen"/>
      <selection activeCell="H2" sqref="H2:H3"/>
      <selection pane="topRight" activeCell="H2" sqref="H2:H3"/>
      <selection pane="bottomLeft" activeCell="H2" sqref="H2:H3"/>
      <selection pane="bottomRight" activeCell="H2" sqref="H2:H3"/>
    </sheetView>
  </sheetViews>
  <sheetFormatPr defaultColWidth="9" defaultRowHeight="13.5" outlineLevelRow="2" x14ac:dyDescent="0.15"/>
  <cols>
    <col min="1" max="1" width="9.125"/>
    <col min="2" max="2" width="24.75" customWidth="1"/>
    <col min="3" max="3" width="9.125"/>
    <col min="4" max="5" width="10.75" customWidth="1"/>
    <col min="6" max="7" width="9.125"/>
    <col min="8" max="8" width="1.75" customWidth="1"/>
    <col min="9" max="9" width="9.125"/>
    <col min="10" max="12" width="10.75" customWidth="1"/>
    <col min="13" max="13" width="11.75" customWidth="1"/>
    <col min="14" max="14" width="12.75" customWidth="1"/>
    <col min="15" max="15" width="10.75" customWidth="1"/>
    <col min="16" max="19" width="12.75" customWidth="1"/>
    <col min="20" max="25" width="11.75" customWidth="1"/>
    <col min="26" max="27" width="9.125"/>
    <col min="28" max="28" width="1.75" customWidth="1"/>
    <col min="29" max="29" width="9.125"/>
    <col min="30" max="32" width="10.75" customWidth="1"/>
    <col min="33" max="33" width="11.75" customWidth="1"/>
    <col min="34" max="34" width="12.75" customWidth="1"/>
    <col min="35" max="35" width="10.75" customWidth="1"/>
    <col min="36" max="39" width="12.75" customWidth="1"/>
    <col min="40" max="45" width="11.75" customWidth="1"/>
    <col min="46" max="47" width="9.125"/>
    <col min="48" max="48" width="1.75" customWidth="1"/>
    <col min="49" max="50" width="9.125"/>
    <col min="51" max="51" width="1.75" customWidth="1"/>
    <col min="52" max="53" width="9.125"/>
    <col min="54" max="57" width="11.75" customWidth="1"/>
    <col min="58" max="58" width="1.75" customWidth="1"/>
    <col min="59" max="60" width="9.125"/>
    <col min="61" max="64" width="11.75" customWidth="1"/>
    <col min="65" max="65" width="1.75" customWidth="1"/>
    <col min="74" max="74" width="9.875" customWidth="1"/>
  </cols>
  <sheetData>
    <row r="1" spans="1:76" x14ac:dyDescent="0.15">
      <c r="A1" s="95" t="s">
        <v>953</v>
      </c>
      <c r="B1" s="95"/>
      <c r="C1" s="95"/>
      <c r="D1" s="95"/>
      <c r="E1" s="95"/>
      <c r="F1" s="95"/>
      <c r="G1" s="95"/>
      <c r="I1" s="91" t="s">
        <v>995</v>
      </c>
      <c r="J1" s="91"/>
      <c r="K1" s="91"/>
      <c r="L1" s="91"/>
      <c r="M1" s="91"/>
      <c r="N1" s="91"/>
      <c r="O1" s="91"/>
      <c r="P1" s="91"/>
      <c r="Q1" s="91"/>
      <c r="R1" s="91"/>
      <c r="S1" s="91"/>
      <c r="T1" s="91"/>
      <c r="U1" s="91"/>
      <c r="V1" s="91"/>
      <c r="W1" s="91"/>
      <c r="X1" s="91"/>
      <c r="Y1" s="91"/>
      <c r="Z1" s="91"/>
      <c r="AA1" s="91"/>
      <c r="AC1" s="92" t="s">
        <v>996</v>
      </c>
      <c r="AD1" s="92"/>
      <c r="AE1" s="92"/>
      <c r="AF1" s="92"/>
      <c r="AG1" s="92"/>
      <c r="AH1" s="92"/>
      <c r="AI1" s="92"/>
      <c r="AJ1" s="92"/>
      <c r="AK1" s="92"/>
      <c r="AL1" s="92"/>
      <c r="AM1" s="92"/>
      <c r="AN1" s="92"/>
      <c r="AO1" s="92"/>
      <c r="AP1" s="92"/>
      <c r="AQ1" s="92"/>
      <c r="AR1" s="92"/>
      <c r="AS1" s="92"/>
      <c r="AT1" s="92"/>
      <c r="AU1" s="92"/>
      <c r="BN1" s="80" t="s">
        <v>992</v>
      </c>
    </row>
    <row r="2" spans="1:76" ht="30" customHeight="1" thickBot="1" x14ac:dyDescent="0.2">
      <c r="A2" s="93" t="s">
        <v>185</v>
      </c>
      <c r="B2" s="94" t="s">
        <v>186</v>
      </c>
      <c r="C2" s="93" t="s">
        <v>187</v>
      </c>
      <c r="D2" s="94" t="s">
        <v>188</v>
      </c>
      <c r="E2" s="93" t="s">
        <v>189</v>
      </c>
      <c r="F2" s="94" t="s">
        <v>190</v>
      </c>
      <c r="G2" s="93" t="s">
        <v>191</v>
      </c>
      <c r="I2" s="94" t="s">
        <v>192</v>
      </c>
      <c r="J2" s="96" t="s">
        <v>193</v>
      </c>
      <c r="K2" s="96"/>
      <c r="L2" s="96"/>
      <c r="M2" s="96"/>
      <c r="N2" s="94" t="s">
        <v>194</v>
      </c>
      <c r="O2" s="93" t="s">
        <v>84</v>
      </c>
      <c r="P2" s="97" t="s">
        <v>195</v>
      </c>
      <c r="Q2" s="97"/>
      <c r="R2" s="97"/>
      <c r="S2" s="97"/>
      <c r="T2" s="96" t="s">
        <v>954</v>
      </c>
      <c r="U2" s="96"/>
      <c r="V2" s="97" t="s">
        <v>196</v>
      </c>
      <c r="W2" s="97"/>
      <c r="X2" s="97"/>
      <c r="Y2" s="97"/>
      <c r="Z2" s="93" t="s">
        <v>197</v>
      </c>
      <c r="AA2" s="94" t="s">
        <v>198</v>
      </c>
      <c r="AC2" s="93" t="s">
        <v>192</v>
      </c>
      <c r="AD2" s="97" t="s">
        <v>193</v>
      </c>
      <c r="AE2" s="97"/>
      <c r="AF2" s="97"/>
      <c r="AG2" s="97"/>
      <c r="AH2" s="93" t="s">
        <v>194</v>
      </c>
      <c r="AI2" s="94" t="s">
        <v>84</v>
      </c>
      <c r="AJ2" s="96" t="s">
        <v>195</v>
      </c>
      <c r="AK2" s="96"/>
      <c r="AL2" s="96"/>
      <c r="AM2" s="96"/>
      <c r="AN2" s="97" t="s">
        <v>954</v>
      </c>
      <c r="AO2" s="97"/>
      <c r="AP2" s="96" t="s">
        <v>196</v>
      </c>
      <c r="AQ2" s="96"/>
      <c r="AR2" s="96"/>
      <c r="AS2" s="96"/>
      <c r="AT2" s="94" t="s">
        <v>197</v>
      </c>
      <c r="AU2" s="93" t="s">
        <v>198</v>
      </c>
      <c r="AW2" s="94" t="s">
        <v>199</v>
      </c>
      <c r="AX2" s="93" t="s">
        <v>199</v>
      </c>
      <c r="AZ2" s="97" t="s">
        <v>19</v>
      </c>
      <c r="BA2" s="97"/>
      <c r="BB2" s="96" t="s">
        <v>5</v>
      </c>
      <c r="BC2" s="96"/>
      <c r="BD2" s="96"/>
      <c r="BE2" s="96"/>
      <c r="BG2" s="97" t="s">
        <v>955</v>
      </c>
      <c r="BH2" s="97"/>
      <c r="BI2" s="96" t="s">
        <v>200</v>
      </c>
      <c r="BJ2" s="96"/>
      <c r="BK2" s="96"/>
      <c r="BL2" s="96"/>
      <c r="BN2" s="98" t="s">
        <v>993</v>
      </c>
      <c r="BO2" s="99" t="s">
        <v>195</v>
      </c>
      <c r="BP2" s="99"/>
      <c r="BQ2" s="99"/>
      <c r="BR2" s="99"/>
      <c r="BS2" s="99" t="s">
        <v>954</v>
      </c>
      <c r="BT2" s="99"/>
      <c r="BU2" s="99" t="s">
        <v>196</v>
      </c>
      <c r="BV2" s="99"/>
      <c r="BW2" s="99"/>
      <c r="BX2" s="99"/>
    </row>
    <row r="3" spans="1:76" ht="27.75" thickBot="1" x14ac:dyDescent="0.2">
      <c r="A3" s="93"/>
      <c r="B3" s="94"/>
      <c r="C3" s="93"/>
      <c r="D3" s="94"/>
      <c r="E3" s="93"/>
      <c r="F3" s="94"/>
      <c r="G3" s="93"/>
      <c r="I3" s="94"/>
      <c r="J3" s="1" t="s">
        <v>27</v>
      </c>
      <c r="K3" s="1" t="s">
        <v>25</v>
      </c>
      <c r="L3" s="1" t="s">
        <v>201</v>
      </c>
      <c r="M3" s="1" t="s">
        <v>9</v>
      </c>
      <c r="N3" s="94"/>
      <c r="O3" s="93"/>
      <c r="P3" s="2" t="s">
        <v>27</v>
      </c>
      <c r="Q3" s="2" t="s">
        <v>25</v>
      </c>
      <c r="R3" s="2" t="s">
        <v>26</v>
      </c>
      <c r="S3" s="2" t="s">
        <v>9</v>
      </c>
      <c r="T3" s="1" t="s">
        <v>20</v>
      </c>
      <c r="U3" s="1" t="s">
        <v>21</v>
      </c>
      <c r="V3" s="2" t="s">
        <v>6</v>
      </c>
      <c r="W3" s="2" t="s">
        <v>7</v>
      </c>
      <c r="X3" s="2" t="s">
        <v>8</v>
      </c>
      <c r="Y3" s="2" t="s">
        <v>9</v>
      </c>
      <c r="Z3" s="93"/>
      <c r="AA3" s="94"/>
      <c r="AC3" s="93"/>
      <c r="AD3" s="2" t="s">
        <v>27</v>
      </c>
      <c r="AE3" s="2" t="s">
        <v>25</v>
      </c>
      <c r="AF3" s="2" t="s">
        <v>201</v>
      </c>
      <c r="AG3" s="2" t="s">
        <v>9</v>
      </c>
      <c r="AH3" s="93"/>
      <c r="AI3" s="94"/>
      <c r="AJ3" s="1" t="s">
        <v>27</v>
      </c>
      <c r="AK3" s="1" t="s">
        <v>25</v>
      </c>
      <c r="AL3" s="1" t="s">
        <v>26</v>
      </c>
      <c r="AM3" s="1" t="s">
        <v>9</v>
      </c>
      <c r="AN3" s="2" t="s">
        <v>20</v>
      </c>
      <c r="AO3" s="2" t="s">
        <v>21</v>
      </c>
      <c r="AP3" s="1" t="s">
        <v>6</v>
      </c>
      <c r="AQ3" s="1" t="s">
        <v>7</v>
      </c>
      <c r="AR3" s="1" t="s">
        <v>8</v>
      </c>
      <c r="AS3" s="1" t="s">
        <v>9</v>
      </c>
      <c r="AT3" s="94"/>
      <c r="AU3" s="93"/>
      <c r="AW3" s="94"/>
      <c r="AX3" s="93"/>
      <c r="AZ3" s="2" t="s">
        <v>20</v>
      </c>
      <c r="BA3" s="2" t="s">
        <v>21</v>
      </c>
      <c r="BB3" s="1" t="s">
        <v>6</v>
      </c>
      <c r="BC3" s="1" t="s">
        <v>7</v>
      </c>
      <c r="BD3" s="1" t="s">
        <v>8</v>
      </c>
      <c r="BE3" s="1" t="s">
        <v>9</v>
      </c>
      <c r="BG3" s="2" t="s">
        <v>20</v>
      </c>
      <c r="BH3" s="2" t="s">
        <v>21</v>
      </c>
      <c r="BI3" s="1" t="s">
        <v>6</v>
      </c>
      <c r="BJ3" s="1" t="s">
        <v>7</v>
      </c>
      <c r="BK3" s="1" t="s">
        <v>8</v>
      </c>
      <c r="BL3" s="1" t="s">
        <v>9</v>
      </c>
      <c r="BN3" s="98"/>
      <c r="BO3" s="81" t="s">
        <v>27</v>
      </c>
      <c r="BP3" s="81" t="s">
        <v>25</v>
      </c>
      <c r="BQ3" s="81" t="s">
        <v>26</v>
      </c>
      <c r="BR3" s="81" t="s">
        <v>9</v>
      </c>
      <c r="BS3" s="81" t="s">
        <v>20</v>
      </c>
      <c r="BT3" s="81" t="s">
        <v>21</v>
      </c>
      <c r="BU3" s="81" t="s">
        <v>6</v>
      </c>
      <c r="BV3" s="81" t="s">
        <v>7</v>
      </c>
      <c r="BW3" s="81" t="s">
        <v>8</v>
      </c>
      <c r="BX3" s="81" t="s">
        <v>9</v>
      </c>
    </row>
    <row r="4" spans="1:76" ht="147" hidden="1" x14ac:dyDescent="0.15">
      <c r="A4" s="3" t="s">
        <v>202</v>
      </c>
      <c r="B4" s="4" t="s">
        <v>203</v>
      </c>
      <c r="C4" s="3" t="s">
        <v>204</v>
      </c>
      <c r="D4" s="4" t="s">
        <v>205</v>
      </c>
      <c r="E4" s="3" t="s">
        <v>206</v>
      </c>
      <c r="F4" s="4" t="s">
        <v>207</v>
      </c>
      <c r="G4" s="3" t="s">
        <v>208</v>
      </c>
      <c r="I4" s="4" t="s">
        <v>209</v>
      </c>
      <c r="J4" s="3" t="s">
        <v>210</v>
      </c>
      <c r="K4" s="3" t="s">
        <v>211</v>
      </c>
      <c r="L4" s="3" t="s">
        <v>212</v>
      </c>
      <c r="M4" s="3" t="s">
        <v>213</v>
      </c>
      <c r="N4" s="4" t="s">
        <v>214</v>
      </c>
      <c r="O4" s="3" t="s">
        <v>215</v>
      </c>
      <c r="P4" s="4" t="s">
        <v>216</v>
      </c>
      <c r="Q4" s="4" t="s">
        <v>217</v>
      </c>
      <c r="R4" s="4" t="s">
        <v>218</v>
      </c>
      <c r="S4" s="4" t="s">
        <v>219</v>
      </c>
      <c r="T4" s="3" t="s">
        <v>956</v>
      </c>
      <c r="U4" s="3" t="s">
        <v>957</v>
      </c>
      <c r="V4" s="4" t="s">
        <v>220</v>
      </c>
      <c r="W4" s="4" t="s">
        <v>221</v>
      </c>
      <c r="X4" s="4" t="s">
        <v>222</v>
      </c>
      <c r="Y4" s="4" t="s">
        <v>223</v>
      </c>
      <c r="Z4" s="3" t="s">
        <v>224</v>
      </c>
      <c r="AA4" s="4" t="s">
        <v>225</v>
      </c>
      <c r="AC4" s="3" t="s">
        <v>226</v>
      </c>
      <c r="AD4" s="4" t="s">
        <v>227</v>
      </c>
      <c r="AE4" s="4" t="s">
        <v>228</v>
      </c>
      <c r="AF4" s="4" t="s">
        <v>229</v>
      </c>
      <c r="AG4" s="4" t="s">
        <v>230</v>
      </c>
      <c r="AH4" s="3" t="s">
        <v>231</v>
      </c>
      <c r="AI4" s="4" t="s">
        <v>232</v>
      </c>
      <c r="AJ4" s="3" t="s">
        <v>233</v>
      </c>
      <c r="AK4" s="3" t="s">
        <v>234</v>
      </c>
      <c r="AL4" s="3" t="s">
        <v>235</v>
      </c>
      <c r="AM4" s="3" t="s">
        <v>236</v>
      </c>
      <c r="AN4" s="4" t="s">
        <v>958</v>
      </c>
      <c r="AO4" s="4" t="s">
        <v>959</v>
      </c>
      <c r="AP4" s="3" t="s">
        <v>237</v>
      </c>
      <c r="AQ4" s="3" t="s">
        <v>238</v>
      </c>
      <c r="AR4" s="3" t="s">
        <v>239</v>
      </c>
      <c r="AS4" s="3" t="s">
        <v>240</v>
      </c>
      <c r="AT4" s="4" t="s">
        <v>241</v>
      </c>
      <c r="AU4" s="3" t="s">
        <v>242</v>
      </c>
      <c r="AW4" s="4" t="s">
        <v>243</v>
      </c>
      <c r="AX4" s="3" t="s">
        <v>244</v>
      </c>
      <c r="AZ4" s="4" t="s">
        <v>960</v>
      </c>
      <c r="BA4" s="4" t="s">
        <v>961</v>
      </c>
      <c r="BB4" s="3" t="s">
        <v>245</v>
      </c>
      <c r="BC4" s="3" t="s">
        <v>246</v>
      </c>
      <c r="BD4" s="3" t="s">
        <v>247</v>
      </c>
      <c r="BE4" s="3" t="s">
        <v>248</v>
      </c>
      <c r="BG4" s="4" t="s">
        <v>962</v>
      </c>
      <c r="BH4" s="4" t="s">
        <v>963</v>
      </c>
      <c r="BI4" s="3" t="s">
        <v>249</v>
      </c>
      <c r="BJ4" s="3" t="s">
        <v>250</v>
      </c>
      <c r="BK4" s="3" t="s">
        <v>251</v>
      </c>
      <c r="BL4" s="3" t="s">
        <v>252</v>
      </c>
    </row>
    <row r="5" spans="1:76" x14ac:dyDescent="0.15">
      <c r="A5" s="5" t="s">
        <v>253</v>
      </c>
      <c r="B5" s="5" t="s">
        <v>48</v>
      </c>
      <c r="C5" s="6" t="s">
        <v>254</v>
      </c>
      <c r="D5" s="5">
        <v>2925514</v>
      </c>
      <c r="E5" s="7">
        <v>11</v>
      </c>
      <c r="F5" s="6">
        <v>1</v>
      </c>
      <c r="G5" s="6"/>
      <c r="I5" s="17" t="str">
        <f t="shared" ref="I5:I68" si="0">IF(OR(ISBLANK(P5),ISBLANK(G5)),"·",P5*G5/F5/1000000)</f>
        <v>·</v>
      </c>
      <c r="J5" s="18" t="str">
        <f t="shared" ref="J5:J68" si="1">IF(ISBLANK(P5),"·",P5/D5)</f>
        <v>·</v>
      </c>
      <c r="K5" s="18" t="str">
        <f t="shared" ref="K5:K68" si="2">IF(Q5="","·",Q5/D5)</f>
        <v>·</v>
      </c>
      <c r="L5" s="18" t="str">
        <f t="shared" ref="L5:L68" si="3">IF(ISBLANK(R5),"·",R5/D5)</f>
        <v>·</v>
      </c>
      <c r="M5" s="19"/>
      <c r="N5" s="18" t="str">
        <f t="shared" ref="N5:N68" si="4">IF(ISBLANK(P5),"·",P5/O5)</f>
        <v>·</v>
      </c>
      <c r="O5" s="20"/>
      <c r="P5" s="21"/>
      <c r="Q5" s="21"/>
      <c r="R5" s="21"/>
      <c r="S5" s="37"/>
      <c r="T5" s="38"/>
      <c r="U5" s="38"/>
      <c r="V5" s="38"/>
      <c r="W5" s="38"/>
      <c r="X5" s="38"/>
      <c r="Y5" s="39"/>
      <c r="Z5" s="49"/>
      <c r="AA5" s="49"/>
      <c r="AC5" s="17" t="str">
        <f t="shared" ref="AC5:AC68" si="5">IF(OR(ISBLANK(AJ5),ISBLANK(G5)),"·",AJ5*G5/F5/1000000)</f>
        <v>·</v>
      </c>
      <c r="AD5" s="18" t="str">
        <f t="shared" ref="AD5:AD68" si="6">IF(ISBLANK(AJ5),"·",AJ5/D5)</f>
        <v>·</v>
      </c>
      <c r="AE5" s="18" t="str">
        <f t="shared" ref="AE5:AE68" si="7">IF(AK5="","·",AK5/D5)</f>
        <v>·</v>
      </c>
      <c r="AF5" s="18" t="str">
        <f t="shared" ref="AF5:AF68" si="8">IF(ISBLANK(AL5),"·",AL5/D5)</f>
        <v>·</v>
      </c>
      <c r="AG5" s="19"/>
      <c r="AH5" s="18" t="str">
        <f t="shared" ref="AH5:AH68" si="9">IF(ISBLANK(AJ5),"·",AJ5/AI5)</f>
        <v>·</v>
      </c>
      <c r="AI5" s="20"/>
      <c r="AJ5" s="21"/>
      <c r="AK5" s="21"/>
      <c r="AL5" s="21"/>
      <c r="AM5" s="37"/>
      <c r="AN5" s="38"/>
      <c r="AO5" s="38"/>
      <c r="AP5" s="38"/>
      <c r="AQ5" s="38"/>
      <c r="AR5" s="38"/>
      <c r="AS5" s="39"/>
      <c r="AT5" s="49"/>
      <c r="AU5" s="49"/>
      <c r="AW5" s="53" t="e">
        <f t="shared" ref="AW5:AW68" si="10">(AK5/AJ5)-(Q5/P5)</f>
        <v>#DIV/0!</v>
      </c>
      <c r="AX5" s="53" t="e">
        <f t="array" ref="AX5">AVERAGE(AK5:AK10/AJ5:AJ10)-AVERAGE(Q5:Q10/P5:P10)</f>
        <v>#DIV/0!</v>
      </c>
      <c r="AZ5" s="54" t="str">
        <f>IF(OR(ISBLANK(Q5:Q10),ISBLANK(AK5:AK10),ISBLANK(T5:T10),ISBLANK(AN5:AN10)),"·",bdRateExtend(Q5:Q10,T5:T10,AK5:AK10,AN5:AN10))</f>
        <v>·</v>
      </c>
      <c r="BA5" s="54" t="str">
        <f>IF(OR(ISBLANK(Q5:Q10),ISBLANK(AK5:AK10),ISBLANK(U5:U10),ISBLANK(AO5:AO10)),"·",bdRateExtend(Q5:Q10,U5:U10,AK5:AK10,AO5:AO10))</f>
        <v>·</v>
      </c>
      <c r="BB5" s="54" t="str">
        <f>IF(OR(ISBLANK(R5:R10),ISBLANK(AL5:AL10),ISBLANK(V5:V10),ISBLANK(AP5:AP10)),"·",bdRateExtend(R5:R10,V5:V10,AL5:AL10,AP5:AP10))</f>
        <v>·</v>
      </c>
      <c r="BC5" s="54" t="str">
        <f>IF(OR(ISBLANK(R5:R10),ISBLANK(AL5:AL10),ISBLANK(W5:W10),ISBLANK(AQ5:AQ10)),"·",bdRateExtend(R5:R10,W5:W10,AL5:AL10,AQ5:AQ10))</f>
        <v>·</v>
      </c>
      <c r="BD5" s="54" t="str">
        <f>IF(OR(ISBLANK(R5:R10),ISBLANK(AL5:AL10),ISBLANK(X5:X10),ISBLANK(AR5:AR10)),"·",bdRateExtend(R5:R10,X5:X10,AL5:AL10,AR5:AR10))</f>
        <v>·</v>
      </c>
      <c r="BE5" s="61"/>
      <c r="BG5" s="54" t="str">
        <f>IF(OR(ISBLANK(P5:P10),ISBLANK(AJ5:AJ10),ISBLANK(T5:T10),ISBLANK(AN5:AN10)),"·",bdRateExtend(P5:P10,T5:T10,AJ5:AJ10,AN5:AN10))</f>
        <v>·</v>
      </c>
      <c r="BH5" s="54" t="str">
        <f>IF(OR(ISBLANK(P5:P10),ISBLANK(AJ5:AJ10),ISBLANK(U5:U10),ISBLANK(AO5:AO10)),"·",bdRateExtend(P5:P10,U5:U10,AJ5:AJ10,AO5:AO10))</f>
        <v>·</v>
      </c>
      <c r="BI5" s="54" t="str">
        <f>IF(OR(ISBLANK(P5:P10),ISBLANK(AJ5:AJ10),ISBLANK(V5:V10),ISBLANK(AP5:AP10)),"·",bdRateExtend(P5:P10,V5:V10,AJ5:AJ10,AP5:AP10))</f>
        <v>·</v>
      </c>
      <c r="BJ5" s="54" t="str">
        <f>IF(OR(ISBLANK(P5:P10),ISBLANK(AJ5:AJ10),ISBLANK(W5:W10),ISBLANK(AQ5:AQ10)),"·",bdRateExtend(P5:P10,W5:W10,AJ5:AJ10,AQ5:AQ10))</f>
        <v>·</v>
      </c>
      <c r="BK5" s="54" t="str">
        <f>IF(OR(ISBLANK(P5:P10),ISBLANK(AJ5:AJ10),ISBLANK(X5:X10),ISBLANK(AR5:AR10)),"·",bdRateExtend(P5:P10,X5:X10,AJ5:AJ10,AR5:AR10))</f>
        <v>·</v>
      </c>
      <c r="BL5" s="61"/>
      <c r="BN5">
        <f>AI5-O5</f>
        <v>0</v>
      </c>
      <c r="BO5">
        <f t="shared" ref="BO5:BX5" si="11">AJ5-P5</f>
        <v>0</v>
      </c>
      <c r="BP5">
        <f t="shared" si="11"/>
        <v>0</v>
      </c>
      <c r="BQ5">
        <f t="shared" si="11"/>
        <v>0</v>
      </c>
      <c r="BR5">
        <f t="shared" si="11"/>
        <v>0</v>
      </c>
      <c r="BS5">
        <f t="shared" si="11"/>
        <v>0</v>
      </c>
      <c r="BT5">
        <f t="shared" si="11"/>
        <v>0</v>
      </c>
      <c r="BU5">
        <f t="shared" si="11"/>
        <v>0</v>
      </c>
      <c r="BV5">
        <f t="shared" si="11"/>
        <v>0</v>
      </c>
      <c r="BW5">
        <f t="shared" si="11"/>
        <v>0</v>
      </c>
      <c r="BX5">
        <f t="shared" si="11"/>
        <v>0</v>
      </c>
    </row>
    <row r="6" spans="1:76" outlineLevel="1" x14ac:dyDescent="0.15">
      <c r="A6" s="8"/>
      <c r="B6" s="8" t="s">
        <v>48</v>
      </c>
      <c r="C6" s="9" t="s">
        <v>255</v>
      </c>
      <c r="D6" s="8">
        <v>2925514</v>
      </c>
      <c r="E6" s="10">
        <v>11</v>
      </c>
      <c r="F6" s="9">
        <v>1</v>
      </c>
      <c r="G6" s="9"/>
      <c r="I6" s="22" t="str">
        <f t="shared" si="0"/>
        <v>·</v>
      </c>
      <c r="J6" s="23" t="str">
        <f t="shared" si="1"/>
        <v>·</v>
      </c>
      <c r="K6" s="23" t="str">
        <f t="shared" si="2"/>
        <v>·</v>
      </c>
      <c r="L6" s="23" t="str">
        <f t="shared" si="3"/>
        <v>·</v>
      </c>
      <c r="M6" s="24"/>
      <c r="N6" s="23" t="str">
        <f t="shared" si="4"/>
        <v>·</v>
      </c>
      <c r="O6" s="25"/>
      <c r="P6" s="26"/>
      <c r="Q6" s="26"/>
      <c r="R6" s="26"/>
      <c r="S6" s="40"/>
      <c r="T6" s="41"/>
      <c r="U6" s="41"/>
      <c r="V6" s="41"/>
      <c r="W6" s="41"/>
      <c r="X6" s="41"/>
      <c r="Y6" s="42"/>
      <c r="Z6" s="50"/>
      <c r="AA6" s="50"/>
      <c r="AC6" s="22" t="str">
        <f t="shared" si="5"/>
        <v>·</v>
      </c>
      <c r="AD6" s="23" t="str">
        <f t="shared" si="6"/>
        <v>·</v>
      </c>
      <c r="AE6" s="23" t="str">
        <f t="shared" si="7"/>
        <v>·</v>
      </c>
      <c r="AF6" s="23" t="str">
        <f t="shared" si="8"/>
        <v>·</v>
      </c>
      <c r="AG6" s="24"/>
      <c r="AH6" s="23" t="str">
        <f t="shared" si="9"/>
        <v>·</v>
      </c>
      <c r="AI6" s="25"/>
      <c r="AJ6" s="26"/>
      <c r="AK6" s="26"/>
      <c r="AL6" s="26"/>
      <c r="AM6" s="40"/>
      <c r="AN6" s="41"/>
      <c r="AO6" s="41"/>
      <c r="AP6" s="41"/>
      <c r="AQ6" s="41"/>
      <c r="AR6" s="41"/>
      <c r="AS6" s="42"/>
      <c r="AT6" s="50"/>
      <c r="AU6" s="50"/>
      <c r="AW6" s="55" t="e">
        <f t="shared" si="10"/>
        <v>#DIV/0!</v>
      </c>
      <c r="AX6" s="55"/>
      <c r="AZ6" s="56"/>
      <c r="BA6" s="56"/>
      <c r="BB6" s="56"/>
      <c r="BC6" s="56"/>
      <c r="BD6" s="56"/>
      <c r="BE6" s="62"/>
      <c r="BG6" s="56"/>
      <c r="BH6" s="56"/>
      <c r="BI6" s="56"/>
      <c r="BJ6" s="56"/>
      <c r="BK6" s="56"/>
      <c r="BL6" s="62"/>
      <c r="BN6">
        <f t="shared" ref="BN6:BN69" si="12">AI6-O6</f>
        <v>0</v>
      </c>
      <c r="BO6">
        <f t="shared" ref="BO6:BO69" si="13">AJ6-P6</f>
        <v>0</v>
      </c>
      <c r="BP6">
        <f t="shared" ref="BP6:BP69" si="14">AK6-Q6</f>
        <v>0</v>
      </c>
      <c r="BQ6">
        <f t="shared" ref="BQ6:BQ69" si="15">AL6-R6</f>
        <v>0</v>
      </c>
      <c r="BR6">
        <f t="shared" ref="BR6:BR69" si="16">AM6-S6</f>
        <v>0</v>
      </c>
      <c r="BS6">
        <f t="shared" ref="BS6:BS69" si="17">AN6-T6</f>
        <v>0</v>
      </c>
      <c r="BT6">
        <f t="shared" ref="BT6:BT69" si="18">AO6-U6</f>
        <v>0</v>
      </c>
      <c r="BU6">
        <f t="shared" ref="BU6:BU69" si="19">AP6-V6</f>
        <v>0</v>
      </c>
      <c r="BV6">
        <f t="shared" ref="BV6:BV69" si="20">AQ6-W6</f>
        <v>0</v>
      </c>
      <c r="BW6">
        <f t="shared" ref="BW6:BW69" si="21">AR6-X6</f>
        <v>0</v>
      </c>
      <c r="BX6">
        <f t="shared" ref="BX6:BX69" si="22">AS6-Y6</f>
        <v>0</v>
      </c>
    </row>
    <row r="7" spans="1:76" outlineLevel="1" x14ac:dyDescent="0.15">
      <c r="A7" s="5"/>
      <c r="B7" s="5" t="s">
        <v>48</v>
      </c>
      <c r="C7" s="6" t="s">
        <v>256</v>
      </c>
      <c r="D7" s="5">
        <v>2925514</v>
      </c>
      <c r="E7" s="7">
        <v>11</v>
      </c>
      <c r="F7" s="6">
        <v>1</v>
      </c>
      <c r="G7" s="6"/>
      <c r="I7" s="17" t="str">
        <f t="shared" si="0"/>
        <v>·</v>
      </c>
      <c r="J7" s="18" t="str">
        <f t="shared" si="1"/>
        <v>·</v>
      </c>
      <c r="K7" s="18" t="str">
        <f t="shared" si="2"/>
        <v>·</v>
      </c>
      <c r="L7" s="18" t="str">
        <f t="shared" si="3"/>
        <v>·</v>
      </c>
      <c r="M7" s="19"/>
      <c r="N7" s="18" t="str">
        <f t="shared" si="4"/>
        <v>·</v>
      </c>
      <c r="O7" s="20"/>
      <c r="P7" s="21"/>
      <c r="Q7" s="21"/>
      <c r="R7" s="21"/>
      <c r="S7" s="37"/>
      <c r="T7" s="38"/>
      <c r="U7" s="38"/>
      <c r="V7" s="38"/>
      <c r="W7" s="38"/>
      <c r="X7" s="38"/>
      <c r="Y7" s="39"/>
      <c r="Z7" s="49"/>
      <c r="AA7" s="49"/>
      <c r="AC7" s="17" t="str">
        <f t="shared" si="5"/>
        <v>·</v>
      </c>
      <c r="AD7" s="18" t="str">
        <f t="shared" si="6"/>
        <v>·</v>
      </c>
      <c r="AE7" s="18" t="str">
        <f t="shared" si="7"/>
        <v>·</v>
      </c>
      <c r="AF7" s="18" t="str">
        <f t="shared" si="8"/>
        <v>·</v>
      </c>
      <c r="AG7" s="19"/>
      <c r="AH7" s="18" t="str">
        <f t="shared" si="9"/>
        <v>·</v>
      </c>
      <c r="AI7" s="20"/>
      <c r="AJ7" s="21"/>
      <c r="AK7" s="21"/>
      <c r="AL7" s="21"/>
      <c r="AM7" s="37"/>
      <c r="AN7" s="38"/>
      <c r="AO7" s="38"/>
      <c r="AP7" s="38"/>
      <c r="AQ7" s="38"/>
      <c r="AR7" s="38"/>
      <c r="AS7" s="39"/>
      <c r="AT7" s="49"/>
      <c r="AU7" s="49"/>
      <c r="AW7" s="53" t="e">
        <f t="shared" si="10"/>
        <v>#DIV/0!</v>
      </c>
      <c r="AX7" s="53"/>
      <c r="AZ7" s="54"/>
      <c r="BA7" s="54"/>
      <c r="BB7" s="54"/>
      <c r="BC7" s="54"/>
      <c r="BD7" s="54"/>
      <c r="BE7" s="61"/>
      <c r="BG7" s="54"/>
      <c r="BH7" s="54"/>
      <c r="BI7" s="54"/>
      <c r="BJ7" s="54"/>
      <c r="BK7" s="54"/>
      <c r="BL7" s="61"/>
      <c r="BN7">
        <f t="shared" si="12"/>
        <v>0</v>
      </c>
      <c r="BO7">
        <f t="shared" si="13"/>
        <v>0</v>
      </c>
      <c r="BP7">
        <f t="shared" si="14"/>
        <v>0</v>
      </c>
      <c r="BQ7">
        <f t="shared" si="15"/>
        <v>0</v>
      </c>
      <c r="BR7">
        <f t="shared" si="16"/>
        <v>0</v>
      </c>
      <c r="BS7">
        <f t="shared" si="17"/>
        <v>0</v>
      </c>
      <c r="BT7">
        <f t="shared" si="18"/>
        <v>0</v>
      </c>
      <c r="BU7">
        <f t="shared" si="19"/>
        <v>0</v>
      </c>
      <c r="BV7">
        <f t="shared" si="20"/>
        <v>0</v>
      </c>
      <c r="BW7">
        <f t="shared" si="21"/>
        <v>0</v>
      </c>
      <c r="BX7">
        <f t="shared" si="22"/>
        <v>0</v>
      </c>
    </row>
    <row r="8" spans="1:76" outlineLevel="1" x14ac:dyDescent="0.15">
      <c r="A8" s="8"/>
      <c r="B8" s="8" t="s">
        <v>48</v>
      </c>
      <c r="C8" s="9" t="s">
        <v>257</v>
      </c>
      <c r="D8" s="8">
        <v>2925514</v>
      </c>
      <c r="E8" s="10">
        <v>11</v>
      </c>
      <c r="F8" s="9">
        <v>1</v>
      </c>
      <c r="G8" s="9"/>
      <c r="I8" s="22" t="str">
        <f t="shared" si="0"/>
        <v>·</v>
      </c>
      <c r="J8" s="23" t="str">
        <f t="shared" si="1"/>
        <v>·</v>
      </c>
      <c r="K8" s="23" t="str">
        <f t="shared" si="2"/>
        <v>·</v>
      </c>
      <c r="L8" s="23" t="str">
        <f t="shared" si="3"/>
        <v>·</v>
      </c>
      <c r="M8" s="24"/>
      <c r="N8" s="23" t="str">
        <f t="shared" si="4"/>
        <v>·</v>
      </c>
      <c r="O8" s="25"/>
      <c r="P8" s="26"/>
      <c r="Q8" s="26"/>
      <c r="R8" s="26"/>
      <c r="S8" s="40"/>
      <c r="T8" s="41"/>
      <c r="U8" s="41"/>
      <c r="V8" s="41"/>
      <c r="W8" s="41"/>
      <c r="X8" s="41"/>
      <c r="Y8" s="42"/>
      <c r="Z8" s="50"/>
      <c r="AA8" s="50"/>
      <c r="AC8" s="22" t="str">
        <f t="shared" si="5"/>
        <v>·</v>
      </c>
      <c r="AD8" s="23" t="str">
        <f t="shared" si="6"/>
        <v>·</v>
      </c>
      <c r="AE8" s="23" t="str">
        <f t="shared" si="7"/>
        <v>·</v>
      </c>
      <c r="AF8" s="23" t="str">
        <f t="shared" si="8"/>
        <v>·</v>
      </c>
      <c r="AG8" s="24"/>
      <c r="AH8" s="23" t="str">
        <f t="shared" si="9"/>
        <v>·</v>
      </c>
      <c r="AI8" s="25"/>
      <c r="AJ8" s="26"/>
      <c r="AK8" s="26"/>
      <c r="AL8" s="26"/>
      <c r="AM8" s="40"/>
      <c r="AN8" s="41"/>
      <c r="AO8" s="41"/>
      <c r="AP8" s="41"/>
      <c r="AQ8" s="41"/>
      <c r="AR8" s="41"/>
      <c r="AS8" s="42"/>
      <c r="AT8" s="50"/>
      <c r="AU8" s="50"/>
      <c r="AW8" s="55" t="e">
        <f t="shared" si="10"/>
        <v>#DIV/0!</v>
      </c>
      <c r="AX8" s="55"/>
      <c r="AZ8" s="56"/>
      <c r="BA8" s="56"/>
      <c r="BB8" s="56"/>
      <c r="BC8" s="56"/>
      <c r="BD8" s="56"/>
      <c r="BE8" s="62"/>
      <c r="BG8" s="56"/>
      <c r="BH8" s="56"/>
      <c r="BI8" s="56"/>
      <c r="BJ8" s="56"/>
      <c r="BK8" s="56"/>
      <c r="BL8" s="62"/>
      <c r="BN8">
        <f t="shared" si="12"/>
        <v>0</v>
      </c>
      <c r="BO8">
        <f t="shared" si="13"/>
        <v>0</v>
      </c>
      <c r="BP8">
        <f t="shared" si="14"/>
        <v>0</v>
      </c>
      <c r="BQ8">
        <f t="shared" si="15"/>
        <v>0</v>
      </c>
      <c r="BR8">
        <f t="shared" si="16"/>
        <v>0</v>
      </c>
      <c r="BS8">
        <f t="shared" si="17"/>
        <v>0</v>
      </c>
      <c r="BT8">
        <f t="shared" si="18"/>
        <v>0</v>
      </c>
      <c r="BU8">
        <f t="shared" si="19"/>
        <v>0</v>
      </c>
      <c r="BV8">
        <f t="shared" si="20"/>
        <v>0</v>
      </c>
      <c r="BW8">
        <f t="shared" si="21"/>
        <v>0</v>
      </c>
      <c r="BX8">
        <f t="shared" si="22"/>
        <v>0</v>
      </c>
    </row>
    <row r="9" spans="1:76" outlineLevel="1" x14ac:dyDescent="0.15">
      <c r="A9" s="5"/>
      <c r="B9" s="5" t="s">
        <v>48</v>
      </c>
      <c r="C9" s="6" t="s">
        <v>258</v>
      </c>
      <c r="D9" s="5">
        <v>2925514</v>
      </c>
      <c r="E9" s="7">
        <v>11</v>
      </c>
      <c r="F9" s="6">
        <v>1</v>
      </c>
      <c r="G9" s="6"/>
      <c r="I9" s="17" t="str">
        <f t="shared" si="0"/>
        <v>·</v>
      </c>
      <c r="J9" s="18" t="str">
        <f t="shared" si="1"/>
        <v>·</v>
      </c>
      <c r="K9" s="18" t="str">
        <f t="shared" si="2"/>
        <v>·</v>
      </c>
      <c r="L9" s="18" t="str">
        <f t="shared" si="3"/>
        <v>·</v>
      </c>
      <c r="M9" s="19"/>
      <c r="N9" s="18" t="str">
        <f t="shared" si="4"/>
        <v>·</v>
      </c>
      <c r="O9" s="20"/>
      <c r="P9" s="21"/>
      <c r="Q9" s="21"/>
      <c r="R9" s="21"/>
      <c r="S9" s="37"/>
      <c r="T9" s="38"/>
      <c r="U9" s="38"/>
      <c r="V9" s="38"/>
      <c r="W9" s="38"/>
      <c r="X9" s="38"/>
      <c r="Y9" s="39"/>
      <c r="Z9" s="49"/>
      <c r="AA9" s="49"/>
      <c r="AC9" s="17" t="str">
        <f t="shared" si="5"/>
        <v>·</v>
      </c>
      <c r="AD9" s="18" t="str">
        <f t="shared" si="6"/>
        <v>·</v>
      </c>
      <c r="AE9" s="18" t="str">
        <f t="shared" si="7"/>
        <v>·</v>
      </c>
      <c r="AF9" s="18" t="str">
        <f t="shared" si="8"/>
        <v>·</v>
      </c>
      <c r="AG9" s="19"/>
      <c r="AH9" s="18" t="str">
        <f t="shared" si="9"/>
        <v>·</v>
      </c>
      <c r="AI9" s="20"/>
      <c r="AJ9" s="21"/>
      <c r="AK9" s="21"/>
      <c r="AL9" s="21"/>
      <c r="AM9" s="37"/>
      <c r="AN9" s="38"/>
      <c r="AO9" s="38"/>
      <c r="AP9" s="38"/>
      <c r="AQ9" s="38"/>
      <c r="AR9" s="38"/>
      <c r="AS9" s="39"/>
      <c r="AT9" s="49"/>
      <c r="AU9" s="49"/>
      <c r="AW9" s="53" t="e">
        <f t="shared" si="10"/>
        <v>#DIV/0!</v>
      </c>
      <c r="AX9" s="53"/>
      <c r="AZ9" s="54"/>
      <c r="BA9" s="54"/>
      <c r="BB9" s="54"/>
      <c r="BC9" s="54"/>
      <c r="BD9" s="54"/>
      <c r="BE9" s="61"/>
      <c r="BG9" s="54"/>
      <c r="BH9" s="54"/>
      <c r="BI9" s="54"/>
      <c r="BJ9" s="54"/>
      <c r="BK9" s="54"/>
      <c r="BL9" s="61"/>
      <c r="BN9">
        <f t="shared" si="12"/>
        <v>0</v>
      </c>
      <c r="BO9">
        <f t="shared" si="13"/>
        <v>0</v>
      </c>
      <c r="BP9">
        <f t="shared" si="14"/>
        <v>0</v>
      </c>
      <c r="BQ9">
        <f t="shared" si="15"/>
        <v>0</v>
      </c>
      <c r="BR9">
        <f t="shared" si="16"/>
        <v>0</v>
      </c>
      <c r="BS9">
        <f t="shared" si="17"/>
        <v>0</v>
      </c>
      <c r="BT9">
        <f t="shared" si="18"/>
        <v>0</v>
      </c>
      <c r="BU9">
        <f t="shared" si="19"/>
        <v>0</v>
      </c>
      <c r="BV9">
        <f t="shared" si="20"/>
        <v>0</v>
      </c>
      <c r="BW9">
        <f t="shared" si="21"/>
        <v>0</v>
      </c>
      <c r="BX9">
        <f t="shared" si="22"/>
        <v>0</v>
      </c>
    </row>
    <row r="10" spans="1:76" outlineLevel="1" x14ac:dyDescent="0.15">
      <c r="A10" s="8"/>
      <c r="B10" s="14" t="s">
        <v>48</v>
      </c>
      <c r="C10" s="15" t="s">
        <v>259</v>
      </c>
      <c r="D10" s="14">
        <v>2925514</v>
      </c>
      <c r="E10" s="16">
        <v>11</v>
      </c>
      <c r="F10" s="15">
        <v>1</v>
      </c>
      <c r="G10" s="15"/>
      <c r="I10" s="32" t="str">
        <f t="shared" si="0"/>
        <v>·</v>
      </c>
      <c r="J10" s="33" t="str">
        <f t="shared" si="1"/>
        <v>·</v>
      </c>
      <c r="K10" s="33" t="str">
        <f t="shared" si="2"/>
        <v>·</v>
      </c>
      <c r="L10" s="33" t="str">
        <f t="shared" si="3"/>
        <v>·</v>
      </c>
      <c r="M10" s="34"/>
      <c r="N10" s="33" t="str">
        <f t="shared" si="4"/>
        <v>·</v>
      </c>
      <c r="O10" s="35"/>
      <c r="P10" s="36"/>
      <c r="Q10" s="36"/>
      <c r="R10" s="36"/>
      <c r="S10" s="46"/>
      <c r="T10" s="47"/>
      <c r="U10" s="47"/>
      <c r="V10" s="47"/>
      <c r="W10" s="47"/>
      <c r="X10" s="47"/>
      <c r="Y10" s="48"/>
      <c r="Z10" s="52"/>
      <c r="AA10" s="52"/>
      <c r="AC10" s="32" t="str">
        <f t="shared" si="5"/>
        <v>·</v>
      </c>
      <c r="AD10" s="33" t="str">
        <f t="shared" si="6"/>
        <v>·</v>
      </c>
      <c r="AE10" s="33" t="str">
        <f t="shared" si="7"/>
        <v>·</v>
      </c>
      <c r="AF10" s="33" t="str">
        <f t="shared" si="8"/>
        <v>·</v>
      </c>
      <c r="AG10" s="34"/>
      <c r="AH10" s="33" t="str">
        <f t="shared" si="9"/>
        <v>·</v>
      </c>
      <c r="AI10" s="35"/>
      <c r="AJ10" s="36"/>
      <c r="AK10" s="36"/>
      <c r="AL10" s="36"/>
      <c r="AM10" s="46"/>
      <c r="AN10" s="47"/>
      <c r="AO10" s="47"/>
      <c r="AP10" s="47"/>
      <c r="AQ10" s="47"/>
      <c r="AR10" s="47"/>
      <c r="AS10" s="48"/>
      <c r="AT10" s="52"/>
      <c r="AU10" s="52"/>
      <c r="AW10" s="59" t="e">
        <f t="shared" si="10"/>
        <v>#DIV/0!</v>
      </c>
      <c r="AX10" s="59"/>
      <c r="AZ10" s="60"/>
      <c r="BA10" s="60"/>
      <c r="BB10" s="60"/>
      <c r="BC10" s="60"/>
      <c r="BD10" s="60"/>
      <c r="BE10" s="64"/>
      <c r="BG10" s="60"/>
      <c r="BH10" s="60"/>
      <c r="BI10" s="60"/>
      <c r="BJ10" s="60"/>
      <c r="BK10" s="60"/>
      <c r="BL10" s="64"/>
      <c r="BN10">
        <f t="shared" si="12"/>
        <v>0</v>
      </c>
      <c r="BO10">
        <f t="shared" si="13"/>
        <v>0</v>
      </c>
      <c r="BP10">
        <f t="shared" si="14"/>
        <v>0</v>
      </c>
      <c r="BQ10">
        <f t="shared" si="15"/>
        <v>0</v>
      </c>
      <c r="BR10">
        <f t="shared" si="16"/>
        <v>0</v>
      </c>
      <c r="BS10">
        <f t="shared" si="17"/>
        <v>0</v>
      </c>
      <c r="BT10">
        <f t="shared" si="18"/>
        <v>0</v>
      </c>
      <c r="BU10">
        <f t="shared" si="19"/>
        <v>0</v>
      </c>
      <c r="BV10">
        <f t="shared" si="20"/>
        <v>0</v>
      </c>
      <c r="BW10">
        <f t="shared" si="21"/>
        <v>0</v>
      </c>
      <c r="BX10">
        <f t="shared" si="22"/>
        <v>0</v>
      </c>
    </row>
    <row r="11" spans="1:76" x14ac:dyDescent="0.15">
      <c r="A11" s="5"/>
      <c r="B11" s="5" t="s">
        <v>56</v>
      </c>
      <c r="C11" s="6" t="s">
        <v>254</v>
      </c>
      <c r="D11" s="5">
        <v>3493085</v>
      </c>
      <c r="E11" s="7">
        <v>12</v>
      </c>
      <c r="F11" s="6">
        <v>1</v>
      </c>
      <c r="G11" s="6"/>
      <c r="I11" s="17" t="str">
        <f t="shared" si="0"/>
        <v>·</v>
      </c>
      <c r="J11" s="18" t="str">
        <f t="shared" si="1"/>
        <v>·</v>
      </c>
      <c r="K11" s="18" t="str">
        <f t="shared" si="2"/>
        <v>·</v>
      </c>
      <c r="L11" s="18" t="str">
        <f t="shared" si="3"/>
        <v>·</v>
      </c>
      <c r="M11" s="19"/>
      <c r="N11" s="18" t="str">
        <f t="shared" si="4"/>
        <v>·</v>
      </c>
      <c r="O11" s="20"/>
      <c r="P11" s="21"/>
      <c r="Q11" s="21"/>
      <c r="R11" s="21"/>
      <c r="S11" s="37"/>
      <c r="T11" s="38"/>
      <c r="U11" s="38"/>
      <c r="V11" s="38"/>
      <c r="W11" s="38"/>
      <c r="X11" s="38"/>
      <c r="Y11" s="39"/>
      <c r="Z11" s="49"/>
      <c r="AA11" s="49"/>
      <c r="AC11" s="17" t="str">
        <f t="shared" si="5"/>
        <v>·</v>
      </c>
      <c r="AD11" s="18" t="str">
        <f t="shared" si="6"/>
        <v>·</v>
      </c>
      <c r="AE11" s="18" t="str">
        <f t="shared" si="7"/>
        <v>·</v>
      </c>
      <c r="AF11" s="18" t="str">
        <f t="shared" si="8"/>
        <v>·</v>
      </c>
      <c r="AG11" s="19"/>
      <c r="AH11" s="18" t="str">
        <f t="shared" si="9"/>
        <v>·</v>
      </c>
      <c r="AI11" s="20"/>
      <c r="AJ11" s="21"/>
      <c r="AK11" s="21"/>
      <c r="AL11" s="21"/>
      <c r="AM11" s="37"/>
      <c r="AN11" s="38"/>
      <c r="AO11" s="38"/>
      <c r="AP11" s="38"/>
      <c r="AQ11" s="38"/>
      <c r="AR11" s="38"/>
      <c r="AS11" s="39"/>
      <c r="AT11" s="49"/>
      <c r="AU11" s="49"/>
      <c r="AW11" s="53" t="e">
        <f t="shared" si="10"/>
        <v>#DIV/0!</v>
      </c>
      <c r="AX11" s="53" t="e">
        <f t="array" ref="AX11">AVERAGE(AK11:AK16/AJ11:AJ16)-AVERAGE(Q11:Q16/P11:P16)</f>
        <v>#DIV/0!</v>
      </c>
      <c r="AZ11" s="54" t="str">
        <f>IF(OR(ISBLANK(Q11:Q16),ISBLANK(AK11:AK16),ISBLANK(T11:T16),ISBLANK(AN11:AN16)),"·",bdRateExtend(Q11:Q16,T11:T16,AK11:AK16,AN11:AN16))</f>
        <v>·</v>
      </c>
      <c r="BA11" s="54" t="str">
        <f>IF(OR(ISBLANK(Q11:Q16),ISBLANK(AK11:AK16),ISBLANK(U11:U16),ISBLANK(AO11:AO16)),"·",bdRateExtend(Q11:Q16,U11:U16,AK11:AK16,AO11:AO16))</f>
        <v>·</v>
      </c>
      <c r="BB11" s="54" t="str">
        <f>IF(OR(ISBLANK(R11:R16),ISBLANK(AL11:AL16),ISBLANK(V11:V16),ISBLANK(AP11:AP16)),"·",bdRateExtend(R11:R16,V11:V16,AL11:AL16,AP11:AP16))</f>
        <v>·</v>
      </c>
      <c r="BC11" s="54" t="str">
        <f>IF(OR(ISBLANK(R11:R16),ISBLANK(AL11:AL16),ISBLANK(W11:W16),ISBLANK(AQ11:AQ16)),"·",bdRateExtend(R11:R16,W11:W16,AL11:AL16,AQ11:AQ16))</f>
        <v>·</v>
      </c>
      <c r="BD11" s="54" t="str">
        <f>IF(OR(ISBLANK(R11:R16),ISBLANK(AL11:AL16),ISBLANK(X11:X16),ISBLANK(AR11:AR16)),"·",bdRateExtend(R11:R16,X11:X16,AL11:AL16,AR11:AR16))</f>
        <v>·</v>
      </c>
      <c r="BE11" s="61"/>
      <c r="BG11" s="54" t="str">
        <f>IF(OR(ISBLANK(P11:P16),ISBLANK(AJ11:AJ16),ISBLANK(T11:T16),ISBLANK(AN11:AN16)),"·",bdRateExtend(P11:P16,T11:T16,AJ11:AJ16,AN11:AN16))</f>
        <v>·</v>
      </c>
      <c r="BH11" s="54" t="str">
        <f>IF(OR(ISBLANK(P11:P16),ISBLANK(AJ11:AJ16),ISBLANK(U11:U16),ISBLANK(AO11:AO16)),"·",bdRateExtend(P11:P16,U11:U16,AJ11:AJ16,AO11:AO16))</f>
        <v>·</v>
      </c>
      <c r="BI11" s="54" t="str">
        <f>IF(OR(ISBLANK(P11:P16),ISBLANK(AJ11:AJ16),ISBLANK(V11:V16),ISBLANK(AP11:AP16)),"·",bdRateExtend(P11:P16,V11:V16,AJ11:AJ16,AP11:AP16))</f>
        <v>·</v>
      </c>
      <c r="BJ11" s="54" t="str">
        <f>IF(OR(ISBLANK(P11:P16),ISBLANK(AJ11:AJ16),ISBLANK(W11:W16),ISBLANK(AQ11:AQ16)),"·",bdRateExtend(P11:P16,W11:W16,AJ11:AJ16,AQ11:AQ16))</f>
        <v>·</v>
      </c>
      <c r="BK11" s="54" t="str">
        <f>IF(OR(ISBLANK(P11:P16),ISBLANK(AJ11:AJ16),ISBLANK(X11:X16),ISBLANK(AR11:AR16)),"·",bdRateExtend(P11:P16,X11:X16,AJ11:AJ16,AR11:AR16))</f>
        <v>·</v>
      </c>
      <c r="BL11" s="61"/>
      <c r="BN11">
        <f t="shared" si="12"/>
        <v>0</v>
      </c>
      <c r="BO11">
        <f t="shared" si="13"/>
        <v>0</v>
      </c>
      <c r="BP11">
        <f t="shared" si="14"/>
        <v>0</v>
      </c>
      <c r="BQ11">
        <f t="shared" si="15"/>
        <v>0</v>
      </c>
      <c r="BR11">
        <f t="shared" si="16"/>
        <v>0</v>
      </c>
      <c r="BS11">
        <f t="shared" si="17"/>
        <v>0</v>
      </c>
      <c r="BT11">
        <f t="shared" si="18"/>
        <v>0</v>
      </c>
      <c r="BU11">
        <f t="shared" si="19"/>
        <v>0</v>
      </c>
      <c r="BV11">
        <f t="shared" si="20"/>
        <v>0</v>
      </c>
      <c r="BW11">
        <f t="shared" si="21"/>
        <v>0</v>
      </c>
      <c r="BX11">
        <f t="shared" si="22"/>
        <v>0</v>
      </c>
    </row>
    <row r="12" spans="1:76" outlineLevel="1" x14ac:dyDescent="0.15">
      <c r="A12" s="8"/>
      <c r="B12" s="8" t="s">
        <v>56</v>
      </c>
      <c r="C12" s="9" t="s">
        <v>255</v>
      </c>
      <c r="D12" s="8">
        <v>3493085</v>
      </c>
      <c r="E12" s="10">
        <v>12</v>
      </c>
      <c r="F12" s="9">
        <v>1</v>
      </c>
      <c r="G12" s="9"/>
      <c r="I12" s="22" t="str">
        <f t="shared" si="0"/>
        <v>·</v>
      </c>
      <c r="J12" s="23" t="str">
        <f t="shared" si="1"/>
        <v>·</v>
      </c>
      <c r="K12" s="23" t="str">
        <f t="shared" si="2"/>
        <v>·</v>
      </c>
      <c r="L12" s="23" t="str">
        <f t="shared" si="3"/>
        <v>·</v>
      </c>
      <c r="M12" s="24"/>
      <c r="N12" s="23" t="str">
        <f t="shared" si="4"/>
        <v>·</v>
      </c>
      <c r="O12" s="25"/>
      <c r="P12" s="26"/>
      <c r="Q12" s="26"/>
      <c r="R12" s="26"/>
      <c r="S12" s="40"/>
      <c r="T12" s="41"/>
      <c r="U12" s="41"/>
      <c r="V12" s="41"/>
      <c r="W12" s="41"/>
      <c r="X12" s="41"/>
      <c r="Y12" s="42"/>
      <c r="Z12" s="50"/>
      <c r="AA12" s="50"/>
      <c r="AC12" s="22" t="str">
        <f t="shared" si="5"/>
        <v>·</v>
      </c>
      <c r="AD12" s="23" t="str">
        <f t="shared" si="6"/>
        <v>·</v>
      </c>
      <c r="AE12" s="23" t="str">
        <f t="shared" si="7"/>
        <v>·</v>
      </c>
      <c r="AF12" s="23" t="str">
        <f t="shared" si="8"/>
        <v>·</v>
      </c>
      <c r="AG12" s="24"/>
      <c r="AH12" s="23" t="str">
        <f t="shared" si="9"/>
        <v>·</v>
      </c>
      <c r="AI12" s="25"/>
      <c r="AJ12" s="26"/>
      <c r="AK12" s="26"/>
      <c r="AL12" s="26"/>
      <c r="AM12" s="40"/>
      <c r="AN12" s="41"/>
      <c r="AO12" s="41"/>
      <c r="AP12" s="41"/>
      <c r="AQ12" s="41"/>
      <c r="AR12" s="41"/>
      <c r="AS12" s="42"/>
      <c r="AT12" s="50"/>
      <c r="AU12" s="50"/>
      <c r="AW12" s="55" t="e">
        <f t="shared" si="10"/>
        <v>#DIV/0!</v>
      </c>
      <c r="AX12" s="55"/>
      <c r="AZ12" s="56"/>
      <c r="BA12" s="56"/>
      <c r="BB12" s="56"/>
      <c r="BC12" s="56"/>
      <c r="BD12" s="56"/>
      <c r="BE12" s="62"/>
      <c r="BG12" s="56"/>
      <c r="BH12" s="56"/>
      <c r="BI12" s="56"/>
      <c r="BJ12" s="56"/>
      <c r="BK12" s="56"/>
      <c r="BL12" s="62"/>
      <c r="BN12">
        <f t="shared" si="12"/>
        <v>0</v>
      </c>
      <c r="BO12">
        <f t="shared" si="13"/>
        <v>0</v>
      </c>
      <c r="BP12">
        <f t="shared" si="14"/>
        <v>0</v>
      </c>
      <c r="BQ12">
        <f t="shared" si="15"/>
        <v>0</v>
      </c>
      <c r="BR12">
        <f t="shared" si="16"/>
        <v>0</v>
      </c>
      <c r="BS12">
        <f t="shared" si="17"/>
        <v>0</v>
      </c>
      <c r="BT12">
        <f t="shared" si="18"/>
        <v>0</v>
      </c>
      <c r="BU12">
        <f t="shared" si="19"/>
        <v>0</v>
      </c>
      <c r="BV12">
        <f t="shared" si="20"/>
        <v>0</v>
      </c>
      <c r="BW12">
        <f t="shared" si="21"/>
        <v>0</v>
      </c>
      <c r="BX12">
        <f t="shared" si="22"/>
        <v>0</v>
      </c>
    </row>
    <row r="13" spans="1:76" outlineLevel="1" x14ac:dyDescent="0.15">
      <c r="A13" s="5"/>
      <c r="B13" s="5" t="s">
        <v>56</v>
      </c>
      <c r="C13" s="6" t="s">
        <v>256</v>
      </c>
      <c r="D13" s="5">
        <v>3493085</v>
      </c>
      <c r="E13" s="7">
        <v>12</v>
      </c>
      <c r="F13" s="6">
        <v>1</v>
      </c>
      <c r="G13" s="6"/>
      <c r="I13" s="17" t="str">
        <f t="shared" si="0"/>
        <v>·</v>
      </c>
      <c r="J13" s="18" t="str">
        <f t="shared" si="1"/>
        <v>·</v>
      </c>
      <c r="K13" s="18" t="str">
        <f t="shared" si="2"/>
        <v>·</v>
      </c>
      <c r="L13" s="18" t="str">
        <f t="shared" si="3"/>
        <v>·</v>
      </c>
      <c r="M13" s="19"/>
      <c r="N13" s="18" t="str">
        <f t="shared" si="4"/>
        <v>·</v>
      </c>
      <c r="O13" s="20"/>
      <c r="P13" s="21"/>
      <c r="Q13" s="21"/>
      <c r="R13" s="21"/>
      <c r="S13" s="37"/>
      <c r="T13" s="38"/>
      <c r="U13" s="38"/>
      <c r="V13" s="38"/>
      <c r="W13" s="38"/>
      <c r="X13" s="38"/>
      <c r="Y13" s="39"/>
      <c r="Z13" s="49"/>
      <c r="AA13" s="49"/>
      <c r="AC13" s="17" t="str">
        <f t="shared" si="5"/>
        <v>·</v>
      </c>
      <c r="AD13" s="18" t="str">
        <f t="shared" si="6"/>
        <v>·</v>
      </c>
      <c r="AE13" s="18" t="str">
        <f t="shared" si="7"/>
        <v>·</v>
      </c>
      <c r="AF13" s="18" t="str">
        <f t="shared" si="8"/>
        <v>·</v>
      </c>
      <c r="AG13" s="19"/>
      <c r="AH13" s="18" t="str">
        <f t="shared" si="9"/>
        <v>·</v>
      </c>
      <c r="AI13" s="20"/>
      <c r="AJ13" s="21"/>
      <c r="AK13" s="21"/>
      <c r="AL13" s="21"/>
      <c r="AM13" s="37"/>
      <c r="AN13" s="38"/>
      <c r="AO13" s="38"/>
      <c r="AP13" s="38"/>
      <c r="AQ13" s="38"/>
      <c r="AR13" s="38"/>
      <c r="AS13" s="39"/>
      <c r="AT13" s="49"/>
      <c r="AU13" s="49"/>
      <c r="AW13" s="53" t="e">
        <f t="shared" si="10"/>
        <v>#DIV/0!</v>
      </c>
      <c r="AX13" s="53"/>
      <c r="AZ13" s="54"/>
      <c r="BA13" s="54"/>
      <c r="BB13" s="54"/>
      <c r="BC13" s="54"/>
      <c r="BD13" s="54"/>
      <c r="BE13" s="61"/>
      <c r="BG13" s="54"/>
      <c r="BH13" s="54"/>
      <c r="BI13" s="54"/>
      <c r="BJ13" s="54"/>
      <c r="BK13" s="54"/>
      <c r="BL13" s="61"/>
      <c r="BN13">
        <f t="shared" si="12"/>
        <v>0</v>
      </c>
      <c r="BO13">
        <f t="shared" si="13"/>
        <v>0</v>
      </c>
      <c r="BP13">
        <f t="shared" si="14"/>
        <v>0</v>
      </c>
      <c r="BQ13">
        <f t="shared" si="15"/>
        <v>0</v>
      </c>
      <c r="BR13">
        <f t="shared" si="16"/>
        <v>0</v>
      </c>
      <c r="BS13">
        <f t="shared" si="17"/>
        <v>0</v>
      </c>
      <c r="BT13">
        <f t="shared" si="18"/>
        <v>0</v>
      </c>
      <c r="BU13">
        <f t="shared" si="19"/>
        <v>0</v>
      </c>
      <c r="BV13">
        <f t="shared" si="20"/>
        <v>0</v>
      </c>
      <c r="BW13">
        <f t="shared" si="21"/>
        <v>0</v>
      </c>
      <c r="BX13">
        <f t="shared" si="22"/>
        <v>0</v>
      </c>
    </row>
    <row r="14" spans="1:76" outlineLevel="1" x14ac:dyDescent="0.15">
      <c r="A14" s="8"/>
      <c r="B14" s="8" t="s">
        <v>56</v>
      </c>
      <c r="C14" s="9" t="s">
        <v>257</v>
      </c>
      <c r="D14" s="8">
        <v>3493085</v>
      </c>
      <c r="E14" s="10">
        <v>12</v>
      </c>
      <c r="F14" s="9">
        <v>1</v>
      </c>
      <c r="G14" s="9"/>
      <c r="I14" s="22" t="str">
        <f t="shared" si="0"/>
        <v>·</v>
      </c>
      <c r="J14" s="23" t="str">
        <f t="shared" si="1"/>
        <v>·</v>
      </c>
      <c r="K14" s="23" t="str">
        <f t="shared" si="2"/>
        <v>·</v>
      </c>
      <c r="L14" s="23" t="str">
        <f t="shared" si="3"/>
        <v>·</v>
      </c>
      <c r="M14" s="24"/>
      <c r="N14" s="23" t="str">
        <f t="shared" si="4"/>
        <v>·</v>
      </c>
      <c r="O14" s="25"/>
      <c r="P14" s="26"/>
      <c r="Q14" s="26"/>
      <c r="R14" s="26"/>
      <c r="S14" s="40"/>
      <c r="T14" s="41"/>
      <c r="U14" s="41"/>
      <c r="V14" s="41"/>
      <c r="W14" s="41"/>
      <c r="X14" s="41"/>
      <c r="Y14" s="42"/>
      <c r="Z14" s="50"/>
      <c r="AA14" s="50"/>
      <c r="AC14" s="22" t="str">
        <f t="shared" si="5"/>
        <v>·</v>
      </c>
      <c r="AD14" s="23" t="str">
        <f t="shared" si="6"/>
        <v>·</v>
      </c>
      <c r="AE14" s="23" t="str">
        <f t="shared" si="7"/>
        <v>·</v>
      </c>
      <c r="AF14" s="23" t="str">
        <f t="shared" si="8"/>
        <v>·</v>
      </c>
      <c r="AG14" s="24"/>
      <c r="AH14" s="23" t="str">
        <f t="shared" si="9"/>
        <v>·</v>
      </c>
      <c r="AI14" s="25"/>
      <c r="AJ14" s="26"/>
      <c r="AK14" s="26"/>
      <c r="AL14" s="26"/>
      <c r="AM14" s="40"/>
      <c r="AN14" s="41"/>
      <c r="AO14" s="41"/>
      <c r="AP14" s="41"/>
      <c r="AQ14" s="41"/>
      <c r="AR14" s="41"/>
      <c r="AS14" s="42"/>
      <c r="AT14" s="50"/>
      <c r="AU14" s="50"/>
      <c r="AW14" s="55" t="e">
        <f t="shared" si="10"/>
        <v>#DIV/0!</v>
      </c>
      <c r="AX14" s="55"/>
      <c r="AZ14" s="56"/>
      <c r="BA14" s="56"/>
      <c r="BB14" s="56"/>
      <c r="BC14" s="56"/>
      <c r="BD14" s="56"/>
      <c r="BE14" s="62"/>
      <c r="BG14" s="56"/>
      <c r="BH14" s="56"/>
      <c r="BI14" s="56"/>
      <c r="BJ14" s="56"/>
      <c r="BK14" s="56"/>
      <c r="BL14" s="62"/>
      <c r="BN14">
        <f t="shared" si="12"/>
        <v>0</v>
      </c>
      <c r="BO14">
        <f t="shared" si="13"/>
        <v>0</v>
      </c>
      <c r="BP14">
        <f t="shared" si="14"/>
        <v>0</v>
      </c>
      <c r="BQ14">
        <f t="shared" si="15"/>
        <v>0</v>
      </c>
      <c r="BR14">
        <f t="shared" si="16"/>
        <v>0</v>
      </c>
      <c r="BS14">
        <f t="shared" si="17"/>
        <v>0</v>
      </c>
      <c r="BT14">
        <f t="shared" si="18"/>
        <v>0</v>
      </c>
      <c r="BU14">
        <f t="shared" si="19"/>
        <v>0</v>
      </c>
      <c r="BV14">
        <f t="shared" si="20"/>
        <v>0</v>
      </c>
      <c r="BW14">
        <f t="shared" si="21"/>
        <v>0</v>
      </c>
      <c r="BX14">
        <f t="shared" si="22"/>
        <v>0</v>
      </c>
    </row>
    <row r="15" spans="1:76" outlineLevel="1" x14ac:dyDescent="0.15">
      <c r="A15" s="5"/>
      <c r="B15" s="5" t="s">
        <v>56</v>
      </c>
      <c r="C15" s="6" t="s">
        <v>258</v>
      </c>
      <c r="D15" s="5">
        <v>3493085</v>
      </c>
      <c r="E15" s="7">
        <v>12</v>
      </c>
      <c r="F15" s="6">
        <v>1</v>
      </c>
      <c r="G15" s="6"/>
      <c r="I15" s="17" t="str">
        <f t="shared" si="0"/>
        <v>·</v>
      </c>
      <c r="J15" s="18" t="str">
        <f t="shared" si="1"/>
        <v>·</v>
      </c>
      <c r="K15" s="18" t="str">
        <f t="shared" si="2"/>
        <v>·</v>
      </c>
      <c r="L15" s="18" t="str">
        <f t="shared" si="3"/>
        <v>·</v>
      </c>
      <c r="M15" s="19"/>
      <c r="N15" s="18" t="str">
        <f t="shared" si="4"/>
        <v>·</v>
      </c>
      <c r="O15" s="20"/>
      <c r="P15" s="21"/>
      <c r="Q15" s="21"/>
      <c r="R15" s="21"/>
      <c r="S15" s="37"/>
      <c r="T15" s="38"/>
      <c r="U15" s="38"/>
      <c r="V15" s="38"/>
      <c r="W15" s="38"/>
      <c r="X15" s="38"/>
      <c r="Y15" s="39"/>
      <c r="Z15" s="49"/>
      <c r="AA15" s="49"/>
      <c r="AC15" s="17" t="str">
        <f t="shared" si="5"/>
        <v>·</v>
      </c>
      <c r="AD15" s="18" t="str">
        <f t="shared" si="6"/>
        <v>·</v>
      </c>
      <c r="AE15" s="18" t="str">
        <f t="shared" si="7"/>
        <v>·</v>
      </c>
      <c r="AF15" s="18" t="str">
        <f t="shared" si="8"/>
        <v>·</v>
      </c>
      <c r="AG15" s="19"/>
      <c r="AH15" s="18" t="str">
        <f t="shared" si="9"/>
        <v>·</v>
      </c>
      <c r="AI15" s="20"/>
      <c r="AJ15" s="21"/>
      <c r="AK15" s="21"/>
      <c r="AL15" s="21"/>
      <c r="AM15" s="37"/>
      <c r="AN15" s="38"/>
      <c r="AO15" s="38"/>
      <c r="AP15" s="38"/>
      <c r="AQ15" s="38"/>
      <c r="AR15" s="38"/>
      <c r="AS15" s="39"/>
      <c r="AT15" s="49"/>
      <c r="AU15" s="49"/>
      <c r="AW15" s="53" t="e">
        <f t="shared" si="10"/>
        <v>#DIV/0!</v>
      </c>
      <c r="AX15" s="53"/>
      <c r="AZ15" s="54"/>
      <c r="BA15" s="54"/>
      <c r="BB15" s="54"/>
      <c r="BC15" s="54"/>
      <c r="BD15" s="54"/>
      <c r="BE15" s="61"/>
      <c r="BG15" s="54"/>
      <c r="BH15" s="54"/>
      <c r="BI15" s="54"/>
      <c r="BJ15" s="54"/>
      <c r="BK15" s="54"/>
      <c r="BL15" s="61"/>
      <c r="BN15">
        <f t="shared" si="12"/>
        <v>0</v>
      </c>
      <c r="BO15">
        <f t="shared" si="13"/>
        <v>0</v>
      </c>
      <c r="BP15">
        <f t="shared" si="14"/>
        <v>0</v>
      </c>
      <c r="BQ15">
        <f t="shared" si="15"/>
        <v>0</v>
      </c>
      <c r="BR15">
        <f t="shared" si="16"/>
        <v>0</v>
      </c>
      <c r="BS15">
        <f t="shared" si="17"/>
        <v>0</v>
      </c>
      <c r="BT15">
        <f t="shared" si="18"/>
        <v>0</v>
      </c>
      <c r="BU15">
        <f t="shared" si="19"/>
        <v>0</v>
      </c>
      <c r="BV15">
        <f t="shared" si="20"/>
        <v>0</v>
      </c>
      <c r="BW15">
        <f t="shared" si="21"/>
        <v>0</v>
      </c>
      <c r="BX15">
        <f t="shared" si="22"/>
        <v>0</v>
      </c>
    </row>
    <row r="16" spans="1:76" outlineLevel="1" x14ac:dyDescent="0.15">
      <c r="A16" s="8"/>
      <c r="B16" s="14" t="s">
        <v>56</v>
      </c>
      <c r="C16" s="15" t="s">
        <v>259</v>
      </c>
      <c r="D16" s="14">
        <v>3493085</v>
      </c>
      <c r="E16" s="16">
        <v>12</v>
      </c>
      <c r="F16" s="15">
        <v>1</v>
      </c>
      <c r="G16" s="15"/>
      <c r="I16" s="32" t="str">
        <f t="shared" si="0"/>
        <v>·</v>
      </c>
      <c r="J16" s="33" t="str">
        <f t="shared" si="1"/>
        <v>·</v>
      </c>
      <c r="K16" s="33" t="str">
        <f t="shared" si="2"/>
        <v>·</v>
      </c>
      <c r="L16" s="33" t="str">
        <f t="shared" si="3"/>
        <v>·</v>
      </c>
      <c r="M16" s="34"/>
      <c r="N16" s="33" t="str">
        <f t="shared" si="4"/>
        <v>·</v>
      </c>
      <c r="O16" s="35"/>
      <c r="P16" s="36"/>
      <c r="Q16" s="36"/>
      <c r="R16" s="36"/>
      <c r="S16" s="46"/>
      <c r="T16" s="47"/>
      <c r="U16" s="47"/>
      <c r="V16" s="47"/>
      <c r="W16" s="47"/>
      <c r="X16" s="47"/>
      <c r="Y16" s="48"/>
      <c r="Z16" s="52"/>
      <c r="AA16" s="52"/>
      <c r="AC16" s="32" t="str">
        <f t="shared" si="5"/>
        <v>·</v>
      </c>
      <c r="AD16" s="33" t="str">
        <f t="shared" si="6"/>
        <v>·</v>
      </c>
      <c r="AE16" s="33" t="str">
        <f t="shared" si="7"/>
        <v>·</v>
      </c>
      <c r="AF16" s="33" t="str">
        <f t="shared" si="8"/>
        <v>·</v>
      </c>
      <c r="AG16" s="34"/>
      <c r="AH16" s="33" t="str">
        <f t="shared" si="9"/>
        <v>·</v>
      </c>
      <c r="AI16" s="35"/>
      <c r="AJ16" s="36"/>
      <c r="AK16" s="36"/>
      <c r="AL16" s="36"/>
      <c r="AM16" s="46"/>
      <c r="AN16" s="47"/>
      <c r="AO16" s="47"/>
      <c r="AP16" s="47"/>
      <c r="AQ16" s="47"/>
      <c r="AR16" s="47"/>
      <c r="AS16" s="48"/>
      <c r="AT16" s="52"/>
      <c r="AU16" s="52"/>
      <c r="AW16" s="59" t="e">
        <f t="shared" si="10"/>
        <v>#DIV/0!</v>
      </c>
      <c r="AX16" s="59"/>
      <c r="AZ16" s="60"/>
      <c r="BA16" s="60"/>
      <c r="BB16" s="60"/>
      <c r="BC16" s="60"/>
      <c r="BD16" s="60"/>
      <c r="BE16" s="64"/>
      <c r="BG16" s="60"/>
      <c r="BH16" s="60"/>
      <c r="BI16" s="60"/>
      <c r="BJ16" s="60"/>
      <c r="BK16" s="60"/>
      <c r="BL16" s="64"/>
      <c r="BN16">
        <f t="shared" si="12"/>
        <v>0</v>
      </c>
      <c r="BO16">
        <f t="shared" si="13"/>
        <v>0</v>
      </c>
      <c r="BP16">
        <f t="shared" si="14"/>
        <v>0</v>
      </c>
      <c r="BQ16">
        <f t="shared" si="15"/>
        <v>0</v>
      </c>
      <c r="BR16">
        <f t="shared" si="16"/>
        <v>0</v>
      </c>
      <c r="BS16">
        <f t="shared" si="17"/>
        <v>0</v>
      </c>
      <c r="BT16">
        <f t="shared" si="18"/>
        <v>0</v>
      </c>
      <c r="BU16">
        <f t="shared" si="19"/>
        <v>0</v>
      </c>
      <c r="BV16">
        <f t="shared" si="20"/>
        <v>0</v>
      </c>
      <c r="BW16">
        <f t="shared" si="21"/>
        <v>0</v>
      </c>
      <c r="BX16">
        <f t="shared" si="22"/>
        <v>0</v>
      </c>
    </row>
    <row r="17" spans="1:76" x14ac:dyDescent="0.15">
      <c r="A17" s="5"/>
      <c r="B17" s="5" t="s">
        <v>61</v>
      </c>
      <c r="C17" s="6" t="s">
        <v>254</v>
      </c>
      <c r="D17" s="5">
        <v>2592758</v>
      </c>
      <c r="E17" s="7">
        <v>11</v>
      </c>
      <c r="F17" s="6">
        <v>1</v>
      </c>
      <c r="G17" s="6"/>
      <c r="I17" s="17" t="str">
        <f t="shared" si="0"/>
        <v>·</v>
      </c>
      <c r="J17" s="18" t="str">
        <f t="shared" si="1"/>
        <v>·</v>
      </c>
      <c r="K17" s="18" t="str">
        <f t="shared" si="2"/>
        <v>·</v>
      </c>
      <c r="L17" s="18" t="str">
        <f t="shared" si="3"/>
        <v>·</v>
      </c>
      <c r="M17" s="19"/>
      <c r="N17" s="18" t="str">
        <f t="shared" si="4"/>
        <v>·</v>
      </c>
      <c r="O17" s="20"/>
      <c r="P17" s="21"/>
      <c r="Q17" s="21"/>
      <c r="R17" s="21"/>
      <c r="S17" s="37"/>
      <c r="T17" s="38"/>
      <c r="U17" s="38"/>
      <c r="V17" s="38"/>
      <c r="W17" s="38"/>
      <c r="X17" s="38"/>
      <c r="Y17" s="39"/>
      <c r="Z17" s="49"/>
      <c r="AA17" s="49"/>
      <c r="AC17" s="17" t="str">
        <f t="shared" si="5"/>
        <v>·</v>
      </c>
      <c r="AD17" s="18" t="str">
        <f t="shared" si="6"/>
        <v>·</v>
      </c>
      <c r="AE17" s="18" t="str">
        <f t="shared" si="7"/>
        <v>·</v>
      </c>
      <c r="AF17" s="18" t="str">
        <f t="shared" si="8"/>
        <v>·</v>
      </c>
      <c r="AG17" s="19"/>
      <c r="AH17" s="18" t="str">
        <f t="shared" si="9"/>
        <v>·</v>
      </c>
      <c r="AI17" s="20"/>
      <c r="AJ17" s="21"/>
      <c r="AK17" s="21"/>
      <c r="AL17" s="21"/>
      <c r="AM17" s="37"/>
      <c r="AN17" s="38"/>
      <c r="AO17" s="38"/>
      <c r="AP17" s="38"/>
      <c r="AQ17" s="38"/>
      <c r="AR17" s="38"/>
      <c r="AS17" s="39"/>
      <c r="AT17" s="49"/>
      <c r="AU17" s="49"/>
      <c r="AW17" s="53" t="e">
        <f t="shared" si="10"/>
        <v>#DIV/0!</v>
      </c>
      <c r="AX17" s="53" t="e">
        <f t="array" ref="AX17">AVERAGE(AK17:AK22/AJ17:AJ22)-AVERAGE(Q17:Q22/P17:P22)</f>
        <v>#DIV/0!</v>
      </c>
      <c r="AZ17" s="54" t="str">
        <f>IF(OR(ISBLANK(Q17:Q22),ISBLANK(AK17:AK22),ISBLANK(T17:T22),ISBLANK(AN17:AN22)),"·",bdRateExtend(Q17:Q22,T17:T22,AK17:AK22,AN17:AN22))</f>
        <v>·</v>
      </c>
      <c r="BA17" s="54" t="str">
        <f>IF(OR(ISBLANK(Q17:Q22),ISBLANK(AK17:AK22),ISBLANK(U17:U22),ISBLANK(AO17:AO22)),"·",bdRateExtend(Q17:Q22,U17:U22,AK17:AK22,AO17:AO22))</f>
        <v>·</v>
      </c>
      <c r="BB17" s="54" t="str">
        <f>IF(OR(ISBLANK(R17:R22),ISBLANK(AL17:AL22),ISBLANK(V17:V22),ISBLANK(AP17:AP22)),"·",bdRateExtend(R17:R22,V17:V22,AL17:AL22,AP17:AP22))</f>
        <v>·</v>
      </c>
      <c r="BC17" s="54" t="str">
        <f>IF(OR(ISBLANK(R17:R22),ISBLANK(AL17:AL22),ISBLANK(W17:W22),ISBLANK(AQ17:AQ22)),"·",bdRateExtend(R17:R22,W17:W22,AL17:AL22,AQ17:AQ22))</f>
        <v>·</v>
      </c>
      <c r="BD17" s="54" t="str">
        <f>IF(OR(ISBLANK(R17:R22),ISBLANK(AL17:AL22),ISBLANK(X17:X22),ISBLANK(AR17:AR22)),"·",bdRateExtend(R17:R22,X17:X22,AL17:AL22,AR17:AR22))</f>
        <v>·</v>
      </c>
      <c r="BE17" s="61"/>
      <c r="BG17" s="54" t="str">
        <f>IF(OR(ISBLANK(P17:P22),ISBLANK(AJ17:AJ22),ISBLANK(T17:T22),ISBLANK(AN17:AN22)),"·",bdRateExtend(P17:P22,T17:T22,AJ17:AJ22,AN17:AN22))</f>
        <v>·</v>
      </c>
      <c r="BH17" s="54" t="str">
        <f>IF(OR(ISBLANK(P17:P22),ISBLANK(AJ17:AJ22),ISBLANK(U17:U22),ISBLANK(AO17:AO22)),"·",bdRateExtend(P17:P22,U17:U22,AJ17:AJ22,AO17:AO22))</f>
        <v>·</v>
      </c>
      <c r="BI17" s="54" t="str">
        <f>IF(OR(ISBLANK(P17:P22),ISBLANK(AJ17:AJ22),ISBLANK(V17:V22),ISBLANK(AP17:AP22)),"·",bdRateExtend(P17:P22,V17:V22,AJ17:AJ22,AP17:AP22))</f>
        <v>·</v>
      </c>
      <c r="BJ17" s="54" t="str">
        <f>IF(OR(ISBLANK(P17:P22),ISBLANK(AJ17:AJ22),ISBLANK(W17:W22),ISBLANK(AQ17:AQ22)),"·",bdRateExtend(P17:P22,W17:W22,AJ17:AJ22,AQ17:AQ22))</f>
        <v>·</v>
      </c>
      <c r="BK17" s="54" t="str">
        <f>IF(OR(ISBLANK(P17:P22),ISBLANK(AJ17:AJ22),ISBLANK(X17:X22),ISBLANK(AR17:AR22)),"·",bdRateExtend(P17:P22,X17:X22,AJ17:AJ22,AR17:AR22))</f>
        <v>·</v>
      </c>
      <c r="BL17" s="61"/>
      <c r="BN17">
        <f t="shared" si="12"/>
        <v>0</v>
      </c>
      <c r="BO17">
        <f t="shared" si="13"/>
        <v>0</v>
      </c>
      <c r="BP17">
        <f t="shared" si="14"/>
        <v>0</v>
      </c>
      <c r="BQ17">
        <f t="shared" si="15"/>
        <v>0</v>
      </c>
      <c r="BR17">
        <f t="shared" si="16"/>
        <v>0</v>
      </c>
      <c r="BS17">
        <f t="shared" si="17"/>
        <v>0</v>
      </c>
      <c r="BT17">
        <f t="shared" si="18"/>
        <v>0</v>
      </c>
      <c r="BU17">
        <f t="shared" si="19"/>
        <v>0</v>
      </c>
      <c r="BV17">
        <f t="shared" si="20"/>
        <v>0</v>
      </c>
      <c r="BW17">
        <f t="shared" si="21"/>
        <v>0</v>
      </c>
      <c r="BX17">
        <f t="shared" si="22"/>
        <v>0</v>
      </c>
    </row>
    <row r="18" spans="1:76" outlineLevel="1" x14ac:dyDescent="0.15">
      <c r="A18" s="8"/>
      <c r="B18" s="8" t="s">
        <v>61</v>
      </c>
      <c r="C18" s="9" t="s">
        <v>255</v>
      </c>
      <c r="D18" s="8">
        <v>2592758</v>
      </c>
      <c r="E18" s="10">
        <v>11</v>
      </c>
      <c r="F18" s="9">
        <v>1</v>
      </c>
      <c r="G18" s="9"/>
      <c r="I18" s="22" t="str">
        <f t="shared" si="0"/>
        <v>·</v>
      </c>
      <c r="J18" s="23" t="str">
        <f t="shared" si="1"/>
        <v>·</v>
      </c>
      <c r="K18" s="23" t="str">
        <f t="shared" si="2"/>
        <v>·</v>
      </c>
      <c r="L18" s="23" t="str">
        <f t="shared" si="3"/>
        <v>·</v>
      </c>
      <c r="M18" s="24"/>
      <c r="N18" s="23" t="str">
        <f t="shared" si="4"/>
        <v>·</v>
      </c>
      <c r="O18" s="25"/>
      <c r="P18" s="26"/>
      <c r="Q18" s="26"/>
      <c r="R18" s="26"/>
      <c r="S18" s="40"/>
      <c r="T18" s="41"/>
      <c r="U18" s="41"/>
      <c r="V18" s="41"/>
      <c r="W18" s="41"/>
      <c r="X18" s="41"/>
      <c r="Y18" s="42"/>
      <c r="Z18" s="50"/>
      <c r="AA18" s="50"/>
      <c r="AC18" s="22" t="str">
        <f t="shared" si="5"/>
        <v>·</v>
      </c>
      <c r="AD18" s="23" t="str">
        <f t="shared" si="6"/>
        <v>·</v>
      </c>
      <c r="AE18" s="23" t="str">
        <f t="shared" si="7"/>
        <v>·</v>
      </c>
      <c r="AF18" s="23" t="str">
        <f t="shared" si="8"/>
        <v>·</v>
      </c>
      <c r="AG18" s="24"/>
      <c r="AH18" s="23" t="str">
        <f t="shared" si="9"/>
        <v>·</v>
      </c>
      <c r="AI18" s="25"/>
      <c r="AJ18" s="26"/>
      <c r="AK18" s="26"/>
      <c r="AL18" s="26"/>
      <c r="AM18" s="40"/>
      <c r="AN18" s="41"/>
      <c r="AO18" s="41"/>
      <c r="AP18" s="41"/>
      <c r="AQ18" s="41"/>
      <c r="AR18" s="41"/>
      <c r="AS18" s="42"/>
      <c r="AT18" s="50"/>
      <c r="AU18" s="50"/>
      <c r="AW18" s="55" t="e">
        <f t="shared" si="10"/>
        <v>#DIV/0!</v>
      </c>
      <c r="AX18" s="55"/>
      <c r="AZ18" s="56"/>
      <c r="BA18" s="56"/>
      <c r="BB18" s="56"/>
      <c r="BC18" s="56"/>
      <c r="BD18" s="56"/>
      <c r="BE18" s="62"/>
      <c r="BG18" s="56"/>
      <c r="BH18" s="56"/>
      <c r="BI18" s="56"/>
      <c r="BJ18" s="56"/>
      <c r="BK18" s="56"/>
      <c r="BL18" s="62"/>
      <c r="BN18">
        <f t="shared" si="12"/>
        <v>0</v>
      </c>
      <c r="BO18">
        <f t="shared" si="13"/>
        <v>0</v>
      </c>
      <c r="BP18">
        <f t="shared" si="14"/>
        <v>0</v>
      </c>
      <c r="BQ18">
        <f t="shared" si="15"/>
        <v>0</v>
      </c>
      <c r="BR18">
        <f t="shared" si="16"/>
        <v>0</v>
      </c>
      <c r="BS18">
        <f t="shared" si="17"/>
        <v>0</v>
      </c>
      <c r="BT18">
        <f t="shared" si="18"/>
        <v>0</v>
      </c>
      <c r="BU18">
        <f t="shared" si="19"/>
        <v>0</v>
      </c>
      <c r="BV18">
        <f t="shared" si="20"/>
        <v>0</v>
      </c>
      <c r="BW18">
        <f t="shared" si="21"/>
        <v>0</v>
      </c>
      <c r="BX18">
        <f t="shared" si="22"/>
        <v>0</v>
      </c>
    </row>
    <row r="19" spans="1:76" outlineLevel="1" x14ac:dyDescent="0.15">
      <c r="A19" s="5"/>
      <c r="B19" s="5" t="s">
        <v>61</v>
      </c>
      <c r="C19" s="6" t="s">
        <v>256</v>
      </c>
      <c r="D19" s="5">
        <v>2592758</v>
      </c>
      <c r="E19" s="7">
        <v>11</v>
      </c>
      <c r="F19" s="6">
        <v>1</v>
      </c>
      <c r="G19" s="6"/>
      <c r="I19" s="17" t="str">
        <f t="shared" si="0"/>
        <v>·</v>
      </c>
      <c r="J19" s="18" t="str">
        <f t="shared" si="1"/>
        <v>·</v>
      </c>
      <c r="K19" s="18" t="str">
        <f t="shared" si="2"/>
        <v>·</v>
      </c>
      <c r="L19" s="18" t="str">
        <f t="shared" si="3"/>
        <v>·</v>
      </c>
      <c r="M19" s="19"/>
      <c r="N19" s="18" t="str">
        <f t="shared" si="4"/>
        <v>·</v>
      </c>
      <c r="O19" s="20"/>
      <c r="P19" s="21"/>
      <c r="Q19" s="21"/>
      <c r="R19" s="21"/>
      <c r="S19" s="37"/>
      <c r="T19" s="38"/>
      <c r="U19" s="38"/>
      <c r="V19" s="38"/>
      <c r="W19" s="38"/>
      <c r="X19" s="38"/>
      <c r="Y19" s="39"/>
      <c r="Z19" s="49"/>
      <c r="AA19" s="49"/>
      <c r="AC19" s="17" t="str">
        <f t="shared" si="5"/>
        <v>·</v>
      </c>
      <c r="AD19" s="18" t="str">
        <f t="shared" si="6"/>
        <v>·</v>
      </c>
      <c r="AE19" s="18" t="str">
        <f t="shared" si="7"/>
        <v>·</v>
      </c>
      <c r="AF19" s="18" t="str">
        <f t="shared" si="8"/>
        <v>·</v>
      </c>
      <c r="AG19" s="19"/>
      <c r="AH19" s="18" t="str">
        <f t="shared" si="9"/>
        <v>·</v>
      </c>
      <c r="AI19" s="20"/>
      <c r="AJ19" s="21"/>
      <c r="AK19" s="21"/>
      <c r="AL19" s="21"/>
      <c r="AM19" s="37"/>
      <c r="AN19" s="38"/>
      <c r="AO19" s="38"/>
      <c r="AP19" s="38"/>
      <c r="AQ19" s="38"/>
      <c r="AR19" s="38"/>
      <c r="AS19" s="39"/>
      <c r="AT19" s="49"/>
      <c r="AU19" s="49"/>
      <c r="AW19" s="53" t="e">
        <f t="shared" si="10"/>
        <v>#DIV/0!</v>
      </c>
      <c r="AX19" s="53"/>
      <c r="AZ19" s="54"/>
      <c r="BA19" s="54"/>
      <c r="BB19" s="54"/>
      <c r="BC19" s="54"/>
      <c r="BD19" s="54"/>
      <c r="BE19" s="61"/>
      <c r="BG19" s="54"/>
      <c r="BH19" s="54"/>
      <c r="BI19" s="54"/>
      <c r="BJ19" s="54"/>
      <c r="BK19" s="54"/>
      <c r="BL19" s="61"/>
      <c r="BN19">
        <f t="shared" si="12"/>
        <v>0</v>
      </c>
      <c r="BO19">
        <f t="shared" si="13"/>
        <v>0</v>
      </c>
      <c r="BP19">
        <f t="shared" si="14"/>
        <v>0</v>
      </c>
      <c r="BQ19">
        <f t="shared" si="15"/>
        <v>0</v>
      </c>
      <c r="BR19">
        <f t="shared" si="16"/>
        <v>0</v>
      </c>
      <c r="BS19">
        <f t="shared" si="17"/>
        <v>0</v>
      </c>
      <c r="BT19">
        <f t="shared" si="18"/>
        <v>0</v>
      </c>
      <c r="BU19">
        <f t="shared" si="19"/>
        <v>0</v>
      </c>
      <c r="BV19">
        <f t="shared" si="20"/>
        <v>0</v>
      </c>
      <c r="BW19">
        <f t="shared" si="21"/>
        <v>0</v>
      </c>
      <c r="BX19">
        <f t="shared" si="22"/>
        <v>0</v>
      </c>
    </row>
    <row r="20" spans="1:76" outlineLevel="1" x14ac:dyDescent="0.15">
      <c r="A20" s="8"/>
      <c r="B20" s="8" t="s">
        <v>61</v>
      </c>
      <c r="C20" s="9" t="s">
        <v>257</v>
      </c>
      <c r="D20" s="8">
        <v>2592758</v>
      </c>
      <c r="E20" s="10">
        <v>11</v>
      </c>
      <c r="F20" s="9">
        <v>1</v>
      </c>
      <c r="G20" s="9"/>
      <c r="I20" s="22" t="str">
        <f t="shared" si="0"/>
        <v>·</v>
      </c>
      <c r="J20" s="23" t="str">
        <f t="shared" si="1"/>
        <v>·</v>
      </c>
      <c r="K20" s="23" t="str">
        <f t="shared" si="2"/>
        <v>·</v>
      </c>
      <c r="L20" s="23" t="str">
        <f t="shared" si="3"/>
        <v>·</v>
      </c>
      <c r="M20" s="24"/>
      <c r="N20" s="23" t="str">
        <f t="shared" si="4"/>
        <v>·</v>
      </c>
      <c r="O20" s="25"/>
      <c r="P20" s="26"/>
      <c r="Q20" s="26"/>
      <c r="R20" s="26"/>
      <c r="S20" s="40"/>
      <c r="T20" s="41"/>
      <c r="U20" s="41"/>
      <c r="V20" s="41"/>
      <c r="W20" s="41"/>
      <c r="X20" s="41"/>
      <c r="Y20" s="42"/>
      <c r="Z20" s="50"/>
      <c r="AA20" s="50"/>
      <c r="AC20" s="22" t="str">
        <f t="shared" si="5"/>
        <v>·</v>
      </c>
      <c r="AD20" s="23" t="str">
        <f t="shared" si="6"/>
        <v>·</v>
      </c>
      <c r="AE20" s="23" t="str">
        <f t="shared" si="7"/>
        <v>·</v>
      </c>
      <c r="AF20" s="23" t="str">
        <f t="shared" si="8"/>
        <v>·</v>
      </c>
      <c r="AG20" s="24"/>
      <c r="AH20" s="23" t="str">
        <f t="shared" si="9"/>
        <v>·</v>
      </c>
      <c r="AI20" s="25"/>
      <c r="AJ20" s="26"/>
      <c r="AK20" s="26"/>
      <c r="AL20" s="26"/>
      <c r="AM20" s="40"/>
      <c r="AN20" s="41"/>
      <c r="AO20" s="41"/>
      <c r="AP20" s="41"/>
      <c r="AQ20" s="41"/>
      <c r="AR20" s="41"/>
      <c r="AS20" s="42"/>
      <c r="AT20" s="50"/>
      <c r="AU20" s="50"/>
      <c r="AW20" s="55" t="e">
        <f t="shared" si="10"/>
        <v>#DIV/0!</v>
      </c>
      <c r="AX20" s="55"/>
      <c r="AZ20" s="56"/>
      <c r="BA20" s="56"/>
      <c r="BB20" s="56"/>
      <c r="BC20" s="56"/>
      <c r="BD20" s="56"/>
      <c r="BE20" s="62"/>
      <c r="BG20" s="56"/>
      <c r="BH20" s="56"/>
      <c r="BI20" s="56"/>
      <c r="BJ20" s="56"/>
      <c r="BK20" s="56"/>
      <c r="BL20" s="62"/>
      <c r="BN20">
        <f t="shared" si="12"/>
        <v>0</v>
      </c>
      <c r="BO20">
        <f t="shared" si="13"/>
        <v>0</v>
      </c>
      <c r="BP20">
        <f t="shared" si="14"/>
        <v>0</v>
      </c>
      <c r="BQ20">
        <f t="shared" si="15"/>
        <v>0</v>
      </c>
      <c r="BR20">
        <f t="shared" si="16"/>
        <v>0</v>
      </c>
      <c r="BS20">
        <f t="shared" si="17"/>
        <v>0</v>
      </c>
      <c r="BT20">
        <f t="shared" si="18"/>
        <v>0</v>
      </c>
      <c r="BU20">
        <f t="shared" si="19"/>
        <v>0</v>
      </c>
      <c r="BV20">
        <f t="shared" si="20"/>
        <v>0</v>
      </c>
      <c r="BW20">
        <f t="shared" si="21"/>
        <v>0</v>
      </c>
      <c r="BX20">
        <f t="shared" si="22"/>
        <v>0</v>
      </c>
    </row>
    <row r="21" spans="1:76" outlineLevel="1" x14ac:dyDescent="0.15">
      <c r="A21" s="5"/>
      <c r="B21" s="5" t="s">
        <v>61</v>
      </c>
      <c r="C21" s="6" t="s">
        <v>258</v>
      </c>
      <c r="D21" s="5">
        <v>2592758</v>
      </c>
      <c r="E21" s="7">
        <v>11</v>
      </c>
      <c r="F21" s="6">
        <v>1</v>
      </c>
      <c r="G21" s="6"/>
      <c r="I21" s="17" t="str">
        <f t="shared" si="0"/>
        <v>·</v>
      </c>
      <c r="J21" s="18" t="str">
        <f t="shared" si="1"/>
        <v>·</v>
      </c>
      <c r="K21" s="18" t="str">
        <f t="shared" si="2"/>
        <v>·</v>
      </c>
      <c r="L21" s="18" t="str">
        <f t="shared" si="3"/>
        <v>·</v>
      </c>
      <c r="M21" s="19"/>
      <c r="N21" s="18" t="str">
        <f t="shared" si="4"/>
        <v>·</v>
      </c>
      <c r="O21" s="20"/>
      <c r="P21" s="21"/>
      <c r="Q21" s="21"/>
      <c r="R21" s="21"/>
      <c r="S21" s="37"/>
      <c r="T21" s="38"/>
      <c r="U21" s="38"/>
      <c r="V21" s="38"/>
      <c r="W21" s="38"/>
      <c r="X21" s="38"/>
      <c r="Y21" s="39"/>
      <c r="Z21" s="49"/>
      <c r="AA21" s="49"/>
      <c r="AC21" s="17" t="str">
        <f t="shared" si="5"/>
        <v>·</v>
      </c>
      <c r="AD21" s="18" t="str">
        <f t="shared" si="6"/>
        <v>·</v>
      </c>
      <c r="AE21" s="18" t="str">
        <f t="shared" si="7"/>
        <v>·</v>
      </c>
      <c r="AF21" s="18" t="str">
        <f t="shared" si="8"/>
        <v>·</v>
      </c>
      <c r="AG21" s="19"/>
      <c r="AH21" s="18" t="str">
        <f t="shared" si="9"/>
        <v>·</v>
      </c>
      <c r="AI21" s="20"/>
      <c r="AJ21" s="21"/>
      <c r="AK21" s="21"/>
      <c r="AL21" s="21"/>
      <c r="AM21" s="37"/>
      <c r="AN21" s="38"/>
      <c r="AO21" s="38"/>
      <c r="AP21" s="38"/>
      <c r="AQ21" s="38"/>
      <c r="AR21" s="38"/>
      <c r="AS21" s="39"/>
      <c r="AT21" s="49"/>
      <c r="AU21" s="49"/>
      <c r="AW21" s="53" t="e">
        <f t="shared" si="10"/>
        <v>#DIV/0!</v>
      </c>
      <c r="AX21" s="53"/>
      <c r="AZ21" s="54"/>
      <c r="BA21" s="54"/>
      <c r="BB21" s="54"/>
      <c r="BC21" s="54"/>
      <c r="BD21" s="54"/>
      <c r="BE21" s="61"/>
      <c r="BG21" s="54"/>
      <c r="BH21" s="54"/>
      <c r="BI21" s="54"/>
      <c r="BJ21" s="54"/>
      <c r="BK21" s="54"/>
      <c r="BL21" s="61"/>
      <c r="BN21">
        <f t="shared" si="12"/>
        <v>0</v>
      </c>
      <c r="BO21">
        <f t="shared" si="13"/>
        <v>0</v>
      </c>
      <c r="BP21">
        <f t="shared" si="14"/>
        <v>0</v>
      </c>
      <c r="BQ21">
        <f t="shared" si="15"/>
        <v>0</v>
      </c>
      <c r="BR21">
        <f t="shared" si="16"/>
        <v>0</v>
      </c>
      <c r="BS21">
        <f t="shared" si="17"/>
        <v>0</v>
      </c>
      <c r="BT21">
        <f t="shared" si="18"/>
        <v>0</v>
      </c>
      <c r="BU21">
        <f t="shared" si="19"/>
        <v>0</v>
      </c>
      <c r="BV21">
        <f t="shared" si="20"/>
        <v>0</v>
      </c>
      <c r="BW21">
        <f t="shared" si="21"/>
        <v>0</v>
      </c>
      <c r="BX21">
        <f t="shared" si="22"/>
        <v>0</v>
      </c>
    </row>
    <row r="22" spans="1:76" outlineLevel="1" x14ac:dyDescent="0.15">
      <c r="A22" s="8"/>
      <c r="B22" s="14" t="s">
        <v>61</v>
      </c>
      <c r="C22" s="15" t="s">
        <v>259</v>
      </c>
      <c r="D22" s="14">
        <v>2592758</v>
      </c>
      <c r="E22" s="16">
        <v>11</v>
      </c>
      <c r="F22" s="15">
        <v>1</v>
      </c>
      <c r="G22" s="15"/>
      <c r="I22" s="32" t="str">
        <f t="shared" si="0"/>
        <v>·</v>
      </c>
      <c r="J22" s="33" t="str">
        <f t="shared" si="1"/>
        <v>·</v>
      </c>
      <c r="K22" s="33" t="str">
        <f t="shared" si="2"/>
        <v>·</v>
      </c>
      <c r="L22" s="33" t="str">
        <f t="shared" si="3"/>
        <v>·</v>
      </c>
      <c r="M22" s="34"/>
      <c r="N22" s="33" t="str">
        <f t="shared" si="4"/>
        <v>·</v>
      </c>
      <c r="O22" s="35"/>
      <c r="P22" s="36"/>
      <c r="Q22" s="36"/>
      <c r="R22" s="36"/>
      <c r="S22" s="46"/>
      <c r="T22" s="47"/>
      <c r="U22" s="47"/>
      <c r="V22" s="47"/>
      <c r="W22" s="47"/>
      <c r="X22" s="47"/>
      <c r="Y22" s="48"/>
      <c r="Z22" s="52"/>
      <c r="AA22" s="52"/>
      <c r="AC22" s="32" t="str">
        <f t="shared" si="5"/>
        <v>·</v>
      </c>
      <c r="AD22" s="33" t="str">
        <f t="shared" si="6"/>
        <v>·</v>
      </c>
      <c r="AE22" s="33" t="str">
        <f t="shared" si="7"/>
        <v>·</v>
      </c>
      <c r="AF22" s="33" t="str">
        <f t="shared" si="8"/>
        <v>·</v>
      </c>
      <c r="AG22" s="34"/>
      <c r="AH22" s="33" t="str">
        <f t="shared" si="9"/>
        <v>·</v>
      </c>
      <c r="AI22" s="35"/>
      <c r="AJ22" s="36"/>
      <c r="AK22" s="36"/>
      <c r="AL22" s="36"/>
      <c r="AM22" s="46"/>
      <c r="AN22" s="47"/>
      <c r="AO22" s="47"/>
      <c r="AP22" s="47"/>
      <c r="AQ22" s="47"/>
      <c r="AR22" s="47"/>
      <c r="AS22" s="48"/>
      <c r="AT22" s="52"/>
      <c r="AU22" s="52"/>
      <c r="AW22" s="59" t="e">
        <f t="shared" si="10"/>
        <v>#DIV/0!</v>
      </c>
      <c r="AX22" s="59"/>
      <c r="AZ22" s="60"/>
      <c r="BA22" s="60"/>
      <c r="BB22" s="60"/>
      <c r="BC22" s="60"/>
      <c r="BD22" s="60"/>
      <c r="BE22" s="64"/>
      <c r="BG22" s="60"/>
      <c r="BH22" s="60"/>
      <c r="BI22" s="60"/>
      <c r="BJ22" s="60"/>
      <c r="BK22" s="60"/>
      <c r="BL22" s="64"/>
      <c r="BN22">
        <f t="shared" si="12"/>
        <v>0</v>
      </c>
      <c r="BO22">
        <f t="shared" si="13"/>
        <v>0</v>
      </c>
      <c r="BP22">
        <f t="shared" si="14"/>
        <v>0</v>
      </c>
      <c r="BQ22">
        <f t="shared" si="15"/>
        <v>0</v>
      </c>
      <c r="BR22">
        <f t="shared" si="16"/>
        <v>0</v>
      </c>
      <c r="BS22">
        <f t="shared" si="17"/>
        <v>0</v>
      </c>
      <c r="BT22">
        <f t="shared" si="18"/>
        <v>0</v>
      </c>
      <c r="BU22">
        <f t="shared" si="19"/>
        <v>0</v>
      </c>
      <c r="BV22">
        <f t="shared" si="20"/>
        <v>0</v>
      </c>
      <c r="BW22">
        <f t="shared" si="21"/>
        <v>0</v>
      </c>
      <c r="BX22">
        <f t="shared" si="22"/>
        <v>0</v>
      </c>
    </row>
    <row r="23" spans="1:76" x14ac:dyDescent="0.15">
      <c r="A23" s="5"/>
      <c r="B23" s="5" t="s">
        <v>67</v>
      </c>
      <c r="C23" s="6" t="s">
        <v>254</v>
      </c>
      <c r="D23" s="5">
        <v>272684</v>
      </c>
      <c r="E23" s="7">
        <v>12</v>
      </c>
      <c r="F23" s="6">
        <v>1</v>
      </c>
      <c r="G23" s="6"/>
      <c r="I23" s="17" t="str">
        <f t="shared" si="0"/>
        <v>·</v>
      </c>
      <c r="J23" s="18" t="str">
        <f t="shared" si="1"/>
        <v>·</v>
      </c>
      <c r="K23" s="18" t="str">
        <f t="shared" si="2"/>
        <v>·</v>
      </c>
      <c r="L23" s="18" t="str">
        <f t="shared" si="3"/>
        <v>·</v>
      </c>
      <c r="M23" s="19"/>
      <c r="N23" s="18" t="str">
        <f t="shared" si="4"/>
        <v>·</v>
      </c>
      <c r="O23" s="20"/>
      <c r="P23" s="21"/>
      <c r="Q23" s="21"/>
      <c r="R23" s="21"/>
      <c r="S23" s="37"/>
      <c r="T23" s="38"/>
      <c r="U23" s="38"/>
      <c r="V23" s="38"/>
      <c r="W23" s="38"/>
      <c r="X23" s="38"/>
      <c r="Y23" s="39"/>
      <c r="Z23" s="49"/>
      <c r="AA23" s="49"/>
      <c r="AC23" s="17" t="str">
        <f t="shared" si="5"/>
        <v>·</v>
      </c>
      <c r="AD23" s="18" t="str">
        <f t="shared" si="6"/>
        <v>·</v>
      </c>
      <c r="AE23" s="18" t="str">
        <f t="shared" si="7"/>
        <v>·</v>
      </c>
      <c r="AF23" s="18" t="str">
        <f t="shared" si="8"/>
        <v>·</v>
      </c>
      <c r="AG23" s="19"/>
      <c r="AH23" s="18" t="str">
        <f t="shared" si="9"/>
        <v>·</v>
      </c>
      <c r="AI23" s="20"/>
      <c r="AJ23" s="21"/>
      <c r="AK23" s="21"/>
      <c r="AL23" s="21"/>
      <c r="AM23" s="37"/>
      <c r="AN23" s="38"/>
      <c r="AO23" s="38"/>
      <c r="AP23" s="38"/>
      <c r="AQ23" s="38"/>
      <c r="AR23" s="38"/>
      <c r="AS23" s="39"/>
      <c r="AT23" s="49"/>
      <c r="AU23" s="49"/>
      <c r="AW23" s="53" t="e">
        <f t="shared" si="10"/>
        <v>#DIV/0!</v>
      </c>
      <c r="AX23" s="53" t="e">
        <f t="array" ref="AX23">AVERAGE(AK23:AK28/AJ23:AJ28)-AVERAGE(Q23:Q28/P23:P28)</f>
        <v>#DIV/0!</v>
      </c>
      <c r="AZ23" s="54" t="str">
        <f>IF(OR(ISBLANK(Q23:Q28),ISBLANK(AK23:AK28),ISBLANK(T23:T28),ISBLANK(AN23:AN28)),"·",bdRateExtend(Q23:Q28,T23:T28,AK23:AK28,AN23:AN28))</f>
        <v>·</v>
      </c>
      <c r="BA23" s="54" t="str">
        <f>IF(OR(ISBLANK(Q23:Q28),ISBLANK(AK23:AK28),ISBLANK(U23:U28),ISBLANK(AO23:AO28)),"·",bdRateExtend(Q23:Q28,U23:U28,AK23:AK28,AO23:AO28))</f>
        <v>·</v>
      </c>
      <c r="BB23" s="54" t="str">
        <f>IF(OR(ISBLANK(R23:R28),ISBLANK(AL23:AL28),ISBLANK(V23:V28),ISBLANK(AP23:AP28)),"·",bdRateExtend(R23:R28,V23:V28,AL23:AL28,AP23:AP28))</f>
        <v>·</v>
      </c>
      <c r="BC23" s="54" t="str">
        <f>IF(OR(ISBLANK(R23:R28),ISBLANK(AL23:AL28),ISBLANK(W23:W28),ISBLANK(AQ23:AQ28)),"·",bdRateExtend(R23:R28,W23:W28,AL23:AL28,AQ23:AQ28))</f>
        <v>·</v>
      </c>
      <c r="BD23" s="54" t="str">
        <f>IF(OR(ISBLANK(R23:R28),ISBLANK(AL23:AL28),ISBLANK(X23:X28),ISBLANK(AR23:AR28)),"·",bdRateExtend(R23:R28,X23:X28,AL23:AL28,AR23:AR28))</f>
        <v>·</v>
      </c>
      <c r="BE23" s="61"/>
      <c r="BG23" s="54" t="str">
        <f>IF(OR(ISBLANK(P23:P28),ISBLANK(AJ23:AJ28),ISBLANK(T23:T28),ISBLANK(AN23:AN28)),"·",bdRateExtend(P23:P28,T23:T28,AJ23:AJ28,AN23:AN28))</f>
        <v>·</v>
      </c>
      <c r="BH23" s="54" t="str">
        <f>IF(OR(ISBLANK(P23:P28),ISBLANK(AJ23:AJ28),ISBLANK(U23:U28),ISBLANK(AO23:AO28)),"·",bdRateExtend(P23:P28,U23:U28,AJ23:AJ28,AO23:AO28))</f>
        <v>·</v>
      </c>
      <c r="BI23" s="54" t="str">
        <f>IF(OR(ISBLANK(P23:P28),ISBLANK(AJ23:AJ28),ISBLANK(V23:V28),ISBLANK(AP23:AP28)),"·",bdRateExtend(P23:P28,V23:V28,AJ23:AJ28,AP23:AP28))</f>
        <v>·</v>
      </c>
      <c r="BJ23" s="54" t="str">
        <f>IF(OR(ISBLANK(P23:P28),ISBLANK(AJ23:AJ28),ISBLANK(W23:W28),ISBLANK(AQ23:AQ28)),"·",bdRateExtend(P23:P28,W23:W28,AJ23:AJ28,AQ23:AQ28))</f>
        <v>·</v>
      </c>
      <c r="BK23" s="54" t="str">
        <f>IF(OR(ISBLANK(P23:P28),ISBLANK(AJ23:AJ28),ISBLANK(X23:X28),ISBLANK(AR23:AR28)),"·",bdRateExtend(P23:P28,X23:X28,AJ23:AJ28,AR23:AR28))</f>
        <v>·</v>
      </c>
      <c r="BL23" s="61"/>
      <c r="BN23">
        <f t="shared" si="12"/>
        <v>0</v>
      </c>
      <c r="BO23">
        <f t="shared" si="13"/>
        <v>0</v>
      </c>
      <c r="BP23">
        <f t="shared" si="14"/>
        <v>0</v>
      </c>
      <c r="BQ23">
        <f t="shared" si="15"/>
        <v>0</v>
      </c>
      <c r="BR23">
        <f t="shared" si="16"/>
        <v>0</v>
      </c>
      <c r="BS23">
        <f t="shared" si="17"/>
        <v>0</v>
      </c>
      <c r="BT23">
        <f t="shared" si="18"/>
        <v>0</v>
      </c>
      <c r="BU23">
        <f t="shared" si="19"/>
        <v>0</v>
      </c>
      <c r="BV23">
        <f t="shared" si="20"/>
        <v>0</v>
      </c>
      <c r="BW23">
        <f t="shared" si="21"/>
        <v>0</v>
      </c>
      <c r="BX23">
        <f t="shared" si="22"/>
        <v>0</v>
      </c>
    </row>
    <row r="24" spans="1:76" outlineLevel="1" x14ac:dyDescent="0.15">
      <c r="A24" s="8"/>
      <c r="B24" s="8" t="s">
        <v>67</v>
      </c>
      <c r="C24" s="9" t="s">
        <v>255</v>
      </c>
      <c r="D24" s="8">
        <v>272684</v>
      </c>
      <c r="E24" s="10">
        <v>12</v>
      </c>
      <c r="F24" s="9">
        <v>1</v>
      </c>
      <c r="G24" s="9"/>
      <c r="I24" s="22" t="str">
        <f t="shared" si="0"/>
        <v>·</v>
      </c>
      <c r="J24" s="23" t="str">
        <f t="shared" si="1"/>
        <v>·</v>
      </c>
      <c r="K24" s="23" t="str">
        <f t="shared" si="2"/>
        <v>·</v>
      </c>
      <c r="L24" s="23" t="str">
        <f t="shared" si="3"/>
        <v>·</v>
      </c>
      <c r="M24" s="24"/>
      <c r="N24" s="23" t="str">
        <f t="shared" si="4"/>
        <v>·</v>
      </c>
      <c r="O24" s="25"/>
      <c r="P24" s="26"/>
      <c r="Q24" s="26"/>
      <c r="R24" s="26"/>
      <c r="S24" s="40"/>
      <c r="T24" s="41"/>
      <c r="U24" s="41"/>
      <c r="V24" s="41"/>
      <c r="W24" s="41"/>
      <c r="X24" s="41"/>
      <c r="Y24" s="42"/>
      <c r="Z24" s="50"/>
      <c r="AA24" s="50"/>
      <c r="AC24" s="22" t="str">
        <f t="shared" si="5"/>
        <v>·</v>
      </c>
      <c r="AD24" s="23" t="str">
        <f t="shared" si="6"/>
        <v>·</v>
      </c>
      <c r="AE24" s="23" t="str">
        <f t="shared" si="7"/>
        <v>·</v>
      </c>
      <c r="AF24" s="23" t="str">
        <f t="shared" si="8"/>
        <v>·</v>
      </c>
      <c r="AG24" s="24"/>
      <c r="AH24" s="23" t="str">
        <f t="shared" si="9"/>
        <v>·</v>
      </c>
      <c r="AI24" s="25"/>
      <c r="AJ24" s="26"/>
      <c r="AK24" s="26"/>
      <c r="AL24" s="26"/>
      <c r="AM24" s="40"/>
      <c r="AN24" s="41"/>
      <c r="AO24" s="41"/>
      <c r="AP24" s="41"/>
      <c r="AQ24" s="41"/>
      <c r="AR24" s="41"/>
      <c r="AS24" s="42"/>
      <c r="AT24" s="50"/>
      <c r="AU24" s="50"/>
      <c r="AW24" s="55" t="e">
        <f t="shared" si="10"/>
        <v>#DIV/0!</v>
      </c>
      <c r="AX24" s="55"/>
      <c r="AZ24" s="56"/>
      <c r="BA24" s="56"/>
      <c r="BB24" s="56"/>
      <c r="BC24" s="56"/>
      <c r="BD24" s="56"/>
      <c r="BE24" s="62"/>
      <c r="BG24" s="56"/>
      <c r="BH24" s="56"/>
      <c r="BI24" s="56"/>
      <c r="BJ24" s="56"/>
      <c r="BK24" s="56"/>
      <c r="BL24" s="62"/>
      <c r="BN24">
        <f t="shared" si="12"/>
        <v>0</v>
      </c>
      <c r="BO24">
        <f t="shared" si="13"/>
        <v>0</v>
      </c>
      <c r="BP24">
        <f t="shared" si="14"/>
        <v>0</v>
      </c>
      <c r="BQ24">
        <f t="shared" si="15"/>
        <v>0</v>
      </c>
      <c r="BR24">
        <f t="shared" si="16"/>
        <v>0</v>
      </c>
      <c r="BS24">
        <f t="shared" si="17"/>
        <v>0</v>
      </c>
      <c r="BT24">
        <f t="shared" si="18"/>
        <v>0</v>
      </c>
      <c r="BU24">
        <f t="shared" si="19"/>
        <v>0</v>
      </c>
      <c r="BV24">
        <f t="shared" si="20"/>
        <v>0</v>
      </c>
      <c r="BW24">
        <f t="shared" si="21"/>
        <v>0</v>
      </c>
      <c r="BX24">
        <f t="shared" si="22"/>
        <v>0</v>
      </c>
    </row>
    <row r="25" spans="1:76" outlineLevel="1" x14ac:dyDescent="0.15">
      <c r="A25" s="5"/>
      <c r="B25" s="5" t="s">
        <v>67</v>
      </c>
      <c r="C25" s="6" t="s">
        <v>256</v>
      </c>
      <c r="D25" s="5">
        <v>272684</v>
      </c>
      <c r="E25" s="7">
        <v>12</v>
      </c>
      <c r="F25" s="6">
        <v>1</v>
      </c>
      <c r="G25" s="6"/>
      <c r="I25" s="17" t="str">
        <f t="shared" si="0"/>
        <v>·</v>
      </c>
      <c r="J25" s="18" t="str">
        <f t="shared" si="1"/>
        <v>·</v>
      </c>
      <c r="K25" s="18" t="str">
        <f t="shared" si="2"/>
        <v>·</v>
      </c>
      <c r="L25" s="18" t="str">
        <f t="shared" si="3"/>
        <v>·</v>
      </c>
      <c r="M25" s="19"/>
      <c r="N25" s="18" t="str">
        <f t="shared" si="4"/>
        <v>·</v>
      </c>
      <c r="O25" s="20"/>
      <c r="P25" s="21"/>
      <c r="Q25" s="21"/>
      <c r="R25" s="21"/>
      <c r="S25" s="37"/>
      <c r="T25" s="38"/>
      <c r="U25" s="38"/>
      <c r="V25" s="38"/>
      <c r="W25" s="38"/>
      <c r="X25" s="38"/>
      <c r="Y25" s="39"/>
      <c r="Z25" s="49"/>
      <c r="AA25" s="49"/>
      <c r="AC25" s="17" t="str">
        <f t="shared" si="5"/>
        <v>·</v>
      </c>
      <c r="AD25" s="18" t="str">
        <f t="shared" si="6"/>
        <v>·</v>
      </c>
      <c r="AE25" s="18" t="str">
        <f t="shared" si="7"/>
        <v>·</v>
      </c>
      <c r="AF25" s="18" t="str">
        <f t="shared" si="8"/>
        <v>·</v>
      </c>
      <c r="AG25" s="19"/>
      <c r="AH25" s="18" t="str">
        <f t="shared" si="9"/>
        <v>·</v>
      </c>
      <c r="AI25" s="20"/>
      <c r="AJ25" s="21"/>
      <c r="AK25" s="21"/>
      <c r="AL25" s="21"/>
      <c r="AM25" s="37"/>
      <c r="AN25" s="38"/>
      <c r="AO25" s="38"/>
      <c r="AP25" s="38"/>
      <c r="AQ25" s="38"/>
      <c r="AR25" s="38"/>
      <c r="AS25" s="39"/>
      <c r="AT25" s="49"/>
      <c r="AU25" s="49"/>
      <c r="AW25" s="53" t="e">
        <f t="shared" si="10"/>
        <v>#DIV/0!</v>
      </c>
      <c r="AX25" s="53"/>
      <c r="AZ25" s="54"/>
      <c r="BA25" s="54"/>
      <c r="BB25" s="54"/>
      <c r="BC25" s="54"/>
      <c r="BD25" s="54"/>
      <c r="BE25" s="61"/>
      <c r="BG25" s="54"/>
      <c r="BH25" s="54"/>
      <c r="BI25" s="54"/>
      <c r="BJ25" s="54"/>
      <c r="BK25" s="54"/>
      <c r="BL25" s="61"/>
      <c r="BN25">
        <f t="shared" si="12"/>
        <v>0</v>
      </c>
      <c r="BO25">
        <f t="shared" si="13"/>
        <v>0</v>
      </c>
      <c r="BP25">
        <f t="shared" si="14"/>
        <v>0</v>
      </c>
      <c r="BQ25">
        <f t="shared" si="15"/>
        <v>0</v>
      </c>
      <c r="BR25">
        <f t="shared" si="16"/>
        <v>0</v>
      </c>
      <c r="BS25">
        <f t="shared" si="17"/>
        <v>0</v>
      </c>
      <c r="BT25">
        <f t="shared" si="18"/>
        <v>0</v>
      </c>
      <c r="BU25">
        <f t="shared" si="19"/>
        <v>0</v>
      </c>
      <c r="BV25">
        <f t="shared" si="20"/>
        <v>0</v>
      </c>
      <c r="BW25">
        <f t="shared" si="21"/>
        <v>0</v>
      </c>
      <c r="BX25">
        <f t="shared" si="22"/>
        <v>0</v>
      </c>
    </row>
    <row r="26" spans="1:76" outlineLevel="1" x14ac:dyDescent="0.15">
      <c r="A26" s="8"/>
      <c r="B26" s="8" t="s">
        <v>67</v>
      </c>
      <c r="C26" s="9" t="s">
        <v>257</v>
      </c>
      <c r="D26" s="8">
        <v>272684</v>
      </c>
      <c r="E26" s="10">
        <v>12</v>
      </c>
      <c r="F26" s="9">
        <v>1</v>
      </c>
      <c r="G26" s="9"/>
      <c r="I26" s="22" t="str">
        <f t="shared" si="0"/>
        <v>·</v>
      </c>
      <c r="J26" s="23" t="str">
        <f t="shared" si="1"/>
        <v>·</v>
      </c>
      <c r="K26" s="23" t="str">
        <f t="shared" si="2"/>
        <v>·</v>
      </c>
      <c r="L26" s="23" t="str">
        <f t="shared" si="3"/>
        <v>·</v>
      </c>
      <c r="M26" s="24"/>
      <c r="N26" s="23" t="str">
        <f t="shared" si="4"/>
        <v>·</v>
      </c>
      <c r="O26" s="25"/>
      <c r="P26" s="26"/>
      <c r="Q26" s="26"/>
      <c r="R26" s="26"/>
      <c r="S26" s="40"/>
      <c r="T26" s="41"/>
      <c r="U26" s="41"/>
      <c r="V26" s="41"/>
      <c r="W26" s="41"/>
      <c r="X26" s="41"/>
      <c r="Y26" s="42"/>
      <c r="Z26" s="50"/>
      <c r="AA26" s="50"/>
      <c r="AC26" s="22" t="str">
        <f t="shared" si="5"/>
        <v>·</v>
      </c>
      <c r="AD26" s="23" t="str">
        <f t="shared" si="6"/>
        <v>·</v>
      </c>
      <c r="AE26" s="23" t="str">
        <f t="shared" si="7"/>
        <v>·</v>
      </c>
      <c r="AF26" s="23" t="str">
        <f t="shared" si="8"/>
        <v>·</v>
      </c>
      <c r="AG26" s="24"/>
      <c r="AH26" s="23" t="str">
        <f t="shared" si="9"/>
        <v>·</v>
      </c>
      <c r="AI26" s="25"/>
      <c r="AJ26" s="26"/>
      <c r="AK26" s="26"/>
      <c r="AL26" s="26"/>
      <c r="AM26" s="40"/>
      <c r="AN26" s="41"/>
      <c r="AO26" s="41"/>
      <c r="AP26" s="41"/>
      <c r="AQ26" s="41"/>
      <c r="AR26" s="41"/>
      <c r="AS26" s="42"/>
      <c r="AT26" s="50"/>
      <c r="AU26" s="50"/>
      <c r="AW26" s="55" t="e">
        <f t="shared" si="10"/>
        <v>#DIV/0!</v>
      </c>
      <c r="AX26" s="55"/>
      <c r="AZ26" s="56"/>
      <c r="BA26" s="56"/>
      <c r="BB26" s="56"/>
      <c r="BC26" s="56"/>
      <c r="BD26" s="56"/>
      <c r="BE26" s="62"/>
      <c r="BG26" s="56"/>
      <c r="BH26" s="56"/>
      <c r="BI26" s="56"/>
      <c r="BJ26" s="56"/>
      <c r="BK26" s="56"/>
      <c r="BL26" s="62"/>
      <c r="BN26">
        <f t="shared" si="12"/>
        <v>0</v>
      </c>
      <c r="BO26">
        <f t="shared" si="13"/>
        <v>0</v>
      </c>
      <c r="BP26">
        <f t="shared" si="14"/>
        <v>0</v>
      </c>
      <c r="BQ26">
        <f t="shared" si="15"/>
        <v>0</v>
      </c>
      <c r="BR26">
        <f t="shared" si="16"/>
        <v>0</v>
      </c>
      <c r="BS26">
        <f t="shared" si="17"/>
        <v>0</v>
      </c>
      <c r="BT26">
        <f t="shared" si="18"/>
        <v>0</v>
      </c>
      <c r="BU26">
        <f t="shared" si="19"/>
        <v>0</v>
      </c>
      <c r="BV26">
        <f t="shared" si="20"/>
        <v>0</v>
      </c>
      <c r="BW26">
        <f t="shared" si="21"/>
        <v>0</v>
      </c>
      <c r="BX26">
        <f t="shared" si="22"/>
        <v>0</v>
      </c>
    </row>
    <row r="27" spans="1:76" outlineLevel="1" x14ac:dyDescent="0.15">
      <c r="A27" s="5"/>
      <c r="B27" s="5" t="s">
        <v>67</v>
      </c>
      <c r="C27" s="6" t="s">
        <v>258</v>
      </c>
      <c r="D27" s="5">
        <v>272684</v>
      </c>
      <c r="E27" s="7">
        <v>12</v>
      </c>
      <c r="F27" s="6">
        <v>1</v>
      </c>
      <c r="G27" s="6"/>
      <c r="I27" s="17" t="str">
        <f t="shared" si="0"/>
        <v>·</v>
      </c>
      <c r="J27" s="18" t="str">
        <f t="shared" si="1"/>
        <v>·</v>
      </c>
      <c r="K27" s="18" t="str">
        <f t="shared" si="2"/>
        <v>·</v>
      </c>
      <c r="L27" s="18" t="str">
        <f t="shared" si="3"/>
        <v>·</v>
      </c>
      <c r="M27" s="19"/>
      <c r="N27" s="18" t="str">
        <f t="shared" si="4"/>
        <v>·</v>
      </c>
      <c r="O27" s="20"/>
      <c r="P27" s="21"/>
      <c r="Q27" s="21"/>
      <c r="R27" s="21"/>
      <c r="S27" s="37"/>
      <c r="T27" s="38"/>
      <c r="U27" s="38"/>
      <c r="V27" s="38"/>
      <c r="W27" s="38"/>
      <c r="X27" s="38"/>
      <c r="Y27" s="39"/>
      <c r="Z27" s="49"/>
      <c r="AA27" s="49"/>
      <c r="AC27" s="17" t="str">
        <f t="shared" si="5"/>
        <v>·</v>
      </c>
      <c r="AD27" s="18" t="str">
        <f t="shared" si="6"/>
        <v>·</v>
      </c>
      <c r="AE27" s="18" t="str">
        <f t="shared" si="7"/>
        <v>·</v>
      </c>
      <c r="AF27" s="18" t="str">
        <f t="shared" si="8"/>
        <v>·</v>
      </c>
      <c r="AG27" s="19"/>
      <c r="AH27" s="18" t="str">
        <f t="shared" si="9"/>
        <v>·</v>
      </c>
      <c r="AI27" s="20"/>
      <c r="AJ27" s="21"/>
      <c r="AK27" s="21"/>
      <c r="AL27" s="21"/>
      <c r="AM27" s="37"/>
      <c r="AN27" s="38"/>
      <c r="AO27" s="38"/>
      <c r="AP27" s="38"/>
      <c r="AQ27" s="38"/>
      <c r="AR27" s="38"/>
      <c r="AS27" s="39"/>
      <c r="AT27" s="49"/>
      <c r="AU27" s="49"/>
      <c r="AW27" s="53" t="e">
        <f t="shared" si="10"/>
        <v>#DIV/0!</v>
      </c>
      <c r="AX27" s="53"/>
      <c r="AZ27" s="54"/>
      <c r="BA27" s="54"/>
      <c r="BB27" s="54"/>
      <c r="BC27" s="54"/>
      <c r="BD27" s="54"/>
      <c r="BE27" s="61"/>
      <c r="BG27" s="54"/>
      <c r="BH27" s="54"/>
      <c r="BI27" s="54"/>
      <c r="BJ27" s="54"/>
      <c r="BK27" s="54"/>
      <c r="BL27" s="61"/>
      <c r="BN27">
        <f t="shared" si="12"/>
        <v>0</v>
      </c>
      <c r="BO27">
        <f t="shared" si="13"/>
        <v>0</v>
      </c>
      <c r="BP27">
        <f t="shared" si="14"/>
        <v>0</v>
      </c>
      <c r="BQ27">
        <f t="shared" si="15"/>
        <v>0</v>
      </c>
      <c r="BR27">
        <f t="shared" si="16"/>
        <v>0</v>
      </c>
      <c r="BS27">
        <f t="shared" si="17"/>
        <v>0</v>
      </c>
      <c r="BT27">
        <f t="shared" si="18"/>
        <v>0</v>
      </c>
      <c r="BU27">
        <f t="shared" si="19"/>
        <v>0</v>
      </c>
      <c r="BV27">
        <f t="shared" si="20"/>
        <v>0</v>
      </c>
      <c r="BW27">
        <f t="shared" si="21"/>
        <v>0</v>
      </c>
      <c r="BX27">
        <f t="shared" si="22"/>
        <v>0</v>
      </c>
    </row>
    <row r="28" spans="1:76" outlineLevel="1" x14ac:dyDescent="0.15">
      <c r="A28" s="8"/>
      <c r="B28" s="14" t="s">
        <v>67</v>
      </c>
      <c r="C28" s="15" t="s">
        <v>259</v>
      </c>
      <c r="D28" s="14">
        <v>272684</v>
      </c>
      <c r="E28" s="16">
        <v>12</v>
      </c>
      <c r="F28" s="15">
        <v>1</v>
      </c>
      <c r="G28" s="15"/>
      <c r="I28" s="32" t="str">
        <f t="shared" si="0"/>
        <v>·</v>
      </c>
      <c r="J28" s="33" t="str">
        <f t="shared" si="1"/>
        <v>·</v>
      </c>
      <c r="K28" s="33" t="str">
        <f t="shared" si="2"/>
        <v>·</v>
      </c>
      <c r="L28" s="33" t="str">
        <f t="shared" si="3"/>
        <v>·</v>
      </c>
      <c r="M28" s="34"/>
      <c r="N28" s="33" t="str">
        <f t="shared" si="4"/>
        <v>·</v>
      </c>
      <c r="O28" s="35"/>
      <c r="P28" s="36"/>
      <c r="Q28" s="36"/>
      <c r="R28" s="36"/>
      <c r="S28" s="46"/>
      <c r="T28" s="47"/>
      <c r="U28" s="47"/>
      <c r="V28" s="47"/>
      <c r="W28" s="47"/>
      <c r="X28" s="47"/>
      <c r="Y28" s="48"/>
      <c r="Z28" s="52"/>
      <c r="AA28" s="52"/>
      <c r="AC28" s="32" t="str">
        <f t="shared" si="5"/>
        <v>·</v>
      </c>
      <c r="AD28" s="33" t="str">
        <f t="shared" si="6"/>
        <v>·</v>
      </c>
      <c r="AE28" s="33" t="str">
        <f t="shared" si="7"/>
        <v>·</v>
      </c>
      <c r="AF28" s="33" t="str">
        <f t="shared" si="8"/>
        <v>·</v>
      </c>
      <c r="AG28" s="34"/>
      <c r="AH28" s="33" t="str">
        <f t="shared" si="9"/>
        <v>·</v>
      </c>
      <c r="AI28" s="35"/>
      <c r="AJ28" s="36"/>
      <c r="AK28" s="36"/>
      <c r="AL28" s="36"/>
      <c r="AM28" s="46"/>
      <c r="AN28" s="47"/>
      <c r="AO28" s="47"/>
      <c r="AP28" s="47"/>
      <c r="AQ28" s="47"/>
      <c r="AR28" s="47"/>
      <c r="AS28" s="48"/>
      <c r="AT28" s="52"/>
      <c r="AU28" s="52"/>
      <c r="AW28" s="59" t="e">
        <f t="shared" si="10"/>
        <v>#DIV/0!</v>
      </c>
      <c r="AX28" s="59"/>
      <c r="AZ28" s="60"/>
      <c r="BA28" s="60"/>
      <c r="BB28" s="60"/>
      <c r="BC28" s="60"/>
      <c r="BD28" s="60"/>
      <c r="BE28" s="64"/>
      <c r="BG28" s="60"/>
      <c r="BH28" s="60"/>
      <c r="BI28" s="60"/>
      <c r="BJ28" s="60"/>
      <c r="BK28" s="60"/>
      <c r="BL28" s="64"/>
      <c r="BN28">
        <f t="shared" si="12"/>
        <v>0</v>
      </c>
      <c r="BO28">
        <f t="shared" si="13"/>
        <v>0</v>
      </c>
      <c r="BP28">
        <f t="shared" si="14"/>
        <v>0</v>
      </c>
      <c r="BQ28">
        <f t="shared" si="15"/>
        <v>0</v>
      </c>
      <c r="BR28">
        <f t="shared" si="16"/>
        <v>0</v>
      </c>
      <c r="BS28">
        <f t="shared" si="17"/>
        <v>0</v>
      </c>
      <c r="BT28">
        <f t="shared" si="18"/>
        <v>0</v>
      </c>
      <c r="BU28">
        <f t="shared" si="19"/>
        <v>0</v>
      </c>
      <c r="BV28">
        <f t="shared" si="20"/>
        <v>0</v>
      </c>
      <c r="BW28">
        <f t="shared" si="21"/>
        <v>0</v>
      </c>
      <c r="BX28">
        <f t="shared" si="22"/>
        <v>0</v>
      </c>
    </row>
    <row r="29" spans="1:76" x14ac:dyDescent="0.15">
      <c r="A29" s="5"/>
      <c r="B29" s="5" t="s">
        <v>70</v>
      </c>
      <c r="C29" s="6" t="s">
        <v>254</v>
      </c>
      <c r="D29" s="5">
        <v>1596085</v>
      </c>
      <c r="E29" s="7">
        <v>12</v>
      </c>
      <c r="F29" s="6">
        <v>1</v>
      </c>
      <c r="G29" s="6"/>
      <c r="I29" s="17" t="str">
        <f t="shared" si="0"/>
        <v>·</v>
      </c>
      <c r="J29" s="18" t="str">
        <f t="shared" si="1"/>
        <v>·</v>
      </c>
      <c r="K29" s="18" t="str">
        <f t="shared" si="2"/>
        <v>·</v>
      </c>
      <c r="L29" s="18" t="str">
        <f t="shared" si="3"/>
        <v>·</v>
      </c>
      <c r="M29" s="19"/>
      <c r="N29" s="18" t="str">
        <f t="shared" si="4"/>
        <v>·</v>
      </c>
      <c r="O29" s="20"/>
      <c r="P29" s="21"/>
      <c r="Q29" s="21"/>
      <c r="R29" s="21"/>
      <c r="S29" s="37"/>
      <c r="T29" s="38"/>
      <c r="U29" s="38"/>
      <c r="V29" s="38"/>
      <c r="W29" s="38"/>
      <c r="X29" s="38"/>
      <c r="Y29" s="39"/>
      <c r="Z29" s="49"/>
      <c r="AA29" s="49"/>
      <c r="AC29" s="17" t="str">
        <f t="shared" si="5"/>
        <v>·</v>
      </c>
      <c r="AD29" s="18" t="str">
        <f t="shared" si="6"/>
        <v>·</v>
      </c>
      <c r="AE29" s="18" t="str">
        <f t="shared" si="7"/>
        <v>·</v>
      </c>
      <c r="AF29" s="18" t="str">
        <f t="shared" si="8"/>
        <v>·</v>
      </c>
      <c r="AG29" s="19"/>
      <c r="AH29" s="18" t="str">
        <f t="shared" si="9"/>
        <v>·</v>
      </c>
      <c r="AI29" s="20"/>
      <c r="AJ29" s="21"/>
      <c r="AK29" s="21"/>
      <c r="AL29" s="21"/>
      <c r="AM29" s="37"/>
      <c r="AN29" s="38"/>
      <c r="AO29" s="38"/>
      <c r="AP29" s="38"/>
      <c r="AQ29" s="38"/>
      <c r="AR29" s="38"/>
      <c r="AS29" s="39"/>
      <c r="AT29" s="49"/>
      <c r="AU29" s="49"/>
      <c r="AW29" s="53" t="e">
        <f t="shared" si="10"/>
        <v>#DIV/0!</v>
      </c>
      <c r="AX29" s="53" t="e">
        <f t="array" ref="AX29">AVERAGE(AK29:AK34/AJ29:AJ34)-AVERAGE(Q29:Q34/P29:P34)</f>
        <v>#DIV/0!</v>
      </c>
      <c r="AZ29" s="54" t="str">
        <f>IF(OR(ISBLANK(Q29:Q34),ISBLANK(AK29:AK34),ISBLANK(T29:T34),ISBLANK(AN29:AN34)),"·",bdRateExtend(Q29:Q34,T29:T34,AK29:AK34,AN29:AN34))</f>
        <v>·</v>
      </c>
      <c r="BA29" s="54" t="str">
        <f>IF(OR(ISBLANK(Q29:Q34),ISBLANK(AK29:AK34),ISBLANK(U29:U34),ISBLANK(AO29:AO34)),"·",bdRateExtend(Q29:Q34,U29:U34,AK29:AK34,AO29:AO34))</f>
        <v>·</v>
      </c>
      <c r="BB29" s="54" t="str">
        <f>IF(OR(ISBLANK(R29:R34),ISBLANK(AL29:AL34),ISBLANK(V29:V34),ISBLANK(AP29:AP34)),"·",bdRateExtend(R29:R34,V29:V34,AL29:AL34,AP29:AP34))</f>
        <v>·</v>
      </c>
      <c r="BC29" s="54" t="str">
        <f>IF(OR(ISBLANK(R29:R34),ISBLANK(AL29:AL34),ISBLANK(W29:W34),ISBLANK(AQ29:AQ34)),"·",bdRateExtend(R29:R34,W29:W34,AL29:AL34,AQ29:AQ34))</f>
        <v>·</v>
      </c>
      <c r="BD29" s="54" t="str">
        <f>IF(OR(ISBLANK(R29:R34),ISBLANK(AL29:AL34),ISBLANK(X29:X34),ISBLANK(AR29:AR34)),"·",bdRateExtend(R29:R34,X29:X34,AL29:AL34,AR29:AR34))</f>
        <v>·</v>
      </c>
      <c r="BE29" s="61"/>
      <c r="BG29" s="54" t="str">
        <f>IF(OR(ISBLANK(P29:P34),ISBLANK(AJ29:AJ34),ISBLANK(T29:T34),ISBLANK(AN29:AN34)),"·",bdRateExtend(P29:P34,T29:T34,AJ29:AJ34,AN29:AN34))</f>
        <v>·</v>
      </c>
      <c r="BH29" s="54" t="str">
        <f>IF(OR(ISBLANK(P29:P34),ISBLANK(AJ29:AJ34),ISBLANK(U29:U34),ISBLANK(AO29:AO34)),"·",bdRateExtend(P29:P34,U29:U34,AJ29:AJ34,AO29:AO34))</f>
        <v>·</v>
      </c>
      <c r="BI29" s="54" t="str">
        <f>IF(OR(ISBLANK(P29:P34),ISBLANK(AJ29:AJ34),ISBLANK(V29:V34),ISBLANK(AP29:AP34)),"·",bdRateExtend(P29:P34,V29:V34,AJ29:AJ34,AP29:AP34))</f>
        <v>·</v>
      </c>
      <c r="BJ29" s="54" t="str">
        <f>IF(OR(ISBLANK(P29:P34),ISBLANK(AJ29:AJ34),ISBLANK(W29:W34),ISBLANK(AQ29:AQ34)),"·",bdRateExtend(P29:P34,W29:W34,AJ29:AJ34,AQ29:AQ34))</f>
        <v>·</v>
      </c>
      <c r="BK29" s="54" t="str">
        <f>IF(OR(ISBLANK(P29:P34),ISBLANK(AJ29:AJ34),ISBLANK(X29:X34),ISBLANK(AR29:AR34)),"·",bdRateExtend(P29:P34,X29:X34,AJ29:AJ34,AR29:AR34))</f>
        <v>·</v>
      </c>
      <c r="BL29" s="61"/>
      <c r="BN29">
        <f t="shared" si="12"/>
        <v>0</v>
      </c>
      <c r="BO29">
        <f t="shared" si="13"/>
        <v>0</v>
      </c>
      <c r="BP29">
        <f t="shared" si="14"/>
        <v>0</v>
      </c>
      <c r="BQ29">
        <f t="shared" si="15"/>
        <v>0</v>
      </c>
      <c r="BR29">
        <f t="shared" si="16"/>
        <v>0</v>
      </c>
      <c r="BS29">
        <f t="shared" si="17"/>
        <v>0</v>
      </c>
      <c r="BT29">
        <f t="shared" si="18"/>
        <v>0</v>
      </c>
      <c r="BU29">
        <f t="shared" si="19"/>
        <v>0</v>
      </c>
      <c r="BV29">
        <f t="shared" si="20"/>
        <v>0</v>
      </c>
      <c r="BW29">
        <f t="shared" si="21"/>
        <v>0</v>
      </c>
      <c r="BX29">
        <f t="shared" si="22"/>
        <v>0</v>
      </c>
    </row>
    <row r="30" spans="1:76" outlineLevel="1" x14ac:dyDescent="0.15">
      <c r="A30" s="8"/>
      <c r="B30" s="8" t="s">
        <v>70</v>
      </c>
      <c r="C30" s="9" t="s">
        <v>255</v>
      </c>
      <c r="D30" s="8">
        <v>1596085</v>
      </c>
      <c r="E30" s="10">
        <v>12</v>
      </c>
      <c r="F30" s="9">
        <v>1</v>
      </c>
      <c r="G30" s="9"/>
      <c r="I30" s="22" t="str">
        <f t="shared" si="0"/>
        <v>·</v>
      </c>
      <c r="J30" s="23" t="str">
        <f t="shared" si="1"/>
        <v>·</v>
      </c>
      <c r="K30" s="23" t="str">
        <f t="shared" si="2"/>
        <v>·</v>
      </c>
      <c r="L30" s="23" t="str">
        <f t="shared" si="3"/>
        <v>·</v>
      </c>
      <c r="M30" s="24"/>
      <c r="N30" s="23" t="str">
        <f t="shared" si="4"/>
        <v>·</v>
      </c>
      <c r="O30" s="25"/>
      <c r="P30" s="26"/>
      <c r="Q30" s="26"/>
      <c r="R30" s="26"/>
      <c r="S30" s="40"/>
      <c r="T30" s="41"/>
      <c r="U30" s="41"/>
      <c r="V30" s="41"/>
      <c r="W30" s="41"/>
      <c r="X30" s="41"/>
      <c r="Y30" s="42"/>
      <c r="Z30" s="50"/>
      <c r="AA30" s="50"/>
      <c r="AC30" s="22" t="str">
        <f t="shared" si="5"/>
        <v>·</v>
      </c>
      <c r="AD30" s="23" t="str">
        <f t="shared" si="6"/>
        <v>·</v>
      </c>
      <c r="AE30" s="23" t="str">
        <f t="shared" si="7"/>
        <v>·</v>
      </c>
      <c r="AF30" s="23" t="str">
        <f t="shared" si="8"/>
        <v>·</v>
      </c>
      <c r="AG30" s="24"/>
      <c r="AH30" s="23" t="str">
        <f t="shared" si="9"/>
        <v>·</v>
      </c>
      <c r="AI30" s="25"/>
      <c r="AJ30" s="26"/>
      <c r="AK30" s="26"/>
      <c r="AL30" s="26"/>
      <c r="AM30" s="40"/>
      <c r="AN30" s="41"/>
      <c r="AO30" s="41"/>
      <c r="AP30" s="41"/>
      <c r="AQ30" s="41"/>
      <c r="AR30" s="41"/>
      <c r="AS30" s="42"/>
      <c r="AT30" s="50"/>
      <c r="AU30" s="50"/>
      <c r="AW30" s="55" t="e">
        <f t="shared" si="10"/>
        <v>#DIV/0!</v>
      </c>
      <c r="AX30" s="55"/>
      <c r="AZ30" s="56"/>
      <c r="BA30" s="56"/>
      <c r="BB30" s="56"/>
      <c r="BC30" s="56"/>
      <c r="BD30" s="56"/>
      <c r="BE30" s="62"/>
      <c r="BG30" s="56"/>
      <c r="BH30" s="56"/>
      <c r="BI30" s="56"/>
      <c r="BJ30" s="56"/>
      <c r="BK30" s="56"/>
      <c r="BL30" s="62"/>
      <c r="BN30">
        <f t="shared" si="12"/>
        <v>0</v>
      </c>
      <c r="BO30">
        <f t="shared" si="13"/>
        <v>0</v>
      </c>
      <c r="BP30">
        <f t="shared" si="14"/>
        <v>0</v>
      </c>
      <c r="BQ30">
        <f t="shared" si="15"/>
        <v>0</v>
      </c>
      <c r="BR30">
        <f t="shared" si="16"/>
        <v>0</v>
      </c>
      <c r="BS30">
        <f t="shared" si="17"/>
        <v>0</v>
      </c>
      <c r="BT30">
        <f t="shared" si="18"/>
        <v>0</v>
      </c>
      <c r="BU30">
        <f t="shared" si="19"/>
        <v>0</v>
      </c>
      <c r="BV30">
        <f t="shared" si="20"/>
        <v>0</v>
      </c>
      <c r="BW30">
        <f t="shared" si="21"/>
        <v>0</v>
      </c>
      <c r="BX30">
        <f t="shared" si="22"/>
        <v>0</v>
      </c>
    </row>
    <row r="31" spans="1:76" outlineLevel="1" x14ac:dyDescent="0.15">
      <c r="A31" s="5"/>
      <c r="B31" s="5" t="s">
        <v>70</v>
      </c>
      <c r="C31" s="6" t="s">
        <v>256</v>
      </c>
      <c r="D31" s="5">
        <v>1596085</v>
      </c>
      <c r="E31" s="7">
        <v>12</v>
      </c>
      <c r="F31" s="6">
        <v>1</v>
      </c>
      <c r="G31" s="6"/>
      <c r="I31" s="17" t="str">
        <f t="shared" si="0"/>
        <v>·</v>
      </c>
      <c r="J31" s="18" t="str">
        <f t="shared" si="1"/>
        <v>·</v>
      </c>
      <c r="K31" s="18" t="str">
        <f t="shared" si="2"/>
        <v>·</v>
      </c>
      <c r="L31" s="18" t="str">
        <f t="shared" si="3"/>
        <v>·</v>
      </c>
      <c r="M31" s="19"/>
      <c r="N31" s="18" t="str">
        <f t="shared" si="4"/>
        <v>·</v>
      </c>
      <c r="O31" s="20"/>
      <c r="P31" s="21"/>
      <c r="Q31" s="21"/>
      <c r="R31" s="21"/>
      <c r="S31" s="37"/>
      <c r="T31" s="38"/>
      <c r="U31" s="38"/>
      <c r="V31" s="38"/>
      <c r="W31" s="38"/>
      <c r="X31" s="38"/>
      <c r="Y31" s="39"/>
      <c r="Z31" s="49"/>
      <c r="AA31" s="49"/>
      <c r="AC31" s="17" t="str">
        <f t="shared" si="5"/>
        <v>·</v>
      </c>
      <c r="AD31" s="18" t="str">
        <f t="shared" si="6"/>
        <v>·</v>
      </c>
      <c r="AE31" s="18" t="str">
        <f t="shared" si="7"/>
        <v>·</v>
      </c>
      <c r="AF31" s="18" t="str">
        <f t="shared" si="8"/>
        <v>·</v>
      </c>
      <c r="AG31" s="19"/>
      <c r="AH31" s="18" t="str">
        <f t="shared" si="9"/>
        <v>·</v>
      </c>
      <c r="AI31" s="20"/>
      <c r="AJ31" s="21"/>
      <c r="AK31" s="21"/>
      <c r="AL31" s="21"/>
      <c r="AM31" s="37"/>
      <c r="AN31" s="38"/>
      <c r="AO31" s="38"/>
      <c r="AP31" s="38"/>
      <c r="AQ31" s="38"/>
      <c r="AR31" s="38"/>
      <c r="AS31" s="39"/>
      <c r="AT31" s="49"/>
      <c r="AU31" s="49"/>
      <c r="AW31" s="53" t="e">
        <f t="shared" si="10"/>
        <v>#DIV/0!</v>
      </c>
      <c r="AX31" s="53"/>
      <c r="AZ31" s="54"/>
      <c r="BA31" s="54"/>
      <c r="BB31" s="54"/>
      <c r="BC31" s="54"/>
      <c r="BD31" s="54"/>
      <c r="BE31" s="61"/>
      <c r="BG31" s="54"/>
      <c r="BH31" s="54"/>
      <c r="BI31" s="54"/>
      <c r="BJ31" s="54"/>
      <c r="BK31" s="54"/>
      <c r="BL31" s="61"/>
      <c r="BN31">
        <f t="shared" si="12"/>
        <v>0</v>
      </c>
      <c r="BO31">
        <f t="shared" si="13"/>
        <v>0</v>
      </c>
      <c r="BP31">
        <f t="shared" si="14"/>
        <v>0</v>
      </c>
      <c r="BQ31">
        <f t="shared" si="15"/>
        <v>0</v>
      </c>
      <c r="BR31">
        <f t="shared" si="16"/>
        <v>0</v>
      </c>
      <c r="BS31">
        <f t="shared" si="17"/>
        <v>0</v>
      </c>
      <c r="BT31">
        <f t="shared" si="18"/>
        <v>0</v>
      </c>
      <c r="BU31">
        <f t="shared" si="19"/>
        <v>0</v>
      </c>
      <c r="BV31">
        <f t="shared" si="20"/>
        <v>0</v>
      </c>
      <c r="BW31">
        <f t="shared" si="21"/>
        <v>0</v>
      </c>
      <c r="BX31">
        <f t="shared" si="22"/>
        <v>0</v>
      </c>
    </row>
    <row r="32" spans="1:76" outlineLevel="1" x14ac:dyDescent="0.15">
      <c r="A32" s="8"/>
      <c r="B32" s="8" t="s">
        <v>70</v>
      </c>
      <c r="C32" s="9" t="s">
        <v>257</v>
      </c>
      <c r="D32" s="8">
        <v>1596085</v>
      </c>
      <c r="E32" s="10">
        <v>12</v>
      </c>
      <c r="F32" s="9">
        <v>1</v>
      </c>
      <c r="G32" s="9"/>
      <c r="I32" s="22" t="str">
        <f t="shared" si="0"/>
        <v>·</v>
      </c>
      <c r="J32" s="23" t="str">
        <f t="shared" si="1"/>
        <v>·</v>
      </c>
      <c r="K32" s="23" t="str">
        <f t="shared" si="2"/>
        <v>·</v>
      </c>
      <c r="L32" s="23" t="str">
        <f t="shared" si="3"/>
        <v>·</v>
      </c>
      <c r="M32" s="24"/>
      <c r="N32" s="23" t="str">
        <f t="shared" si="4"/>
        <v>·</v>
      </c>
      <c r="O32" s="25"/>
      <c r="P32" s="26"/>
      <c r="Q32" s="26"/>
      <c r="R32" s="26"/>
      <c r="S32" s="40"/>
      <c r="T32" s="41"/>
      <c r="U32" s="41"/>
      <c r="V32" s="41"/>
      <c r="W32" s="41"/>
      <c r="X32" s="41"/>
      <c r="Y32" s="42"/>
      <c r="Z32" s="50"/>
      <c r="AA32" s="50"/>
      <c r="AC32" s="22" t="str">
        <f t="shared" si="5"/>
        <v>·</v>
      </c>
      <c r="AD32" s="23" t="str">
        <f t="shared" si="6"/>
        <v>·</v>
      </c>
      <c r="AE32" s="23" t="str">
        <f t="shared" si="7"/>
        <v>·</v>
      </c>
      <c r="AF32" s="23" t="str">
        <f t="shared" si="8"/>
        <v>·</v>
      </c>
      <c r="AG32" s="24"/>
      <c r="AH32" s="23" t="str">
        <f t="shared" si="9"/>
        <v>·</v>
      </c>
      <c r="AI32" s="25"/>
      <c r="AJ32" s="26"/>
      <c r="AK32" s="26"/>
      <c r="AL32" s="26"/>
      <c r="AM32" s="40"/>
      <c r="AN32" s="41"/>
      <c r="AO32" s="41"/>
      <c r="AP32" s="41"/>
      <c r="AQ32" s="41"/>
      <c r="AR32" s="41"/>
      <c r="AS32" s="42"/>
      <c r="AT32" s="50"/>
      <c r="AU32" s="50"/>
      <c r="AW32" s="55" t="e">
        <f t="shared" si="10"/>
        <v>#DIV/0!</v>
      </c>
      <c r="AX32" s="55"/>
      <c r="AZ32" s="56"/>
      <c r="BA32" s="56"/>
      <c r="BB32" s="56"/>
      <c r="BC32" s="56"/>
      <c r="BD32" s="56"/>
      <c r="BE32" s="62"/>
      <c r="BG32" s="56"/>
      <c r="BH32" s="56"/>
      <c r="BI32" s="56"/>
      <c r="BJ32" s="56"/>
      <c r="BK32" s="56"/>
      <c r="BL32" s="62"/>
      <c r="BN32">
        <f t="shared" si="12"/>
        <v>0</v>
      </c>
      <c r="BO32">
        <f t="shared" si="13"/>
        <v>0</v>
      </c>
      <c r="BP32">
        <f t="shared" si="14"/>
        <v>0</v>
      </c>
      <c r="BQ32">
        <f t="shared" si="15"/>
        <v>0</v>
      </c>
      <c r="BR32">
        <f t="shared" si="16"/>
        <v>0</v>
      </c>
      <c r="BS32">
        <f t="shared" si="17"/>
        <v>0</v>
      </c>
      <c r="BT32">
        <f t="shared" si="18"/>
        <v>0</v>
      </c>
      <c r="BU32">
        <f t="shared" si="19"/>
        <v>0</v>
      </c>
      <c r="BV32">
        <f t="shared" si="20"/>
        <v>0</v>
      </c>
      <c r="BW32">
        <f t="shared" si="21"/>
        <v>0</v>
      </c>
      <c r="BX32">
        <f t="shared" si="22"/>
        <v>0</v>
      </c>
    </row>
    <row r="33" spans="1:76" outlineLevel="1" x14ac:dyDescent="0.15">
      <c r="A33" s="5"/>
      <c r="B33" s="5" t="s">
        <v>70</v>
      </c>
      <c r="C33" s="6" t="s">
        <v>258</v>
      </c>
      <c r="D33" s="5">
        <v>1596085</v>
      </c>
      <c r="E33" s="7">
        <v>12</v>
      </c>
      <c r="F33" s="6">
        <v>1</v>
      </c>
      <c r="G33" s="6"/>
      <c r="I33" s="17" t="str">
        <f t="shared" si="0"/>
        <v>·</v>
      </c>
      <c r="J33" s="18" t="str">
        <f t="shared" si="1"/>
        <v>·</v>
      </c>
      <c r="K33" s="18" t="str">
        <f t="shared" si="2"/>
        <v>·</v>
      </c>
      <c r="L33" s="18" t="str">
        <f t="shared" si="3"/>
        <v>·</v>
      </c>
      <c r="M33" s="19"/>
      <c r="N33" s="18" t="str">
        <f t="shared" si="4"/>
        <v>·</v>
      </c>
      <c r="O33" s="20"/>
      <c r="P33" s="21"/>
      <c r="Q33" s="21"/>
      <c r="R33" s="21"/>
      <c r="S33" s="37"/>
      <c r="T33" s="38"/>
      <c r="U33" s="38"/>
      <c r="V33" s="38"/>
      <c r="W33" s="38"/>
      <c r="X33" s="38"/>
      <c r="Y33" s="39"/>
      <c r="Z33" s="49"/>
      <c r="AA33" s="49"/>
      <c r="AC33" s="17" t="str">
        <f t="shared" si="5"/>
        <v>·</v>
      </c>
      <c r="AD33" s="18" t="str">
        <f t="shared" si="6"/>
        <v>·</v>
      </c>
      <c r="AE33" s="18" t="str">
        <f t="shared" si="7"/>
        <v>·</v>
      </c>
      <c r="AF33" s="18" t="str">
        <f t="shared" si="8"/>
        <v>·</v>
      </c>
      <c r="AG33" s="19"/>
      <c r="AH33" s="18" t="str">
        <f t="shared" si="9"/>
        <v>·</v>
      </c>
      <c r="AI33" s="20"/>
      <c r="AJ33" s="21"/>
      <c r="AK33" s="21"/>
      <c r="AL33" s="21"/>
      <c r="AM33" s="37"/>
      <c r="AN33" s="38"/>
      <c r="AO33" s="38"/>
      <c r="AP33" s="38"/>
      <c r="AQ33" s="38"/>
      <c r="AR33" s="38"/>
      <c r="AS33" s="39"/>
      <c r="AT33" s="49"/>
      <c r="AU33" s="49"/>
      <c r="AW33" s="53" t="e">
        <f t="shared" si="10"/>
        <v>#DIV/0!</v>
      </c>
      <c r="AX33" s="53"/>
      <c r="AZ33" s="54"/>
      <c r="BA33" s="54"/>
      <c r="BB33" s="54"/>
      <c r="BC33" s="54"/>
      <c r="BD33" s="54"/>
      <c r="BE33" s="61"/>
      <c r="BG33" s="54"/>
      <c r="BH33" s="54"/>
      <c r="BI33" s="54"/>
      <c r="BJ33" s="54"/>
      <c r="BK33" s="54"/>
      <c r="BL33" s="61"/>
      <c r="BN33">
        <f t="shared" si="12"/>
        <v>0</v>
      </c>
      <c r="BO33">
        <f t="shared" si="13"/>
        <v>0</v>
      </c>
      <c r="BP33">
        <f t="shared" si="14"/>
        <v>0</v>
      </c>
      <c r="BQ33">
        <f t="shared" si="15"/>
        <v>0</v>
      </c>
      <c r="BR33">
        <f t="shared" si="16"/>
        <v>0</v>
      </c>
      <c r="BS33">
        <f t="shared" si="17"/>
        <v>0</v>
      </c>
      <c r="BT33">
        <f t="shared" si="18"/>
        <v>0</v>
      </c>
      <c r="BU33">
        <f t="shared" si="19"/>
        <v>0</v>
      </c>
      <c r="BV33">
        <f t="shared" si="20"/>
        <v>0</v>
      </c>
      <c r="BW33">
        <f t="shared" si="21"/>
        <v>0</v>
      </c>
      <c r="BX33">
        <f t="shared" si="22"/>
        <v>0</v>
      </c>
    </row>
    <row r="34" spans="1:76" outlineLevel="1" x14ac:dyDescent="0.15">
      <c r="A34" s="8"/>
      <c r="B34" s="14" t="s">
        <v>70</v>
      </c>
      <c r="C34" s="15" t="s">
        <v>259</v>
      </c>
      <c r="D34" s="14">
        <v>1596085</v>
      </c>
      <c r="E34" s="16">
        <v>12</v>
      </c>
      <c r="F34" s="15">
        <v>1</v>
      </c>
      <c r="G34" s="15"/>
      <c r="I34" s="32" t="str">
        <f t="shared" si="0"/>
        <v>·</v>
      </c>
      <c r="J34" s="33" t="str">
        <f t="shared" si="1"/>
        <v>·</v>
      </c>
      <c r="K34" s="33" t="str">
        <f t="shared" si="2"/>
        <v>·</v>
      </c>
      <c r="L34" s="33" t="str">
        <f t="shared" si="3"/>
        <v>·</v>
      </c>
      <c r="M34" s="34"/>
      <c r="N34" s="33" t="str">
        <f t="shared" si="4"/>
        <v>·</v>
      </c>
      <c r="O34" s="35"/>
      <c r="P34" s="36"/>
      <c r="Q34" s="36"/>
      <c r="R34" s="36"/>
      <c r="S34" s="46"/>
      <c r="T34" s="47"/>
      <c r="U34" s="47"/>
      <c r="V34" s="47"/>
      <c r="W34" s="47"/>
      <c r="X34" s="47"/>
      <c r="Y34" s="48"/>
      <c r="Z34" s="52"/>
      <c r="AA34" s="52"/>
      <c r="AC34" s="32" t="str">
        <f t="shared" si="5"/>
        <v>·</v>
      </c>
      <c r="AD34" s="33" t="str">
        <f t="shared" si="6"/>
        <v>·</v>
      </c>
      <c r="AE34" s="33" t="str">
        <f t="shared" si="7"/>
        <v>·</v>
      </c>
      <c r="AF34" s="33" t="str">
        <f t="shared" si="8"/>
        <v>·</v>
      </c>
      <c r="AG34" s="34"/>
      <c r="AH34" s="33" t="str">
        <f t="shared" si="9"/>
        <v>·</v>
      </c>
      <c r="AI34" s="35"/>
      <c r="AJ34" s="36"/>
      <c r="AK34" s="36"/>
      <c r="AL34" s="36"/>
      <c r="AM34" s="46"/>
      <c r="AN34" s="47"/>
      <c r="AO34" s="47"/>
      <c r="AP34" s="47"/>
      <c r="AQ34" s="47"/>
      <c r="AR34" s="47"/>
      <c r="AS34" s="48"/>
      <c r="AT34" s="52"/>
      <c r="AU34" s="52"/>
      <c r="AW34" s="59" t="e">
        <f t="shared" si="10"/>
        <v>#DIV/0!</v>
      </c>
      <c r="AX34" s="59"/>
      <c r="AZ34" s="60"/>
      <c r="BA34" s="60"/>
      <c r="BB34" s="60"/>
      <c r="BC34" s="60"/>
      <c r="BD34" s="60"/>
      <c r="BE34" s="64"/>
      <c r="BG34" s="60"/>
      <c r="BH34" s="60"/>
      <c r="BI34" s="60"/>
      <c r="BJ34" s="60"/>
      <c r="BK34" s="60"/>
      <c r="BL34" s="64"/>
      <c r="BN34">
        <f t="shared" si="12"/>
        <v>0</v>
      </c>
      <c r="BO34">
        <f t="shared" si="13"/>
        <v>0</v>
      </c>
      <c r="BP34">
        <f t="shared" si="14"/>
        <v>0</v>
      </c>
      <c r="BQ34">
        <f t="shared" si="15"/>
        <v>0</v>
      </c>
      <c r="BR34">
        <f t="shared" si="16"/>
        <v>0</v>
      </c>
      <c r="BS34">
        <f t="shared" si="17"/>
        <v>0</v>
      </c>
      <c r="BT34">
        <f t="shared" si="18"/>
        <v>0</v>
      </c>
      <c r="BU34">
        <f t="shared" si="19"/>
        <v>0</v>
      </c>
      <c r="BV34">
        <f t="shared" si="20"/>
        <v>0</v>
      </c>
      <c r="BW34">
        <f t="shared" si="21"/>
        <v>0</v>
      </c>
      <c r="BX34">
        <f t="shared" si="22"/>
        <v>0</v>
      </c>
    </row>
    <row r="35" spans="1:76" x14ac:dyDescent="0.15">
      <c r="A35" s="5"/>
      <c r="B35" s="5" t="s">
        <v>74</v>
      </c>
      <c r="C35" s="6" t="s">
        <v>254</v>
      </c>
      <c r="D35" s="5">
        <v>8907880</v>
      </c>
      <c r="E35" s="7">
        <v>14</v>
      </c>
      <c r="F35" s="6">
        <v>1</v>
      </c>
      <c r="G35" s="6"/>
      <c r="I35" s="17" t="str">
        <f t="shared" si="0"/>
        <v>·</v>
      </c>
      <c r="J35" s="18" t="str">
        <f t="shared" si="1"/>
        <v>·</v>
      </c>
      <c r="K35" s="18" t="str">
        <f t="shared" si="2"/>
        <v>·</v>
      </c>
      <c r="L35" s="18" t="str">
        <f t="shared" si="3"/>
        <v>·</v>
      </c>
      <c r="M35" s="19"/>
      <c r="N35" s="18" t="str">
        <f t="shared" si="4"/>
        <v>·</v>
      </c>
      <c r="O35" s="20"/>
      <c r="P35" s="21"/>
      <c r="Q35" s="21"/>
      <c r="R35" s="21"/>
      <c r="S35" s="37"/>
      <c r="T35" s="38"/>
      <c r="U35" s="38"/>
      <c r="V35" s="38"/>
      <c r="W35" s="38"/>
      <c r="X35" s="38"/>
      <c r="Y35" s="39"/>
      <c r="Z35" s="49"/>
      <c r="AA35" s="49"/>
      <c r="AC35" s="17" t="str">
        <f t="shared" si="5"/>
        <v>·</v>
      </c>
      <c r="AD35" s="18" t="str">
        <f t="shared" si="6"/>
        <v>·</v>
      </c>
      <c r="AE35" s="18" t="str">
        <f t="shared" si="7"/>
        <v>·</v>
      </c>
      <c r="AF35" s="18" t="str">
        <f t="shared" si="8"/>
        <v>·</v>
      </c>
      <c r="AG35" s="19"/>
      <c r="AH35" s="18" t="str">
        <f t="shared" si="9"/>
        <v>·</v>
      </c>
      <c r="AI35" s="20"/>
      <c r="AJ35" s="21"/>
      <c r="AK35" s="21"/>
      <c r="AL35" s="21"/>
      <c r="AM35" s="37"/>
      <c r="AN35" s="38"/>
      <c r="AO35" s="38"/>
      <c r="AP35" s="38"/>
      <c r="AQ35" s="38"/>
      <c r="AR35" s="38"/>
      <c r="AS35" s="39"/>
      <c r="AT35" s="49"/>
      <c r="AU35" s="49"/>
      <c r="AW35" s="53" t="e">
        <f t="shared" si="10"/>
        <v>#DIV/0!</v>
      </c>
      <c r="AX35" s="53" t="e">
        <f t="array" ref="AX35">AVERAGE(AK35:AK40/AJ35:AJ40)-AVERAGE(Q35:Q40/P35:P40)</f>
        <v>#DIV/0!</v>
      </c>
      <c r="AZ35" s="54" t="str">
        <f>IF(OR(ISBLANK(Q35:Q40),ISBLANK(AK35:AK40),ISBLANK(T35:T40),ISBLANK(AN35:AN40)),"·",bdRateExtend(Q35:Q40,T35:T40,AK35:AK40,AN35:AN40))</f>
        <v>·</v>
      </c>
      <c r="BA35" s="54" t="str">
        <f>IF(OR(ISBLANK(Q35:Q40),ISBLANK(AK35:AK40),ISBLANK(U35:U40),ISBLANK(AO35:AO40)),"·",bdRateExtend(Q35:Q40,U35:U40,AK35:AK40,AO35:AO40))</f>
        <v>·</v>
      </c>
      <c r="BB35" s="54" t="str">
        <f>IF(OR(ISBLANK(R35:R40),ISBLANK(AL35:AL40),ISBLANK(V35:V40),ISBLANK(AP35:AP40)),"·",bdRateExtend(R35:R40,V35:V40,AL35:AL40,AP35:AP40))</f>
        <v>·</v>
      </c>
      <c r="BC35" s="54" t="str">
        <f>IF(OR(ISBLANK(R35:R40),ISBLANK(AL35:AL40),ISBLANK(W35:W40),ISBLANK(AQ35:AQ40)),"·",bdRateExtend(R35:R40,W35:W40,AL35:AL40,AQ35:AQ40))</f>
        <v>·</v>
      </c>
      <c r="BD35" s="54" t="str">
        <f>IF(OR(ISBLANK(R35:R40),ISBLANK(AL35:AL40),ISBLANK(X35:X40),ISBLANK(AR35:AR40)),"·",bdRateExtend(R35:R40,X35:X40,AL35:AL40,AR35:AR40))</f>
        <v>·</v>
      </c>
      <c r="BE35" s="61"/>
      <c r="BG35" s="54" t="str">
        <f>IF(OR(ISBLANK(P35:P40),ISBLANK(AJ35:AJ40),ISBLANK(T35:T40),ISBLANK(AN35:AN40)),"·",bdRateExtend(P35:P40,T35:T40,AJ35:AJ40,AN35:AN40))</f>
        <v>·</v>
      </c>
      <c r="BH35" s="54" t="str">
        <f>IF(OR(ISBLANK(P35:P40),ISBLANK(AJ35:AJ40),ISBLANK(U35:U40),ISBLANK(AO35:AO40)),"·",bdRateExtend(P35:P40,U35:U40,AJ35:AJ40,AO35:AO40))</f>
        <v>·</v>
      </c>
      <c r="BI35" s="54" t="str">
        <f>IF(OR(ISBLANK(P35:P40),ISBLANK(AJ35:AJ40),ISBLANK(V35:V40),ISBLANK(AP35:AP40)),"·",bdRateExtend(P35:P40,V35:V40,AJ35:AJ40,AP35:AP40))</f>
        <v>·</v>
      </c>
      <c r="BJ35" s="54" t="str">
        <f>IF(OR(ISBLANK(P35:P40),ISBLANK(AJ35:AJ40),ISBLANK(W35:W40),ISBLANK(AQ35:AQ40)),"·",bdRateExtend(P35:P40,W35:W40,AJ35:AJ40,AQ35:AQ40))</f>
        <v>·</v>
      </c>
      <c r="BK35" s="54" t="str">
        <f>IF(OR(ISBLANK(P35:P40),ISBLANK(AJ35:AJ40),ISBLANK(X35:X40),ISBLANK(AR35:AR40)),"·",bdRateExtend(P35:P40,X35:X40,AJ35:AJ40,AR35:AR40))</f>
        <v>·</v>
      </c>
      <c r="BL35" s="61"/>
      <c r="BN35">
        <f t="shared" si="12"/>
        <v>0</v>
      </c>
      <c r="BO35">
        <f t="shared" si="13"/>
        <v>0</v>
      </c>
      <c r="BP35">
        <f t="shared" si="14"/>
        <v>0</v>
      </c>
      <c r="BQ35">
        <f t="shared" si="15"/>
        <v>0</v>
      </c>
      <c r="BR35">
        <f t="shared" si="16"/>
        <v>0</v>
      </c>
      <c r="BS35">
        <f t="shared" si="17"/>
        <v>0</v>
      </c>
      <c r="BT35">
        <f t="shared" si="18"/>
        <v>0</v>
      </c>
      <c r="BU35">
        <f t="shared" si="19"/>
        <v>0</v>
      </c>
      <c r="BV35">
        <f t="shared" si="20"/>
        <v>0</v>
      </c>
      <c r="BW35">
        <f t="shared" si="21"/>
        <v>0</v>
      </c>
      <c r="BX35">
        <f t="shared" si="22"/>
        <v>0</v>
      </c>
    </row>
    <row r="36" spans="1:76" outlineLevel="1" x14ac:dyDescent="0.15">
      <c r="A36" s="8"/>
      <c r="B36" s="8" t="s">
        <v>74</v>
      </c>
      <c r="C36" s="9" t="s">
        <v>255</v>
      </c>
      <c r="D36" s="8">
        <v>8907880</v>
      </c>
      <c r="E36" s="10">
        <v>14</v>
      </c>
      <c r="F36" s="9">
        <v>1</v>
      </c>
      <c r="G36" s="9"/>
      <c r="I36" s="22" t="str">
        <f t="shared" si="0"/>
        <v>·</v>
      </c>
      <c r="J36" s="23" t="str">
        <f t="shared" si="1"/>
        <v>·</v>
      </c>
      <c r="K36" s="23" t="str">
        <f t="shared" si="2"/>
        <v>·</v>
      </c>
      <c r="L36" s="23" t="str">
        <f t="shared" si="3"/>
        <v>·</v>
      </c>
      <c r="M36" s="24"/>
      <c r="N36" s="23" t="str">
        <f t="shared" si="4"/>
        <v>·</v>
      </c>
      <c r="O36" s="25"/>
      <c r="P36" s="26"/>
      <c r="Q36" s="26"/>
      <c r="R36" s="26"/>
      <c r="S36" s="40"/>
      <c r="T36" s="41"/>
      <c r="U36" s="41"/>
      <c r="V36" s="41"/>
      <c r="W36" s="41"/>
      <c r="X36" s="41"/>
      <c r="Y36" s="42"/>
      <c r="Z36" s="50"/>
      <c r="AA36" s="50"/>
      <c r="AC36" s="22" t="str">
        <f t="shared" si="5"/>
        <v>·</v>
      </c>
      <c r="AD36" s="23" t="str">
        <f t="shared" si="6"/>
        <v>·</v>
      </c>
      <c r="AE36" s="23" t="str">
        <f t="shared" si="7"/>
        <v>·</v>
      </c>
      <c r="AF36" s="23" t="str">
        <f t="shared" si="8"/>
        <v>·</v>
      </c>
      <c r="AG36" s="24"/>
      <c r="AH36" s="23" t="str">
        <f t="shared" si="9"/>
        <v>·</v>
      </c>
      <c r="AI36" s="25"/>
      <c r="AJ36" s="26"/>
      <c r="AK36" s="26"/>
      <c r="AL36" s="26"/>
      <c r="AM36" s="40"/>
      <c r="AN36" s="41"/>
      <c r="AO36" s="41"/>
      <c r="AP36" s="41"/>
      <c r="AQ36" s="41"/>
      <c r="AR36" s="41"/>
      <c r="AS36" s="42"/>
      <c r="AT36" s="50"/>
      <c r="AU36" s="50"/>
      <c r="AW36" s="55" t="e">
        <f t="shared" si="10"/>
        <v>#DIV/0!</v>
      </c>
      <c r="AX36" s="55"/>
      <c r="AZ36" s="56"/>
      <c r="BA36" s="56"/>
      <c r="BB36" s="56"/>
      <c r="BC36" s="56"/>
      <c r="BD36" s="56"/>
      <c r="BE36" s="62"/>
      <c r="BG36" s="56"/>
      <c r="BH36" s="56"/>
      <c r="BI36" s="56"/>
      <c r="BJ36" s="56"/>
      <c r="BK36" s="56"/>
      <c r="BL36" s="62"/>
      <c r="BN36">
        <f t="shared" si="12"/>
        <v>0</v>
      </c>
      <c r="BO36">
        <f t="shared" si="13"/>
        <v>0</v>
      </c>
      <c r="BP36">
        <f t="shared" si="14"/>
        <v>0</v>
      </c>
      <c r="BQ36">
        <f t="shared" si="15"/>
        <v>0</v>
      </c>
      <c r="BR36">
        <f t="shared" si="16"/>
        <v>0</v>
      </c>
      <c r="BS36">
        <f t="shared" si="17"/>
        <v>0</v>
      </c>
      <c r="BT36">
        <f t="shared" si="18"/>
        <v>0</v>
      </c>
      <c r="BU36">
        <f t="shared" si="19"/>
        <v>0</v>
      </c>
      <c r="BV36">
        <f t="shared" si="20"/>
        <v>0</v>
      </c>
      <c r="BW36">
        <f t="shared" si="21"/>
        <v>0</v>
      </c>
      <c r="BX36">
        <f t="shared" si="22"/>
        <v>0</v>
      </c>
    </row>
    <row r="37" spans="1:76" outlineLevel="1" x14ac:dyDescent="0.15">
      <c r="A37" s="5"/>
      <c r="B37" s="5" t="s">
        <v>74</v>
      </c>
      <c r="C37" s="6" t="s">
        <v>256</v>
      </c>
      <c r="D37" s="5">
        <v>8907880</v>
      </c>
      <c r="E37" s="7">
        <v>14</v>
      </c>
      <c r="F37" s="6">
        <v>1</v>
      </c>
      <c r="G37" s="6"/>
      <c r="I37" s="17" t="str">
        <f t="shared" si="0"/>
        <v>·</v>
      </c>
      <c r="J37" s="18" t="str">
        <f t="shared" si="1"/>
        <v>·</v>
      </c>
      <c r="K37" s="18" t="str">
        <f t="shared" si="2"/>
        <v>·</v>
      </c>
      <c r="L37" s="18" t="str">
        <f t="shared" si="3"/>
        <v>·</v>
      </c>
      <c r="M37" s="19"/>
      <c r="N37" s="18" t="str">
        <f t="shared" si="4"/>
        <v>·</v>
      </c>
      <c r="O37" s="20"/>
      <c r="P37" s="21"/>
      <c r="Q37" s="21"/>
      <c r="R37" s="21"/>
      <c r="S37" s="37"/>
      <c r="T37" s="38"/>
      <c r="U37" s="38"/>
      <c r="V37" s="38"/>
      <c r="W37" s="38"/>
      <c r="X37" s="38"/>
      <c r="Y37" s="39"/>
      <c r="Z37" s="49"/>
      <c r="AA37" s="49"/>
      <c r="AC37" s="17" t="str">
        <f t="shared" si="5"/>
        <v>·</v>
      </c>
      <c r="AD37" s="18" t="str">
        <f t="shared" si="6"/>
        <v>·</v>
      </c>
      <c r="AE37" s="18" t="str">
        <f t="shared" si="7"/>
        <v>·</v>
      </c>
      <c r="AF37" s="18" t="str">
        <f t="shared" si="8"/>
        <v>·</v>
      </c>
      <c r="AG37" s="19"/>
      <c r="AH37" s="18" t="str">
        <f t="shared" si="9"/>
        <v>·</v>
      </c>
      <c r="AI37" s="20"/>
      <c r="AJ37" s="21"/>
      <c r="AK37" s="21"/>
      <c r="AL37" s="21"/>
      <c r="AM37" s="37"/>
      <c r="AN37" s="38"/>
      <c r="AO37" s="38"/>
      <c r="AP37" s="38"/>
      <c r="AQ37" s="38"/>
      <c r="AR37" s="38"/>
      <c r="AS37" s="39"/>
      <c r="AT37" s="49"/>
      <c r="AU37" s="49"/>
      <c r="AW37" s="53" t="e">
        <f t="shared" si="10"/>
        <v>#DIV/0!</v>
      </c>
      <c r="AX37" s="53"/>
      <c r="AZ37" s="54"/>
      <c r="BA37" s="54"/>
      <c r="BB37" s="54"/>
      <c r="BC37" s="54"/>
      <c r="BD37" s="54"/>
      <c r="BE37" s="61"/>
      <c r="BG37" s="54"/>
      <c r="BH37" s="54"/>
      <c r="BI37" s="54"/>
      <c r="BJ37" s="54"/>
      <c r="BK37" s="54"/>
      <c r="BL37" s="61"/>
      <c r="BN37">
        <f t="shared" si="12"/>
        <v>0</v>
      </c>
      <c r="BO37">
        <f t="shared" si="13"/>
        <v>0</v>
      </c>
      <c r="BP37">
        <f t="shared" si="14"/>
        <v>0</v>
      </c>
      <c r="BQ37">
        <f t="shared" si="15"/>
        <v>0</v>
      </c>
      <c r="BR37">
        <f t="shared" si="16"/>
        <v>0</v>
      </c>
      <c r="BS37">
        <f t="shared" si="17"/>
        <v>0</v>
      </c>
      <c r="BT37">
        <f t="shared" si="18"/>
        <v>0</v>
      </c>
      <c r="BU37">
        <f t="shared" si="19"/>
        <v>0</v>
      </c>
      <c r="BV37">
        <f t="shared" si="20"/>
        <v>0</v>
      </c>
      <c r="BW37">
        <f t="shared" si="21"/>
        <v>0</v>
      </c>
      <c r="BX37">
        <f t="shared" si="22"/>
        <v>0</v>
      </c>
    </row>
    <row r="38" spans="1:76" outlineLevel="1" x14ac:dyDescent="0.15">
      <c r="A38" s="8"/>
      <c r="B38" s="8" t="s">
        <v>74</v>
      </c>
      <c r="C38" s="9" t="s">
        <v>257</v>
      </c>
      <c r="D38" s="8">
        <v>8907880</v>
      </c>
      <c r="E38" s="10">
        <v>14</v>
      </c>
      <c r="F38" s="9">
        <v>1</v>
      </c>
      <c r="G38" s="9"/>
      <c r="I38" s="22" t="str">
        <f t="shared" si="0"/>
        <v>·</v>
      </c>
      <c r="J38" s="23" t="str">
        <f t="shared" si="1"/>
        <v>·</v>
      </c>
      <c r="K38" s="23" t="str">
        <f t="shared" si="2"/>
        <v>·</v>
      </c>
      <c r="L38" s="23" t="str">
        <f t="shared" si="3"/>
        <v>·</v>
      </c>
      <c r="M38" s="24"/>
      <c r="N38" s="23" t="str">
        <f t="shared" si="4"/>
        <v>·</v>
      </c>
      <c r="O38" s="25"/>
      <c r="P38" s="26"/>
      <c r="Q38" s="26"/>
      <c r="R38" s="26"/>
      <c r="S38" s="40"/>
      <c r="T38" s="41"/>
      <c r="U38" s="41"/>
      <c r="V38" s="41"/>
      <c r="W38" s="41"/>
      <c r="X38" s="41"/>
      <c r="Y38" s="42"/>
      <c r="Z38" s="50"/>
      <c r="AA38" s="50"/>
      <c r="AC38" s="22" t="str">
        <f t="shared" si="5"/>
        <v>·</v>
      </c>
      <c r="AD38" s="23" t="str">
        <f t="shared" si="6"/>
        <v>·</v>
      </c>
      <c r="AE38" s="23" t="str">
        <f t="shared" si="7"/>
        <v>·</v>
      </c>
      <c r="AF38" s="23" t="str">
        <f t="shared" si="8"/>
        <v>·</v>
      </c>
      <c r="AG38" s="24"/>
      <c r="AH38" s="23" t="str">
        <f t="shared" si="9"/>
        <v>·</v>
      </c>
      <c r="AI38" s="25"/>
      <c r="AJ38" s="26"/>
      <c r="AK38" s="26"/>
      <c r="AL38" s="26"/>
      <c r="AM38" s="40"/>
      <c r="AN38" s="41"/>
      <c r="AO38" s="41"/>
      <c r="AP38" s="41"/>
      <c r="AQ38" s="41"/>
      <c r="AR38" s="41"/>
      <c r="AS38" s="42"/>
      <c r="AT38" s="50"/>
      <c r="AU38" s="50"/>
      <c r="AW38" s="55" t="e">
        <f t="shared" si="10"/>
        <v>#DIV/0!</v>
      </c>
      <c r="AX38" s="55"/>
      <c r="AZ38" s="56"/>
      <c r="BA38" s="56"/>
      <c r="BB38" s="56"/>
      <c r="BC38" s="56"/>
      <c r="BD38" s="56"/>
      <c r="BE38" s="62"/>
      <c r="BG38" s="56"/>
      <c r="BH38" s="56"/>
      <c r="BI38" s="56"/>
      <c r="BJ38" s="56"/>
      <c r="BK38" s="56"/>
      <c r="BL38" s="62"/>
      <c r="BN38">
        <f t="shared" si="12"/>
        <v>0</v>
      </c>
      <c r="BO38">
        <f t="shared" si="13"/>
        <v>0</v>
      </c>
      <c r="BP38">
        <f t="shared" si="14"/>
        <v>0</v>
      </c>
      <c r="BQ38">
        <f t="shared" si="15"/>
        <v>0</v>
      </c>
      <c r="BR38">
        <f t="shared" si="16"/>
        <v>0</v>
      </c>
      <c r="BS38">
        <f t="shared" si="17"/>
        <v>0</v>
      </c>
      <c r="BT38">
        <f t="shared" si="18"/>
        <v>0</v>
      </c>
      <c r="BU38">
        <f t="shared" si="19"/>
        <v>0</v>
      </c>
      <c r="BV38">
        <f t="shared" si="20"/>
        <v>0</v>
      </c>
      <c r="BW38">
        <f t="shared" si="21"/>
        <v>0</v>
      </c>
      <c r="BX38">
        <f t="shared" si="22"/>
        <v>0</v>
      </c>
    </row>
    <row r="39" spans="1:76" outlineLevel="1" x14ac:dyDescent="0.15">
      <c r="A39" s="5"/>
      <c r="B39" s="5" t="s">
        <v>74</v>
      </c>
      <c r="C39" s="6" t="s">
        <v>258</v>
      </c>
      <c r="D39" s="5">
        <v>8907880</v>
      </c>
      <c r="E39" s="7">
        <v>14</v>
      </c>
      <c r="F39" s="6">
        <v>1</v>
      </c>
      <c r="G39" s="6"/>
      <c r="I39" s="17" t="str">
        <f t="shared" si="0"/>
        <v>·</v>
      </c>
      <c r="J39" s="18" t="str">
        <f t="shared" si="1"/>
        <v>·</v>
      </c>
      <c r="K39" s="18" t="str">
        <f t="shared" si="2"/>
        <v>·</v>
      </c>
      <c r="L39" s="18" t="str">
        <f t="shared" si="3"/>
        <v>·</v>
      </c>
      <c r="M39" s="19"/>
      <c r="N39" s="18" t="str">
        <f t="shared" si="4"/>
        <v>·</v>
      </c>
      <c r="O39" s="20"/>
      <c r="P39" s="21"/>
      <c r="Q39" s="21"/>
      <c r="R39" s="21"/>
      <c r="S39" s="37"/>
      <c r="T39" s="38"/>
      <c r="U39" s="38"/>
      <c r="V39" s="38"/>
      <c r="W39" s="38"/>
      <c r="X39" s="38"/>
      <c r="Y39" s="39"/>
      <c r="Z39" s="49"/>
      <c r="AA39" s="49"/>
      <c r="AC39" s="17" t="str">
        <f t="shared" si="5"/>
        <v>·</v>
      </c>
      <c r="AD39" s="18" t="str">
        <f t="shared" si="6"/>
        <v>·</v>
      </c>
      <c r="AE39" s="18" t="str">
        <f t="shared" si="7"/>
        <v>·</v>
      </c>
      <c r="AF39" s="18" t="str">
        <f t="shared" si="8"/>
        <v>·</v>
      </c>
      <c r="AG39" s="19"/>
      <c r="AH39" s="18" t="str">
        <f t="shared" si="9"/>
        <v>·</v>
      </c>
      <c r="AI39" s="20"/>
      <c r="AJ39" s="21"/>
      <c r="AK39" s="21"/>
      <c r="AL39" s="21"/>
      <c r="AM39" s="37"/>
      <c r="AN39" s="38"/>
      <c r="AO39" s="38"/>
      <c r="AP39" s="38"/>
      <c r="AQ39" s="38"/>
      <c r="AR39" s="38"/>
      <c r="AS39" s="39"/>
      <c r="AT39" s="49"/>
      <c r="AU39" s="49"/>
      <c r="AW39" s="53" t="e">
        <f t="shared" si="10"/>
        <v>#DIV/0!</v>
      </c>
      <c r="AX39" s="53"/>
      <c r="AZ39" s="54"/>
      <c r="BA39" s="54"/>
      <c r="BB39" s="54"/>
      <c r="BC39" s="54"/>
      <c r="BD39" s="54"/>
      <c r="BE39" s="61"/>
      <c r="BG39" s="54"/>
      <c r="BH39" s="54"/>
      <c r="BI39" s="54"/>
      <c r="BJ39" s="54"/>
      <c r="BK39" s="54"/>
      <c r="BL39" s="61"/>
      <c r="BN39">
        <f t="shared" si="12"/>
        <v>0</v>
      </c>
      <c r="BO39">
        <f t="shared" si="13"/>
        <v>0</v>
      </c>
      <c r="BP39">
        <f t="shared" si="14"/>
        <v>0</v>
      </c>
      <c r="BQ39">
        <f t="shared" si="15"/>
        <v>0</v>
      </c>
      <c r="BR39">
        <f t="shared" si="16"/>
        <v>0</v>
      </c>
      <c r="BS39">
        <f t="shared" si="17"/>
        <v>0</v>
      </c>
      <c r="BT39">
        <f t="shared" si="18"/>
        <v>0</v>
      </c>
      <c r="BU39">
        <f t="shared" si="19"/>
        <v>0</v>
      </c>
      <c r="BV39">
        <f t="shared" si="20"/>
        <v>0</v>
      </c>
      <c r="BW39">
        <f t="shared" si="21"/>
        <v>0</v>
      </c>
      <c r="BX39">
        <f t="shared" si="22"/>
        <v>0</v>
      </c>
    </row>
    <row r="40" spans="1:76" outlineLevel="1" x14ac:dyDescent="0.15">
      <c r="A40" s="8"/>
      <c r="B40" s="14" t="s">
        <v>74</v>
      </c>
      <c r="C40" s="15" t="s">
        <v>259</v>
      </c>
      <c r="D40" s="14">
        <v>8907880</v>
      </c>
      <c r="E40" s="16">
        <v>14</v>
      </c>
      <c r="F40" s="15">
        <v>1</v>
      </c>
      <c r="G40" s="15"/>
      <c r="I40" s="32" t="str">
        <f t="shared" si="0"/>
        <v>·</v>
      </c>
      <c r="J40" s="33" t="str">
        <f t="shared" si="1"/>
        <v>·</v>
      </c>
      <c r="K40" s="33" t="str">
        <f t="shared" si="2"/>
        <v>·</v>
      </c>
      <c r="L40" s="33" t="str">
        <f t="shared" si="3"/>
        <v>·</v>
      </c>
      <c r="M40" s="34"/>
      <c r="N40" s="33" t="str">
        <f t="shared" si="4"/>
        <v>·</v>
      </c>
      <c r="O40" s="35"/>
      <c r="P40" s="36"/>
      <c r="Q40" s="36"/>
      <c r="R40" s="36"/>
      <c r="S40" s="46"/>
      <c r="T40" s="47"/>
      <c r="U40" s="47"/>
      <c r="V40" s="47"/>
      <c r="W40" s="47"/>
      <c r="X40" s="47"/>
      <c r="Y40" s="48"/>
      <c r="Z40" s="52"/>
      <c r="AA40" s="52"/>
      <c r="AC40" s="32" t="str">
        <f t="shared" si="5"/>
        <v>·</v>
      </c>
      <c r="AD40" s="33" t="str">
        <f t="shared" si="6"/>
        <v>·</v>
      </c>
      <c r="AE40" s="33" t="str">
        <f t="shared" si="7"/>
        <v>·</v>
      </c>
      <c r="AF40" s="33" t="str">
        <f t="shared" si="8"/>
        <v>·</v>
      </c>
      <c r="AG40" s="34"/>
      <c r="AH40" s="33" t="str">
        <f t="shared" si="9"/>
        <v>·</v>
      </c>
      <c r="AI40" s="35"/>
      <c r="AJ40" s="36"/>
      <c r="AK40" s="36"/>
      <c r="AL40" s="36"/>
      <c r="AM40" s="46"/>
      <c r="AN40" s="47"/>
      <c r="AO40" s="47"/>
      <c r="AP40" s="47"/>
      <c r="AQ40" s="47"/>
      <c r="AR40" s="47"/>
      <c r="AS40" s="48"/>
      <c r="AT40" s="52"/>
      <c r="AU40" s="52"/>
      <c r="AW40" s="59" t="e">
        <f t="shared" si="10"/>
        <v>#DIV/0!</v>
      </c>
      <c r="AX40" s="59"/>
      <c r="AZ40" s="60"/>
      <c r="BA40" s="60"/>
      <c r="BB40" s="60"/>
      <c r="BC40" s="60"/>
      <c r="BD40" s="60"/>
      <c r="BE40" s="64"/>
      <c r="BG40" s="60"/>
      <c r="BH40" s="60"/>
      <c r="BI40" s="60"/>
      <c r="BJ40" s="60"/>
      <c r="BK40" s="60"/>
      <c r="BL40" s="64"/>
      <c r="BN40">
        <f t="shared" si="12"/>
        <v>0</v>
      </c>
      <c r="BO40">
        <f t="shared" si="13"/>
        <v>0</v>
      </c>
      <c r="BP40">
        <f t="shared" si="14"/>
        <v>0</v>
      </c>
      <c r="BQ40">
        <f t="shared" si="15"/>
        <v>0</v>
      </c>
      <c r="BR40">
        <f t="shared" si="16"/>
        <v>0</v>
      </c>
      <c r="BS40">
        <f t="shared" si="17"/>
        <v>0</v>
      </c>
      <c r="BT40">
        <f t="shared" si="18"/>
        <v>0</v>
      </c>
      <c r="BU40">
        <f t="shared" si="19"/>
        <v>0</v>
      </c>
      <c r="BV40">
        <f t="shared" si="20"/>
        <v>0</v>
      </c>
      <c r="BW40">
        <f t="shared" si="21"/>
        <v>0</v>
      </c>
      <c r="BX40">
        <f t="shared" si="22"/>
        <v>0</v>
      </c>
    </row>
    <row r="41" spans="1:76" x14ac:dyDescent="0.15">
      <c r="A41" s="5"/>
      <c r="B41" s="5" t="s">
        <v>79</v>
      </c>
      <c r="C41" s="6" t="s">
        <v>254</v>
      </c>
      <c r="D41" s="5">
        <v>4061755</v>
      </c>
      <c r="E41" s="7">
        <v>11</v>
      </c>
      <c r="F41" s="6">
        <v>1</v>
      </c>
      <c r="G41" s="6"/>
      <c r="I41" s="17" t="str">
        <f t="shared" si="0"/>
        <v>·</v>
      </c>
      <c r="J41" s="18" t="str">
        <f t="shared" si="1"/>
        <v>·</v>
      </c>
      <c r="K41" s="18" t="str">
        <f t="shared" si="2"/>
        <v>·</v>
      </c>
      <c r="L41" s="18" t="str">
        <f t="shared" si="3"/>
        <v>·</v>
      </c>
      <c r="M41" s="19"/>
      <c r="N41" s="18" t="str">
        <f t="shared" si="4"/>
        <v>·</v>
      </c>
      <c r="O41" s="20"/>
      <c r="P41" s="21"/>
      <c r="Q41" s="21"/>
      <c r="R41" s="21"/>
      <c r="S41" s="37"/>
      <c r="T41" s="38"/>
      <c r="U41" s="38"/>
      <c r="V41" s="38"/>
      <c r="W41" s="38"/>
      <c r="X41" s="38"/>
      <c r="Y41" s="39"/>
      <c r="Z41" s="49"/>
      <c r="AA41" s="49"/>
      <c r="AC41" s="17" t="str">
        <f t="shared" si="5"/>
        <v>·</v>
      </c>
      <c r="AD41" s="18" t="str">
        <f t="shared" si="6"/>
        <v>·</v>
      </c>
      <c r="AE41" s="18" t="str">
        <f t="shared" si="7"/>
        <v>·</v>
      </c>
      <c r="AF41" s="18" t="str">
        <f t="shared" si="8"/>
        <v>·</v>
      </c>
      <c r="AG41" s="19"/>
      <c r="AH41" s="18" t="str">
        <f t="shared" si="9"/>
        <v>·</v>
      </c>
      <c r="AI41" s="20"/>
      <c r="AJ41" s="21"/>
      <c r="AK41" s="21"/>
      <c r="AL41" s="21"/>
      <c r="AM41" s="37"/>
      <c r="AN41" s="38"/>
      <c r="AO41" s="38"/>
      <c r="AP41" s="38"/>
      <c r="AQ41" s="38"/>
      <c r="AR41" s="38"/>
      <c r="AS41" s="39"/>
      <c r="AT41" s="49"/>
      <c r="AU41" s="49"/>
      <c r="AW41" s="53" t="e">
        <f t="shared" si="10"/>
        <v>#DIV/0!</v>
      </c>
      <c r="AX41" s="53" t="e">
        <f t="array" ref="AX41">AVERAGE(AK41:AK46/AJ41:AJ46)-AVERAGE(Q41:Q46/P41:P46)</f>
        <v>#DIV/0!</v>
      </c>
      <c r="AZ41" s="54" t="str">
        <f>IF(OR(ISBLANK(Q41:Q46),ISBLANK(AK41:AK46),ISBLANK(T41:T46),ISBLANK(AN41:AN46)),"·",bdRateExtend(Q41:Q46,T41:T46,AK41:AK46,AN41:AN46))</f>
        <v>·</v>
      </c>
      <c r="BA41" s="54" t="str">
        <f>IF(OR(ISBLANK(Q41:Q46),ISBLANK(AK41:AK46),ISBLANK(U41:U46),ISBLANK(AO41:AO46)),"·",bdRateExtend(Q41:Q46,U41:U46,AK41:AK46,AO41:AO46))</f>
        <v>·</v>
      </c>
      <c r="BB41" s="54" t="str">
        <f>IF(OR(ISBLANK(R41:R46),ISBLANK(AL41:AL46),ISBLANK(V41:V46),ISBLANK(AP41:AP46)),"·",bdRateExtend(R41:R46,V41:V46,AL41:AL46,AP41:AP46))</f>
        <v>·</v>
      </c>
      <c r="BC41" s="54" t="str">
        <f>IF(OR(ISBLANK(R41:R46),ISBLANK(AL41:AL46),ISBLANK(W41:W46),ISBLANK(AQ41:AQ46)),"·",bdRateExtend(R41:R46,W41:W46,AL41:AL46,AQ41:AQ46))</f>
        <v>·</v>
      </c>
      <c r="BD41" s="54" t="str">
        <f>IF(OR(ISBLANK(R41:R46),ISBLANK(AL41:AL46),ISBLANK(X41:X46),ISBLANK(AR41:AR46)),"·",bdRateExtend(R41:R46,X41:X46,AL41:AL46,AR41:AR46))</f>
        <v>·</v>
      </c>
      <c r="BE41" s="61"/>
      <c r="BG41" s="54" t="str">
        <f>IF(OR(ISBLANK(P41:P46),ISBLANK(AJ41:AJ46),ISBLANK(T41:T46),ISBLANK(AN41:AN46)),"·",bdRateExtend(P41:P46,T41:T46,AJ41:AJ46,AN41:AN46))</f>
        <v>·</v>
      </c>
      <c r="BH41" s="54" t="str">
        <f>IF(OR(ISBLANK(P41:P46),ISBLANK(AJ41:AJ46),ISBLANK(U41:U46),ISBLANK(AO41:AO46)),"·",bdRateExtend(P41:P46,U41:U46,AJ41:AJ46,AO41:AO46))</f>
        <v>·</v>
      </c>
      <c r="BI41" s="54" t="str">
        <f>IF(OR(ISBLANK(P41:P46),ISBLANK(AJ41:AJ46),ISBLANK(V41:V46),ISBLANK(AP41:AP46)),"·",bdRateExtend(P41:P46,V41:V46,AJ41:AJ46,AP41:AP46))</f>
        <v>·</v>
      </c>
      <c r="BJ41" s="54" t="str">
        <f>IF(OR(ISBLANK(P41:P46),ISBLANK(AJ41:AJ46),ISBLANK(W41:W46),ISBLANK(AQ41:AQ46)),"·",bdRateExtend(P41:P46,W41:W46,AJ41:AJ46,AQ41:AQ46))</f>
        <v>·</v>
      </c>
      <c r="BK41" s="54" t="str">
        <f>IF(OR(ISBLANK(P41:P46),ISBLANK(AJ41:AJ46),ISBLANK(X41:X46),ISBLANK(AR41:AR46)),"·",bdRateExtend(P41:P46,X41:X46,AJ41:AJ46,AR41:AR46))</f>
        <v>·</v>
      </c>
      <c r="BL41" s="61"/>
      <c r="BN41">
        <f t="shared" si="12"/>
        <v>0</v>
      </c>
      <c r="BO41">
        <f t="shared" si="13"/>
        <v>0</v>
      </c>
      <c r="BP41">
        <f t="shared" si="14"/>
        <v>0</v>
      </c>
      <c r="BQ41">
        <f t="shared" si="15"/>
        <v>0</v>
      </c>
      <c r="BR41">
        <f t="shared" si="16"/>
        <v>0</v>
      </c>
      <c r="BS41">
        <f t="shared" si="17"/>
        <v>0</v>
      </c>
      <c r="BT41">
        <f t="shared" si="18"/>
        <v>0</v>
      </c>
      <c r="BU41">
        <f t="shared" si="19"/>
        <v>0</v>
      </c>
      <c r="BV41">
        <f t="shared" si="20"/>
        <v>0</v>
      </c>
      <c r="BW41">
        <f t="shared" si="21"/>
        <v>0</v>
      </c>
      <c r="BX41">
        <f t="shared" si="22"/>
        <v>0</v>
      </c>
    </row>
    <row r="42" spans="1:76" outlineLevel="1" x14ac:dyDescent="0.15">
      <c r="A42" s="8"/>
      <c r="B42" s="8" t="s">
        <v>79</v>
      </c>
      <c r="C42" s="9" t="s">
        <v>255</v>
      </c>
      <c r="D42" s="8">
        <v>4061755</v>
      </c>
      <c r="E42" s="10">
        <v>11</v>
      </c>
      <c r="F42" s="9">
        <v>1</v>
      </c>
      <c r="G42" s="9"/>
      <c r="I42" s="22" t="str">
        <f t="shared" si="0"/>
        <v>·</v>
      </c>
      <c r="J42" s="23" t="str">
        <f t="shared" si="1"/>
        <v>·</v>
      </c>
      <c r="K42" s="23" t="str">
        <f t="shared" si="2"/>
        <v>·</v>
      </c>
      <c r="L42" s="23" t="str">
        <f t="shared" si="3"/>
        <v>·</v>
      </c>
      <c r="M42" s="24"/>
      <c r="N42" s="23" t="str">
        <f t="shared" si="4"/>
        <v>·</v>
      </c>
      <c r="O42" s="25"/>
      <c r="P42" s="26"/>
      <c r="Q42" s="26"/>
      <c r="R42" s="26"/>
      <c r="S42" s="40"/>
      <c r="T42" s="41"/>
      <c r="U42" s="41"/>
      <c r="V42" s="41"/>
      <c r="W42" s="41"/>
      <c r="X42" s="41"/>
      <c r="Y42" s="42"/>
      <c r="Z42" s="50"/>
      <c r="AA42" s="50"/>
      <c r="AC42" s="22" t="str">
        <f t="shared" si="5"/>
        <v>·</v>
      </c>
      <c r="AD42" s="23" t="str">
        <f t="shared" si="6"/>
        <v>·</v>
      </c>
      <c r="AE42" s="23" t="str">
        <f t="shared" si="7"/>
        <v>·</v>
      </c>
      <c r="AF42" s="23" t="str">
        <f t="shared" si="8"/>
        <v>·</v>
      </c>
      <c r="AG42" s="24"/>
      <c r="AH42" s="23" t="str">
        <f t="shared" si="9"/>
        <v>·</v>
      </c>
      <c r="AI42" s="25"/>
      <c r="AJ42" s="26"/>
      <c r="AK42" s="26"/>
      <c r="AL42" s="26"/>
      <c r="AM42" s="40"/>
      <c r="AN42" s="41"/>
      <c r="AO42" s="41"/>
      <c r="AP42" s="41"/>
      <c r="AQ42" s="41"/>
      <c r="AR42" s="41"/>
      <c r="AS42" s="42"/>
      <c r="AT42" s="50"/>
      <c r="AU42" s="50"/>
      <c r="AW42" s="55" t="e">
        <f t="shared" si="10"/>
        <v>#DIV/0!</v>
      </c>
      <c r="AX42" s="55"/>
      <c r="AZ42" s="56"/>
      <c r="BA42" s="56"/>
      <c r="BB42" s="56"/>
      <c r="BC42" s="56"/>
      <c r="BD42" s="56"/>
      <c r="BE42" s="62"/>
      <c r="BG42" s="56"/>
      <c r="BH42" s="56"/>
      <c r="BI42" s="56"/>
      <c r="BJ42" s="56"/>
      <c r="BK42" s="56"/>
      <c r="BL42" s="62"/>
      <c r="BN42">
        <f t="shared" si="12"/>
        <v>0</v>
      </c>
      <c r="BO42">
        <f t="shared" si="13"/>
        <v>0</v>
      </c>
      <c r="BP42">
        <f t="shared" si="14"/>
        <v>0</v>
      </c>
      <c r="BQ42">
        <f t="shared" si="15"/>
        <v>0</v>
      </c>
      <c r="BR42">
        <f t="shared" si="16"/>
        <v>0</v>
      </c>
      <c r="BS42">
        <f t="shared" si="17"/>
        <v>0</v>
      </c>
      <c r="BT42">
        <f t="shared" si="18"/>
        <v>0</v>
      </c>
      <c r="BU42">
        <f t="shared" si="19"/>
        <v>0</v>
      </c>
      <c r="BV42">
        <f t="shared" si="20"/>
        <v>0</v>
      </c>
      <c r="BW42">
        <f t="shared" si="21"/>
        <v>0</v>
      </c>
      <c r="BX42">
        <f t="shared" si="22"/>
        <v>0</v>
      </c>
    </row>
    <row r="43" spans="1:76" outlineLevel="1" x14ac:dyDescent="0.15">
      <c r="A43" s="5"/>
      <c r="B43" s="5" t="s">
        <v>79</v>
      </c>
      <c r="C43" s="6" t="s">
        <v>256</v>
      </c>
      <c r="D43" s="5">
        <v>4061755</v>
      </c>
      <c r="E43" s="7">
        <v>11</v>
      </c>
      <c r="F43" s="6">
        <v>1</v>
      </c>
      <c r="G43" s="6"/>
      <c r="I43" s="17" t="str">
        <f t="shared" si="0"/>
        <v>·</v>
      </c>
      <c r="J43" s="18" t="str">
        <f t="shared" si="1"/>
        <v>·</v>
      </c>
      <c r="K43" s="18" t="str">
        <f t="shared" si="2"/>
        <v>·</v>
      </c>
      <c r="L43" s="18" t="str">
        <f t="shared" si="3"/>
        <v>·</v>
      </c>
      <c r="M43" s="19"/>
      <c r="N43" s="18" t="str">
        <f t="shared" si="4"/>
        <v>·</v>
      </c>
      <c r="O43" s="20"/>
      <c r="P43" s="21"/>
      <c r="Q43" s="21"/>
      <c r="R43" s="21"/>
      <c r="S43" s="37"/>
      <c r="T43" s="38"/>
      <c r="U43" s="38"/>
      <c r="V43" s="38"/>
      <c r="W43" s="38"/>
      <c r="X43" s="38"/>
      <c r="Y43" s="39"/>
      <c r="Z43" s="49"/>
      <c r="AA43" s="49"/>
      <c r="AC43" s="17" t="str">
        <f t="shared" si="5"/>
        <v>·</v>
      </c>
      <c r="AD43" s="18" t="str">
        <f t="shared" si="6"/>
        <v>·</v>
      </c>
      <c r="AE43" s="18" t="str">
        <f t="shared" si="7"/>
        <v>·</v>
      </c>
      <c r="AF43" s="18" t="str">
        <f t="shared" si="8"/>
        <v>·</v>
      </c>
      <c r="AG43" s="19"/>
      <c r="AH43" s="18" t="str">
        <f t="shared" si="9"/>
        <v>·</v>
      </c>
      <c r="AI43" s="20"/>
      <c r="AJ43" s="21"/>
      <c r="AK43" s="21"/>
      <c r="AL43" s="21"/>
      <c r="AM43" s="37"/>
      <c r="AN43" s="38"/>
      <c r="AO43" s="38"/>
      <c r="AP43" s="38"/>
      <c r="AQ43" s="38"/>
      <c r="AR43" s="38"/>
      <c r="AS43" s="39"/>
      <c r="AT43" s="49"/>
      <c r="AU43" s="49"/>
      <c r="AW43" s="53" t="e">
        <f t="shared" si="10"/>
        <v>#DIV/0!</v>
      </c>
      <c r="AX43" s="53"/>
      <c r="AZ43" s="54"/>
      <c r="BA43" s="54"/>
      <c r="BB43" s="54"/>
      <c r="BC43" s="54"/>
      <c r="BD43" s="54"/>
      <c r="BE43" s="61"/>
      <c r="BG43" s="54"/>
      <c r="BH43" s="54"/>
      <c r="BI43" s="54"/>
      <c r="BJ43" s="54"/>
      <c r="BK43" s="54"/>
      <c r="BL43" s="61"/>
      <c r="BN43">
        <f t="shared" si="12"/>
        <v>0</v>
      </c>
      <c r="BO43">
        <f t="shared" si="13"/>
        <v>0</v>
      </c>
      <c r="BP43">
        <f t="shared" si="14"/>
        <v>0</v>
      </c>
      <c r="BQ43">
        <f t="shared" si="15"/>
        <v>0</v>
      </c>
      <c r="BR43">
        <f t="shared" si="16"/>
        <v>0</v>
      </c>
      <c r="BS43">
        <f t="shared" si="17"/>
        <v>0</v>
      </c>
      <c r="BT43">
        <f t="shared" si="18"/>
        <v>0</v>
      </c>
      <c r="BU43">
        <f t="shared" si="19"/>
        <v>0</v>
      </c>
      <c r="BV43">
        <f t="shared" si="20"/>
        <v>0</v>
      </c>
      <c r="BW43">
        <f t="shared" si="21"/>
        <v>0</v>
      </c>
      <c r="BX43">
        <f t="shared" si="22"/>
        <v>0</v>
      </c>
    </row>
    <row r="44" spans="1:76" outlineLevel="1" x14ac:dyDescent="0.15">
      <c r="A44" s="8"/>
      <c r="B44" s="8" t="s">
        <v>79</v>
      </c>
      <c r="C44" s="9" t="s">
        <v>257</v>
      </c>
      <c r="D44" s="8">
        <v>4061755</v>
      </c>
      <c r="E44" s="10">
        <v>11</v>
      </c>
      <c r="F44" s="9">
        <v>1</v>
      </c>
      <c r="G44" s="9"/>
      <c r="I44" s="22" t="str">
        <f t="shared" si="0"/>
        <v>·</v>
      </c>
      <c r="J44" s="23" t="str">
        <f t="shared" si="1"/>
        <v>·</v>
      </c>
      <c r="K44" s="23" t="str">
        <f t="shared" si="2"/>
        <v>·</v>
      </c>
      <c r="L44" s="23" t="str">
        <f t="shared" si="3"/>
        <v>·</v>
      </c>
      <c r="M44" s="24"/>
      <c r="N44" s="23" t="str">
        <f t="shared" si="4"/>
        <v>·</v>
      </c>
      <c r="O44" s="25"/>
      <c r="P44" s="26"/>
      <c r="Q44" s="26"/>
      <c r="R44" s="26"/>
      <c r="S44" s="40"/>
      <c r="T44" s="41"/>
      <c r="U44" s="41"/>
      <c r="V44" s="41"/>
      <c r="W44" s="41"/>
      <c r="X44" s="41"/>
      <c r="Y44" s="42"/>
      <c r="Z44" s="50"/>
      <c r="AA44" s="50"/>
      <c r="AC44" s="22" t="str">
        <f t="shared" si="5"/>
        <v>·</v>
      </c>
      <c r="AD44" s="23" t="str">
        <f t="shared" si="6"/>
        <v>·</v>
      </c>
      <c r="AE44" s="23" t="str">
        <f t="shared" si="7"/>
        <v>·</v>
      </c>
      <c r="AF44" s="23" t="str">
        <f t="shared" si="8"/>
        <v>·</v>
      </c>
      <c r="AG44" s="24"/>
      <c r="AH44" s="23" t="str">
        <f t="shared" si="9"/>
        <v>·</v>
      </c>
      <c r="AI44" s="25"/>
      <c r="AJ44" s="26"/>
      <c r="AK44" s="26"/>
      <c r="AL44" s="26"/>
      <c r="AM44" s="40"/>
      <c r="AN44" s="41"/>
      <c r="AO44" s="41"/>
      <c r="AP44" s="41"/>
      <c r="AQ44" s="41"/>
      <c r="AR44" s="41"/>
      <c r="AS44" s="42"/>
      <c r="AT44" s="50"/>
      <c r="AU44" s="50"/>
      <c r="AW44" s="55" t="e">
        <f t="shared" si="10"/>
        <v>#DIV/0!</v>
      </c>
      <c r="AX44" s="55"/>
      <c r="AZ44" s="56"/>
      <c r="BA44" s="56"/>
      <c r="BB44" s="56"/>
      <c r="BC44" s="56"/>
      <c r="BD44" s="56"/>
      <c r="BE44" s="62"/>
      <c r="BG44" s="56"/>
      <c r="BH44" s="56"/>
      <c r="BI44" s="56"/>
      <c r="BJ44" s="56"/>
      <c r="BK44" s="56"/>
      <c r="BL44" s="62"/>
      <c r="BN44">
        <f t="shared" si="12"/>
        <v>0</v>
      </c>
      <c r="BO44">
        <f t="shared" si="13"/>
        <v>0</v>
      </c>
      <c r="BP44">
        <f t="shared" si="14"/>
        <v>0</v>
      </c>
      <c r="BQ44">
        <f t="shared" si="15"/>
        <v>0</v>
      </c>
      <c r="BR44">
        <f t="shared" si="16"/>
        <v>0</v>
      </c>
      <c r="BS44">
        <f t="shared" si="17"/>
        <v>0</v>
      </c>
      <c r="BT44">
        <f t="shared" si="18"/>
        <v>0</v>
      </c>
      <c r="BU44">
        <f t="shared" si="19"/>
        <v>0</v>
      </c>
      <c r="BV44">
        <f t="shared" si="20"/>
        <v>0</v>
      </c>
      <c r="BW44">
        <f t="shared" si="21"/>
        <v>0</v>
      </c>
      <c r="BX44">
        <f t="shared" si="22"/>
        <v>0</v>
      </c>
    </row>
    <row r="45" spans="1:76" outlineLevel="1" x14ac:dyDescent="0.15">
      <c r="A45" s="5"/>
      <c r="B45" s="5" t="s">
        <v>79</v>
      </c>
      <c r="C45" s="6" t="s">
        <v>258</v>
      </c>
      <c r="D45" s="5">
        <v>4061755</v>
      </c>
      <c r="E45" s="7">
        <v>11</v>
      </c>
      <c r="F45" s="6">
        <v>1</v>
      </c>
      <c r="G45" s="6"/>
      <c r="I45" s="17" t="str">
        <f t="shared" si="0"/>
        <v>·</v>
      </c>
      <c r="J45" s="18" t="str">
        <f t="shared" si="1"/>
        <v>·</v>
      </c>
      <c r="K45" s="18" t="str">
        <f t="shared" si="2"/>
        <v>·</v>
      </c>
      <c r="L45" s="18" t="str">
        <f t="shared" si="3"/>
        <v>·</v>
      </c>
      <c r="M45" s="19"/>
      <c r="N45" s="18" t="str">
        <f t="shared" si="4"/>
        <v>·</v>
      </c>
      <c r="O45" s="20"/>
      <c r="P45" s="21"/>
      <c r="Q45" s="21"/>
      <c r="R45" s="21"/>
      <c r="S45" s="37"/>
      <c r="T45" s="38"/>
      <c r="U45" s="38"/>
      <c r="V45" s="38"/>
      <c r="W45" s="38"/>
      <c r="X45" s="38"/>
      <c r="Y45" s="39"/>
      <c r="Z45" s="49"/>
      <c r="AA45" s="49"/>
      <c r="AC45" s="17" t="str">
        <f t="shared" si="5"/>
        <v>·</v>
      </c>
      <c r="AD45" s="18" t="str">
        <f t="shared" si="6"/>
        <v>·</v>
      </c>
      <c r="AE45" s="18" t="str">
        <f t="shared" si="7"/>
        <v>·</v>
      </c>
      <c r="AF45" s="18" t="str">
        <f t="shared" si="8"/>
        <v>·</v>
      </c>
      <c r="AG45" s="19"/>
      <c r="AH45" s="18" t="str">
        <f t="shared" si="9"/>
        <v>·</v>
      </c>
      <c r="AI45" s="20"/>
      <c r="AJ45" s="21"/>
      <c r="AK45" s="21"/>
      <c r="AL45" s="21"/>
      <c r="AM45" s="37"/>
      <c r="AN45" s="38"/>
      <c r="AO45" s="38"/>
      <c r="AP45" s="38"/>
      <c r="AQ45" s="38"/>
      <c r="AR45" s="38"/>
      <c r="AS45" s="39"/>
      <c r="AT45" s="49"/>
      <c r="AU45" s="49"/>
      <c r="AW45" s="53" t="e">
        <f t="shared" si="10"/>
        <v>#DIV/0!</v>
      </c>
      <c r="AX45" s="53"/>
      <c r="AZ45" s="54"/>
      <c r="BA45" s="54"/>
      <c r="BB45" s="54"/>
      <c r="BC45" s="54"/>
      <c r="BD45" s="54"/>
      <c r="BE45" s="61"/>
      <c r="BG45" s="54"/>
      <c r="BH45" s="54"/>
      <c r="BI45" s="54"/>
      <c r="BJ45" s="54"/>
      <c r="BK45" s="54"/>
      <c r="BL45" s="61"/>
      <c r="BN45">
        <f t="shared" si="12"/>
        <v>0</v>
      </c>
      <c r="BO45">
        <f t="shared" si="13"/>
        <v>0</v>
      </c>
      <c r="BP45">
        <f t="shared" si="14"/>
        <v>0</v>
      </c>
      <c r="BQ45">
        <f t="shared" si="15"/>
        <v>0</v>
      </c>
      <c r="BR45">
        <f t="shared" si="16"/>
        <v>0</v>
      </c>
      <c r="BS45">
        <f t="shared" si="17"/>
        <v>0</v>
      </c>
      <c r="BT45">
        <f t="shared" si="18"/>
        <v>0</v>
      </c>
      <c r="BU45">
        <f t="shared" si="19"/>
        <v>0</v>
      </c>
      <c r="BV45">
        <f t="shared" si="20"/>
        <v>0</v>
      </c>
      <c r="BW45">
        <f t="shared" si="21"/>
        <v>0</v>
      </c>
      <c r="BX45">
        <f t="shared" si="22"/>
        <v>0</v>
      </c>
    </row>
    <row r="46" spans="1:76" outlineLevel="1" x14ac:dyDescent="0.15">
      <c r="A46" s="8"/>
      <c r="B46" s="14" t="s">
        <v>79</v>
      </c>
      <c r="C46" s="15" t="s">
        <v>259</v>
      </c>
      <c r="D46" s="14">
        <v>4061755</v>
      </c>
      <c r="E46" s="16">
        <v>11</v>
      </c>
      <c r="F46" s="15">
        <v>1</v>
      </c>
      <c r="G46" s="15"/>
      <c r="I46" s="32" t="str">
        <f t="shared" si="0"/>
        <v>·</v>
      </c>
      <c r="J46" s="33" t="str">
        <f t="shared" si="1"/>
        <v>·</v>
      </c>
      <c r="K46" s="33" t="str">
        <f t="shared" si="2"/>
        <v>·</v>
      </c>
      <c r="L46" s="33" t="str">
        <f t="shared" si="3"/>
        <v>·</v>
      </c>
      <c r="M46" s="34"/>
      <c r="N46" s="33" t="str">
        <f t="shared" si="4"/>
        <v>·</v>
      </c>
      <c r="O46" s="35"/>
      <c r="P46" s="36"/>
      <c r="Q46" s="36"/>
      <c r="R46" s="36"/>
      <c r="S46" s="46"/>
      <c r="T46" s="47"/>
      <c r="U46" s="47"/>
      <c r="V46" s="47"/>
      <c r="W46" s="47"/>
      <c r="X46" s="47"/>
      <c r="Y46" s="48"/>
      <c r="Z46" s="52"/>
      <c r="AA46" s="52"/>
      <c r="AC46" s="32" t="str">
        <f t="shared" si="5"/>
        <v>·</v>
      </c>
      <c r="AD46" s="33" t="str">
        <f t="shared" si="6"/>
        <v>·</v>
      </c>
      <c r="AE46" s="33" t="str">
        <f t="shared" si="7"/>
        <v>·</v>
      </c>
      <c r="AF46" s="33" t="str">
        <f t="shared" si="8"/>
        <v>·</v>
      </c>
      <c r="AG46" s="34"/>
      <c r="AH46" s="33" t="str">
        <f t="shared" si="9"/>
        <v>·</v>
      </c>
      <c r="AI46" s="35"/>
      <c r="AJ46" s="36"/>
      <c r="AK46" s="36"/>
      <c r="AL46" s="36"/>
      <c r="AM46" s="46"/>
      <c r="AN46" s="47"/>
      <c r="AO46" s="47"/>
      <c r="AP46" s="47"/>
      <c r="AQ46" s="47"/>
      <c r="AR46" s="47"/>
      <c r="AS46" s="48"/>
      <c r="AT46" s="52"/>
      <c r="AU46" s="52"/>
      <c r="AW46" s="59" t="e">
        <f t="shared" si="10"/>
        <v>#DIV/0!</v>
      </c>
      <c r="AX46" s="59"/>
      <c r="AZ46" s="60"/>
      <c r="BA46" s="60"/>
      <c r="BB46" s="60"/>
      <c r="BC46" s="60"/>
      <c r="BD46" s="60"/>
      <c r="BE46" s="64"/>
      <c r="BG46" s="60"/>
      <c r="BH46" s="60"/>
      <c r="BI46" s="60"/>
      <c r="BJ46" s="60"/>
      <c r="BK46" s="60"/>
      <c r="BL46" s="64"/>
      <c r="BN46">
        <f t="shared" si="12"/>
        <v>0</v>
      </c>
      <c r="BO46">
        <f t="shared" si="13"/>
        <v>0</v>
      </c>
      <c r="BP46">
        <f t="shared" si="14"/>
        <v>0</v>
      </c>
      <c r="BQ46">
        <f t="shared" si="15"/>
        <v>0</v>
      </c>
      <c r="BR46">
        <f t="shared" si="16"/>
        <v>0</v>
      </c>
      <c r="BS46">
        <f t="shared" si="17"/>
        <v>0</v>
      </c>
      <c r="BT46">
        <f t="shared" si="18"/>
        <v>0</v>
      </c>
      <c r="BU46">
        <f t="shared" si="19"/>
        <v>0</v>
      </c>
      <c r="BV46">
        <f t="shared" si="20"/>
        <v>0</v>
      </c>
      <c r="BW46">
        <f t="shared" si="21"/>
        <v>0</v>
      </c>
      <c r="BX46">
        <f t="shared" si="22"/>
        <v>0</v>
      </c>
    </row>
    <row r="47" spans="1:76" x14ac:dyDescent="0.15">
      <c r="A47" s="5"/>
      <c r="B47" s="5" t="s">
        <v>82</v>
      </c>
      <c r="C47" s="6" t="s">
        <v>254</v>
      </c>
      <c r="D47" s="5">
        <v>3614251</v>
      </c>
      <c r="E47" s="7">
        <v>12</v>
      </c>
      <c r="F47" s="6">
        <v>1</v>
      </c>
      <c r="G47" s="6"/>
      <c r="I47" s="17" t="str">
        <f t="shared" si="0"/>
        <v>·</v>
      </c>
      <c r="J47" s="18" t="str">
        <f t="shared" si="1"/>
        <v>·</v>
      </c>
      <c r="K47" s="18" t="str">
        <f t="shared" si="2"/>
        <v>·</v>
      </c>
      <c r="L47" s="18" t="str">
        <f t="shared" si="3"/>
        <v>·</v>
      </c>
      <c r="M47" s="19"/>
      <c r="N47" s="18" t="str">
        <f t="shared" si="4"/>
        <v>·</v>
      </c>
      <c r="O47" s="20"/>
      <c r="P47" s="21"/>
      <c r="Q47" s="21"/>
      <c r="R47" s="21"/>
      <c r="S47" s="37"/>
      <c r="T47" s="38"/>
      <c r="U47" s="38"/>
      <c r="V47" s="38"/>
      <c r="W47" s="38"/>
      <c r="X47" s="38"/>
      <c r="Y47" s="39"/>
      <c r="Z47" s="49"/>
      <c r="AA47" s="49"/>
      <c r="AC47" s="17" t="str">
        <f t="shared" si="5"/>
        <v>·</v>
      </c>
      <c r="AD47" s="18" t="str">
        <f t="shared" si="6"/>
        <v>·</v>
      </c>
      <c r="AE47" s="18" t="str">
        <f t="shared" si="7"/>
        <v>·</v>
      </c>
      <c r="AF47" s="18" t="str">
        <f t="shared" si="8"/>
        <v>·</v>
      </c>
      <c r="AG47" s="19"/>
      <c r="AH47" s="18" t="str">
        <f t="shared" si="9"/>
        <v>·</v>
      </c>
      <c r="AI47" s="20"/>
      <c r="AJ47" s="21"/>
      <c r="AK47" s="21"/>
      <c r="AL47" s="21"/>
      <c r="AM47" s="37"/>
      <c r="AN47" s="38"/>
      <c r="AO47" s="38"/>
      <c r="AP47" s="38"/>
      <c r="AQ47" s="38"/>
      <c r="AR47" s="38"/>
      <c r="AS47" s="39"/>
      <c r="AT47" s="49"/>
      <c r="AU47" s="49"/>
      <c r="AW47" s="53" t="e">
        <f t="shared" si="10"/>
        <v>#DIV/0!</v>
      </c>
      <c r="AX47" s="53" t="e">
        <f t="array" ref="AX47">AVERAGE(AK47:AK52/AJ47:AJ52)-AVERAGE(Q47:Q52/P47:P52)</f>
        <v>#DIV/0!</v>
      </c>
      <c r="AZ47" s="54" t="str">
        <f>IF(OR(ISBLANK(Q47:Q52),ISBLANK(AK47:AK52),ISBLANK(T47:T52),ISBLANK(AN47:AN52)),"·",bdRateExtend(Q47:Q52,T47:T52,AK47:AK52,AN47:AN52))</f>
        <v>·</v>
      </c>
      <c r="BA47" s="54" t="str">
        <f>IF(OR(ISBLANK(Q47:Q52),ISBLANK(AK47:AK52),ISBLANK(U47:U52),ISBLANK(AO47:AO52)),"·",bdRateExtend(Q47:Q52,U47:U52,AK47:AK52,AO47:AO52))</f>
        <v>·</v>
      </c>
      <c r="BB47" s="54" t="str">
        <f>IF(OR(ISBLANK(R47:R52),ISBLANK(AL47:AL52),ISBLANK(V47:V52),ISBLANK(AP47:AP52)),"·",bdRateExtend(R47:R52,V47:V52,AL47:AL52,AP47:AP52))</f>
        <v>·</v>
      </c>
      <c r="BC47" s="54" t="str">
        <f>IF(OR(ISBLANK(R47:R52),ISBLANK(AL47:AL52),ISBLANK(W47:W52),ISBLANK(AQ47:AQ52)),"·",bdRateExtend(R47:R52,W47:W52,AL47:AL52,AQ47:AQ52))</f>
        <v>·</v>
      </c>
      <c r="BD47" s="54" t="str">
        <f>IF(OR(ISBLANK(R47:R52),ISBLANK(AL47:AL52),ISBLANK(X47:X52),ISBLANK(AR47:AR52)),"·",bdRateExtend(R47:R52,X47:X52,AL47:AL52,AR47:AR52))</f>
        <v>·</v>
      </c>
      <c r="BE47" s="61"/>
      <c r="BG47" s="54" t="str">
        <f>IF(OR(ISBLANK(P47:P52),ISBLANK(AJ47:AJ52),ISBLANK(T47:T52),ISBLANK(AN47:AN52)),"·",bdRateExtend(P47:P52,T47:T52,AJ47:AJ52,AN47:AN52))</f>
        <v>·</v>
      </c>
      <c r="BH47" s="54" t="str">
        <f>IF(OR(ISBLANK(P47:P52),ISBLANK(AJ47:AJ52),ISBLANK(U47:U52),ISBLANK(AO47:AO52)),"·",bdRateExtend(P47:P52,U47:U52,AJ47:AJ52,AO47:AO52))</f>
        <v>·</v>
      </c>
      <c r="BI47" s="54" t="str">
        <f>IF(OR(ISBLANK(P47:P52),ISBLANK(AJ47:AJ52),ISBLANK(V47:V52),ISBLANK(AP47:AP52)),"·",bdRateExtend(P47:P52,V47:V52,AJ47:AJ52,AP47:AP52))</f>
        <v>·</v>
      </c>
      <c r="BJ47" s="54" t="str">
        <f>IF(OR(ISBLANK(P47:P52),ISBLANK(AJ47:AJ52),ISBLANK(W47:W52),ISBLANK(AQ47:AQ52)),"·",bdRateExtend(P47:P52,W47:W52,AJ47:AJ52,AQ47:AQ52))</f>
        <v>·</v>
      </c>
      <c r="BK47" s="54" t="str">
        <f>IF(OR(ISBLANK(P47:P52),ISBLANK(AJ47:AJ52),ISBLANK(X47:X52),ISBLANK(AR47:AR52)),"·",bdRateExtend(P47:P52,X47:X52,AJ47:AJ52,AR47:AR52))</f>
        <v>·</v>
      </c>
      <c r="BL47" s="61"/>
      <c r="BN47">
        <f t="shared" si="12"/>
        <v>0</v>
      </c>
      <c r="BO47">
        <f t="shared" si="13"/>
        <v>0</v>
      </c>
      <c r="BP47">
        <f t="shared" si="14"/>
        <v>0</v>
      </c>
      <c r="BQ47">
        <f t="shared" si="15"/>
        <v>0</v>
      </c>
      <c r="BR47">
        <f t="shared" si="16"/>
        <v>0</v>
      </c>
      <c r="BS47">
        <f t="shared" si="17"/>
        <v>0</v>
      </c>
      <c r="BT47">
        <f t="shared" si="18"/>
        <v>0</v>
      </c>
      <c r="BU47">
        <f t="shared" si="19"/>
        <v>0</v>
      </c>
      <c r="BV47">
        <f t="shared" si="20"/>
        <v>0</v>
      </c>
      <c r="BW47">
        <f t="shared" si="21"/>
        <v>0</v>
      </c>
      <c r="BX47">
        <f t="shared" si="22"/>
        <v>0</v>
      </c>
    </row>
    <row r="48" spans="1:76" outlineLevel="1" x14ac:dyDescent="0.15">
      <c r="A48" s="8"/>
      <c r="B48" s="8" t="s">
        <v>82</v>
      </c>
      <c r="C48" s="9" t="s">
        <v>255</v>
      </c>
      <c r="D48" s="8">
        <v>3614251</v>
      </c>
      <c r="E48" s="10">
        <v>12</v>
      </c>
      <c r="F48" s="9">
        <v>1</v>
      </c>
      <c r="G48" s="9"/>
      <c r="I48" s="22" t="str">
        <f t="shared" si="0"/>
        <v>·</v>
      </c>
      <c r="J48" s="23" t="str">
        <f t="shared" si="1"/>
        <v>·</v>
      </c>
      <c r="K48" s="23" t="str">
        <f t="shared" si="2"/>
        <v>·</v>
      </c>
      <c r="L48" s="23" t="str">
        <f t="shared" si="3"/>
        <v>·</v>
      </c>
      <c r="M48" s="24"/>
      <c r="N48" s="23" t="str">
        <f t="shared" si="4"/>
        <v>·</v>
      </c>
      <c r="O48" s="25"/>
      <c r="P48" s="26"/>
      <c r="Q48" s="26"/>
      <c r="R48" s="26"/>
      <c r="S48" s="40"/>
      <c r="T48" s="41"/>
      <c r="U48" s="41"/>
      <c r="V48" s="41"/>
      <c r="W48" s="41"/>
      <c r="X48" s="41"/>
      <c r="Y48" s="42"/>
      <c r="Z48" s="50"/>
      <c r="AA48" s="50"/>
      <c r="AC48" s="22" t="str">
        <f t="shared" si="5"/>
        <v>·</v>
      </c>
      <c r="AD48" s="23" t="str">
        <f t="shared" si="6"/>
        <v>·</v>
      </c>
      <c r="AE48" s="23" t="str">
        <f t="shared" si="7"/>
        <v>·</v>
      </c>
      <c r="AF48" s="23" t="str">
        <f t="shared" si="8"/>
        <v>·</v>
      </c>
      <c r="AG48" s="24"/>
      <c r="AH48" s="23" t="str">
        <f t="shared" si="9"/>
        <v>·</v>
      </c>
      <c r="AI48" s="25"/>
      <c r="AJ48" s="26"/>
      <c r="AK48" s="26"/>
      <c r="AL48" s="26"/>
      <c r="AM48" s="40"/>
      <c r="AN48" s="41"/>
      <c r="AO48" s="41"/>
      <c r="AP48" s="41"/>
      <c r="AQ48" s="41"/>
      <c r="AR48" s="41"/>
      <c r="AS48" s="42"/>
      <c r="AT48" s="50"/>
      <c r="AU48" s="50"/>
      <c r="AW48" s="55" t="e">
        <f t="shared" si="10"/>
        <v>#DIV/0!</v>
      </c>
      <c r="AX48" s="55"/>
      <c r="AZ48" s="56"/>
      <c r="BA48" s="56"/>
      <c r="BB48" s="56"/>
      <c r="BC48" s="56"/>
      <c r="BD48" s="56"/>
      <c r="BE48" s="62"/>
      <c r="BG48" s="56"/>
      <c r="BH48" s="56"/>
      <c r="BI48" s="56"/>
      <c r="BJ48" s="56"/>
      <c r="BK48" s="56"/>
      <c r="BL48" s="62"/>
      <c r="BN48">
        <f t="shared" si="12"/>
        <v>0</v>
      </c>
      <c r="BO48">
        <f t="shared" si="13"/>
        <v>0</v>
      </c>
      <c r="BP48">
        <f t="shared" si="14"/>
        <v>0</v>
      </c>
      <c r="BQ48">
        <f t="shared" si="15"/>
        <v>0</v>
      </c>
      <c r="BR48">
        <f t="shared" si="16"/>
        <v>0</v>
      </c>
      <c r="BS48">
        <f t="shared" si="17"/>
        <v>0</v>
      </c>
      <c r="BT48">
        <f t="shared" si="18"/>
        <v>0</v>
      </c>
      <c r="BU48">
        <f t="shared" si="19"/>
        <v>0</v>
      </c>
      <c r="BV48">
        <f t="shared" si="20"/>
        <v>0</v>
      </c>
      <c r="BW48">
        <f t="shared" si="21"/>
        <v>0</v>
      </c>
      <c r="BX48">
        <f t="shared" si="22"/>
        <v>0</v>
      </c>
    </row>
    <row r="49" spans="1:76" outlineLevel="1" x14ac:dyDescent="0.15">
      <c r="A49" s="5"/>
      <c r="B49" s="5" t="s">
        <v>82</v>
      </c>
      <c r="C49" s="6" t="s">
        <v>256</v>
      </c>
      <c r="D49" s="5">
        <v>3614251</v>
      </c>
      <c r="E49" s="7">
        <v>12</v>
      </c>
      <c r="F49" s="6">
        <v>1</v>
      </c>
      <c r="G49" s="6"/>
      <c r="I49" s="17" t="str">
        <f t="shared" si="0"/>
        <v>·</v>
      </c>
      <c r="J49" s="18" t="str">
        <f t="shared" si="1"/>
        <v>·</v>
      </c>
      <c r="K49" s="18" t="str">
        <f t="shared" si="2"/>
        <v>·</v>
      </c>
      <c r="L49" s="18" t="str">
        <f t="shared" si="3"/>
        <v>·</v>
      </c>
      <c r="M49" s="19"/>
      <c r="N49" s="18" t="str">
        <f t="shared" si="4"/>
        <v>·</v>
      </c>
      <c r="O49" s="20"/>
      <c r="P49" s="21"/>
      <c r="Q49" s="21"/>
      <c r="R49" s="21"/>
      <c r="S49" s="37"/>
      <c r="T49" s="38"/>
      <c r="U49" s="38"/>
      <c r="V49" s="38"/>
      <c r="W49" s="38"/>
      <c r="X49" s="38"/>
      <c r="Y49" s="39"/>
      <c r="Z49" s="49"/>
      <c r="AA49" s="49"/>
      <c r="AC49" s="17" t="str">
        <f t="shared" si="5"/>
        <v>·</v>
      </c>
      <c r="AD49" s="18" t="str">
        <f t="shared" si="6"/>
        <v>·</v>
      </c>
      <c r="AE49" s="18" t="str">
        <f t="shared" si="7"/>
        <v>·</v>
      </c>
      <c r="AF49" s="18" t="str">
        <f t="shared" si="8"/>
        <v>·</v>
      </c>
      <c r="AG49" s="19"/>
      <c r="AH49" s="18" t="str">
        <f t="shared" si="9"/>
        <v>·</v>
      </c>
      <c r="AI49" s="20"/>
      <c r="AJ49" s="21"/>
      <c r="AK49" s="21"/>
      <c r="AL49" s="21"/>
      <c r="AM49" s="37"/>
      <c r="AN49" s="38"/>
      <c r="AO49" s="38"/>
      <c r="AP49" s="38"/>
      <c r="AQ49" s="38"/>
      <c r="AR49" s="38"/>
      <c r="AS49" s="39"/>
      <c r="AT49" s="49"/>
      <c r="AU49" s="49"/>
      <c r="AW49" s="53" t="e">
        <f t="shared" si="10"/>
        <v>#DIV/0!</v>
      </c>
      <c r="AX49" s="53"/>
      <c r="AZ49" s="54"/>
      <c r="BA49" s="54"/>
      <c r="BB49" s="54"/>
      <c r="BC49" s="54"/>
      <c r="BD49" s="54"/>
      <c r="BE49" s="61"/>
      <c r="BG49" s="54"/>
      <c r="BH49" s="54"/>
      <c r="BI49" s="54"/>
      <c r="BJ49" s="54"/>
      <c r="BK49" s="54"/>
      <c r="BL49" s="61"/>
      <c r="BN49">
        <f t="shared" si="12"/>
        <v>0</v>
      </c>
      <c r="BO49">
        <f t="shared" si="13"/>
        <v>0</v>
      </c>
      <c r="BP49">
        <f t="shared" si="14"/>
        <v>0</v>
      </c>
      <c r="BQ49">
        <f t="shared" si="15"/>
        <v>0</v>
      </c>
      <c r="BR49">
        <f t="shared" si="16"/>
        <v>0</v>
      </c>
      <c r="BS49">
        <f t="shared" si="17"/>
        <v>0</v>
      </c>
      <c r="BT49">
        <f t="shared" si="18"/>
        <v>0</v>
      </c>
      <c r="BU49">
        <f t="shared" si="19"/>
        <v>0</v>
      </c>
      <c r="BV49">
        <f t="shared" si="20"/>
        <v>0</v>
      </c>
      <c r="BW49">
        <f t="shared" si="21"/>
        <v>0</v>
      </c>
      <c r="BX49">
        <f t="shared" si="22"/>
        <v>0</v>
      </c>
    </row>
    <row r="50" spans="1:76" outlineLevel="1" x14ac:dyDescent="0.15">
      <c r="A50" s="8"/>
      <c r="B50" s="8" t="s">
        <v>82</v>
      </c>
      <c r="C50" s="9" t="s">
        <v>257</v>
      </c>
      <c r="D50" s="8">
        <v>3614251</v>
      </c>
      <c r="E50" s="10">
        <v>12</v>
      </c>
      <c r="F50" s="9">
        <v>1</v>
      </c>
      <c r="G50" s="9"/>
      <c r="I50" s="22" t="str">
        <f t="shared" si="0"/>
        <v>·</v>
      </c>
      <c r="J50" s="23" t="str">
        <f t="shared" si="1"/>
        <v>·</v>
      </c>
      <c r="K50" s="23" t="str">
        <f t="shared" si="2"/>
        <v>·</v>
      </c>
      <c r="L50" s="23" t="str">
        <f t="shared" si="3"/>
        <v>·</v>
      </c>
      <c r="M50" s="24"/>
      <c r="N50" s="23" t="str">
        <f t="shared" si="4"/>
        <v>·</v>
      </c>
      <c r="O50" s="25"/>
      <c r="P50" s="26"/>
      <c r="Q50" s="26"/>
      <c r="R50" s="26"/>
      <c r="S50" s="40"/>
      <c r="T50" s="41"/>
      <c r="U50" s="41"/>
      <c r="V50" s="41"/>
      <c r="W50" s="41"/>
      <c r="X50" s="41"/>
      <c r="Y50" s="42"/>
      <c r="Z50" s="50"/>
      <c r="AA50" s="50"/>
      <c r="AC50" s="22" t="str">
        <f t="shared" si="5"/>
        <v>·</v>
      </c>
      <c r="AD50" s="23" t="str">
        <f t="shared" si="6"/>
        <v>·</v>
      </c>
      <c r="AE50" s="23" t="str">
        <f t="shared" si="7"/>
        <v>·</v>
      </c>
      <c r="AF50" s="23" t="str">
        <f t="shared" si="8"/>
        <v>·</v>
      </c>
      <c r="AG50" s="24"/>
      <c r="AH50" s="23" t="str">
        <f t="shared" si="9"/>
        <v>·</v>
      </c>
      <c r="AI50" s="25"/>
      <c r="AJ50" s="26"/>
      <c r="AK50" s="26"/>
      <c r="AL50" s="26"/>
      <c r="AM50" s="40"/>
      <c r="AN50" s="41"/>
      <c r="AO50" s="41"/>
      <c r="AP50" s="41"/>
      <c r="AQ50" s="41"/>
      <c r="AR50" s="41"/>
      <c r="AS50" s="42"/>
      <c r="AT50" s="50"/>
      <c r="AU50" s="50"/>
      <c r="AW50" s="55" t="e">
        <f t="shared" si="10"/>
        <v>#DIV/0!</v>
      </c>
      <c r="AX50" s="55"/>
      <c r="AZ50" s="56"/>
      <c r="BA50" s="56"/>
      <c r="BB50" s="56"/>
      <c r="BC50" s="56"/>
      <c r="BD50" s="56"/>
      <c r="BE50" s="62"/>
      <c r="BG50" s="56"/>
      <c r="BH50" s="56"/>
      <c r="BI50" s="56"/>
      <c r="BJ50" s="56"/>
      <c r="BK50" s="56"/>
      <c r="BL50" s="62"/>
      <c r="BN50">
        <f t="shared" si="12"/>
        <v>0</v>
      </c>
      <c r="BO50">
        <f t="shared" si="13"/>
        <v>0</v>
      </c>
      <c r="BP50">
        <f t="shared" si="14"/>
        <v>0</v>
      </c>
      <c r="BQ50">
        <f t="shared" si="15"/>
        <v>0</v>
      </c>
      <c r="BR50">
        <f t="shared" si="16"/>
        <v>0</v>
      </c>
      <c r="BS50">
        <f t="shared" si="17"/>
        <v>0</v>
      </c>
      <c r="BT50">
        <f t="shared" si="18"/>
        <v>0</v>
      </c>
      <c r="BU50">
        <f t="shared" si="19"/>
        <v>0</v>
      </c>
      <c r="BV50">
        <f t="shared" si="20"/>
        <v>0</v>
      </c>
      <c r="BW50">
        <f t="shared" si="21"/>
        <v>0</v>
      </c>
      <c r="BX50">
        <f t="shared" si="22"/>
        <v>0</v>
      </c>
    </row>
    <row r="51" spans="1:76" outlineLevel="1" x14ac:dyDescent="0.15">
      <c r="A51" s="5"/>
      <c r="B51" s="5" t="s">
        <v>82</v>
      </c>
      <c r="C51" s="6" t="s">
        <v>258</v>
      </c>
      <c r="D51" s="5">
        <v>3614251</v>
      </c>
      <c r="E51" s="7">
        <v>12</v>
      </c>
      <c r="F51" s="6">
        <v>1</v>
      </c>
      <c r="G51" s="6"/>
      <c r="I51" s="17" t="str">
        <f t="shared" si="0"/>
        <v>·</v>
      </c>
      <c r="J51" s="18" t="str">
        <f t="shared" si="1"/>
        <v>·</v>
      </c>
      <c r="K51" s="18" t="str">
        <f t="shared" si="2"/>
        <v>·</v>
      </c>
      <c r="L51" s="18" t="str">
        <f t="shared" si="3"/>
        <v>·</v>
      </c>
      <c r="M51" s="19"/>
      <c r="N51" s="18" t="str">
        <f t="shared" si="4"/>
        <v>·</v>
      </c>
      <c r="O51" s="20"/>
      <c r="P51" s="21"/>
      <c r="Q51" s="21"/>
      <c r="R51" s="21"/>
      <c r="S51" s="37"/>
      <c r="T51" s="38"/>
      <c r="U51" s="38"/>
      <c r="V51" s="38"/>
      <c r="W51" s="38"/>
      <c r="X51" s="38"/>
      <c r="Y51" s="39"/>
      <c r="Z51" s="49"/>
      <c r="AA51" s="49"/>
      <c r="AC51" s="17" t="str">
        <f t="shared" si="5"/>
        <v>·</v>
      </c>
      <c r="AD51" s="18" t="str">
        <f t="shared" si="6"/>
        <v>·</v>
      </c>
      <c r="AE51" s="18" t="str">
        <f t="shared" si="7"/>
        <v>·</v>
      </c>
      <c r="AF51" s="18" t="str">
        <f t="shared" si="8"/>
        <v>·</v>
      </c>
      <c r="AG51" s="19"/>
      <c r="AH51" s="18" t="str">
        <f t="shared" si="9"/>
        <v>·</v>
      </c>
      <c r="AI51" s="20"/>
      <c r="AJ51" s="21"/>
      <c r="AK51" s="21"/>
      <c r="AL51" s="21"/>
      <c r="AM51" s="37"/>
      <c r="AN51" s="38"/>
      <c r="AO51" s="38"/>
      <c r="AP51" s="38"/>
      <c r="AQ51" s="38"/>
      <c r="AR51" s="38"/>
      <c r="AS51" s="39"/>
      <c r="AT51" s="49"/>
      <c r="AU51" s="49"/>
      <c r="AW51" s="53" t="e">
        <f t="shared" si="10"/>
        <v>#DIV/0!</v>
      </c>
      <c r="AX51" s="53"/>
      <c r="AZ51" s="54"/>
      <c r="BA51" s="54"/>
      <c r="BB51" s="54"/>
      <c r="BC51" s="54"/>
      <c r="BD51" s="54"/>
      <c r="BE51" s="61"/>
      <c r="BG51" s="54"/>
      <c r="BH51" s="54"/>
      <c r="BI51" s="54"/>
      <c r="BJ51" s="54"/>
      <c r="BK51" s="54"/>
      <c r="BL51" s="61"/>
      <c r="BN51">
        <f t="shared" si="12"/>
        <v>0</v>
      </c>
      <c r="BO51">
        <f t="shared" si="13"/>
        <v>0</v>
      </c>
      <c r="BP51">
        <f t="shared" si="14"/>
        <v>0</v>
      </c>
      <c r="BQ51">
        <f t="shared" si="15"/>
        <v>0</v>
      </c>
      <c r="BR51">
        <f t="shared" si="16"/>
        <v>0</v>
      </c>
      <c r="BS51">
        <f t="shared" si="17"/>
        <v>0</v>
      </c>
      <c r="BT51">
        <f t="shared" si="18"/>
        <v>0</v>
      </c>
      <c r="BU51">
        <f t="shared" si="19"/>
        <v>0</v>
      </c>
      <c r="BV51">
        <f t="shared" si="20"/>
        <v>0</v>
      </c>
      <c r="BW51">
        <f t="shared" si="21"/>
        <v>0</v>
      </c>
      <c r="BX51">
        <f t="shared" si="22"/>
        <v>0</v>
      </c>
    </row>
    <row r="52" spans="1:76" outlineLevel="1" x14ac:dyDescent="0.15">
      <c r="A52" s="8"/>
      <c r="B52" s="14" t="s">
        <v>82</v>
      </c>
      <c r="C52" s="15" t="s">
        <v>259</v>
      </c>
      <c r="D52" s="14">
        <v>3614251</v>
      </c>
      <c r="E52" s="16">
        <v>12</v>
      </c>
      <c r="F52" s="15">
        <v>1</v>
      </c>
      <c r="G52" s="15"/>
      <c r="I52" s="32" t="str">
        <f t="shared" si="0"/>
        <v>·</v>
      </c>
      <c r="J52" s="33" t="str">
        <f t="shared" si="1"/>
        <v>·</v>
      </c>
      <c r="K52" s="33" t="str">
        <f t="shared" si="2"/>
        <v>·</v>
      </c>
      <c r="L52" s="33" t="str">
        <f t="shared" si="3"/>
        <v>·</v>
      </c>
      <c r="M52" s="34"/>
      <c r="N52" s="33" t="str">
        <f t="shared" si="4"/>
        <v>·</v>
      </c>
      <c r="O52" s="35"/>
      <c r="P52" s="36"/>
      <c r="Q52" s="36"/>
      <c r="R52" s="36"/>
      <c r="S52" s="46"/>
      <c r="T52" s="47"/>
      <c r="U52" s="47"/>
      <c r="V52" s="47"/>
      <c r="W52" s="47"/>
      <c r="X52" s="47"/>
      <c r="Y52" s="48"/>
      <c r="Z52" s="52"/>
      <c r="AA52" s="52"/>
      <c r="AC52" s="32" t="str">
        <f t="shared" si="5"/>
        <v>·</v>
      </c>
      <c r="AD52" s="33" t="str">
        <f t="shared" si="6"/>
        <v>·</v>
      </c>
      <c r="AE52" s="33" t="str">
        <f t="shared" si="7"/>
        <v>·</v>
      </c>
      <c r="AF52" s="33" t="str">
        <f t="shared" si="8"/>
        <v>·</v>
      </c>
      <c r="AG52" s="34"/>
      <c r="AH52" s="33" t="str">
        <f t="shared" si="9"/>
        <v>·</v>
      </c>
      <c r="AI52" s="35"/>
      <c r="AJ52" s="36"/>
      <c r="AK52" s="36"/>
      <c r="AL52" s="36"/>
      <c r="AM52" s="46"/>
      <c r="AN52" s="47"/>
      <c r="AO52" s="47"/>
      <c r="AP52" s="47"/>
      <c r="AQ52" s="47"/>
      <c r="AR52" s="47"/>
      <c r="AS52" s="48"/>
      <c r="AT52" s="52"/>
      <c r="AU52" s="52"/>
      <c r="AW52" s="59" t="e">
        <f t="shared" si="10"/>
        <v>#DIV/0!</v>
      </c>
      <c r="AX52" s="59"/>
      <c r="AZ52" s="60"/>
      <c r="BA52" s="60"/>
      <c r="BB52" s="60"/>
      <c r="BC52" s="60"/>
      <c r="BD52" s="60"/>
      <c r="BE52" s="64"/>
      <c r="BG52" s="60"/>
      <c r="BH52" s="60"/>
      <c r="BI52" s="60"/>
      <c r="BJ52" s="60"/>
      <c r="BK52" s="60"/>
      <c r="BL52" s="64"/>
      <c r="BN52">
        <f t="shared" si="12"/>
        <v>0</v>
      </c>
      <c r="BO52">
        <f t="shared" si="13"/>
        <v>0</v>
      </c>
      <c r="BP52">
        <f t="shared" si="14"/>
        <v>0</v>
      </c>
      <c r="BQ52">
        <f t="shared" si="15"/>
        <v>0</v>
      </c>
      <c r="BR52">
        <f t="shared" si="16"/>
        <v>0</v>
      </c>
      <c r="BS52">
        <f t="shared" si="17"/>
        <v>0</v>
      </c>
      <c r="BT52">
        <f t="shared" si="18"/>
        <v>0</v>
      </c>
      <c r="BU52">
        <f t="shared" si="19"/>
        <v>0</v>
      </c>
      <c r="BV52">
        <f t="shared" si="20"/>
        <v>0</v>
      </c>
      <c r="BW52">
        <f t="shared" si="21"/>
        <v>0</v>
      </c>
      <c r="BX52">
        <f t="shared" si="22"/>
        <v>0</v>
      </c>
    </row>
    <row r="53" spans="1:76" x14ac:dyDescent="0.15">
      <c r="A53" s="5"/>
      <c r="B53" s="5" t="s">
        <v>85</v>
      </c>
      <c r="C53" s="6" t="s">
        <v>254</v>
      </c>
      <c r="D53" s="5">
        <v>13903516</v>
      </c>
      <c r="E53" s="7">
        <v>12</v>
      </c>
      <c r="F53" s="6">
        <v>1</v>
      </c>
      <c r="G53" s="6"/>
      <c r="I53" s="17" t="str">
        <f t="shared" si="0"/>
        <v>·</v>
      </c>
      <c r="J53" s="18" t="str">
        <f t="shared" si="1"/>
        <v>·</v>
      </c>
      <c r="K53" s="18" t="str">
        <f t="shared" si="2"/>
        <v>·</v>
      </c>
      <c r="L53" s="18" t="str">
        <f t="shared" si="3"/>
        <v>·</v>
      </c>
      <c r="M53" s="19"/>
      <c r="N53" s="18" t="str">
        <f t="shared" si="4"/>
        <v>·</v>
      </c>
      <c r="O53" s="20"/>
      <c r="P53" s="21"/>
      <c r="Q53" s="21"/>
      <c r="R53" s="21"/>
      <c r="S53" s="37"/>
      <c r="T53" s="38"/>
      <c r="U53" s="38"/>
      <c r="V53" s="38"/>
      <c r="W53" s="38"/>
      <c r="X53" s="38"/>
      <c r="Y53" s="39"/>
      <c r="Z53" s="49"/>
      <c r="AA53" s="49"/>
      <c r="AC53" s="17" t="str">
        <f t="shared" si="5"/>
        <v>·</v>
      </c>
      <c r="AD53" s="18" t="str">
        <f t="shared" si="6"/>
        <v>·</v>
      </c>
      <c r="AE53" s="18" t="str">
        <f t="shared" si="7"/>
        <v>·</v>
      </c>
      <c r="AF53" s="18" t="str">
        <f t="shared" si="8"/>
        <v>·</v>
      </c>
      <c r="AG53" s="19"/>
      <c r="AH53" s="18" t="str">
        <f t="shared" si="9"/>
        <v>·</v>
      </c>
      <c r="AI53" s="20"/>
      <c r="AJ53" s="21"/>
      <c r="AK53" s="21"/>
      <c r="AL53" s="21"/>
      <c r="AM53" s="37"/>
      <c r="AN53" s="38"/>
      <c r="AO53" s="38"/>
      <c r="AP53" s="38"/>
      <c r="AQ53" s="38"/>
      <c r="AR53" s="38"/>
      <c r="AS53" s="39"/>
      <c r="AT53" s="49"/>
      <c r="AU53" s="49"/>
      <c r="AW53" s="53" t="e">
        <f t="shared" si="10"/>
        <v>#DIV/0!</v>
      </c>
      <c r="AX53" s="53" t="e">
        <f t="array" ref="AX53">AVERAGE(AK53:AK58/AJ53:AJ58)-AVERAGE(Q53:Q58/P53:P58)</f>
        <v>#DIV/0!</v>
      </c>
      <c r="AZ53" s="54" t="str">
        <f>IF(OR(ISBLANK(Q53:Q58),ISBLANK(AK53:AK58),ISBLANK(T53:T58),ISBLANK(AN53:AN58)),"·",bdRateExtend(Q53:Q58,T53:T58,AK53:AK58,AN53:AN58))</f>
        <v>·</v>
      </c>
      <c r="BA53" s="54" t="str">
        <f>IF(OR(ISBLANK(Q53:Q58),ISBLANK(AK53:AK58),ISBLANK(U53:U58),ISBLANK(AO53:AO58)),"·",bdRateExtend(Q53:Q58,U53:U58,AK53:AK58,AO53:AO58))</f>
        <v>·</v>
      </c>
      <c r="BB53" s="54" t="str">
        <f>IF(OR(ISBLANK(R53:R58),ISBLANK(AL53:AL58),ISBLANK(V53:V58),ISBLANK(AP53:AP58)),"·",bdRateExtend(R53:R58,V53:V58,AL53:AL58,AP53:AP58))</f>
        <v>·</v>
      </c>
      <c r="BC53" s="54" t="str">
        <f>IF(OR(ISBLANK(R53:R58),ISBLANK(AL53:AL58),ISBLANK(W53:W58),ISBLANK(AQ53:AQ58)),"·",bdRateExtend(R53:R58,W53:W58,AL53:AL58,AQ53:AQ58))</f>
        <v>·</v>
      </c>
      <c r="BD53" s="54" t="str">
        <f>IF(OR(ISBLANK(R53:R58),ISBLANK(AL53:AL58),ISBLANK(X53:X58),ISBLANK(AR53:AR58)),"·",bdRateExtend(R53:R58,X53:X58,AL53:AL58,AR53:AR58))</f>
        <v>·</v>
      </c>
      <c r="BE53" s="61"/>
      <c r="BG53" s="54" t="str">
        <f>IF(OR(ISBLANK(P53:P58),ISBLANK(AJ53:AJ58),ISBLANK(T53:T58),ISBLANK(AN53:AN58)),"·",bdRateExtend(P53:P58,T53:T58,AJ53:AJ58,AN53:AN58))</f>
        <v>·</v>
      </c>
      <c r="BH53" s="54" t="str">
        <f>IF(OR(ISBLANK(P53:P58),ISBLANK(AJ53:AJ58),ISBLANK(U53:U58),ISBLANK(AO53:AO58)),"·",bdRateExtend(P53:P58,U53:U58,AJ53:AJ58,AO53:AO58))</f>
        <v>·</v>
      </c>
      <c r="BI53" s="54" t="str">
        <f>IF(OR(ISBLANK(P53:P58),ISBLANK(AJ53:AJ58),ISBLANK(V53:V58),ISBLANK(AP53:AP58)),"·",bdRateExtend(P53:P58,V53:V58,AJ53:AJ58,AP53:AP58))</f>
        <v>·</v>
      </c>
      <c r="BJ53" s="54" t="str">
        <f>IF(OR(ISBLANK(P53:P58),ISBLANK(AJ53:AJ58),ISBLANK(W53:W58),ISBLANK(AQ53:AQ58)),"·",bdRateExtend(P53:P58,W53:W58,AJ53:AJ58,AQ53:AQ58))</f>
        <v>·</v>
      </c>
      <c r="BK53" s="54" t="str">
        <f>IF(OR(ISBLANK(P53:P58),ISBLANK(AJ53:AJ58),ISBLANK(X53:X58),ISBLANK(AR53:AR58)),"·",bdRateExtend(P53:P58,X53:X58,AJ53:AJ58,AR53:AR58))</f>
        <v>·</v>
      </c>
      <c r="BL53" s="61"/>
      <c r="BN53">
        <f t="shared" si="12"/>
        <v>0</v>
      </c>
      <c r="BO53">
        <f t="shared" si="13"/>
        <v>0</v>
      </c>
      <c r="BP53">
        <f t="shared" si="14"/>
        <v>0</v>
      </c>
      <c r="BQ53">
        <f t="shared" si="15"/>
        <v>0</v>
      </c>
      <c r="BR53">
        <f t="shared" si="16"/>
        <v>0</v>
      </c>
      <c r="BS53">
        <f t="shared" si="17"/>
        <v>0</v>
      </c>
      <c r="BT53">
        <f t="shared" si="18"/>
        <v>0</v>
      </c>
      <c r="BU53">
        <f t="shared" si="19"/>
        <v>0</v>
      </c>
      <c r="BV53">
        <f t="shared" si="20"/>
        <v>0</v>
      </c>
      <c r="BW53">
        <f t="shared" si="21"/>
        <v>0</v>
      </c>
      <c r="BX53">
        <f t="shared" si="22"/>
        <v>0</v>
      </c>
    </row>
    <row r="54" spans="1:76" outlineLevel="1" x14ac:dyDescent="0.15">
      <c r="A54" s="8"/>
      <c r="B54" s="8" t="s">
        <v>85</v>
      </c>
      <c r="C54" s="9" t="s">
        <v>255</v>
      </c>
      <c r="D54" s="8">
        <v>13903516</v>
      </c>
      <c r="E54" s="10">
        <v>12</v>
      </c>
      <c r="F54" s="9">
        <v>1</v>
      </c>
      <c r="G54" s="9"/>
      <c r="I54" s="22" t="str">
        <f t="shared" si="0"/>
        <v>·</v>
      </c>
      <c r="J54" s="23" t="str">
        <f t="shared" si="1"/>
        <v>·</v>
      </c>
      <c r="K54" s="23" t="str">
        <f t="shared" si="2"/>
        <v>·</v>
      </c>
      <c r="L54" s="23" t="str">
        <f t="shared" si="3"/>
        <v>·</v>
      </c>
      <c r="M54" s="24"/>
      <c r="N54" s="23" t="str">
        <f t="shared" si="4"/>
        <v>·</v>
      </c>
      <c r="O54" s="25"/>
      <c r="P54" s="26"/>
      <c r="Q54" s="26"/>
      <c r="R54" s="26"/>
      <c r="S54" s="40"/>
      <c r="T54" s="41"/>
      <c r="U54" s="41"/>
      <c r="V54" s="41"/>
      <c r="W54" s="41"/>
      <c r="X54" s="41"/>
      <c r="Y54" s="42"/>
      <c r="Z54" s="50"/>
      <c r="AA54" s="50"/>
      <c r="AC54" s="22" t="str">
        <f t="shared" si="5"/>
        <v>·</v>
      </c>
      <c r="AD54" s="23" t="str">
        <f t="shared" si="6"/>
        <v>·</v>
      </c>
      <c r="AE54" s="23" t="str">
        <f t="shared" si="7"/>
        <v>·</v>
      </c>
      <c r="AF54" s="23" t="str">
        <f t="shared" si="8"/>
        <v>·</v>
      </c>
      <c r="AG54" s="24"/>
      <c r="AH54" s="23" t="str">
        <f t="shared" si="9"/>
        <v>·</v>
      </c>
      <c r="AI54" s="25"/>
      <c r="AJ54" s="26"/>
      <c r="AK54" s="26"/>
      <c r="AL54" s="26"/>
      <c r="AM54" s="40"/>
      <c r="AN54" s="41"/>
      <c r="AO54" s="41"/>
      <c r="AP54" s="41"/>
      <c r="AQ54" s="41"/>
      <c r="AR54" s="41"/>
      <c r="AS54" s="42"/>
      <c r="AT54" s="50"/>
      <c r="AU54" s="50"/>
      <c r="AW54" s="55" t="e">
        <f t="shared" si="10"/>
        <v>#DIV/0!</v>
      </c>
      <c r="AX54" s="55"/>
      <c r="AZ54" s="56"/>
      <c r="BA54" s="56"/>
      <c r="BB54" s="56"/>
      <c r="BC54" s="56"/>
      <c r="BD54" s="56"/>
      <c r="BE54" s="62"/>
      <c r="BG54" s="56"/>
      <c r="BH54" s="56"/>
      <c r="BI54" s="56"/>
      <c r="BJ54" s="56"/>
      <c r="BK54" s="56"/>
      <c r="BL54" s="62"/>
      <c r="BN54">
        <f t="shared" si="12"/>
        <v>0</v>
      </c>
      <c r="BO54">
        <f t="shared" si="13"/>
        <v>0</v>
      </c>
      <c r="BP54">
        <f t="shared" si="14"/>
        <v>0</v>
      </c>
      <c r="BQ54">
        <f t="shared" si="15"/>
        <v>0</v>
      </c>
      <c r="BR54">
        <f t="shared" si="16"/>
        <v>0</v>
      </c>
      <c r="BS54">
        <f t="shared" si="17"/>
        <v>0</v>
      </c>
      <c r="BT54">
        <f t="shared" si="18"/>
        <v>0</v>
      </c>
      <c r="BU54">
        <f t="shared" si="19"/>
        <v>0</v>
      </c>
      <c r="BV54">
        <f t="shared" si="20"/>
        <v>0</v>
      </c>
      <c r="BW54">
        <f t="shared" si="21"/>
        <v>0</v>
      </c>
      <c r="BX54">
        <f t="shared" si="22"/>
        <v>0</v>
      </c>
    </row>
    <row r="55" spans="1:76" outlineLevel="1" x14ac:dyDescent="0.15">
      <c r="A55" s="5"/>
      <c r="B55" s="5" t="s">
        <v>85</v>
      </c>
      <c r="C55" s="6" t="s">
        <v>256</v>
      </c>
      <c r="D55" s="5">
        <v>13903516</v>
      </c>
      <c r="E55" s="7">
        <v>12</v>
      </c>
      <c r="F55" s="6">
        <v>1</v>
      </c>
      <c r="G55" s="6"/>
      <c r="I55" s="17" t="str">
        <f t="shared" si="0"/>
        <v>·</v>
      </c>
      <c r="J55" s="18" t="str">
        <f t="shared" si="1"/>
        <v>·</v>
      </c>
      <c r="K55" s="18" t="str">
        <f t="shared" si="2"/>
        <v>·</v>
      </c>
      <c r="L55" s="18" t="str">
        <f t="shared" si="3"/>
        <v>·</v>
      </c>
      <c r="M55" s="19"/>
      <c r="N55" s="18" t="str">
        <f t="shared" si="4"/>
        <v>·</v>
      </c>
      <c r="O55" s="20"/>
      <c r="P55" s="21"/>
      <c r="Q55" s="21"/>
      <c r="R55" s="21"/>
      <c r="S55" s="37"/>
      <c r="T55" s="38"/>
      <c r="U55" s="38"/>
      <c r="V55" s="38"/>
      <c r="W55" s="38"/>
      <c r="X55" s="38"/>
      <c r="Y55" s="39"/>
      <c r="Z55" s="49"/>
      <c r="AA55" s="49"/>
      <c r="AC55" s="17" t="str">
        <f t="shared" si="5"/>
        <v>·</v>
      </c>
      <c r="AD55" s="18" t="str">
        <f t="shared" si="6"/>
        <v>·</v>
      </c>
      <c r="AE55" s="18" t="str">
        <f t="shared" si="7"/>
        <v>·</v>
      </c>
      <c r="AF55" s="18" t="str">
        <f t="shared" si="8"/>
        <v>·</v>
      </c>
      <c r="AG55" s="19"/>
      <c r="AH55" s="18" t="str">
        <f t="shared" si="9"/>
        <v>·</v>
      </c>
      <c r="AI55" s="20"/>
      <c r="AJ55" s="21"/>
      <c r="AK55" s="21"/>
      <c r="AL55" s="21"/>
      <c r="AM55" s="37"/>
      <c r="AN55" s="38"/>
      <c r="AO55" s="38"/>
      <c r="AP55" s="38"/>
      <c r="AQ55" s="38"/>
      <c r="AR55" s="38"/>
      <c r="AS55" s="39"/>
      <c r="AT55" s="49"/>
      <c r="AU55" s="49"/>
      <c r="AW55" s="53" t="e">
        <f t="shared" si="10"/>
        <v>#DIV/0!</v>
      </c>
      <c r="AX55" s="53"/>
      <c r="AZ55" s="54"/>
      <c r="BA55" s="54"/>
      <c r="BB55" s="54"/>
      <c r="BC55" s="54"/>
      <c r="BD55" s="54"/>
      <c r="BE55" s="61"/>
      <c r="BG55" s="54"/>
      <c r="BH55" s="54"/>
      <c r="BI55" s="54"/>
      <c r="BJ55" s="54"/>
      <c r="BK55" s="54"/>
      <c r="BL55" s="61"/>
      <c r="BN55">
        <f t="shared" si="12"/>
        <v>0</v>
      </c>
      <c r="BO55">
        <f t="shared" si="13"/>
        <v>0</v>
      </c>
      <c r="BP55">
        <f t="shared" si="14"/>
        <v>0</v>
      </c>
      <c r="BQ55">
        <f t="shared" si="15"/>
        <v>0</v>
      </c>
      <c r="BR55">
        <f t="shared" si="16"/>
        <v>0</v>
      </c>
      <c r="BS55">
        <f t="shared" si="17"/>
        <v>0</v>
      </c>
      <c r="BT55">
        <f t="shared" si="18"/>
        <v>0</v>
      </c>
      <c r="BU55">
        <f t="shared" si="19"/>
        <v>0</v>
      </c>
      <c r="BV55">
        <f t="shared" si="20"/>
        <v>0</v>
      </c>
      <c r="BW55">
        <f t="shared" si="21"/>
        <v>0</v>
      </c>
      <c r="BX55">
        <f t="shared" si="22"/>
        <v>0</v>
      </c>
    </row>
    <row r="56" spans="1:76" outlineLevel="1" x14ac:dyDescent="0.15">
      <c r="A56" s="8"/>
      <c r="B56" s="8" t="s">
        <v>85</v>
      </c>
      <c r="C56" s="9" t="s">
        <v>257</v>
      </c>
      <c r="D56" s="8">
        <v>13903516</v>
      </c>
      <c r="E56" s="10">
        <v>12</v>
      </c>
      <c r="F56" s="9">
        <v>1</v>
      </c>
      <c r="G56" s="9"/>
      <c r="I56" s="22" t="str">
        <f t="shared" si="0"/>
        <v>·</v>
      </c>
      <c r="J56" s="23" t="str">
        <f t="shared" si="1"/>
        <v>·</v>
      </c>
      <c r="K56" s="23" t="str">
        <f t="shared" si="2"/>
        <v>·</v>
      </c>
      <c r="L56" s="23" t="str">
        <f t="shared" si="3"/>
        <v>·</v>
      </c>
      <c r="M56" s="24"/>
      <c r="N56" s="23" t="str">
        <f t="shared" si="4"/>
        <v>·</v>
      </c>
      <c r="O56" s="25"/>
      <c r="P56" s="26"/>
      <c r="Q56" s="26"/>
      <c r="R56" s="26"/>
      <c r="S56" s="40"/>
      <c r="T56" s="41"/>
      <c r="U56" s="41"/>
      <c r="V56" s="41"/>
      <c r="W56" s="41"/>
      <c r="X56" s="41"/>
      <c r="Y56" s="42"/>
      <c r="Z56" s="50"/>
      <c r="AA56" s="50"/>
      <c r="AC56" s="22" t="str">
        <f t="shared" si="5"/>
        <v>·</v>
      </c>
      <c r="AD56" s="23" t="str">
        <f t="shared" si="6"/>
        <v>·</v>
      </c>
      <c r="AE56" s="23" t="str">
        <f t="shared" si="7"/>
        <v>·</v>
      </c>
      <c r="AF56" s="23" t="str">
        <f t="shared" si="8"/>
        <v>·</v>
      </c>
      <c r="AG56" s="24"/>
      <c r="AH56" s="23" t="str">
        <f t="shared" si="9"/>
        <v>·</v>
      </c>
      <c r="AI56" s="25"/>
      <c r="AJ56" s="26"/>
      <c r="AK56" s="26"/>
      <c r="AL56" s="26"/>
      <c r="AM56" s="40"/>
      <c r="AN56" s="41"/>
      <c r="AO56" s="41"/>
      <c r="AP56" s="41"/>
      <c r="AQ56" s="41"/>
      <c r="AR56" s="41"/>
      <c r="AS56" s="42"/>
      <c r="AT56" s="50"/>
      <c r="AU56" s="50"/>
      <c r="AW56" s="55" t="e">
        <f t="shared" si="10"/>
        <v>#DIV/0!</v>
      </c>
      <c r="AX56" s="55"/>
      <c r="AZ56" s="56"/>
      <c r="BA56" s="56"/>
      <c r="BB56" s="56"/>
      <c r="BC56" s="56"/>
      <c r="BD56" s="56"/>
      <c r="BE56" s="62"/>
      <c r="BG56" s="56"/>
      <c r="BH56" s="56"/>
      <c r="BI56" s="56"/>
      <c r="BJ56" s="56"/>
      <c r="BK56" s="56"/>
      <c r="BL56" s="62"/>
      <c r="BN56">
        <f t="shared" si="12"/>
        <v>0</v>
      </c>
      <c r="BO56">
        <f t="shared" si="13"/>
        <v>0</v>
      </c>
      <c r="BP56">
        <f t="shared" si="14"/>
        <v>0</v>
      </c>
      <c r="BQ56">
        <f t="shared" si="15"/>
        <v>0</v>
      </c>
      <c r="BR56">
        <f t="shared" si="16"/>
        <v>0</v>
      </c>
      <c r="BS56">
        <f t="shared" si="17"/>
        <v>0</v>
      </c>
      <c r="BT56">
        <f t="shared" si="18"/>
        <v>0</v>
      </c>
      <c r="BU56">
        <f t="shared" si="19"/>
        <v>0</v>
      </c>
      <c r="BV56">
        <f t="shared" si="20"/>
        <v>0</v>
      </c>
      <c r="BW56">
        <f t="shared" si="21"/>
        <v>0</v>
      </c>
      <c r="BX56">
        <f t="shared" si="22"/>
        <v>0</v>
      </c>
    </row>
    <row r="57" spans="1:76" outlineLevel="1" x14ac:dyDescent="0.15">
      <c r="A57" s="5"/>
      <c r="B57" s="5" t="s">
        <v>85</v>
      </c>
      <c r="C57" s="6" t="s">
        <v>258</v>
      </c>
      <c r="D57" s="5">
        <v>13903516</v>
      </c>
      <c r="E57" s="7">
        <v>12</v>
      </c>
      <c r="F57" s="6">
        <v>1</v>
      </c>
      <c r="G57" s="6"/>
      <c r="I57" s="17" t="str">
        <f t="shared" si="0"/>
        <v>·</v>
      </c>
      <c r="J57" s="18" t="str">
        <f t="shared" si="1"/>
        <v>·</v>
      </c>
      <c r="K57" s="18" t="str">
        <f t="shared" si="2"/>
        <v>·</v>
      </c>
      <c r="L57" s="18" t="str">
        <f t="shared" si="3"/>
        <v>·</v>
      </c>
      <c r="M57" s="19"/>
      <c r="N57" s="18" t="str">
        <f t="shared" si="4"/>
        <v>·</v>
      </c>
      <c r="O57" s="20"/>
      <c r="P57" s="21"/>
      <c r="Q57" s="21"/>
      <c r="R57" s="21"/>
      <c r="S57" s="37"/>
      <c r="T57" s="38"/>
      <c r="U57" s="38"/>
      <c r="V57" s="38"/>
      <c r="W57" s="38"/>
      <c r="X57" s="38"/>
      <c r="Y57" s="39"/>
      <c r="Z57" s="49"/>
      <c r="AA57" s="49"/>
      <c r="AC57" s="17" t="str">
        <f t="shared" si="5"/>
        <v>·</v>
      </c>
      <c r="AD57" s="18" t="str">
        <f t="shared" si="6"/>
        <v>·</v>
      </c>
      <c r="AE57" s="18" t="str">
        <f t="shared" si="7"/>
        <v>·</v>
      </c>
      <c r="AF57" s="18" t="str">
        <f t="shared" si="8"/>
        <v>·</v>
      </c>
      <c r="AG57" s="19"/>
      <c r="AH57" s="18" t="str">
        <f t="shared" si="9"/>
        <v>·</v>
      </c>
      <c r="AI57" s="20"/>
      <c r="AJ57" s="21"/>
      <c r="AK57" s="21"/>
      <c r="AL57" s="21"/>
      <c r="AM57" s="37"/>
      <c r="AN57" s="38"/>
      <c r="AO57" s="38"/>
      <c r="AP57" s="38"/>
      <c r="AQ57" s="38"/>
      <c r="AR57" s="38"/>
      <c r="AS57" s="39"/>
      <c r="AT57" s="49"/>
      <c r="AU57" s="49"/>
      <c r="AW57" s="53" t="e">
        <f t="shared" si="10"/>
        <v>#DIV/0!</v>
      </c>
      <c r="AX57" s="53"/>
      <c r="AZ57" s="54"/>
      <c r="BA57" s="54"/>
      <c r="BB57" s="54"/>
      <c r="BC57" s="54"/>
      <c r="BD57" s="54"/>
      <c r="BE57" s="61"/>
      <c r="BG57" s="54"/>
      <c r="BH57" s="54"/>
      <c r="BI57" s="54"/>
      <c r="BJ57" s="54"/>
      <c r="BK57" s="54"/>
      <c r="BL57" s="61"/>
      <c r="BN57">
        <f t="shared" si="12"/>
        <v>0</v>
      </c>
      <c r="BO57">
        <f t="shared" si="13"/>
        <v>0</v>
      </c>
      <c r="BP57">
        <f t="shared" si="14"/>
        <v>0</v>
      </c>
      <c r="BQ57">
        <f t="shared" si="15"/>
        <v>0</v>
      </c>
      <c r="BR57">
        <f t="shared" si="16"/>
        <v>0</v>
      </c>
      <c r="BS57">
        <f t="shared" si="17"/>
        <v>0</v>
      </c>
      <c r="BT57">
        <f t="shared" si="18"/>
        <v>0</v>
      </c>
      <c r="BU57">
        <f t="shared" si="19"/>
        <v>0</v>
      </c>
      <c r="BV57">
        <f t="shared" si="20"/>
        <v>0</v>
      </c>
      <c r="BW57">
        <f t="shared" si="21"/>
        <v>0</v>
      </c>
      <c r="BX57">
        <f t="shared" si="22"/>
        <v>0</v>
      </c>
    </row>
    <row r="58" spans="1:76" outlineLevel="1" x14ac:dyDescent="0.15">
      <c r="A58" s="8"/>
      <c r="B58" s="14" t="s">
        <v>85</v>
      </c>
      <c r="C58" s="15" t="s">
        <v>259</v>
      </c>
      <c r="D58" s="14">
        <v>13903516</v>
      </c>
      <c r="E58" s="16">
        <v>12</v>
      </c>
      <c r="F58" s="15">
        <v>1</v>
      </c>
      <c r="G58" s="15"/>
      <c r="I58" s="32" t="str">
        <f t="shared" si="0"/>
        <v>·</v>
      </c>
      <c r="J58" s="33" t="str">
        <f t="shared" si="1"/>
        <v>·</v>
      </c>
      <c r="K58" s="33" t="str">
        <f t="shared" si="2"/>
        <v>·</v>
      </c>
      <c r="L58" s="33" t="str">
        <f t="shared" si="3"/>
        <v>·</v>
      </c>
      <c r="M58" s="34"/>
      <c r="N58" s="33" t="str">
        <f t="shared" si="4"/>
        <v>·</v>
      </c>
      <c r="O58" s="35"/>
      <c r="P58" s="36"/>
      <c r="Q58" s="36"/>
      <c r="R58" s="36"/>
      <c r="S58" s="46"/>
      <c r="T58" s="47"/>
      <c r="U58" s="47"/>
      <c r="V58" s="47"/>
      <c r="W58" s="47"/>
      <c r="X58" s="47"/>
      <c r="Y58" s="48"/>
      <c r="Z58" s="52"/>
      <c r="AA58" s="52"/>
      <c r="AC58" s="32" t="str">
        <f t="shared" si="5"/>
        <v>·</v>
      </c>
      <c r="AD58" s="33" t="str">
        <f t="shared" si="6"/>
        <v>·</v>
      </c>
      <c r="AE58" s="33" t="str">
        <f t="shared" si="7"/>
        <v>·</v>
      </c>
      <c r="AF58" s="33" t="str">
        <f t="shared" si="8"/>
        <v>·</v>
      </c>
      <c r="AG58" s="34"/>
      <c r="AH58" s="33" t="str">
        <f t="shared" si="9"/>
        <v>·</v>
      </c>
      <c r="AI58" s="35"/>
      <c r="AJ58" s="36"/>
      <c r="AK58" s="36"/>
      <c r="AL58" s="36"/>
      <c r="AM58" s="46"/>
      <c r="AN58" s="47"/>
      <c r="AO58" s="47"/>
      <c r="AP58" s="47"/>
      <c r="AQ58" s="47"/>
      <c r="AR58" s="47"/>
      <c r="AS58" s="48"/>
      <c r="AT58" s="52"/>
      <c r="AU58" s="52"/>
      <c r="AW58" s="59" t="e">
        <f t="shared" si="10"/>
        <v>#DIV/0!</v>
      </c>
      <c r="AX58" s="59"/>
      <c r="AZ58" s="60"/>
      <c r="BA58" s="60"/>
      <c r="BB58" s="60"/>
      <c r="BC58" s="60"/>
      <c r="BD58" s="60"/>
      <c r="BE58" s="64"/>
      <c r="BG58" s="60"/>
      <c r="BH58" s="60"/>
      <c r="BI58" s="60"/>
      <c r="BJ58" s="60"/>
      <c r="BK58" s="60"/>
      <c r="BL58" s="64"/>
      <c r="BN58">
        <f t="shared" si="12"/>
        <v>0</v>
      </c>
      <c r="BO58">
        <f t="shared" si="13"/>
        <v>0</v>
      </c>
      <c r="BP58">
        <f t="shared" si="14"/>
        <v>0</v>
      </c>
      <c r="BQ58">
        <f t="shared" si="15"/>
        <v>0</v>
      </c>
      <c r="BR58">
        <f t="shared" si="16"/>
        <v>0</v>
      </c>
      <c r="BS58">
        <f t="shared" si="17"/>
        <v>0</v>
      </c>
      <c r="BT58">
        <f t="shared" si="18"/>
        <v>0</v>
      </c>
      <c r="BU58">
        <f t="shared" si="19"/>
        <v>0</v>
      </c>
      <c r="BV58">
        <f t="shared" si="20"/>
        <v>0</v>
      </c>
      <c r="BW58">
        <f t="shared" si="21"/>
        <v>0</v>
      </c>
      <c r="BX58">
        <f t="shared" si="22"/>
        <v>0</v>
      </c>
    </row>
    <row r="59" spans="1:76" x14ac:dyDescent="0.15">
      <c r="A59" s="5"/>
      <c r="B59" s="72" t="s">
        <v>88</v>
      </c>
      <c r="C59" s="6" t="s">
        <v>254</v>
      </c>
      <c r="D59" s="5">
        <v>4848745</v>
      </c>
      <c r="E59" s="7">
        <v>12</v>
      </c>
      <c r="F59" s="6">
        <v>1</v>
      </c>
      <c r="G59" s="6"/>
      <c r="I59" s="17" t="str">
        <f t="shared" si="0"/>
        <v>·</v>
      </c>
      <c r="J59" s="18" t="str">
        <f t="shared" si="1"/>
        <v>·</v>
      </c>
      <c r="K59" s="18" t="str">
        <f t="shared" si="2"/>
        <v>·</v>
      </c>
      <c r="L59" s="18" t="str">
        <f t="shared" si="3"/>
        <v>·</v>
      </c>
      <c r="M59" s="19"/>
      <c r="N59" s="18" t="str">
        <f t="shared" si="4"/>
        <v>·</v>
      </c>
      <c r="O59" s="20"/>
      <c r="P59" s="21"/>
      <c r="Q59" s="21"/>
      <c r="R59" s="21"/>
      <c r="S59" s="37"/>
      <c r="T59" s="38"/>
      <c r="U59" s="38"/>
      <c r="V59" s="38"/>
      <c r="W59" s="38"/>
      <c r="X59" s="38"/>
      <c r="Y59" s="39"/>
      <c r="Z59" s="49"/>
      <c r="AA59" s="49"/>
      <c r="AC59" s="17" t="str">
        <f t="shared" si="5"/>
        <v>·</v>
      </c>
      <c r="AD59" s="18" t="str">
        <f t="shared" si="6"/>
        <v>·</v>
      </c>
      <c r="AE59" s="18" t="str">
        <f t="shared" si="7"/>
        <v>·</v>
      </c>
      <c r="AF59" s="18" t="str">
        <f t="shared" si="8"/>
        <v>·</v>
      </c>
      <c r="AG59" s="19"/>
      <c r="AH59" s="18" t="str">
        <f t="shared" si="9"/>
        <v>·</v>
      </c>
      <c r="AI59" s="20"/>
      <c r="AJ59" s="21"/>
      <c r="AK59" s="21"/>
      <c r="AL59" s="21"/>
      <c r="AM59" s="37"/>
      <c r="AN59" s="38"/>
      <c r="AO59" s="38"/>
      <c r="AP59" s="38"/>
      <c r="AQ59" s="38"/>
      <c r="AR59" s="38"/>
      <c r="AS59" s="39"/>
      <c r="AT59" s="49"/>
      <c r="AU59" s="49"/>
      <c r="AW59" s="53" t="e">
        <f t="shared" si="10"/>
        <v>#DIV/0!</v>
      </c>
      <c r="AX59" s="53" t="e">
        <f t="array" ref="AX59">AVERAGE(AK59:AK64/AJ59:AJ64)-AVERAGE(Q59:Q64/P59:P64)</f>
        <v>#DIV/0!</v>
      </c>
      <c r="AZ59" s="54" t="str">
        <f>IF(OR(ISBLANK(Q59:Q64),ISBLANK(AK59:AK64),ISBLANK(T59:T64),ISBLANK(AN59:AN64)),"·",bdRateExtend(Q59:Q64,T59:T64,AK59:AK64,AN59:AN64))</f>
        <v>·</v>
      </c>
      <c r="BA59" s="54" t="str">
        <f>IF(OR(ISBLANK(Q59:Q64),ISBLANK(AK59:AK64),ISBLANK(U59:U64),ISBLANK(AO59:AO64)),"·",bdRateExtend(Q59:Q64,U59:U64,AK59:AK64,AO59:AO64))</f>
        <v>·</v>
      </c>
      <c r="BB59" s="54" t="str">
        <f>IF(OR(ISBLANK(R59:R64),ISBLANK(AL59:AL64),ISBLANK(V59:V64),ISBLANK(AP59:AP64)),"·",bdRateExtend(R59:R64,V59:V64,AL59:AL64,AP59:AP64))</f>
        <v>·</v>
      </c>
      <c r="BC59" s="54" t="str">
        <f>IF(OR(ISBLANK(R59:R64),ISBLANK(AL59:AL64),ISBLANK(W59:W64),ISBLANK(AQ59:AQ64)),"·",bdRateExtend(R59:R64,W59:W64,AL59:AL64,AQ59:AQ64))</f>
        <v>·</v>
      </c>
      <c r="BD59" s="54" t="str">
        <f>IF(OR(ISBLANK(R59:R64),ISBLANK(AL59:AL64),ISBLANK(X59:X64),ISBLANK(AR59:AR64)),"·",bdRateExtend(R59:R64,X59:X64,AL59:AL64,AR59:AR64))</f>
        <v>·</v>
      </c>
      <c r="BE59" s="61"/>
      <c r="BG59" s="54" t="str">
        <f>IF(OR(ISBLANK(P59:P64),ISBLANK(AJ59:AJ64),ISBLANK(T59:T64),ISBLANK(AN59:AN64)),"·",bdRateExtend(P59:P64,T59:T64,AJ59:AJ64,AN59:AN64))</f>
        <v>·</v>
      </c>
      <c r="BH59" s="54" t="str">
        <f>IF(OR(ISBLANK(P59:P64),ISBLANK(AJ59:AJ64),ISBLANK(U59:U64),ISBLANK(AO59:AO64)),"·",bdRateExtend(P59:P64,U59:U64,AJ59:AJ64,AO59:AO64))</f>
        <v>·</v>
      </c>
      <c r="BI59" s="54" t="str">
        <f>IF(OR(ISBLANK(P59:P64),ISBLANK(AJ59:AJ64),ISBLANK(V59:V64),ISBLANK(AP59:AP64)),"·",bdRateExtend(P59:P64,V59:V64,AJ59:AJ64,AP59:AP64))</f>
        <v>·</v>
      </c>
      <c r="BJ59" s="54" t="str">
        <f>IF(OR(ISBLANK(P59:P64),ISBLANK(AJ59:AJ64),ISBLANK(W59:W64),ISBLANK(AQ59:AQ64)),"·",bdRateExtend(P59:P64,W59:W64,AJ59:AJ64,AQ59:AQ64))</f>
        <v>·</v>
      </c>
      <c r="BK59" s="54" t="str">
        <f>IF(OR(ISBLANK(P59:P64),ISBLANK(AJ59:AJ64),ISBLANK(X59:X64),ISBLANK(AR59:AR64)),"·",bdRateExtend(P59:P64,X59:X64,AJ59:AJ64,AR59:AR64))</f>
        <v>·</v>
      </c>
      <c r="BL59" s="61"/>
      <c r="BN59">
        <f t="shared" si="12"/>
        <v>0</v>
      </c>
      <c r="BO59">
        <f t="shared" si="13"/>
        <v>0</v>
      </c>
      <c r="BP59">
        <f t="shared" si="14"/>
        <v>0</v>
      </c>
      <c r="BQ59">
        <f t="shared" si="15"/>
        <v>0</v>
      </c>
      <c r="BR59">
        <f t="shared" si="16"/>
        <v>0</v>
      </c>
      <c r="BS59">
        <f t="shared" si="17"/>
        <v>0</v>
      </c>
      <c r="BT59">
        <f t="shared" si="18"/>
        <v>0</v>
      </c>
      <c r="BU59">
        <f t="shared" si="19"/>
        <v>0</v>
      </c>
      <c r="BV59">
        <f t="shared" si="20"/>
        <v>0</v>
      </c>
      <c r="BW59">
        <f t="shared" si="21"/>
        <v>0</v>
      </c>
      <c r="BX59">
        <f t="shared" si="22"/>
        <v>0</v>
      </c>
    </row>
    <row r="60" spans="1:76" outlineLevel="1" x14ac:dyDescent="0.15">
      <c r="A60" s="8"/>
      <c r="B60" s="8" t="s">
        <v>88</v>
      </c>
      <c r="C60" s="9" t="s">
        <v>255</v>
      </c>
      <c r="D60" s="8">
        <v>4848745</v>
      </c>
      <c r="E60" s="10">
        <v>12</v>
      </c>
      <c r="F60" s="9">
        <v>1</v>
      </c>
      <c r="G60" s="9"/>
      <c r="I60" s="22" t="str">
        <f t="shared" si="0"/>
        <v>·</v>
      </c>
      <c r="J60" s="23" t="str">
        <f t="shared" si="1"/>
        <v>·</v>
      </c>
      <c r="K60" s="23" t="str">
        <f t="shared" si="2"/>
        <v>·</v>
      </c>
      <c r="L60" s="23" t="str">
        <f t="shared" si="3"/>
        <v>·</v>
      </c>
      <c r="M60" s="24"/>
      <c r="N60" s="23" t="str">
        <f t="shared" si="4"/>
        <v>·</v>
      </c>
      <c r="O60" s="25"/>
      <c r="P60" s="26"/>
      <c r="Q60" s="26"/>
      <c r="R60" s="26"/>
      <c r="S60" s="40"/>
      <c r="T60" s="41"/>
      <c r="U60" s="41"/>
      <c r="V60" s="41"/>
      <c r="W60" s="41"/>
      <c r="X60" s="41"/>
      <c r="Y60" s="42"/>
      <c r="Z60" s="50"/>
      <c r="AA60" s="50"/>
      <c r="AC60" s="22" t="str">
        <f t="shared" si="5"/>
        <v>·</v>
      </c>
      <c r="AD60" s="23" t="str">
        <f t="shared" si="6"/>
        <v>·</v>
      </c>
      <c r="AE60" s="23" t="str">
        <f t="shared" si="7"/>
        <v>·</v>
      </c>
      <c r="AF60" s="23" t="str">
        <f t="shared" si="8"/>
        <v>·</v>
      </c>
      <c r="AG60" s="24"/>
      <c r="AH60" s="23" t="str">
        <f t="shared" si="9"/>
        <v>·</v>
      </c>
      <c r="AI60" s="25"/>
      <c r="AJ60" s="26"/>
      <c r="AK60" s="26"/>
      <c r="AL60" s="26"/>
      <c r="AM60" s="40"/>
      <c r="AN60" s="41"/>
      <c r="AO60" s="41"/>
      <c r="AP60" s="41"/>
      <c r="AQ60" s="41"/>
      <c r="AR60" s="41"/>
      <c r="AS60" s="42"/>
      <c r="AT60" s="50"/>
      <c r="AU60" s="50"/>
      <c r="AW60" s="55" t="e">
        <f t="shared" si="10"/>
        <v>#DIV/0!</v>
      </c>
      <c r="AX60" s="55"/>
      <c r="AZ60" s="56"/>
      <c r="BA60" s="56"/>
      <c r="BB60" s="56"/>
      <c r="BC60" s="56"/>
      <c r="BD60" s="56"/>
      <c r="BE60" s="62"/>
      <c r="BG60" s="56"/>
      <c r="BH60" s="56"/>
      <c r="BI60" s="56"/>
      <c r="BJ60" s="56"/>
      <c r="BK60" s="56"/>
      <c r="BL60" s="62"/>
      <c r="BN60">
        <f t="shared" si="12"/>
        <v>0</v>
      </c>
      <c r="BO60">
        <f t="shared" si="13"/>
        <v>0</v>
      </c>
      <c r="BP60">
        <f t="shared" si="14"/>
        <v>0</v>
      </c>
      <c r="BQ60">
        <f t="shared" si="15"/>
        <v>0</v>
      </c>
      <c r="BR60">
        <f t="shared" si="16"/>
        <v>0</v>
      </c>
      <c r="BS60">
        <f t="shared" si="17"/>
        <v>0</v>
      </c>
      <c r="BT60">
        <f t="shared" si="18"/>
        <v>0</v>
      </c>
      <c r="BU60">
        <f t="shared" si="19"/>
        <v>0</v>
      </c>
      <c r="BV60">
        <f t="shared" si="20"/>
        <v>0</v>
      </c>
      <c r="BW60">
        <f t="shared" si="21"/>
        <v>0</v>
      </c>
      <c r="BX60">
        <f t="shared" si="22"/>
        <v>0</v>
      </c>
    </row>
    <row r="61" spans="1:76" outlineLevel="1" x14ac:dyDescent="0.15">
      <c r="A61" s="5"/>
      <c r="B61" s="5" t="s">
        <v>88</v>
      </c>
      <c r="C61" s="6" t="s">
        <v>256</v>
      </c>
      <c r="D61" s="5">
        <v>4848745</v>
      </c>
      <c r="E61" s="7">
        <v>12</v>
      </c>
      <c r="F61" s="6">
        <v>1</v>
      </c>
      <c r="G61" s="6"/>
      <c r="I61" s="17" t="str">
        <f t="shared" si="0"/>
        <v>·</v>
      </c>
      <c r="J61" s="18" t="str">
        <f t="shared" si="1"/>
        <v>·</v>
      </c>
      <c r="K61" s="18" t="str">
        <f t="shared" si="2"/>
        <v>·</v>
      </c>
      <c r="L61" s="18" t="str">
        <f t="shared" si="3"/>
        <v>·</v>
      </c>
      <c r="M61" s="19"/>
      <c r="N61" s="18" t="str">
        <f t="shared" si="4"/>
        <v>·</v>
      </c>
      <c r="O61" s="20"/>
      <c r="P61" s="21"/>
      <c r="Q61" s="21"/>
      <c r="R61" s="21"/>
      <c r="S61" s="37"/>
      <c r="T61" s="38"/>
      <c r="U61" s="38"/>
      <c r="V61" s="38"/>
      <c r="W61" s="38"/>
      <c r="X61" s="38"/>
      <c r="Y61" s="39"/>
      <c r="Z61" s="49"/>
      <c r="AA61" s="49"/>
      <c r="AC61" s="17" t="str">
        <f t="shared" si="5"/>
        <v>·</v>
      </c>
      <c r="AD61" s="18" t="str">
        <f t="shared" si="6"/>
        <v>·</v>
      </c>
      <c r="AE61" s="18" t="str">
        <f t="shared" si="7"/>
        <v>·</v>
      </c>
      <c r="AF61" s="18" t="str">
        <f t="shared" si="8"/>
        <v>·</v>
      </c>
      <c r="AG61" s="19"/>
      <c r="AH61" s="18" t="str">
        <f t="shared" si="9"/>
        <v>·</v>
      </c>
      <c r="AI61" s="20"/>
      <c r="AJ61" s="21"/>
      <c r="AK61" s="21"/>
      <c r="AL61" s="21"/>
      <c r="AM61" s="37"/>
      <c r="AN61" s="38"/>
      <c r="AO61" s="38"/>
      <c r="AP61" s="38"/>
      <c r="AQ61" s="38"/>
      <c r="AR61" s="38"/>
      <c r="AS61" s="39"/>
      <c r="AT61" s="49"/>
      <c r="AU61" s="49"/>
      <c r="AW61" s="53" t="e">
        <f t="shared" si="10"/>
        <v>#DIV/0!</v>
      </c>
      <c r="AX61" s="53"/>
      <c r="AZ61" s="54"/>
      <c r="BA61" s="54"/>
      <c r="BB61" s="54"/>
      <c r="BC61" s="54"/>
      <c r="BD61" s="54"/>
      <c r="BE61" s="61"/>
      <c r="BG61" s="54"/>
      <c r="BH61" s="54"/>
      <c r="BI61" s="54"/>
      <c r="BJ61" s="54"/>
      <c r="BK61" s="54"/>
      <c r="BL61" s="61"/>
      <c r="BN61">
        <f t="shared" si="12"/>
        <v>0</v>
      </c>
      <c r="BO61">
        <f t="shared" si="13"/>
        <v>0</v>
      </c>
      <c r="BP61">
        <f t="shared" si="14"/>
        <v>0</v>
      </c>
      <c r="BQ61">
        <f t="shared" si="15"/>
        <v>0</v>
      </c>
      <c r="BR61">
        <f t="shared" si="16"/>
        <v>0</v>
      </c>
      <c r="BS61">
        <f t="shared" si="17"/>
        <v>0</v>
      </c>
      <c r="BT61">
        <f t="shared" si="18"/>
        <v>0</v>
      </c>
      <c r="BU61">
        <f t="shared" si="19"/>
        <v>0</v>
      </c>
      <c r="BV61">
        <f t="shared" si="20"/>
        <v>0</v>
      </c>
      <c r="BW61">
        <f t="shared" si="21"/>
        <v>0</v>
      </c>
      <c r="BX61">
        <f t="shared" si="22"/>
        <v>0</v>
      </c>
    </row>
    <row r="62" spans="1:76" outlineLevel="1" x14ac:dyDescent="0.15">
      <c r="A62" s="8"/>
      <c r="B62" s="8" t="s">
        <v>88</v>
      </c>
      <c r="C62" s="9" t="s">
        <v>257</v>
      </c>
      <c r="D62" s="8">
        <v>4848745</v>
      </c>
      <c r="E62" s="10">
        <v>12</v>
      </c>
      <c r="F62" s="9">
        <v>1</v>
      </c>
      <c r="G62" s="9"/>
      <c r="I62" s="22" t="str">
        <f t="shared" si="0"/>
        <v>·</v>
      </c>
      <c r="J62" s="23" t="str">
        <f t="shared" si="1"/>
        <v>·</v>
      </c>
      <c r="K62" s="23" t="str">
        <f t="shared" si="2"/>
        <v>·</v>
      </c>
      <c r="L62" s="23" t="str">
        <f t="shared" si="3"/>
        <v>·</v>
      </c>
      <c r="M62" s="24"/>
      <c r="N62" s="23" t="str">
        <f t="shared" si="4"/>
        <v>·</v>
      </c>
      <c r="O62" s="25"/>
      <c r="P62" s="26"/>
      <c r="Q62" s="26"/>
      <c r="R62" s="26"/>
      <c r="S62" s="40"/>
      <c r="T62" s="41"/>
      <c r="U62" s="41"/>
      <c r="V62" s="41"/>
      <c r="W62" s="41"/>
      <c r="X62" s="41"/>
      <c r="Y62" s="42"/>
      <c r="Z62" s="50"/>
      <c r="AA62" s="50"/>
      <c r="AC62" s="22" t="str">
        <f t="shared" si="5"/>
        <v>·</v>
      </c>
      <c r="AD62" s="23" t="str">
        <f t="shared" si="6"/>
        <v>·</v>
      </c>
      <c r="AE62" s="23" t="str">
        <f t="shared" si="7"/>
        <v>·</v>
      </c>
      <c r="AF62" s="23" t="str">
        <f t="shared" si="8"/>
        <v>·</v>
      </c>
      <c r="AG62" s="24"/>
      <c r="AH62" s="23" t="str">
        <f t="shared" si="9"/>
        <v>·</v>
      </c>
      <c r="AI62" s="25"/>
      <c r="AJ62" s="26"/>
      <c r="AK62" s="26"/>
      <c r="AL62" s="26"/>
      <c r="AM62" s="40"/>
      <c r="AN62" s="41"/>
      <c r="AO62" s="41"/>
      <c r="AP62" s="41"/>
      <c r="AQ62" s="41"/>
      <c r="AR62" s="41"/>
      <c r="AS62" s="42"/>
      <c r="AT62" s="50"/>
      <c r="AU62" s="50"/>
      <c r="AW62" s="55" t="e">
        <f t="shared" si="10"/>
        <v>#DIV/0!</v>
      </c>
      <c r="AX62" s="55"/>
      <c r="AZ62" s="56"/>
      <c r="BA62" s="56"/>
      <c r="BB62" s="56"/>
      <c r="BC62" s="56"/>
      <c r="BD62" s="56"/>
      <c r="BE62" s="62"/>
      <c r="BG62" s="56"/>
      <c r="BH62" s="56"/>
      <c r="BI62" s="56"/>
      <c r="BJ62" s="56"/>
      <c r="BK62" s="56"/>
      <c r="BL62" s="62"/>
      <c r="BN62">
        <f t="shared" si="12"/>
        <v>0</v>
      </c>
      <c r="BO62">
        <f t="shared" si="13"/>
        <v>0</v>
      </c>
      <c r="BP62">
        <f t="shared" si="14"/>
        <v>0</v>
      </c>
      <c r="BQ62">
        <f t="shared" si="15"/>
        <v>0</v>
      </c>
      <c r="BR62">
        <f t="shared" si="16"/>
        <v>0</v>
      </c>
      <c r="BS62">
        <f t="shared" si="17"/>
        <v>0</v>
      </c>
      <c r="BT62">
        <f t="shared" si="18"/>
        <v>0</v>
      </c>
      <c r="BU62">
        <f t="shared" si="19"/>
        <v>0</v>
      </c>
      <c r="BV62">
        <f t="shared" si="20"/>
        <v>0</v>
      </c>
      <c r="BW62">
        <f t="shared" si="21"/>
        <v>0</v>
      </c>
      <c r="BX62">
        <f t="shared" si="22"/>
        <v>0</v>
      </c>
    </row>
    <row r="63" spans="1:76" outlineLevel="1" x14ac:dyDescent="0.15">
      <c r="A63" s="5"/>
      <c r="B63" s="5" t="s">
        <v>88</v>
      </c>
      <c r="C63" s="6" t="s">
        <v>258</v>
      </c>
      <c r="D63" s="5">
        <v>4848745</v>
      </c>
      <c r="E63" s="7">
        <v>12</v>
      </c>
      <c r="F63" s="6">
        <v>1</v>
      </c>
      <c r="G63" s="6"/>
      <c r="I63" s="17" t="str">
        <f t="shared" si="0"/>
        <v>·</v>
      </c>
      <c r="J63" s="18" t="str">
        <f t="shared" si="1"/>
        <v>·</v>
      </c>
      <c r="K63" s="18" t="str">
        <f t="shared" si="2"/>
        <v>·</v>
      </c>
      <c r="L63" s="18" t="str">
        <f t="shared" si="3"/>
        <v>·</v>
      </c>
      <c r="M63" s="19"/>
      <c r="N63" s="18" t="str">
        <f t="shared" si="4"/>
        <v>·</v>
      </c>
      <c r="O63" s="20"/>
      <c r="P63" s="21"/>
      <c r="Q63" s="21"/>
      <c r="R63" s="21"/>
      <c r="S63" s="37"/>
      <c r="T63" s="38"/>
      <c r="U63" s="38"/>
      <c r="V63" s="38"/>
      <c r="W63" s="38"/>
      <c r="X63" s="38"/>
      <c r="Y63" s="39"/>
      <c r="Z63" s="49"/>
      <c r="AA63" s="49"/>
      <c r="AC63" s="17" t="str">
        <f t="shared" si="5"/>
        <v>·</v>
      </c>
      <c r="AD63" s="18" t="str">
        <f t="shared" si="6"/>
        <v>·</v>
      </c>
      <c r="AE63" s="18" t="str">
        <f t="shared" si="7"/>
        <v>·</v>
      </c>
      <c r="AF63" s="18" t="str">
        <f t="shared" si="8"/>
        <v>·</v>
      </c>
      <c r="AG63" s="19"/>
      <c r="AH63" s="18" t="str">
        <f t="shared" si="9"/>
        <v>·</v>
      </c>
      <c r="AI63" s="20"/>
      <c r="AJ63" s="21"/>
      <c r="AK63" s="21"/>
      <c r="AL63" s="21"/>
      <c r="AM63" s="37"/>
      <c r="AN63" s="38"/>
      <c r="AO63" s="38"/>
      <c r="AP63" s="38"/>
      <c r="AQ63" s="38"/>
      <c r="AR63" s="38"/>
      <c r="AS63" s="39"/>
      <c r="AT63" s="49"/>
      <c r="AU63" s="49"/>
      <c r="AW63" s="53" t="e">
        <f t="shared" si="10"/>
        <v>#DIV/0!</v>
      </c>
      <c r="AX63" s="53"/>
      <c r="AZ63" s="54"/>
      <c r="BA63" s="54"/>
      <c r="BB63" s="54"/>
      <c r="BC63" s="54"/>
      <c r="BD63" s="54"/>
      <c r="BE63" s="61"/>
      <c r="BG63" s="54"/>
      <c r="BH63" s="54"/>
      <c r="BI63" s="54"/>
      <c r="BJ63" s="54"/>
      <c r="BK63" s="54"/>
      <c r="BL63" s="61"/>
      <c r="BN63">
        <f t="shared" si="12"/>
        <v>0</v>
      </c>
      <c r="BO63">
        <f t="shared" si="13"/>
        <v>0</v>
      </c>
      <c r="BP63">
        <f t="shared" si="14"/>
        <v>0</v>
      </c>
      <c r="BQ63">
        <f t="shared" si="15"/>
        <v>0</v>
      </c>
      <c r="BR63">
        <f t="shared" si="16"/>
        <v>0</v>
      </c>
      <c r="BS63">
        <f t="shared" si="17"/>
        <v>0</v>
      </c>
      <c r="BT63">
        <f t="shared" si="18"/>
        <v>0</v>
      </c>
      <c r="BU63">
        <f t="shared" si="19"/>
        <v>0</v>
      </c>
      <c r="BV63">
        <f t="shared" si="20"/>
        <v>0</v>
      </c>
      <c r="BW63">
        <f t="shared" si="21"/>
        <v>0</v>
      </c>
      <c r="BX63">
        <f t="shared" si="22"/>
        <v>0</v>
      </c>
    </row>
    <row r="64" spans="1:76" outlineLevel="1" x14ac:dyDescent="0.15">
      <c r="A64" s="8"/>
      <c r="B64" s="14" t="s">
        <v>88</v>
      </c>
      <c r="C64" s="15" t="s">
        <v>259</v>
      </c>
      <c r="D64" s="14">
        <v>4848745</v>
      </c>
      <c r="E64" s="16">
        <v>12</v>
      </c>
      <c r="F64" s="15">
        <v>1</v>
      </c>
      <c r="G64" s="15"/>
      <c r="I64" s="32" t="str">
        <f t="shared" si="0"/>
        <v>·</v>
      </c>
      <c r="J64" s="33" t="str">
        <f t="shared" si="1"/>
        <v>·</v>
      </c>
      <c r="K64" s="33" t="str">
        <f t="shared" si="2"/>
        <v>·</v>
      </c>
      <c r="L64" s="33" t="str">
        <f t="shared" si="3"/>
        <v>·</v>
      </c>
      <c r="M64" s="34"/>
      <c r="N64" s="33" t="str">
        <f t="shared" si="4"/>
        <v>·</v>
      </c>
      <c r="O64" s="35"/>
      <c r="P64" s="36"/>
      <c r="Q64" s="36"/>
      <c r="R64" s="36"/>
      <c r="S64" s="46"/>
      <c r="T64" s="47"/>
      <c r="U64" s="47"/>
      <c r="V64" s="47"/>
      <c r="W64" s="47"/>
      <c r="X64" s="47"/>
      <c r="Y64" s="48"/>
      <c r="Z64" s="52"/>
      <c r="AA64" s="52"/>
      <c r="AC64" s="32" t="str">
        <f t="shared" si="5"/>
        <v>·</v>
      </c>
      <c r="AD64" s="33" t="str">
        <f t="shared" si="6"/>
        <v>·</v>
      </c>
      <c r="AE64" s="33" t="str">
        <f t="shared" si="7"/>
        <v>·</v>
      </c>
      <c r="AF64" s="33" t="str">
        <f t="shared" si="8"/>
        <v>·</v>
      </c>
      <c r="AG64" s="34"/>
      <c r="AH64" s="33" t="str">
        <f t="shared" si="9"/>
        <v>·</v>
      </c>
      <c r="AI64" s="35"/>
      <c r="AJ64" s="36"/>
      <c r="AK64" s="36"/>
      <c r="AL64" s="36"/>
      <c r="AM64" s="46"/>
      <c r="AN64" s="47"/>
      <c r="AO64" s="47"/>
      <c r="AP64" s="47"/>
      <c r="AQ64" s="47"/>
      <c r="AR64" s="47"/>
      <c r="AS64" s="48"/>
      <c r="AT64" s="52"/>
      <c r="AU64" s="52"/>
      <c r="AW64" s="59" t="e">
        <f t="shared" si="10"/>
        <v>#DIV/0!</v>
      </c>
      <c r="AX64" s="59"/>
      <c r="AZ64" s="60"/>
      <c r="BA64" s="60"/>
      <c r="BB64" s="60"/>
      <c r="BC64" s="60"/>
      <c r="BD64" s="60"/>
      <c r="BE64" s="64"/>
      <c r="BG64" s="60"/>
      <c r="BH64" s="60"/>
      <c r="BI64" s="60"/>
      <c r="BJ64" s="60"/>
      <c r="BK64" s="60"/>
      <c r="BL64" s="64"/>
      <c r="BN64">
        <f t="shared" si="12"/>
        <v>0</v>
      </c>
      <c r="BO64">
        <f t="shared" si="13"/>
        <v>0</v>
      </c>
      <c r="BP64">
        <f t="shared" si="14"/>
        <v>0</v>
      </c>
      <c r="BQ64">
        <f t="shared" si="15"/>
        <v>0</v>
      </c>
      <c r="BR64">
        <f t="shared" si="16"/>
        <v>0</v>
      </c>
      <c r="BS64">
        <f t="shared" si="17"/>
        <v>0</v>
      </c>
      <c r="BT64">
        <f t="shared" si="18"/>
        <v>0</v>
      </c>
      <c r="BU64">
        <f t="shared" si="19"/>
        <v>0</v>
      </c>
      <c r="BV64">
        <f t="shared" si="20"/>
        <v>0</v>
      </c>
      <c r="BW64">
        <f t="shared" si="21"/>
        <v>0</v>
      </c>
      <c r="BX64">
        <f t="shared" si="22"/>
        <v>0</v>
      </c>
    </row>
    <row r="65" spans="1:76" x14ac:dyDescent="0.15">
      <c r="A65" s="5"/>
      <c r="B65" s="5" t="s">
        <v>91</v>
      </c>
      <c r="C65" s="6" t="s">
        <v>254</v>
      </c>
      <c r="D65" s="5">
        <v>3096122</v>
      </c>
      <c r="E65" s="7">
        <v>12</v>
      </c>
      <c r="F65" s="6">
        <v>1</v>
      </c>
      <c r="G65" s="6"/>
      <c r="I65" s="17" t="str">
        <f t="shared" si="0"/>
        <v>·</v>
      </c>
      <c r="J65" s="18" t="str">
        <f t="shared" si="1"/>
        <v>·</v>
      </c>
      <c r="K65" s="18" t="str">
        <f t="shared" si="2"/>
        <v>·</v>
      </c>
      <c r="L65" s="18" t="str">
        <f t="shared" si="3"/>
        <v>·</v>
      </c>
      <c r="M65" s="19"/>
      <c r="N65" s="18" t="str">
        <f t="shared" si="4"/>
        <v>·</v>
      </c>
      <c r="O65" s="20"/>
      <c r="P65" s="21"/>
      <c r="Q65" s="21"/>
      <c r="R65" s="21"/>
      <c r="S65" s="37"/>
      <c r="T65" s="38"/>
      <c r="U65" s="38"/>
      <c r="V65" s="38"/>
      <c r="W65" s="38"/>
      <c r="X65" s="38"/>
      <c r="Y65" s="39"/>
      <c r="Z65" s="49"/>
      <c r="AA65" s="49"/>
      <c r="AC65" s="17" t="str">
        <f t="shared" si="5"/>
        <v>·</v>
      </c>
      <c r="AD65" s="18" t="str">
        <f t="shared" si="6"/>
        <v>·</v>
      </c>
      <c r="AE65" s="18" t="str">
        <f t="shared" si="7"/>
        <v>·</v>
      </c>
      <c r="AF65" s="18" t="str">
        <f t="shared" si="8"/>
        <v>·</v>
      </c>
      <c r="AG65" s="19"/>
      <c r="AH65" s="18" t="str">
        <f t="shared" si="9"/>
        <v>·</v>
      </c>
      <c r="AI65" s="20"/>
      <c r="AJ65" s="21"/>
      <c r="AK65" s="21"/>
      <c r="AL65" s="21"/>
      <c r="AM65" s="37"/>
      <c r="AN65" s="38"/>
      <c r="AO65" s="38"/>
      <c r="AP65" s="38"/>
      <c r="AQ65" s="38"/>
      <c r="AR65" s="38"/>
      <c r="AS65" s="39"/>
      <c r="AT65" s="49"/>
      <c r="AU65" s="49"/>
      <c r="AW65" s="53" t="e">
        <f t="shared" si="10"/>
        <v>#DIV/0!</v>
      </c>
      <c r="AX65" s="53" t="e">
        <f t="array" ref="AX65">AVERAGE(AK65:AK70/AJ65:AJ70)-AVERAGE(Q65:Q70/P65:P70)</f>
        <v>#DIV/0!</v>
      </c>
      <c r="AZ65" s="54" t="str">
        <f>IF(OR(ISBLANK(Q65:Q70),ISBLANK(AK65:AK70),ISBLANK(T65:T70),ISBLANK(AN65:AN70)),"·",bdRateExtend(Q65:Q70,T65:T70,AK65:AK70,AN65:AN70))</f>
        <v>·</v>
      </c>
      <c r="BA65" s="54" t="str">
        <f>IF(OR(ISBLANK(Q65:Q70),ISBLANK(AK65:AK70),ISBLANK(U65:U70),ISBLANK(AO65:AO70)),"·",bdRateExtend(Q65:Q70,U65:U70,AK65:AK70,AO65:AO70))</f>
        <v>·</v>
      </c>
      <c r="BB65" s="54" t="str">
        <f>IF(OR(ISBLANK(R65:R70),ISBLANK(AL65:AL70),ISBLANK(V65:V70),ISBLANK(AP65:AP70)),"·",bdRateExtend(R65:R70,V65:V70,AL65:AL70,AP65:AP70))</f>
        <v>·</v>
      </c>
      <c r="BC65" s="54" t="str">
        <f>IF(OR(ISBLANK(R65:R70),ISBLANK(AL65:AL70),ISBLANK(W65:W70),ISBLANK(AQ65:AQ70)),"·",bdRateExtend(R65:R70,W65:W70,AL65:AL70,AQ65:AQ70))</f>
        <v>·</v>
      </c>
      <c r="BD65" s="54" t="str">
        <f>IF(OR(ISBLANK(R65:R70),ISBLANK(AL65:AL70),ISBLANK(X65:X70),ISBLANK(AR65:AR70)),"·",bdRateExtend(R65:R70,X65:X70,AL65:AL70,AR65:AR70))</f>
        <v>·</v>
      </c>
      <c r="BE65" s="61"/>
      <c r="BG65" s="54" t="str">
        <f>IF(OR(ISBLANK(P65:P70),ISBLANK(AJ65:AJ70),ISBLANK(T65:T70),ISBLANK(AN65:AN70)),"·",bdRateExtend(P65:P70,T65:T70,AJ65:AJ70,AN65:AN70))</f>
        <v>·</v>
      </c>
      <c r="BH65" s="54" t="str">
        <f>IF(OR(ISBLANK(P65:P70),ISBLANK(AJ65:AJ70),ISBLANK(U65:U70),ISBLANK(AO65:AO70)),"·",bdRateExtend(P65:P70,U65:U70,AJ65:AJ70,AO65:AO70))</f>
        <v>·</v>
      </c>
      <c r="BI65" s="54" t="str">
        <f>IF(OR(ISBLANK(P65:P70),ISBLANK(AJ65:AJ70),ISBLANK(V65:V70),ISBLANK(AP65:AP70)),"·",bdRateExtend(P65:P70,V65:V70,AJ65:AJ70,AP65:AP70))</f>
        <v>·</v>
      </c>
      <c r="BJ65" s="54" t="str">
        <f>IF(OR(ISBLANK(P65:P70),ISBLANK(AJ65:AJ70),ISBLANK(W65:W70),ISBLANK(AQ65:AQ70)),"·",bdRateExtend(P65:P70,W65:W70,AJ65:AJ70,AQ65:AQ70))</f>
        <v>·</v>
      </c>
      <c r="BK65" s="54" t="str">
        <f>IF(OR(ISBLANK(P65:P70),ISBLANK(AJ65:AJ70),ISBLANK(X65:X70),ISBLANK(AR65:AR70)),"·",bdRateExtend(P65:P70,X65:X70,AJ65:AJ70,AR65:AR70))</f>
        <v>·</v>
      </c>
      <c r="BL65" s="61"/>
      <c r="BN65">
        <f t="shared" si="12"/>
        <v>0</v>
      </c>
      <c r="BO65">
        <f t="shared" si="13"/>
        <v>0</v>
      </c>
      <c r="BP65">
        <f t="shared" si="14"/>
        <v>0</v>
      </c>
      <c r="BQ65">
        <f t="shared" si="15"/>
        <v>0</v>
      </c>
      <c r="BR65">
        <f t="shared" si="16"/>
        <v>0</v>
      </c>
      <c r="BS65">
        <f t="shared" si="17"/>
        <v>0</v>
      </c>
      <c r="BT65">
        <f t="shared" si="18"/>
        <v>0</v>
      </c>
      <c r="BU65">
        <f t="shared" si="19"/>
        <v>0</v>
      </c>
      <c r="BV65">
        <f t="shared" si="20"/>
        <v>0</v>
      </c>
      <c r="BW65">
        <f t="shared" si="21"/>
        <v>0</v>
      </c>
      <c r="BX65">
        <f t="shared" si="22"/>
        <v>0</v>
      </c>
    </row>
    <row r="66" spans="1:76" outlineLevel="1" x14ac:dyDescent="0.15">
      <c r="A66" s="8"/>
      <c r="B66" s="8" t="s">
        <v>91</v>
      </c>
      <c r="C66" s="9" t="s">
        <v>255</v>
      </c>
      <c r="D66" s="8">
        <v>3096122</v>
      </c>
      <c r="E66" s="10">
        <v>12</v>
      </c>
      <c r="F66" s="9">
        <v>1</v>
      </c>
      <c r="G66" s="9"/>
      <c r="I66" s="22" t="str">
        <f t="shared" si="0"/>
        <v>·</v>
      </c>
      <c r="J66" s="23" t="str">
        <f t="shared" si="1"/>
        <v>·</v>
      </c>
      <c r="K66" s="23" t="str">
        <f t="shared" si="2"/>
        <v>·</v>
      </c>
      <c r="L66" s="23" t="str">
        <f t="shared" si="3"/>
        <v>·</v>
      </c>
      <c r="M66" s="24"/>
      <c r="N66" s="23" t="str">
        <f t="shared" si="4"/>
        <v>·</v>
      </c>
      <c r="O66" s="25"/>
      <c r="P66" s="26"/>
      <c r="Q66" s="26"/>
      <c r="R66" s="26"/>
      <c r="S66" s="40"/>
      <c r="T66" s="41"/>
      <c r="U66" s="41"/>
      <c r="V66" s="41"/>
      <c r="W66" s="41"/>
      <c r="X66" s="41"/>
      <c r="Y66" s="42"/>
      <c r="Z66" s="50"/>
      <c r="AA66" s="50"/>
      <c r="AC66" s="22" t="str">
        <f t="shared" si="5"/>
        <v>·</v>
      </c>
      <c r="AD66" s="23" t="str">
        <f t="shared" si="6"/>
        <v>·</v>
      </c>
      <c r="AE66" s="23" t="str">
        <f t="shared" si="7"/>
        <v>·</v>
      </c>
      <c r="AF66" s="23" t="str">
        <f t="shared" si="8"/>
        <v>·</v>
      </c>
      <c r="AG66" s="24"/>
      <c r="AH66" s="23" t="str">
        <f t="shared" si="9"/>
        <v>·</v>
      </c>
      <c r="AI66" s="25"/>
      <c r="AJ66" s="26"/>
      <c r="AK66" s="26"/>
      <c r="AL66" s="26"/>
      <c r="AM66" s="40"/>
      <c r="AN66" s="41"/>
      <c r="AO66" s="41"/>
      <c r="AP66" s="41"/>
      <c r="AQ66" s="41"/>
      <c r="AR66" s="41"/>
      <c r="AS66" s="42"/>
      <c r="AT66" s="50"/>
      <c r="AU66" s="50"/>
      <c r="AW66" s="55" t="e">
        <f t="shared" si="10"/>
        <v>#DIV/0!</v>
      </c>
      <c r="AX66" s="55"/>
      <c r="AZ66" s="56"/>
      <c r="BA66" s="56"/>
      <c r="BB66" s="56"/>
      <c r="BC66" s="56"/>
      <c r="BD66" s="56"/>
      <c r="BE66" s="62"/>
      <c r="BG66" s="56"/>
      <c r="BH66" s="56"/>
      <c r="BI66" s="56"/>
      <c r="BJ66" s="56"/>
      <c r="BK66" s="56"/>
      <c r="BL66" s="62"/>
      <c r="BN66">
        <f t="shared" si="12"/>
        <v>0</v>
      </c>
      <c r="BO66">
        <f t="shared" si="13"/>
        <v>0</v>
      </c>
      <c r="BP66">
        <f t="shared" si="14"/>
        <v>0</v>
      </c>
      <c r="BQ66">
        <f t="shared" si="15"/>
        <v>0</v>
      </c>
      <c r="BR66">
        <f t="shared" si="16"/>
        <v>0</v>
      </c>
      <c r="BS66">
        <f t="shared" si="17"/>
        <v>0</v>
      </c>
      <c r="BT66">
        <f t="shared" si="18"/>
        <v>0</v>
      </c>
      <c r="BU66">
        <f t="shared" si="19"/>
        <v>0</v>
      </c>
      <c r="BV66">
        <f t="shared" si="20"/>
        <v>0</v>
      </c>
      <c r="BW66">
        <f t="shared" si="21"/>
        <v>0</v>
      </c>
      <c r="BX66">
        <f t="shared" si="22"/>
        <v>0</v>
      </c>
    </row>
    <row r="67" spans="1:76" outlineLevel="1" x14ac:dyDescent="0.15">
      <c r="A67" s="5"/>
      <c r="B67" s="5" t="s">
        <v>91</v>
      </c>
      <c r="C67" s="6" t="s">
        <v>256</v>
      </c>
      <c r="D67" s="5">
        <v>3096122</v>
      </c>
      <c r="E67" s="7">
        <v>12</v>
      </c>
      <c r="F67" s="6">
        <v>1</v>
      </c>
      <c r="G67" s="6"/>
      <c r="I67" s="17" t="str">
        <f t="shared" si="0"/>
        <v>·</v>
      </c>
      <c r="J67" s="18" t="str">
        <f t="shared" si="1"/>
        <v>·</v>
      </c>
      <c r="K67" s="18" t="str">
        <f t="shared" si="2"/>
        <v>·</v>
      </c>
      <c r="L67" s="18" t="str">
        <f t="shared" si="3"/>
        <v>·</v>
      </c>
      <c r="M67" s="19"/>
      <c r="N67" s="18" t="str">
        <f t="shared" si="4"/>
        <v>·</v>
      </c>
      <c r="O67" s="20"/>
      <c r="P67" s="21"/>
      <c r="Q67" s="21"/>
      <c r="R67" s="21"/>
      <c r="S67" s="37"/>
      <c r="T67" s="38"/>
      <c r="U67" s="38"/>
      <c r="V67" s="38"/>
      <c r="W67" s="38"/>
      <c r="X67" s="38"/>
      <c r="Y67" s="39"/>
      <c r="Z67" s="49"/>
      <c r="AA67" s="49"/>
      <c r="AC67" s="17" t="str">
        <f t="shared" si="5"/>
        <v>·</v>
      </c>
      <c r="AD67" s="18" t="str">
        <f t="shared" si="6"/>
        <v>·</v>
      </c>
      <c r="AE67" s="18" t="str">
        <f t="shared" si="7"/>
        <v>·</v>
      </c>
      <c r="AF67" s="18" t="str">
        <f t="shared" si="8"/>
        <v>·</v>
      </c>
      <c r="AG67" s="19"/>
      <c r="AH67" s="18" t="str">
        <f t="shared" si="9"/>
        <v>·</v>
      </c>
      <c r="AI67" s="20"/>
      <c r="AJ67" s="21"/>
      <c r="AK67" s="21"/>
      <c r="AL67" s="21"/>
      <c r="AM67" s="37"/>
      <c r="AN67" s="38"/>
      <c r="AO67" s="38"/>
      <c r="AP67" s="38"/>
      <c r="AQ67" s="38"/>
      <c r="AR67" s="38"/>
      <c r="AS67" s="39"/>
      <c r="AT67" s="49"/>
      <c r="AU67" s="49"/>
      <c r="AW67" s="53" t="e">
        <f t="shared" si="10"/>
        <v>#DIV/0!</v>
      </c>
      <c r="AX67" s="53"/>
      <c r="AZ67" s="54"/>
      <c r="BA67" s="54"/>
      <c r="BB67" s="54"/>
      <c r="BC67" s="54"/>
      <c r="BD67" s="54"/>
      <c r="BE67" s="61"/>
      <c r="BG67" s="54"/>
      <c r="BH67" s="54"/>
      <c r="BI67" s="54"/>
      <c r="BJ67" s="54"/>
      <c r="BK67" s="54"/>
      <c r="BL67" s="61"/>
      <c r="BN67">
        <f t="shared" si="12"/>
        <v>0</v>
      </c>
      <c r="BO67">
        <f t="shared" si="13"/>
        <v>0</v>
      </c>
      <c r="BP67">
        <f t="shared" si="14"/>
        <v>0</v>
      </c>
      <c r="BQ67">
        <f t="shared" si="15"/>
        <v>0</v>
      </c>
      <c r="BR67">
        <f t="shared" si="16"/>
        <v>0</v>
      </c>
      <c r="BS67">
        <f t="shared" si="17"/>
        <v>0</v>
      </c>
      <c r="BT67">
        <f t="shared" si="18"/>
        <v>0</v>
      </c>
      <c r="BU67">
        <f t="shared" si="19"/>
        <v>0</v>
      </c>
      <c r="BV67">
        <f t="shared" si="20"/>
        <v>0</v>
      </c>
      <c r="BW67">
        <f t="shared" si="21"/>
        <v>0</v>
      </c>
      <c r="BX67">
        <f t="shared" si="22"/>
        <v>0</v>
      </c>
    </row>
    <row r="68" spans="1:76" outlineLevel="1" x14ac:dyDescent="0.15">
      <c r="A68" s="8"/>
      <c r="B68" s="8" t="s">
        <v>91</v>
      </c>
      <c r="C68" s="9" t="s">
        <v>257</v>
      </c>
      <c r="D68" s="8">
        <v>3096122</v>
      </c>
      <c r="E68" s="10">
        <v>12</v>
      </c>
      <c r="F68" s="9">
        <v>1</v>
      </c>
      <c r="G68" s="9"/>
      <c r="I68" s="22" t="str">
        <f t="shared" si="0"/>
        <v>·</v>
      </c>
      <c r="J68" s="23" t="str">
        <f t="shared" si="1"/>
        <v>·</v>
      </c>
      <c r="K68" s="23" t="str">
        <f t="shared" si="2"/>
        <v>·</v>
      </c>
      <c r="L68" s="23" t="str">
        <f t="shared" si="3"/>
        <v>·</v>
      </c>
      <c r="M68" s="24"/>
      <c r="N68" s="23" t="str">
        <f t="shared" si="4"/>
        <v>·</v>
      </c>
      <c r="O68" s="25"/>
      <c r="P68" s="26"/>
      <c r="Q68" s="26"/>
      <c r="R68" s="26"/>
      <c r="S68" s="40"/>
      <c r="T68" s="41"/>
      <c r="U68" s="41"/>
      <c r="V68" s="41"/>
      <c r="W68" s="41"/>
      <c r="X68" s="41"/>
      <c r="Y68" s="42"/>
      <c r="Z68" s="50"/>
      <c r="AA68" s="50"/>
      <c r="AC68" s="22" t="str">
        <f t="shared" si="5"/>
        <v>·</v>
      </c>
      <c r="AD68" s="23" t="str">
        <f t="shared" si="6"/>
        <v>·</v>
      </c>
      <c r="AE68" s="23" t="str">
        <f t="shared" si="7"/>
        <v>·</v>
      </c>
      <c r="AF68" s="23" t="str">
        <f t="shared" si="8"/>
        <v>·</v>
      </c>
      <c r="AG68" s="24"/>
      <c r="AH68" s="23" t="str">
        <f t="shared" si="9"/>
        <v>·</v>
      </c>
      <c r="AI68" s="25"/>
      <c r="AJ68" s="26"/>
      <c r="AK68" s="26"/>
      <c r="AL68" s="26"/>
      <c r="AM68" s="40"/>
      <c r="AN68" s="41"/>
      <c r="AO68" s="41"/>
      <c r="AP68" s="41"/>
      <c r="AQ68" s="41"/>
      <c r="AR68" s="41"/>
      <c r="AS68" s="42"/>
      <c r="AT68" s="50"/>
      <c r="AU68" s="50"/>
      <c r="AW68" s="55" t="e">
        <f t="shared" si="10"/>
        <v>#DIV/0!</v>
      </c>
      <c r="AX68" s="55"/>
      <c r="AZ68" s="56"/>
      <c r="BA68" s="56"/>
      <c r="BB68" s="56"/>
      <c r="BC68" s="56"/>
      <c r="BD68" s="56"/>
      <c r="BE68" s="62"/>
      <c r="BG68" s="56"/>
      <c r="BH68" s="56"/>
      <c r="BI68" s="56"/>
      <c r="BJ68" s="56"/>
      <c r="BK68" s="56"/>
      <c r="BL68" s="62"/>
      <c r="BN68">
        <f t="shared" si="12"/>
        <v>0</v>
      </c>
      <c r="BO68">
        <f t="shared" si="13"/>
        <v>0</v>
      </c>
      <c r="BP68">
        <f t="shared" si="14"/>
        <v>0</v>
      </c>
      <c r="BQ68">
        <f t="shared" si="15"/>
        <v>0</v>
      </c>
      <c r="BR68">
        <f t="shared" si="16"/>
        <v>0</v>
      </c>
      <c r="BS68">
        <f t="shared" si="17"/>
        <v>0</v>
      </c>
      <c r="BT68">
        <f t="shared" si="18"/>
        <v>0</v>
      </c>
      <c r="BU68">
        <f t="shared" si="19"/>
        <v>0</v>
      </c>
      <c r="BV68">
        <f t="shared" si="20"/>
        <v>0</v>
      </c>
      <c r="BW68">
        <f t="shared" si="21"/>
        <v>0</v>
      </c>
      <c r="BX68">
        <f t="shared" si="22"/>
        <v>0</v>
      </c>
    </row>
    <row r="69" spans="1:76" outlineLevel="1" x14ac:dyDescent="0.15">
      <c r="A69" s="5"/>
      <c r="B69" s="5" t="s">
        <v>91</v>
      </c>
      <c r="C69" s="6" t="s">
        <v>258</v>
      </c>
      <c r="D69" s="5">
        <v>3096122</v>
      </c>
      <c r="E69" s="7">
        <v>12</v>
      </c>
      <c r="F69" s="6">
        <v>1</v>
      </c>
      <c r="G69" s="6"/>
      <c r="I69" s="17" t="str">
        <f t="shared" ref="I69:I132" si="23">IF(OR(ISBLANK(P69),ISBLANK(G69)),"·",P69*G69/F69/1000000)</f>
        <v>·</v>
      </c>
      <c r="J69" s="18" t="str">
        <f t="shared" ref="J69:J132" si="24">IF(ISBLANK(P69),"·",P69/D69)</f>
        <v>·</v>
      </c>
      <c r="K69" s="18" t="str">
        <f t="shared" ref="K69:K132" si="25">IF(Q69="","·",Q69/D69)</f>
        <v>·</v>
      </c>
      <c r="L69" s="18" t="str">
        <f t="shared" ref="L69:L132" si="26">IF(ISBLANK(R69),"·",R69/D69)</f>
        <v>·</v>
      </c>
      <c r="M69" s="19"/>
      <c r="N69" s="18" t="str">
        <f t="shared" ref="N69:N132" si="27">IF(ISBLANK(P69),"·",P69/O69)</f>
        <v>·</v>
      </c>
      <c r="O69" s="20"/>
      <c r="P69" s="21"/>
      <c r="Q69" s="21"/>
      <c r="R69" s="21"/>
      <c r="S69" s="37"/>
      <c r="T69" s="38"/>
      <c r="U69" s="38"/>
      <c r="V69" s="38"/>
      <c r="W69" s="38"/>
      <c r="X69" s="38"/>
      <c r="Y69" s="39"/>
      <c r="Z69" s="49"/>
      <c r="AA69" s="49"/>
      <c r="AC69" s="17" t="str">
        <f t="shared" ref="AC69:AC132" si="28">IF(OR(ISBLANK(AJ69),ISBLANK(G69)),"·",AJ69*G69/F69/1000000)</f>
        <v>·</v>
      </c>
      <c r="AD69" s="18" t="str">
        <f t="shared" ref="AD69:AD132" si="29">IF(ISBLANK(AJ69),"·",AJ69/D69)</f>
        <v>·</v>
      </c>
      <c r="AE69" s="18" t="str">
        <f t="shared" ref="AE69:AE132" si="30">IF(AK69="","·",AK69/D69)</f>
        <v>·</v>
      </c>
      <c r="AF69" s="18" t="str">
        <f t="shared" ref="AF69:AF132" si="31">IF(ISBLANK(AL69),"·",AL69/D69)</f>
        <v>·</v>
      </c>
      <c r="AG69" s="19"/>
      <c r="AH69" s="18" t="str">
        <f t="shared" ref="AH69:AH132" si="32">IF(ISBLANK(AJ69),"·",AJ69/AI69)</f>
        <v>·</v>
      </c>
      <c r="AI69" s="20"/>
      <c r="AJ69" s="21"/>
      <c r="AK69" s="21"/>
      <c r="AL69" s="21"/>
      <c r="AM69" s="37"/>
      <c r="AN69" s="38"/>
      <c r="AO69" s="38"/>
      <c r="AP69" s="38"/>
      <c r="AQ69" s="38"/>
      <c r="AR69" s="38"/>
      <c r="AS69" s="39"/>
      <c r="AT69" s="49"/>
      <c r="AU69" s="49"/>
      <c r="AW69" s="53" t="e">
        <f t="shared" ref="AW69:AW132" si="33">(AK69/AJ69)-(Q69/P69)</f>
        <v>#DIV/0!</v>
      </c>
      <c r="AX69" s="53"/>
      <c r="AZ69" s="54"/>
      <c r="BA69" s="54"/>
      <c r="BB69" s="54"/>
      <c r="BC69" s="54"/>
      <c r="BD69" s="54"/>
      <c r="BE69" s="61"/>
      <c r="BG69" s="54"/>
      <c r="BH69" s="54"/>
      <c r="BI69" s="54"/>
      <c r="BJ69" s="54"/>
      <c r="BK69" s="54"/>
      <c r="BL69" s="61"/>
      <c r="BN69">
        <f t="shared" si="12"/>
        <v>0</v>
      </c>
      <c r="BO69">
        <f t="shared" si="13"/>
        <v>0</v>
      </c>
      <c r="BP69">
        <f t="shared" si="14"/>
        <v>0</v>
      </c>
      <c r="BQ69">
        <f t="shared" si="15"/>
        <v>0</v>
      </c>
      <c r="BR69">
        <f t="shared" si="16"/>
        <v>0</v>
      </c>
      <c r="BS69">
        <f t="shared" si="17"/>
        <v>0</v>
      </c>
      <c r="BT69">
        <f t="shared" si="18"/>
        <v>0</v>
      </c>
      <c r="BU69">
        <f t="shared" si="19"/>
        <v>0</v>
      </c>
      <c r="BV69">
        <f t="shared" si="20"/>
        <v>0</v>
      </c>
      <c r="BW69">
        <f t="shared" si="21"/>
        <v>0</v>
      </c>
      <c r="BX69">
        <f t="shared" si="22"/>
        <v>0</v>
      </c>
    </row>
    <row r="70" spans="1:76" outlineLevel="1" x14ac:dyDescent="0.15">
      <c r="A70" s="8"/>
      <c r="B70" s="14" t="s">
        <v>91</v>
      </c>
      <c r="C70" s="15" t="s">
        <v>259</v>
      </c>
      <c r="D70" s="14">
        <v>3096122</v>
      </c>
      <c r="E70" s="16">
        <v>12</v>
      </c>
      <c r="F70" s="15">
        <v>1</v>
      </c>
      <c r="G70" s="15"/>
      <c r="I70" s="32" t="str">
        <f t="shared" si="23"/>
        <v>·</v>
      </c>
      <c r="J70" s="33" t="str">
        <f t="shared" si="24"/>
        <v>·</v>
      </c>
      <c r="K70" s="33" t="str">
        <f t="shared" si="25"/>
        <v>·</v>
      </c>
      <c r="L70" s="33" t="str">
        <f t="shared" si="26"/>
        <v>·</v>
      </c>
      <c r="M70" s="34"/>
      <c r="N70" s="33" t="str">
        <f t="shared" si="27"/>
        <v>·</v>
      </c>
      <c r="O70" s="35"/>
      <c r="P70" s="36"/>
      <c r="Q70" s="36"/>
      <c r="R70" s="36"/>
      <c r="S70" s="46"/>
      <c r="T70" s="47"/>
      <c r="U70" s="47"/>
      <c r="V70" s="47"/>
      <c r="W70" s="47"/>
      <c r="X70" s="47"/>
      <c r="Y70" s="48"/>
      <c r="Z70" s="52"/>
      <c r="AA70" s="52"/>
      <c r="AC70" s="32" t="str">
        <f t="shared" si="28"/>
        <v>·</v>
      </c>
      <c r="AD70" s="33" t="str">
        <f t="shared" si="29"/>
        <v>·</v>
      </c>
      <c r="AE70" s="33" t="str">
        <f t="shared" si="30"/>
        <v>·</v>
      </c>
      <c r="AF70" s="33" t="str">
        <f t="shared" si="31"/>
        <v>·</v>
      </c>
      <c r="AG70" s="34"/>
      <c r="AH70" s="33" t="str">
        <f t="shared" si="32"/>
        <v>·</v>
      </c>
      <c r="AI70" s="35"/>
      <c r="AJ70" s="36"/>
      <c r="AK70" s="36"/>
      <c r="AL70" s="36"/>
      <c r="AM70" s="46"/>
      <c r="AN70" s="47"/>
      <c r="AO70" s="47"/>
      <c r="AP70" s="47"/>
      <c r="AQ70" s="47"/>
      <c r="AR70" s="47"/>
      <c r="AS70" s="48"/>
      <c r="AT70" s="52"/>
      <c r="AU70" s="52"/>
      <c r="AW70" s="59" t="e">
        <f t="shared" si="33"/>
        <v>#DIV/0!</v>
      </c>
      <c r="AX70" s="59"/>
      <c r="AZ70" s="60"/>
      <c r="BA70" s="60"/>
      <c r="BB70" s="60"/>
      <c r="BC70" s="60"/>
      <c r="BD70" s="60"/>
      <c r="BE70" s="64"/>
      <c r="BG70" s="60"/>
      <c r="BH70" s="60"/>
      <c r="BI70" s="60"/>
      <c r="BJ70" s="60"/>
      <c r="BK70" s="60"/>
      <c r="BL70" s="64"/>
      <c r="BN70">
        <f t="shared" ref="BN70:BN133" si="34">AI70-O70</f>
        <v>0</v>
      </c>
      <c r="BO70">
        <f t="shared" ref="BO70:BO133" si="35">AJ70-P70</f>
        <v>0</v>
      </c>
      <c r="BP70">
        <f t="shared" ref="BP70:BP133" si="36">AK70-Q70</f>
        <v>0</v>
      </c>
      <c r="BQ70">
        <f t="shared" ref="BQ70:BQ133" si="37">AL70-R70</f>
        <v>0</v>
      </c>
      <c r="BR70">
        <f t="shared" ref="BR70:BR133" si="38">AM70-S70</f>
        <v>0</v>
      </c>
      <c r="BS70">
        <f t="shared" ref="BS70:BS133" si="39">AN70-T70</f>
        <v>0</v>
      </c>
      <c r="BT70">
        <f t="shared" ref="BT70:BT133" si="40">AO70-U70</f>
        <v>0</v>
      </c>
      <c r="BU70">
        <f t="shared" ref="BU70:BU133" si="41">AP70-V70</f>
        <v>0</v>
      </c>
      <c r="BV70">
        <f t="shared" ref="BV70:BV133" si="42">AQ70-W70</f>
        <v>0</v>
      </c>
      <c r="BW70">
        <f t="shared" ref="BW70:BW133" si="43">AR70-X70</f>
        <v>0</v>
      </c>
      <c r="BX70">
        <f t="shared" ref="BX70:BX133" si="44">AS70-Y70</f>
        <v>0</v>
      </c>
    </row>
    <row r="71" spans="1:76" x14ac:dyDescent="0.15">
      <c r="A71" s="5"/>
      <c r="B71" s="5" t="s">
        <v>94</v>
      </c>
      <c r="C71" s="6" t="s">
        <v>254</v>
      </c>
      <c r="D71" s="5">
        <v>857966</v>
      </c>
      <c r="E71" s="7">
        <v>10</v>
      </c>
      <c r="F71" s="6">
        <v>1</v>
      </c>
      <c r="G71" s="6"/>
      <c r="I71" s="17" t="str">
        <f t="shared" si="23"/>
        <v>·</v>
      </c>
      <c r="J71" s="18" t="str">
        <f t="shared" si="24"/>
        <v>·</v>
      </c>
      <c r="K71" s="18" t="str">
        <f t="shared" si="25"/>
        <v>·</v>
      </c>
      <c r="L71" s="18" t="str">
        <f t="shared" si="26"/>
        <v>·</v>
      </c>
      <c r="M71" s="19"/>
      <c r="N71" s="18" t="str">
        <f t="shared" si="27"/>
        <v>·</v>
      </c>
      <c r="O71" s="20"/>
      <c r="P71" s="21"/>
      <c r="Q71" s="21"/>
      <c r="R71" s="21"/>
      <c r="S71" s="37"/>
      <c r="T71" s="38"/>
      <c r="U71" s="38"/>
      <c r="V71" s="38"/>
      <c r="W71" s="38"/>
      <c r="X71" s="38"/>
      <c r="Y71" s="39"/>
      <c r="Z71" s="49"/>
      <c r="AA71" s="49"/>
      <c r="AC71" s="17" t="str">
        <f t="shared" si="28"/>
        <v>·</v>
      </c>
      <c r="AD71" s="18" t="str">
        <f t="shared" si="29"/>
        <v>·</v>
      </c>
      <c r="AE71" s="18" t="str">
        <f t="shared" si="30"/>
        <v>·</v>
      </c>
      <c r="AF71" s="18" t="str">
        <f t="shared" si="31"/>
        <v>·</v>
      </c>
      <c r="AG71" s="19"/>
      <c r="AH71" s="18" t="str">
        <f t="shared" si="32"/>
        <v>·</v>
      </c>
      <c r="AI71" s="20"/>
      <c r="AJ71" s="21"/>
      <c r="AK71" s="21"/>
      <c r="AL71" s="21"/>
      <c r="AM71" s="37"/>
      <c r="AN71" s="38"/>
      <c r="AO71" s="38"/>
      <c r="AP71" s="38"/>
      <c r="AQ71" s="38"/>
      <c r="AR71" s="38"/>
      <c r="AS71" s="39"/>
      <c r="AT71" s="49"/>
      <c r="AU71" s="49"/>
      <c r="AW71" s="53" t="e">
        <f t="shared" si="33"/>
        <v>#DIV/0!</v>
      </c>
      <c r="AX71" s="53" t="e">
        <f t="array" ref="AX71">AVERAGE(AK71:AK76/AJ71:AJ76)-AVERAGE(Q71:Q76/P71:P76)</f>
        <v>#DIV/0!</v>
      </c>
      <c r="AZ71" s="54" t="str">
        <f>IF(OR(ISBLANK(Q71:Q76),ISBLANK(AK71:AK76),ISBLANK(T71:T76),ISBLANK(AN71:AN76)),"·",bdRateExtend(Q71:Q76,T71:T76,AK71:AK76,AN71:AN76))</f>
        <v>·</v>
      </c>
      <c r="BA71" s="54" t="str">
        <f>IF(OR(ISBLANK(Q71:Q76),ISBLANK(AK71:AK76),ISBLANK(U71:U76),ISBLANK(AO71:AO76)),"·",bdRateExtend(Q71:Q76,U71:U76,AK71:AK76,AO71:AO76))</f>
        <v>·</v>
      </c>
      <c r="BB71" s="54" t="str">
        <f>IF(OR(ISBLANK(R71:R76),ISBLANK(AL71:AL76),ISBLANK(V71:V76),ISBLANK(AP71:AP76)),"·",bdRateExtend(R71:R76,V71:V76,AL71:AL76,AP71:AP76))</f>
        <v>·</v>
      </c>
      <c r="BC71" s="54" t="str">
        <f>IF(OR(ISBLANK(R71:R76),ISBLANK(AL71:AL76),ISBLANK(W71:W76),ISBLANK(AQ71:AQ76)),"·",bdRateExtend(R71:R76,W71:W76,AL71:AL76,AQ71:AQ76))</f>
        <v>·</v>
      </c>
      <c r="BD71" s="54" t="str">
        <f>IF(OR(ISBLANK(R71:R76),ISBLANK(AL71:AL76),ISBLANK(X71:X76),ISBLANK(AR71:AR76)),"·",bdRateExtend(R71:R76,X71:X76,AL71:AL76,AR71:AR76))</f>
        <v>·</v>
      </c>
      <c r="BE71" s="61"/>
      <c r="BG71" s="54" t="str">
        <f>IF(OR(ISBLANK(P71:P76),ISBLANK(AJ71:AJ76),ISBLANK(T71:T76),ISBLANK(AN71:AN76)),"·",bdRateExtend(P71:P76,T71:T76,AJ71:AJ76,AN71:AN76))</f>
        <v>·</v>
      </c>
      <c r="BH71" s="54" t="str">
        <f>IF(OR(ISBLANK(P71:P76),ISBLANK(AJ71:AJ76),ISBLANK(U71:U76),ISBLANK(AO71:AO76)),"·",bdRateExtend(P71:P76,U71:U76,AJ71:AJ76,AO71:AO76))</f>
        <v>·</v>
      </c>
      <c r="BI71" s="54" t="str">
        <f>IF(OR(ISBLANK(P71:P76),ISBLANK(AJ71:AJ76),ISBLANK(V71:V76),ISBLANK(AP71:AP76)),"·",bdRateExtend(P71:P76,V71:V76,AJ71:AJ76,AP71:AP76))</f>
        <v>·</v>
      </c>
      <c r="BJ71" s="54" t="str">
        <f>IF(OR(ISBLANK(P71:P76),ISBLANK(AJ71:AJ76),ISBLANK(W71:W76),ISBLANK(AQ71:AQ76)),"·",bdRateExtend(P71:P76,W71:W76,AJ71:AJ76,AQ71:AQ76))</f>
        <v>·</v>
      </c>
      <c r="BK71" s="54" t="str">
        <f>IF(OR(ISBLANK(P71:P76),ISBLANK(AJ71:AJ76),ISBLANK(X71:X76),ISBLANK(AR71:AR76)),"·",bdRateExtend(P71:P76,X71:X76,AJ71:AJ76,AR71:AR76))</f>
        <v>·</v>
      </c>
      <c r="BL71" s="61"/>
      <c r="BN71">
        <f t="shared" si="34"/>
        <v>0</v>
      </c>
      <c r="BO71">
        <f t="shared" si="35"/>
        <v>0</v>
      </c>
      <c r="BP71">
        <f t="shared" si="36"/>
        <v>0</v>
      </c>
      <c r="BQ71">
        <f t="shared" si="37"/>
        <v>0</v>
      </c>
      <c r="BR71">
        <f t="shared" si="38"/>
        <v>0</v>
      </c>
      <c r="BS71">
        <f t="shared" si="39"/>
        <v>0</v>
      </c>
      <c r="BT71">
        <f t="shared" si="40"/>
        <v>0</v>
      </c>
      <c r="BU71">
        <f t="shared" si="41"/>
        <v>0</v>
      </c>
      <c r="BV71">
        <f t="shared" si="42"/>
        <v>0</v>
      </c>
      <c r="BW71">
        <f t="shared" si="43"/>
        <v>0</v>
      </c>
      <c r="BX71">
        <f t="shared" si="44"/>
        <v>0</v>
      </c>
    </row>
    <row r="72" spans="1:76" outlineLevel="1" x14ac:dyDescent="0.15">
      <c r="A72" s="8"/>
      <c r="B72" s="8" t="s">
        <v>94</v>
      </c>
      <c r="C72" s="9" t="s">
        <v>255</v>
      </c>
      <c r="D72" s="8">
        <v>857966</v>
      </c>
      <c r="E72" s="10">
        <v>10</v>
      </c>
      <c r="F72" s="9">
        <v>1</v>
      </c>
      <c r="G72" s="9"/>
      <c r="I72" s="22" t="str">
        <f t="shared" si="23"/>
        <v>·</v>
      </c>
      <c r="J72" s="23" t="str">
        <f t="shared" si="24"/>
        <v>·</v>
      </c>
      <c r="K72" s="23" t="str">
        <f t="shared" si="25"/>
        <v>·</v>
      </c>
      <c r="L72" s="23" t="str">
        <f t="shared" si="26"/>
        <v>·</v>
      </c>
      <c r="M72" s="24"/>
      <c r="N72" s="23" t="str">
        <f t="shared" si="27"/>
        <v>·</v>
      </c>
      <c r="O72" s="25"/>
      <c r="P72" s="26"/>
      <c r="Q72" s="26"/>
      <c r="R72" s="26"/>
      <c r="S72" s="40"/>
      <c r="T72" s="41"/>
      <c r="U72" s="41"/>
      <c r="V72" s="41"/>
      <c r="W72" s="41"/>
      <c r="X72" s="41"/>
      <c r="Y72" s="42"/>
      <c r="Z72" s="50"/>
      <c r="AA72" s="50"/>
      <c r="AC72" s="22" t="str">
        <f t="shared" si="28"/>
        <v>·</v>
      </c>
      <c r="AD72" s="23" t="str">
        <f t="shared" si="29"/>
        <v>·</v>
      </c>
      <c r="AE72" s="23" t="str">
        <f t="shared" si="30"/>
        <v>·</v>
      </c>
      <c r="AF72" s="23" t="str">
        <f t="shared" si="31"/>
        <v>·</v>
      </c>
      <c r="AG72" s="24"/>
      <c r="AH72" s="23" t="str">
        <f t="shared" si="32"/>
        <v>·</v>
      </c>
      <c r="AI72" s="25"/>
      <c r="AJ72" s="26"/>
      <c r="AK72" s="26"/>
      <c r="AL72" s="26"/>
      <c r="AM72" s="40"/>
      <c r="AN72" s="41"/>
      <c r="AO72" s="41"/>
      <c r="AP72" s="41"/>
      <c r="AQ72" s="41"/>
      <c r="AR72" s="41"/>
      <c r="AS72" s="42"/>
      <c r="AT72" s="50"/>
      <c r="AU72" s="50"/>
      <c r="AW72" s="55" t="e">
        <f t="shared" si="33"/>
        <v>#DIV/0!</v>
      </c>
      <c r="AX72" s="55"/>
      <c r="AZ72" s="56"/>
      <c r="BA72" s="56"/>
      <c r="BB72" s="56"/>
      <c r="BC72" s="56"/>
      <c r="BD72" s="56"/>
      <c r="BE72" s="62"/>
      <c r="BG72" s="56"/>
      <c r="BH72" s="56"/>
      <c r="BI72" s="56"/>
      <c r="BJ72" s="56"/>
      <c r="BK72" s="56"/>
      <c r="BL72" s="62"/>
      <c r="BN72">
        <f t="shared" si="34"/>
        <v>0</v>
      </c>
      <c r="BO72">
        <f t="shared" si="35"/>
        <v>0</v>
      </c>
      <c r="BP72">
        <f t="shared" si="36"/>
        <v>0</v>
      </c>
      <c r="BQ72">
        <f t="shared" si="37"/>
        <v>0</v>
      </c>
      <c r="BR72">
        <f t="shared" si="38"/>
        <v>0</v>
      </c>
      <c r="BS72">
        <f t="shared" si="39"/>
        <v>0</v>
      </c>
      <c r="BT72">
        <f t="shared" si="40"/>
        <v>0</v>
      </c>
      <c r="BU72">
        <f t="shared" si="41"/>
        <v>0</v>
      </c>
      <c r="BV72">
        <f t="shared" si="42"/>
        <v>0</v>
      </c>
      <c r="BW72">
        <f t="shared" si="43"/>
        <v>0</v>
      </c>
      <c r="BX72">
        <f t="shared" si="44"/>
        <v>0</v>
      </c>
    </row>
    <row r="73" spans="1:76" outlineLevel="1" x14ac:dyDescent="0.15">
      <c r="A73" s="5"/>
      <c r="B73" s="5" t="s">
        <v>94</v>
      </c>
      <c r="C73" s="6" t="s">
        <v>256</v>
      </c>
      <c r="D73" s="5">
        <v>857966</v>
      </c>
      <c r="E73" s="7">
        <v>10</v>
      </c>
      <c r="F73" s="6">
        <v>1</v>
      </c>
      <c r="G73" s="6"/>
      <c r="I73" s="17" t="str">
        <f t="shared" si="23"/>
        <v>·</v>
      </c>
      <c r="J73" s="18" t="str">
        <f t="shared" si="24"/>
        <v>·</v>
      </c>
      <c r="K73" s="18" t="str">
        <f t="shared" si="25"/>
        <v>·</v>
      </c>
      <c r="L73" s="18" t="str">
        <f t="shared" si="26"/>
        <v>·</v>
      </c>
      <c r="M73" s="19"/>
      <c r="N73" s="18" t="str">
        <f t="shared" si="27"/>
        <v>·</v>
      </c>
      <c r="O73" s="20"/>
      <c r="P73" s="21"/>
      <c r="Q73" s="21"/>
      <c r="R73" s="21"/>
      <c r="S73" s="37"/>
      <c r="T73" s="38"/>
      <c r="U73" s="38"/>
      <c r="V73" s="38"/>
      <c r="W73" s="38"/>
      <c r="X73" s="38"/>
      <c r="Y73" s="39"/>
      <c r="Z73" s="49"/>
      <c r="AA73" s="49"/>
      <c r="AC73" s="17" t="str">
        <f t="shared" si="28"/>
        <v>·</v>
      </c>
      <c r="AD73" s="18" t="str">
        <f t="shared" si="29"/>
        <v>·</v>
      </c>
      <c r="AE73" s="18" t="str">
        <f t="shared" si="30"/>
        <v>·</v>
      </c>
      <c r="AF73" s="18" t="str">
        <f t="shared" si="31"/>
        <v>·</v>
      </c>
      <c r="AG73" s="19"/>
      <c r="AH73" s="18" t="str">
        <f t="shared" si="32"/>
        <v>·</v>
      </c>
      <c r="AI73" s="20"/>
      <c r="AJ73" s="21"/>
      <c r="AK73" s="21"/>
      <c r="AL73" s="21"/>
      <c r="AM73" s="37"/>
      <c r="AN73" s="38"/>
      <c r="AO73" s="38"/>
      <c r="AP73" s="38"/>
      <c r="AQ73" s="38"/>
      <c r="AR73" s="38"/>
      <c r="AS73" s="39"/>
      <c r="AT73" s="49"/>
      <c r="AU73" s="49"/>
      <c r="AW73" s="53" t="e">
        <f t="shared" si="33"/>
        <v>#DIV/0!</v>
      </c>
      <c r="AX73" s="53"/>
      <c r="AZ73" s="54"/>
      <c r="BA73" s="54"/>
      <c r="BB73" s="54"/>
      <c r="BC73" s="54"/>
      <c r="BD73" s="54"/>
      <c r="BE73" s="61"/>
      <c r="BG73" s="54"/>
      <c r="BH73" s="54"/>
      <c r="BI73" s="54"/>
      <c r="BJ73" s="54"/>
      <c r="BK73" s="54"/>
      <c r="BL73" s="61"/>
      <c r="BN73">
        <f t="shared" si="34"/>
        <v>0</v>
      </c>
      <c r="BO73">
        <f t="shared" si="35"/>
        <v>0</v>
      </c>
      <c r="BP73">
        <f t="shared" si="36"/>
        <v>0</v>
      </c>
      <c r="BQ73">
        <f t="shared" si="37"/>
        <v>0</v>
      </c>
      <c r="BR73">
        <f t="shared" si="38"/>
        <v>0</v>
      </c>
      <c r="BS73">
        <f t="shared" si="39"/>
        <v>0</v>
      </c>
      <c r="BT73">
        <f t="shared" si="40"/>
        <v>0</v>
      </c>
      <c r="BU73">
        <f t="shared" si="41"/>
        <v>0</v>
      </c>
      <c r="BV73">
        <f t="shared" si="42"/>
        <v>0</v>
      </c>
      <c r="BW73">
        <f t="shared" si="43"/>
        <v>0</v>
      </c>
      <c r="BX73">
        <f t="shared" si="44"/>
        <v>0</v>
      </c>
    </row>
    <row r="74" spans="1:76" outlineLevel="1" x14ac:dyDescent="0.15">
      <c r="A74" s="8"/>
      <c r="B74" s="8" t="s">
        <v>94</v>
      </c>
      <c r="C74" s="9" t="s">
        <v>257</v>
      </c>
      <c r="D74" s="8">
        <v>857966</v>
      </c>
      <c r="E74" s="10">
        <v>10</v>
      </c>
      <c r="F74" s="9">
        <v>1</v>
      </c>
      <c r="G74" s="9"/>
      <c r="I74" s="22" t="str">
        <f t="shared" si="23"/>
        <v>·</v>
      </c>
      <c r="J74" s="23" t="str">
        <f t="shared" si="24"/>
        <v>·</v>
      </c>
      <c r="K74" s="23" t="str">
        <f t="shared" si="25"/>
        <v>·</v>
      </c>
      <c r="L74" s="23" t="str">
        <f t="shared" si="26"/>
        <v>·</v>
      </c>
      <c r="M74" s="24"/>
      <c r="N74" s="23" t="str">
        <f t="shared" si="27"/>
        <v>·</v>
      </c>
      <c r="O74" s="25"/>
      <c r="P74" s="26"/>
      <c r="Q74" s="26"/>
      <c r="R74" s="26"/>
      <c r="S74" s="40"/>
      <c r="T74" s="41"/>
      <c r="U74" s="41"/>
      <c r="V74" s="41"/>
      <c r="W74" s="41"/>
      <c r="X74" s="41"/>
      <c r="Y74" s="42"/>
      <c r="Z74" s="50"/>
      <c r="AA74" s="50"/>
      <c r="AC74" s="22" t="str">
        <f t="shared" si="28"/>
        <v>·</v>
      </c>
      <c r="AD74" s="23" t="str">
        <f t="shared" si="29"/>
        <v>·</v>
      </c>
      <c r="AE74" s="23" t="str">
        <f t="shared" si="30"/>
        <v>·</v>
      </c>
      <c r="AF74" s="23" t="str">
        <f t="shared" si="31"/>
        <v>·</v>
      </c>
      <c r="AG74" s="24"/>
      <c r="AH74" s="23" t="str">
        <f t="shared" si="32"/>
        <v>·</v>
      </c>
      <c r="AI74" s="25"/>
      <c r="AJ74" s="26"/>
      <c r="AK74" s="26"/>
      <c r="AL74" s="26"/>
      <c r="AM74" s="40"/>
      <c r="AN74" s="41"/>
      <c r="AO74" s="41"/>
      <c r="AP74" s="41"/>
      <c r="AQ74" s="41"/>
      <c r="AR74" s="41"/>
      <c r="AS74" s="42"/>
      <c r="AT74" s="50"/>
      <c r="AU74" s="50"/>
      <c r="AW74" s="55" t="e">
        <f t="shared" si="33"/>
        <v>#DIV/0!</v>
      </c>
      <c r="AX74" s="55"/>
      <c r="AZ74" s="56"/>
      <c r="BA74" s="56"/>
      <c r="BB74" s="56"/>
      <c r="BC74" s="56"/>
      <c r="BD74" s="56"/>
      <c r="BE74" s="62"/>
      <c r="BG74" s="56"/>
      <c r="BH74" s="56"/>
      <c r="BI74" s="56"/>
      <c r="BJ74" s="56"/>
      <c r="BK74" s="56"/>
      <c r="BL74" s="62"/>
      <c r="BN74">
        <f t="shared" si="34"/>
        <v>0</v>
      </c>
      <c r="BO74">
        <f t="shared" si="35"/>
        <v>0</v>
      </c>
      <c r="BP74">
        <f t="shared" si="36"/>
        <v>0</v>
      </c>
      <c r="BQ74" s="84">
        <f t="shared" si="37"/>
        <v>0</v>
      </c>
      <c r="BR74">
        <f t="shared" si="38"/>
        <v>0</v>
      </c>
      <c r="BS74">
        <f t="shared" si="39"/>
        <v>0</v>
      </c>
      <c r="BT74">
        <f t="shared" si="40"/>
        <v>0</v>
      </c>
      <c r="BU74">
        <f t="shared" si="41"/>
        <v>0</v>
      </c>
      <c r="BV74">
        <f t="shared" si="42"/>
        <v>0</v>
      </c>
      <c r="BW74">
        <f t="shared" si="43"/>
        <v>0</v>
      </c>
      <c r="BX74">
        <f t="shared" si="44"/>
        <v>0</v>
      </c>
    </row>
    <row r="75" spans="1:76" outlineLevel="1" x14ac:dyDescent="0.15">
      <c r="A75" s="5"/>
      <c r="B75" s="5" t="s">
        <v>94</v>
      </c>
      <c r="C75" s="6" t="s">
        <v>258</v>
      </c>
      <c r="D75" s="5">
        <v>857966</v>
      </c>
      <c r="E75" s="7">
        <v>10</v>
      </c>
      <c r="F75" s="6">
        <v>1</v>
      </c>
      <c r="G75" s="6"/>
      <c r="I75" s="17" t="str">
        <f t="shared" si="23"/>
        <v>·</v>
      </c>
      <c r="J75" s="18" t="str">
        <f t="shared" si="24"/>
        <v>·</v>
      </c>
      <c r="K75" s="18" t="str">
        <f t="shared" si="25"/>
        <v>·</v>
      </c>
      <c r="L75" s="18" t="str">
        <f t="shared" si="26"/>
        <v>·</v>
      </c>
      <c r="M75" s="19"/>
      <c r="N75" s="18" t="str">
        <f t="shared" si="27"/>
        <v>·</v>
      </c>
      <c r="O75" s="20"/>
      <c r="P75" s="21"/>
      <c r="Q75" s="21"/>
      <c r="R75" s="21"/>
      <c r="S75" s="37"/>
      <c r="T75" s="38"/>
      <c r="U75" s="38"/>
      <c r="V75" s="38"/>
      <c r="W75" s="38"/>
      <c r="X75" s="38"/>
      <c r="Y75" s="39"/>
      <c r="Z75" s="49"/>
      <c r="AA75" s="49"/>
      <c r="AC75" s="17" t="str">
        <f t="shared" si="28"/>
        <v>·</v>
      </c>
      <c r="AD75" s="18" t="str">
        <f t="shared" si="29"/>
        <v>·</v>
      </c>
      <c r="AE75" s="18" t="str">
        <f t="shared" si="30"/>
        <v>·</v>
      </c>
      <c r="AF75" s="18" t="str">
        <f t="shared" si="31"/>
        <v>·</v>
      </c>
      <c r="AG75" s="19"/>
      <c r="AH75" s="18" t="str">
        <f t="shared" si="32"/>
        <v>·</v>
      </c>
      <c r="AI75" s="20"/>
      <c r="AJ75" s="21"/>
      <c r="AK75" s="21"/>
      <c r="AL75" s="21"/>
      <c r="AM75" s="37"/>
      <c r="AN75" s="38"/>
      <c r="AO75" s="38"/>
      <c r="AP75" s="38"/>
      <c r="AQ75" s="38"/>
      <c r="AR75" s="38"/>
      <c r="AS75" s="39"/>
      <c r="AT75" s="49"/>
      <c r="AU75" s="49"/>
      <c r="AW75" s="53" t="e">
        <f t="shared" si="33"/>
        <v>#DIV/0!</v>
      </c>
      <c r="AX75" s="53"/>
      <c r="AZ75" s="54"/>
      <c r="BA75" s="54"/>
      <c r="BB75" s="54"/>
      <c r="BC75" s="54"/>
      <c r="BD75" s="54"/>
      <c r="BE75" s="61"/>
      <c r="BG75" s="54"/>
      <c r="BH75" s="54"/>
      <c r="BI75" s="54"/>
      <c r="BJ75" s="54"/>
      <c r="BK75" s="54"/>
      <c r="BL75" s="61"/>
      <c r="BN75">
        <f t="shared" si="34"/>
        <v>0</v>
      </c>
      <c r="BO75">
        <f t="shared" si="35"/>
        <v>0</v>
      </c>
      <c r="BP75">
        <f t="shared" si="36"/>
        <v>0</v>
      </c>
      <c r="BQ75">
        <f t="shared" si="37"/>
        <v>0</v>
      </c>
      <c r="BR75">
        <f t="shared" si="38"/>
        <v>0</v>
      </c>
      <c r="BS75">
        <f t="shared" si="39"/>
        <v>0</v>
      </c>
      <c r="BT75">
        <f t="shared" si="40"/>
        <v>0</v>
      </c>
      <c r="BU75">
        <f t="shared" si="41"/>
        <v>0</v>
      </c>
      <c r="BV75">
        <f t="shared" si="42"/>
        <v>0</v>
      </c>
      <c r="BW75">
        <f t="shared" si="43"/>
        <v>0</v>
      </c>
      <c r="BX75">
        <f t="shared" si="44"/>
        <v>0</v>
      </c>
    </row>
    <row r="76" spans="1:76" outlineLevel="1" x14ac:dyDescent="0.15">
      <c r="A76" s="8"/>
      <c r="B76" s="14" t="s">
        <v>94</v>
      </c>
      <c r="C76" s="15" t="s">
        <v>259</v>
      </c>
      <c r="D76" s="14">
        <v>857966</v>
      </c>
      <c r="E76" s="16">
        <v>10</v>
      </c>
      <c r="F76" s="15">
        <v>1</v>
      </c>
      <c r="G76" s="15"/>
      <c r="I76" s="32" t="str">
        <f t="shared" si="23"/>
        <v>·</v>
      </c>
      <c r="J76" s="33" t="str">
        <f t="shared" si="24"/>
        <v>·</v>
      </c>
      <c r="K76" s="33" t="str">
        <f t="shared" si="25"/>
        <v>·</v>
      </c>
      <c r="L76" s="33" t="str">
        <f t="shared" si="26"/>
        <v>·</v>
      </c>
      <c r="M76" s="34"/>
      <c r="N76" s="33" t="str">
        <f t="shared" si="27"/>
        <v>·</v>
      </c>
      <c r="O76" s="35"/>
      <c r="P76" s="36"/>
      <c r="Q76" s="36"/>
      <c r="R76" s="36"/>
      <c r="S76" s="46"/>
      <c r="T76" s="47"/>
      <c r="U76" s="47"/>
      <c r="V76" s="47"/>
      <c r="W76" s="47"/>
      <c r="X76" s="47"/>
      <c r="Y76" s="48"/>
      <c r="Z76" s="52"/>
      <c r="AA76" s="52"/>
      <c r="AC76" s="32" t="str">
        <f t="shared" si="28"/>
        <v>·</v>
      </c>
      <c r="AD76" s="33" t="str">
        <f t="shared" si="29"/>
        <v>·</v>
      </c>
      <c r="AE76" s="33" t="str">
        <f t="shared" si="30"/>
        <v>·</v>
      </c>
      <c r="AF76" s="33" t="str">
        <f t="shared" si="31"/>
        <v>·</v>
      </c>
      <c r="AG76" s="34"/>
      <c r="AH76" s="33" t="str">
        <f t="shared" si="32"/>
        <v>·</v>
      </c>
      <c r="AI76" s="35"/>
      <c r="AJ76" s="36"/>
      <c r="AK76" s="36"/>
      <c r="AL76" s="36"/>
      <c r="AM76" s="46"/>
      <c r="AN76" s="47"/>
      <c r="AO76" s="47"/>
      <c r="AP76" s="47"/>
      <c r="AQ76" s="47"/>
      <c r="AR76" s="47"/>
      <c r="AS76" s="48"/>
      <c r="AT76" s="52"/>
      <c r="AU76" s="52"/>
      <c r="AW76" s="59" t="e">
        <f t="shared" si="33"/>
        <v>#DIV/0!</v>
      </c>
      <c r="AX76" s="59"/>
      <c r="AZ76" s="60"/>
      <c r="BA76" s="60"/>
      <c r="BB76" s="60"/>
      <c r="BC76" s="60"/>
      <c r="BD76" s="60"/>
      <c r="BE76" s="64"/>
      <c r="BG76" s="60"/>
      <c r="BH76" s="60"/>
      <c r="BI76" s="60"/>
      <c r="BJ76" s="60"/>
      <c r="BK76" s="60"/>
      <c r="BL76" s="64"/>
      <c r="BN76">
        <f t="shared" si="34"/>
        <v>0</v>
      </c>
      <c r="BO76">
        <f t="shared" si="35"/>
        <v>0</v>
      </c>
      <c r="BP76">
        <f t="shared" si="36"/>
        <v>0</v>
      </c>
      <c r="BQ76" s="83">
        <f t="shared" si="37"/>
        <v>0</v>
      </c>
      <c r="BR76">
        <f t="shared" si="38"/>
        <v>0</v>
      </c>
      <c r="BS76">
        <f t="shared" si="39"/>
        <v>0</v>
      </c>
      <c r="BT76">
        <f t="shared" si="40"/>
        <v>0</v>
      </c>
      <c r="BU76">
        <f t="shared" si="41"/>
        <v>0</v>
      </c>
      <c r="BV76">
        <f t="shared" si="42"/>
        <v>0</v>
      </c>
      <c r="BW76">
        <f t="shared" si="43"/>
        <v>0</v>
      </c>
      <c r="BX76">
        <f t="shared" si="44"/>
        <v>0</v>
      </c>
    </row>
    <row r="77" spans="1:76" x14ac:dyDescent="0.15">
      <c r="A77" s="5"/>
      <c r="B77" s="5" t="s">
        <v>97</v>
      </c>
      <c r="C77" s="6" t="s">
        <v>254</v>
      </c>
      <c r="D77" s="5">
        <v>3017285</v>
      </c>
      <c r="E77" s="7">
        <v>12</v>
      </c>
      <c r="F77" s="6">
        <v>1</v>
      </c>
      <c r="G77" s="6"/>
      <c r="I77" s="17" t="str">
        <f t="shared" si="23"/>
        <v>·</v>
      </c>
      <c r="J77" s="18" t="str">
        <f t="shared" si="24"/>
        <v>·</v>
      </c>
      <c r="K77" s="18" t="str">
        <f t="shared" si="25"/>
        <v>·</v>
      </c>
      <c r="L77" s="18" t="str">
        <f t="shared" si="26"/>
        <v>·</v>
      </c>
      <c r="M77" s="19"/>
      <c r="N77" s="18" t="str">
        <f t="shared" si="27"/>
        <v>·</v>
      </c>
      <c r="O77" s="20"/>
      <c r="P77" s="21"/>
      <c r="Q77" s="21"/>
      <c r="R77" s="21"/>
      <c r="S77" s="37"/>
      <c r="T77" s="38"/>
      <c r="U77" s="38"/>
      <c r="V77" s="38"/>
      <c r="W77" s="38"/>
      <c r="X77" s="38"/>
      <c r="Y77" s="39"/>
      <c r="Z77" s="49"/>
      <c r="AA77" s="49"/>
      <c r="AC77" s="17" t="str">
        <f t="shared" si="28"/>
        <v>·</v>
      </c>
      <c r="AD77" s="18" t="str">
        <f t="shared" si="29"/>
        <v>·</v>
      </c>
      <c r="AE77" s="18" t="str">
        <f t="shared" si="30"/>
        <v>·</v>
      </c>
      <c r="AF77" s="18" t="str">
        <f t="shared" si="31"/>
        <v>·</v>
      </c>
      <c r="AG77" s="19"/>
      <c r="AH77" s="18" t="str">
        <f t="shared" si="32"/>
        <v>·</v>
      </c>
      <c r="AI77" s="20"/>
      <c r="AJ77" s="21"/>
      <c r="AK77" s="21"/>
      <c r="AL77" s="21"/>
      <c r="AM77" s="37"/>
      <c r="AN77" s="38"/>
      <c r="AO77" s="38"/>
      <c r="AP77" s="38"/>
      <c r="AQ77" s="38"/>
      <c r="AR77" s="38"/>
      <c r="AS77" s="39"/>
      <c r="AT77" s="49"/>
      <c r="AU77" s="49"/>
      <c r="AW77" s="53" t="e">
        <f t="shared" si="33"/>
        <v>#DIV/0!</v>
      </c>
      <c r="AX77" s="53" t="e">
        <f t="array" ref="AX77">AVERAGE(AK77:AK82/AJ77:AJ82)-AVERAGE(Q77:Q82/P77:P82)</f>
        <v>#DIV/0!</v>
      </c>
      <c r="AZ77" s="54" t="str">
        <f>IF(OR(ISBLANK(Q77:Q82),ISBLANK(AK77:AK82),ISBLANK(T77:T82),ISBLANK(AN77:AN82)),"·",bdRateExtend(Q77:Q82,T77:T82,AK77:AK82,AN77:AN82))</f>
        <v>·</v>
      </c>
      <c r="BA77" s="54" t="str">
        <f>IF(OR(ISBLANK(Q77:Q82),ISBLANK(AK77:AK82),ISBLANK(U77:U82),ISBLANK(AO77:AO82)),"·",bdRateExtend(Q77:Q82,U77:U82,AK77:AK82,AO77:AO82))</f>
        <v>·</v>
      </c>
      <c r="BB77" s="54" t="str">
        <f>IF(OR(ISBLANK(R77:R82),ISBLANK(AL77:AL82),ISBLANK(V77:V82),ISBLANK(AP77:AP82)),"·",bdRateExtend(R77:R82,V77:V82,AL77:AL82,AP77:AP82))</f>
        <v>·</v>
      </c>
      <c r="BC77" s="54" t="str">
        <f>IF(OR(ISBLANK(R77:R82),ISBLANK(AL77:AL82),ISBLANK(W77:W82),ISBLANK(AQ77:AQ82)),"·",bdRateExtend(R77:R82,W77:W82,AL77:AL82,AQ77:AQ82))</f>
        <v>·</v>
      </c>
      <c r="BD77" s="54" t="str">
        <f>IF(OR(ISBLANK(R77:R82),ISBLANK(AL77:AL82),ISBLANK(X77:X82),ISBLANK(AR77:AR82)),"·",bdRateExtend(R77:R82,X77:X82,AL77:AL82,AR77:AR82))</f>
        <v>·</v>
      </c>
      <c r="BE77" s="61"/>
      <c r="BG77" s="54" t="str">
        <f>IF(OR(ISBLANK(P77:P82),ISBLANK(AJ77:AJ82),ISBLANK(T77:T82),ISBLANK(AN77:AN82)),"·",bdRateExtend(P77:P82,T77:T82,AJ77:AJ82,AN77:AN82))</f>
        <v>·</v>
      </c>
      <c r="BH77" s="54" t="str">
        <f>IF(OR(ISBLANK(P77:P82),ISBLANK(AJ77:AJ82),ISBLANK(U77:U82),ISBLANK(AO77:AO82)),"·",bdRateExtend(P77:P82,U77:U82,AJ77:AJ82,AO77:AO82))</f>
        <v>·</v>
      </c>
      <c r="BI77" s="54" t="str">
        <f>IF(OR(ISBLANK(P77:P82),ISBLANK(AJ77:AJ82),ISBLANK(V77:V82),ISBLANK(AP77:AP82)),"·",bdRateExtend(P77:P82,V77:V82,AJ77:AJ82,AP77:AP82))</f>
        <v>·</v>
      </c>
      <c r="BJ77" s="54" t="str">
        <f>IF(OR(ISBLANK(P77:P82),ISBLANK(AJ77:AJ82),ISBLANK(W77:W82),ISBLANK(AQ77:AQ82)),"·",bdRateExtend(P77:P82,W77:W82,AJ77:AJ82,AQ77:AQ82))</f>
        <v>·</v>
      </c>
      <c r="BK77" s="54" t="str">
        <f>IF(OR(ISBLANK(P77:P82),ISBLANK(AJ77:AJ82),ISBLANK(X77:X82),ISBLANK(AR77:AR82)),"·",bdRateExtend(P77:P82,X77:X82,AJ77:AJ82,AR77:AR82))</f>
        <v>·</v>
      </c>
      <c r="BL77" s="61"/>
      <c r="BN77">
        <f t="shared" si="34"/>
        <v>0</v>
      </c>
      <c r="BO77">
        <f t="shared" si="35"/>
        <v>0</v>
      </c>
      <c r="BP77">
        <f t="shared" si="36"/>
        <v>0</v>
      </c>
      <c r="BQ77">
        <f t="shared" si="37"/>
        <v>0</v>
      </c>
      <c r="BR77">
        <f t="shared" si="38"/>
        <v>0</v>
      </c>
      <c r="BS77">
        <f t="shared" si="39"/>
        <v>0</v>
      </c>
      <c r="BT77">
        <f t="shared" si="40"/>
        <v>0</v>
      </c>
      <c r="BU77">
        <f t="shared" si="41"/>
        <v>0</v>
      </c>
      <c r="BV77">
        <f t="shared" si="42"/>
        <v>0</v>
      </c>
      <c r="BW77">
        <f t="shared" si="43"/>
        <v>0</v>
      </c>
      <c r="BX77">
        <f t="shared" si="44"/>
        <v>0</v>
      </c>
    </row>
    <row r="78" spans="1:76" outlineLevel="1" x14ac:dyDescent="0.15">
      <c r="A78" s="8"/>
      <c r="B78" s="8" t="s">
        <v>97</v>
      </c>
      <c r="C78" s="9" t="s">
        <v>255</v>
      </c>
      <c r="D78" s="8">
        <v>3017285</v>
      </c>
      <c r="E78" s="10">
        <v>12</v>
      </c>
      <c r="F78" s="9">
        <v>1</v>
      </c>
      <c r="G78" s="9"/>
      <c r="I78" s="22" t="str">
        <f t="shared" si="23"/>
        <v>·</v>
      </c>
      <c r="J78" s="23" t="str">
        <f t="shared" si="24"/>
        <v>·</v>
      </c>
      <c r="K78" s="23" t="str">
        <f t="shared" si="25"/>
        <v>·</v>
      </c>
      <c r="L78" s="23" t="str">
        <f t="shared" si="26"/>
        <v>·</v>
      </c>
      <c r="M78" s="24"/>
      <c r="N78" s="23" t="str">
        <f t="shared" si="27"/>
        <v>·</v>
      </c>
      <c r="O78" s="25"/>
      <c r="P78" s="26"/>
      <c r="Q78" s="26"/>
      <c r="R78" s="26"/>
      <c r="S78" s="40"/>
      <c r="T78" s="41"/>
      <c r="U78" s="41"/>
      <c r="V78" s="41"/>
      <c r="W78" s="41"/>
      <c r="X78" s="41"/>
      <c r="Y78" s="42"/>
      <c r="Z78" s="50"/>
      <c r="AA78" s="50"/>
      <c r="AC78" s="22" t="str">
        <f t="shared" si="28"/>
        <v>·</v>
      </c>
      <c r="AD78" s="23" t="str">
        <f t="shared" si="29"/>
        <v>·</v>
      </c>
      <c r="AE78" s="23" t="str">
        <f t="shared" si="30"/>
        <v>·</v>
      </c>
      <c r="AF78" s="23" t="str">
        <f t="shared" si="31"/>
        <v>·</v>
      </c>
      <c r="AG78" s="24"/>
      <c r="AH78" s="23" t="str">
        <f t="shared" si="32"/>
        <v>·</v>
      </c>
      <c r="AI78" s="25"/>
      <c r="AJ78" s="26"/>
      <c r="AK78" s="26"/>
      <c r="AL78" s="26"/>
      <c r="AM78" s="40"/>
      <c r="AN78" s="41"/>
      <c r="AO78" s="41"/>
      <c r="AP78" s="41"/>
      <c r="AQ78" s="41"/>
      <c r="AR78" s="41"/>
      <c r="AS78" s="42"/>
      <c r="AT78" s="50"/>
      <c r="AU78" s="50"/>
      <c r="AW78" s="55" t="e">
        <f t="shared" si="33"/>
        <v>#DIV/0!</v>
      </c>
      <c r="AX78" s="55"/>
      <c r="AZ78" s="56"/>
      <c r="BA78" s="56"/>
      <c r="BB78" s="56"/>
      <c r="BC78" s="56"/>
      <c r="BD78" s="56"/>
      <c r="BE78" s="62"/>
      <c r="BG78" s="56"/>
      <c r="BH78" s="56"/>
      <c r="BI78" s="56"/>
      <c r="BJ78" s="56"/>
      <c r="BK78" s="56"/>
      <c r="BL78" s="62"/>
      <c r="BN78">
        <f t="shared" si="34"/>
        <v>0</v>
      </c>
      <c r="BO78">
        <f t="shared" si="35"/>
        <v>0</v>
      </c>
      <c r="BP78">
        <f t="shared" si="36"/>
        <v>0</v>
      </c>
      <c r="BQ78">
        <f t="shared" si="37"/>
        <v>0</v>
      </c>
      <c r="BR78">
        <f t="shared" si="38"/>
        <v>0</v>
      </c>
      <c r="BS78">
        <f t="shared" si="39"/>
        <v>0</v>
      </c>
      <c r="BT78">
        <f t="shared" si="40"/>
        <v>0</v>
      </c>
      <c r="BU78">
        <f t="shared" si="41"/>
        <v>0</v>
      </c>
      <c r="BV78">
        <f t="shared" si="42"/>
        <v>0</v>
      </c>
      <c r="BW78">
        <f t="shared" si="43"/>
        <v>0</v>
      </c>
      <c r="BX78">
        <f t="shared" si="44"/>
        <v>0</v>
      </c>
    </row>
    <row r="79" spans="1:76" outlineLevel="1" x14ac:dyDescent="0.15">
      <c r="A79" s="5"/>
      <c r="B79" s="5" t="s">
        <v>97</v>
      </c>
      <c r="C79" s="6" t="s">
        <v>256</v>
      </c>
      <c r="D79" s="5">
        <v>3017285</v>
      </c>
      <c r="E79" s="7">
        <v>12</v>
      </c>
      <c r="F79" s="6">
        <v>1</v>
      </c>
      <c r="G79" s="6"/>
      <c r="I79" s="17" t="str">
        <f t="shared" si="23"/>
        <v>·</v>
      </c>
      <c r="J79" s="18" t="str">
        <f t="shared" si="24"/>
        <v>·</v>
      </c>
      <c r="K79" s="18" t="str">
        <f t="shared" si="25"/>
        <v>·</v>
      </c>
      <c r="L79" s="18" t="str">
        <f t="shared" si="26"/>
        <v>·</v>
      </c>
      <c r="M79" s="19"/>
      <c r="N79" s="18" t="str">
        <f t="shared" si="27"/>
        <v>·</v>
      </c>
      <c r="O79" s="20"/>
      <c r="P79" s="21"/>
      <c r="Q79" s="21"/>
      <c r="R79" s="21"/>
      <c r="S79" s="37"/>
      <c r="T79" s="38"/>
      <c r="U79" s="38"/>
      <c r="V79" s="38"/>
      <c r="W79" s="38"/>
      <c r="X79" s="38"/>
      <c r="Y79" s="39"/>
      <c r="Z79" s="49"/>
      <c r="AA79" s="49"/>
      <c r="AC79" s="17" t="str">
        <f t="shared" si="28"/>
        <v>·</v>
      </c>
      <c r="AD79" s="18" t="str">
        <f t="shared" si="29"/>
        <v>·</v>
      </c>
      <c r="AE79" s="18" t="str">
        <f t="shared" si="30"/>
        <v>·</v>
      </c>
      <c r="AF79" s="18" t="str">
        <f t="shared" si="31"/>
        <v>·</v>
      </c>
      <c r="AG79" s="19"/>
      <c r="AH79" s="18" t="str">
        <f t="shared" si="32"/>
        <v>·</v>
      </c>
      <c r="AI79" s="20"/>
      <c r="AJ79" s="21"/>
      <c r="AK79" s="21"/>
      <c r="AL79" s="21"/>
      <c r="AM79" s="37"/>
      <c r="AN79" s="38"/>
      <c r="AO79" s="38"/>
      <c r="AP79" s="38"/>
      <c r="AQ79" s="38"/>
      <c r="AR79" s="38"/>
      <c r="AS79" s="39"/>
      <c r="AT79" s="49"/>
      <c r="AU79" s="49"/>
      <c r="AW79" s="53" t="e">
        <f t="shared" si="33"/>
        <v>#DIV/0!</v>
      </c>
      <c r="AX79" s="53"/>
      <c r="AZ79" s="54"/>
      <c r="BA79" s="54"/>
      <c r="BB79" s="54"/>
      <c r="BC79" s="54"/>
      <c r="BD79" s="54"/>
      <c r="BE79" s="61"/>
      <c r="BG79" s="54"/>
      <c r="BH79" s="54"/>
      <c r="BI79" s="54"/>
      <c r="BJ79" s="54"/>
      <c r="BK79" s="54"/>
      <c r="BL79" s="61"/>
      <c r="BN79">
        <f t="shared" si="34"/>
        <v>0</v>
      </c>
      <c r="BO79">
        <f t="shared" si="35"/>
        <v>0</v>
      </c>
      <c r="BP79">
        <f t="shared" si="36"/>
        <v>0</v>
      </c>
      <c r="BQ79">
        <f t="shared" si="37"/>
        <v>0</v>
      </c>
      <c r="BR79">
        <f t="shared" si="38"/>
        <v>0</v>
      </c>
      <c r="BS79">
        <f t="shared" si="39"/>
        <v>0</v>
      </c>
      <c r="BT79">
        <f t="shared" si="40"/>
        <v>0</v>
      </c>
      <c r="BU79">
        <f t="shared" si="41"/>
        <v>0</v>
      </c>
      <c r="BV79">
        <f t="shared" si="42"/>
        <v>0</v>
      </c>
      <c r="BW79">
        <f t="shared" si="43"/>
        <v>0</v>
      </c>
      <c r="BX79">
        <f t="shared" si="44"/>
        <v>0</v>
      </c>
    </row>
    <row r="80" spans="1:76" outlineLevel="1" x14ac:dyDescent="0.15">
      <c r="A80" s="8"/>
      <c r="B80" s="8" t="s">
        <v>97</v>
      </c>
      <c r="C80" s="9" t="s">
        <v>257</v>
      </c>
      <c r="D80" s="8">
        <v>3017285</v>
      </c>
      <c r="E80" s="10">
        <v>12</v>
      </c>
      <c r="F80" s="9">
        <v>1</v>
      </c>
      <c r="G80" s="9"/>
      <c r="I80" s="22" t="str">
        <f t="shared" si="23"/>
        <v>·</v>
      </c>
      <c r="J80" s="23" t="str">
        <f t="shared" si="24"/>
        <v>·</v>
      </c>
      <c r="K80" s="23" t="str">
        <f t="shared" si="25"/>
        <v>·</v>
      </c>
      <c r="L80" s="23" t="str">
        <f t="shared" si="26"/>
        <v>·</v>
      </c>
      <c r="M80" s="24"/>
      <c r="N80" s="23" t="str">
        <f t="shared" si="27"/>
        <v>·</v>
      </c>
      <c r="O80" s="25"/>
      <c r="P80" s="26"/>
      <c r="Q80" s="26"/>
      <c r="R80" s="26"/>
      <c r="S80" s="40"/>
      <c r="T80" s="41"/>
      <c r="U80" s="41"/>
      <c r="V80" s="41"/>
      <c r="W80" s="41"/>
      <c r="X80" s="41"/>
      <c r="Y80" s="42"/>
      <c r="Z80" s="50"/>
      <c r="AA80" s="50"/>
      <c r="AC80" s="22" t="str">
        <f t="shared" si="28"/>
        <v>·</v>
      </c>
      <c r="AD80" s="23" t="str">
        <f t="shared" si="29"/>
        <v>·</v>
      </c>
      <c r="AE80" s="23" t="str">
        <f t="shared" si="30"/>
        <v>·</v>
      </c>
      <c r="AF80" s="23" t="str">
        <f t="shared" si="31"/>
        <v>·</v>
      </c>
      <c r="AG80" s="24"/>
      <c r="AH80" s="23" t="str">
        <f t="shared" si="32"/>
        <v>·</v>
      </c>
      <c r="AI80" s="25"/>
      <c r="AJ80" s="26"/>
      <c r="AK80" s="26"/>
      <c r="AL80" s="26"/>
      <c r="AM80" s="40"/>
      <c r="AN80" s="41"/>
      <c r="AO80" s="41"/>
      <c r="AP80" s="41"/>
      <c r="AQ80" s="41"/>
      <c r="AR80" s="41"/>
      <c r="AS80" s="42"/>
      <c r="AT80" s="50"/>
      <c r="AU80" s="50"/>
      <c r="AW80" s="55" t="e">
        <f t="shared" si="33"/>
        <v>#DIV/0!</v>
      </c>
      <c r="AX80" s="55"/>
      <c r="AZ80" s="56"/>
      <c r="BA80" s="56"/>
      <c r="BB80" s="56"/>
      <c r="BC80" s="56"/>
      <c r="BD80" s="56"/>
      <c r="BE80" s="62"/>
      <c r="BG80" s="56"/>
      <c r="BH80" s="56"/>
      <c r="BI80" s="56"/>
      <c r="BJ80" s="56"/>
      <c r="BK80" s="56"/>
      <c r="BL80" s="62"/>
      <c r="BN80">
        <f t="shared" si="34"/>
        <v>0</v>
      </c>
      <c r="BO80">
        <f t="shared" si="35"/>
        <v>0</v>
      </c>
      <c r="BP80">
        <f t="shared" si="36"/>
        <v>0</v>
      </c>
      <c r="BQ80">
        <f t="shared" si="37"/>
        <v>0</v>
      </c>
      <c r="BR80">
        <f t="shared" si="38"/>
        <v>0</v>
      </c>
      <c r="BS80">
        <f t="shared" si="39"/>
        <v>0</v>
      </c>
      <c r="BT80">
        <f t="shared" si="40"/>
        <v>0</v>
      </c>
      <c r="BU80">
        <f t="shared" si="41"/>
        <v>0</v>
      </c>
      <c r="BV80">
        <f t="shared" si="42"/>
        <v>0</v>
      </c>
      <c r="BW80">
        <f t="shared" si="43"/>
        <v>0</v>
      </c>
      <c r="BX80">
        <f t="shared" si="44"/>
        <v>0</v>
      </c>
    </row>
    <row r="81" spans="1:76" outlineLevel="1" x14ac:dyDescent="0.15">
      <c r="A81" s="5"/>
      <c r="B81" s="5" t="s">
        <v>97</v>
      </c>
      <c r="C81" s="6" t="s">
        <v>258</v>
      </c>
      <c r="D81" s="5">
        <v>3017285</v>
      </c>
      <c r="E81" s="7">
        <v>12</v>
      </c>
      <c r="F81" s="6">
        <v>1</v>
      </c>
      <c r="G81" s="6"/>
      <c r="I81" s="17" t="str">
        <f t="shared" si="23"/>
        <v>·</v>
      </c>
      <c r="J81" s="18" t="str">
        <f t="shared" si="24"/>
        <v>·</v>
      </c>
      <c r="K81" s="18" t="str">
        <f t="shared" si="25"/>
        <v>·</v>
      </c>
      <c r="L81" s="18" t="str">
        <f t="shared" si="26"/>
        <v>·</v>
      </c>
      <c r="M81" s="19"/>
      <c r="N81" s="18" t="str">
        <f t="shared" si="27"/>
        <v>·</v>
      </c>
      <c r="O81" s="20"/>
      <c r="P81" s="21"/>
      <c r="Q81" s="21"/>
      <c r="R81" s="21"/>
      <c r="S81" s="37"/>
      <c r="T81" s="38"/>
      <c r="U81" s="38"/>
      <c r="V81" s="38"/>
      <c r="W81" s="38"/>
      <c r="X81" s="38"/>
      <c r="Y81" s="39"/>
      <c r="Z81" s="49"/>
      <c r="AA81" s="49"/>
      <c r="AC81" s="17" t="str">
        <f t="shared" si="28"/>
        <v>·</v>
      </c>
      <c r="AD81" s="18" t="str">
        <f t="shared" si="29"/>
        <v>·</v>
      </c>
      <c r="AE81" s="18" t="str">
        <f t="shared" si="30"/>
        <v>·</v>
      </c>
      <c r="AF81" s="18" t="str">
        <f t="shared" si="31"/>
        <v>·</v>
      </c>
      <c r="AG81" s="19"/>
      <c r="AH81" s="18" t="str">
        <f t="shared" si="32"/>
        <v>·</v>
      </c>
      <c r="AI81" s="20"/>
      <c r="AJ81" s="21"/>
      <c r="AK81" s="21"/>
      <c r="AL81" s="21"/>
      <c r="AM81" s="37"/>
      <c r="AN81" s="38"/>
      <c r="AO81" s="38"/>
      <c r="AP81" s="38"/>
      <c r="AQ81" s="38"/>
      <c r="AR81" s="38"/>
      <c r="AS81" s="39"/>
      <c r="AT81" s="49"/>
      <c r="AU81" s="49"/>
      <c r="AW81" s="53" t="e">
        <f t="shared" si="33"/>
        <v>#DIV/0!</v>
      </c>
      <c r="AX81" s="53"/>
      <c r="AZ81" s="54"/>
      <c r="BA81" s="54"/>
      <c r="BB81" s="54"/>
      <c r="BC81" s="54"/>
      <c r="BD81" s="54"/>
      <c r="BE81" s="61"/>
      <c r="BG81" s="54"/>
      <c r="BH81" s="54"/>
      <c r="BI81" s="54"/>
      <c r="BJ81" s="54"/>
      <c r="BK81" s="54"/>
      <c r="BL81" s="61"/>
      <c r="BN81">
        <f t="shared" si="34"/>
        <v>0</v>
      </c>
      <c r="BO81">
        <f t="shared" si="35"/>
        <v>0</v>
      </c>
      <c r="BP81">
        <f t="shared" si="36"/>
        <v>0</v>
      </c>
      <c r="BQ81">
        <f t="shared" si="37"/>
        <v>0</v>
      </c>
      <c r="BR81">
        <f t="shared" si="38"/>
        <v>0</v>
      </c>
      <c r="BS81">
        <f t="shared" si="39"/>
        <v>0</v>
      </c>
      <c r="BT81">
        <f t="shared" si="40"/>
        <v>0</v>
      </c>
      <c r="BU81">
        <f t="shared" si="41"/>
        <v>0</v>
      </c>
      <c r="BV81">
        <f t="shared" si="42"/>
        <v>0</v>
      </c>
      <c r="BW81">
        <f t="shared" si="43"/>
        <v>0</v>
      </c>
      <c r="BX81">
        <f t="shared" si="44"/>
        <v>0</v>
      </c>
    </row>
    <row r="82" spans="1:76" outlineLevel="1" x14ac:dyDescent="0.15">
      <c r="A82" s="8"/>
      <c r="B82" s="14" t="s">
        <v>97</v>
      </c>
      <c r="C82" s="15" t="s">
        <v>259</v>
      </c>
      <c r="D82" s="14">
        <v>3017285</v>
      </c>
      <c r="E82" s="16">
        <v>12</v>
      </c>
      <c r="F82" s="15">
        <v>1</v>
      </c>
      <c r="G82" s="15"/>
      <c r="I82" s="32" t="str">
        <f t="shared" si="23"/>
        <v>·</v>
      </c>
      <c r="J82" s="33" t="str">
        <f t="shared" si="24"/>
        <v>·</v>
      </c>
      <c r="K82" s="33" t="str">
        <f t="shared" si="25"/>
        <v>·</v>
      </c>
      <c r="L82" s="33" t="str">
        <f t="shared" si="26"/>
        <v>·</v>
      </c>
      <c r="M82" s="34"/>
      <c r="N82" s="33" t="str">
        <f t="shared" si="27"/>
        <v>·</v>
      </c>
      <c r="O82" s="35"/>
      <c r="P82" s="36"/>
      <c r="Q82" s="36"/>
      <c r="R82" s="36"/>
      <c r="S82" s="46"/>
      <c r="T82" s="47"/>
      <c r="U82" s="47"/>
      <c r="V82" s="47"/>
      <c r="W82" s="47"/>
      <c r="X82" s="47"/>
      <c r="Y82" s="48"/>
      <c r="Z82" s="52"/>
      <c r="AA82" s="52"/>
      <c r="AC82" s="32" t="str">
        <f t="shared" si="28"/>
        <v>·</v>
      </c>
      <c r="AD82" s="33" t="str">
        <f t="shared" si="29"/>
        <v>·</v>
      </c>
      <c r="AE82" s="33" t="str">
        <f t="shared" si="30"/>
        <v>·</v>
      </c>
      <c r="AF82" s="33" t="str">
        <f t="shared" si="31"/>
        <v>·</v>
      </c>
      <c r="AG82" s="34"/>
      <c r="AH82" s="33" t="str">
        <f t="shared" si="32"/>
        <v>·</v>
      </c>
      <c r="AI82" s="35"/>
      <c r="AJ82" s="36"/>
      <c r="AK82" s="36"/>
      <c r="AL82" s="36"/>
      <c r="AM82" s="46"/>
      <c r="AN82" s="47"/>
      <c r="AO82" s="47"/>
      <c r="AP82" s="47"/>
      <c r="AQ82" s="47"/>
      <c r="AR82" s="47"/>
      <c r="AS82" s="48"/>
      <c r="AT82" s="52"/>
      <c r="AU82" s="52"/>
      <c r="AW82" s="59" t="e">
        <f t="shared" si="33"/>
        <v>#DIV/0!</v>
      </c>
      <c r="AX82" s="59"/>
      <c r="AZ82" s="60"/>
      <c r="BA82" s="60"/>
      <c r="BB82" s="60"/>
      <c r="BC82" s="60"/>
      <c r="BD82" s="60"/>
      <c r="BE82" s="64"/>
      <c r="BG82" s="60"/>
      <c r="BH82" s="60"/>
      <c r="BI82" s="60"/>
      <c r="BJ82" s="60"/>
      <c r="BK82" s="60"/>
      <c r="BL82" s="64"/>
      <c r="BN82">
        <f t="shared" si="34"/>
        <v>0</v>
      </c>
      <c r="BO82">
        <f t="shared" si="35"/>
        <v>0</v>
      </c>
      <c r="BP82">
        <f t="shared" si="36"/>
        <v>0</v>
      </c>
      <c r="BQ82">
        <f t="shared" si="37"/>
        <v>0</v>
      </c>
      <c r="BR82">
        <f t="shared" si="38"/>
        <v>0</v>
      </c>
      <c r="BS82">
        <f t="shared" si="39"/>
        <v>0</v>
      </c>
      <c r="BT82">
        <f t="shared" si="40"/>
        <v>0</v>
      </c>
      <c r="BU82">
        <f t="shared" si="41"/>
        <v>0</v>
      </c>
      <c r="BV82">
        <f t="shared" si="42"/>
        <v>0</v>
      </c>
      <c r="BW82">
        <f t="shared" si="43"/>
        <v>0</v>
      </c>
      <c r="BX82">
        <f t="shared" si="44"/>
        <v>0</v>
      </c>
    </row>
    <row r="83" spans="1:76" x14ac:dyDescent="0.15">
      <c r="A83" s="5"/>
      <c r="B83" s="5" t="s">
        <v>100</v>
      </c>
      <c r="C83" s="6" t="s">
        <v>254</v>
      </c>
      <c r="D83" s="5">
        <v>805285</v>
      </c>
      <c r="E83" s="7">
        <v>10</v>
      </c>
      <c r="F83" s="6">
        <v>1</v>
      </c>
      <c r="G83" s="6"/>
      <c r="I83" s="17" t="str">
        <f t="shared" si="23"/>
        <v>·</v>
      </c>
      <c r="J83" s="18" t="str">
        <f t="shared" si="24"/>
        <v>·</v>
      </c>
      <c r="K83" s="18" t="str">
        <f t="shared" si="25"/>
        <v>·</v>
      </c>
      <c r="L83" s="18" t="str">
        <f t="shared" si="26"/>
        <v>·</v>
      </c>
      <c r="M83" s="19"/>
      <c r="N83" s="18" t="str">
        <f t="shared" si="27"/>
        <v>·</v>
      </c>
      <c r="O83" s="20"/>
      <c r="P83" s="21"/>
      <c r="Q83" s="21"/>
      <c r="R83" s="21"/>
      <c r="S83" s="37"/>
      <c r="T83" s="38"/>
      <c r="U83" s="38"/>
      <c r="V83" s="38"/>
      <c r="W83" s="38"/>
      <c r="X83" s="38"/>
      <c r="Y83" s="39"/>
      <c r="Z83" s="49"/>
      <c r="AA83" s="49"/>
      <c r="AC83" s="17" t="str">
        <f t="shared" si="28"/>
        <v>·</v>
      </c>
      <c r="AD83" s="18" t="str">
        <f t="shared" si="29"/>
        <v>·</v>
      </c>
      <c r="AE83" s="18" t="str">
        <f t="shared" si="30"/>
        <v>·</v>
      </c>
      <c r="AF83" s="18" t="str">
        <f t="shared" si="31"/>
        <v>·</v>
      </c>
      <c r="AG83" s="19"/>
      <c r="AH83" s="18" t="str">
        <f t="shared" si="32"/>
        <v>·</v>
      </c>
      <c r="AI83" s="20"/>
      <c r="AJ83" s="21"/>
      <c r="AK83" s="21"/>
      <c r="AL83" s="21"/>
      <c r="AM83" s="37"/>
      <c r="AN83" s="38"/>
      <c r="AO83" s="38"/>
      <c r="AP83" s="38"/>
      <c r="AQ83" s="38"/>
      <c r="AR83" s="38"/>
      <c r="AS83" s="39"/>
      <c r="AT83" s="49"/>
      <c r="AU83" s="49"/>
      <c r="AW83" s="53" t="e">
        <f t="shared" si="33"/>
        <v>#DIV/0!</v>
      </c>
      <c r="AX83" s="53" t="e">
        <f t="array" ref="AX83">AVERAGE(AK83:AK88/AJ83:AJ88)-AVERAGE(Q83:Q88/P83:P88)</f>
        <v>#DIV/0!</v>
      </c>
      <c r="AZ83" s="54" t="str">
        <f>IF(OR(ISBLANK(Q83:Q88),ISBLANK(AK83:AK88),ISBLANK(T83:T88),ISBLANK(AN83:AN88)),"·",bdRateExtend(Q83:Q88,T83:T88,AK83:AK88,AN83:AN88))</f>
        <v>·</v>
      </c>
      <c r="BA83" s="54" t="str">
        <f>IF(OR(ISBLANK(Q83:Q88),ISBLANK(AK83:AK88),ISBLANK(U83:U88),ISBLANK(AO83:AO88)),"·",bdRateExtend(Q83:Q88,U83:U88,AK83:AK88,AO83:AO88))</f>
        <v>·</v>
      </c>
      <c r="BB83" s="54" t="str">
        <f>IF(OR(ISBLANK(R83:R88),ISBLANK(AL83:AL88),ISBLANK(V83:V88),ISBLANK(AP83:AP88)),"·",bdRateExtend(R83:R88,V83:V88,AL83:AL88,AP83:AP88))</f>
        <v>·</v>
      </c>
      <c r="BC83" s="54" t="str">
        <f>IF(OR(ISBLANK(R83:R88),ISBLANK(AL83:AL88),ISBLANK(W83:W88),ISBLANK(AQ83:AQ88)),"·",bdRateExtend(R83:R88,W83:W88,AL83:AL88,AQ83:AQ88))</f>
        <v>·</v>
      </c>
      <c r="BD83" s="54" t="str">
        <f>IF(OR(ISBLANK(R83:R88),ISBLANK(AL83:AL88),ISBLANK(X83:X88),ISBLANK(AR83:AR88)),"·",bdRateExtend(R83:R88,X83:X88,AL83:AL88,AR83:AR88))</f>
        <v>·</v>
      </c>
      <c r="BE83" s="61"/>
      <c r="BG83" s="54" t="str">
        <f>IF(OR(ISBLANK(P83:P88),ISBLANK(AJ83:AJ88),ISBLANK(T83:T88),ISBLANK(AN83:AN88)),"·",bdRateExtend(P83:P88,T83:T88,AJ83:AJ88,AN83:AN88))</f>
        <v>·</v>
      </c>
      <c r="BH83" s="54" t="str">
        <f>IF(OR(ISBLANK(P83:P88),ISBLANK(AJ83:AJ88),ISBLANK(U83:U88),ISBLANK(AO83:AO88)),"·",bdRateExtend(P83:P88,U83:U88,AJ83:AJ88,AO83:AO88))</f>
        <v>·</v>
      </c>
      <c r="BI83" s="54" t="str">
        <f>IF(OR(ISBLANK(P83:P88),ISBLANK(AJ83:AJ88),ISBLANK(V83:V88),ISBLANK(AP83:AP88)),"·",bdRateExtend(P83:P88,V83:V88,AJ83:AJ88,AP83:AP88))</f>
        <v>·</v>
      </c>
      <c r="BJ83" s="54" t="str">
        <f>IF(OR(ISBLANK(P83:P88),ISBLANK(AJ83:AJ88),ISBLANK(W83:W88),ISBLANK(AQ83:AQ88)),"·",bdRateExtend(P83:P88,W83:W88,AJ83:AJ88,AQ83:AQ88))</f>
        <v>·</v>
      </c>
      <c r="BK83" s="54" t="str">
        <f>IF(OR(ISBLANK(P83:P88),ISBLANK(AJ83:AJ88),ISBLANK(X83:X88),ISBLANK(AR83:AR88)),"·",bdRateExtend(P83:P88,X83:X88,AJ83:AJ88,AR83:AR88))</f>
        <v>·</v>
      </c>
      <c r="BL83" s="61"/>
      <c r="BN83">
        <f t="shared" si="34"/>
        <v>0</v>
      </c>
      <c r="BO83">
        <f t="shared" si="35"/>
        <v>0</v>
      </c>
      <c r="BP83">
        <f t="shared" si="36"/>
        <v>0</v>
      </c>
      <c r="BQ83">
        <f t="shared" si="37"/>
        <v>0</v>
      </c>
      <c r="BR83">
        <f t="shared" si="38"/>
        <v>0</v>
      </c>
      <c r="BS83">
        <f t="shared" si="39"/>
        <v>0</v>
      </c>
      <c r="BT83">
        <f t="shared" si="40"/>
        <v>0</v>
      </c>
      <c r="BU83">
        <f t="shared" si="41"/>
        <v>0</v>
      </c>
      <c r="BV83">
        <f t="shared" si="42"/>
        <v>0</v>
      </c>
      <c r="BW83">
        <f t="shared" si="43"/>
        <v>0</v>
      </c>
      <c r="BX83">
        <f t="shared" si="44"/>
        <v>0</v>
      </c>
    </row>
    <row r="84" spans="1:76" outlineLevel="1" x14ac:dyDescent="0.15">
      <c r="A84" s="8"/>
      <c r="B84" s="8" t="s">
        <v>100</v>
      </c>
      <c r="C84" s="9" t="s">
        <v>255</v>
      </c>
      <c r="D84" s="8">
        <v>805285</v>
      </c>
      <c r="E84" s="10">
        <v>10</v>
      </c>
      <c r="F84" s="9">
        <v>1</v>
      </c>
      <c r="G84" s="9"/>
      <c r="I84" s="22" t="str">
        <f t="shared" si="23"/>
        <v>·</v>
      </c>
      <c r="J84" s="23" t="str">
        <f t="shared" si="24"/>
        <v>·</v>
      </c>
      <c r="K84" s="23" t="str">
        <f t="shared" si="25"/>
        <v>·</v>
      </c>
      <c r="L84" s="23" t="str">
        <f t="shared" si="26"/>
        <v>·</v>
      </c>
      <c r="M84" s="24"/>
      <c r="N84" s="23" t="str">
        <f t="shared" si="27"/>
        <v>·</v>
      </c>
      <c r="O84" s="25"/>
      <c r="P84" s="26"/>
      <c r="Q84" s="26"/>
      <c r="R84" s="26"/>
      <c r="S84" s="40"/>
      <c r="T84" s="41"/>
      <c r="U84" s="41"/>
      <c r="V84" s="41"/>
      <c r="W84" s="41"/>
      <c r="X84" s="41"/>
      <c r="Y84" s="42"/>
      <c r="Z84" s="50"/>
      <c r="AA84" s="50"/>
      <c r="AC84" s="22" t="str">
        <f t="shared" si="28"/>
        <v>·</v>
      </c>
      <c r="AD84" s="23" t="str">
        <f t="shared" si="29"/>
        <v>·</v>
      </c>
      <c r="AE84" s="23" t="str">
        <f t="shared" si="30"/>
        <v>·</v>
      </c>
      <c r="AF84" s="23" t="str">
        <f t="shared" si="31"/>
        <v>·</v>
      </c>
      <c r="AG84" s="24"/>
      <c r="AH84" s="23" t="str">
        <f t="shared" si="32"/>
        <v>·</v>
      </c>
      <c r="AI84" s="25"/>
      <c r="AJ84" s="26"/>
      <c r="AK84" s="26"/>
      <c r="AL84" s="26"/>
      <c r="AM84" s="40"/>
      <c r="AN84" s="41"/>
      <c r="AO84" s="41"/>
      <c r="AP84" s="41"/>
      <c r="AQ84" s="41"/>
      <c r="AR84" s="41"/>
      <c r="AS84" s="42"/>
      <c r="AT84" s="50"/>
      <c r="AU84" s="50"/>
      <c r="AW84" s="55" t="e">
        <f t="shared" si="33"/>
        <v>#DIV/0!</v>
      </c>
      <c r="AX84" s="55"/>
      <c r="AZ84" s="56"/>
      <c r="BA84" s="56"/>
      <c r="BB84" s="56"/>
      <c r="BC84" s="56"/>
      <c r="BD84" s="56"/>
      <c r="BE84" s="62"/>
      <c r="BG84" s="56"/>
      <c r="BH84" s="56"/>
      <c r="BI84" s="56"/>
      <c r="BJ84" s="56"/>
      <c r="BK84" s="56"/>
      <c r="BL84" s="62"/>
      <c r="BN84">
        <f t="shared" si="34"/>
        <v>0</v>
      </c>
      <c r="BO84">
        <f t="shared" si="35"/>
        <v>0</v>
      </c>
      <c r="BP84">
        <f t="shared" si="36"/>
        <v>0</v>
      </c>
      <c r="BQ84">
        <f t="shared" si="37"/>
        <v>0</v>
      </c>
      <c r="BR84">
        <f t="shared" si="38"/>
        <v>0</v>
      </c>
      <c r="BS84">
        <f t="shared" si="39"/>
        <v>0</v>
      </c>
      <c r="BT84">
        <f t="shared" si="40"/>
        <v>0</v>
      </c>
      <c r="BU84">
        <f t="shared" si="41"/>
        <v>0</v>
      </c>
      <c r="BV84">
        <f t="shared" si="42"/>
        <v>0</v>
      </c>
      <c r="BW84">
        <f t="shared" si="43"/>
        <v>0</v>
      </c>
      <c r="BX84">
        <f t="shared" si="44"/>
        <v>0</v>
      </c>
    </row>
    <row r="85" spans="1:76" outlineLevel="1" x14ac:dyDescent="0.15">
      <c r="A85" s="5"/>
      <c r="B85" s="5" t="s">
        <v>100</v>
      </c>
      <c r="C85" s="6" t="s">
        <v>256</v>
      </c>
      <c r="D85" s="5">
        <v>805285</v>
      </c>
      <c r="E85" s="7">
        <v>10</v>
      </c>
      <c r="F85" s="6">
        <v>1</v>
      </c>
      <c r="G85" s="6"/>
      <c r="I85" s="17" t="str">
        <f t="shared" si="23"/>
        <v>·</v>
      </c>
      <c r="J85" s="18" t="str">
        <f t="shared" si="24"/>
        <v>·</v>
      </c>
      <c r="K85" s="18" t="str">
        <f t="shared" si="25"/>
        <v>·</v>
      </c>
      <c r="L85" s="18" t="str">
        <f t="shared" si="26"/>
        <v>·</v>
      </c>
      <c r="M85" s="19"/>
      <c r="N85" s="18" t="str">
        <f t="shared" si="27"/>
        <v>·</v>
      </c>
      <c r="O85" s="20"/>
      <c r="P85" s="21"/>
      <c r="Q85" s="21"/>
      <c r="R85" s="21"/>
      <c r="S85" s="37"/>
      <c r="T85" s="38"/>
      <c r="U85" s="38"/>
      <c r="V85" s="38"/>
      <c r="W85" s="38"/>
      <c r="X85" s="38"/>
      <c r="Y85" s="39"/>
      <c r="Z85" s="49"/>
      <c r="AA85" s="49"/>
      <c r="AC85" s="17" t="str">
        <f t="shared" si="28"/>
        <v>·</v>
      </c>
      <c r="AD85" s="18" t="str">
        <f t="shared" si="29"/>
        <v>·</v>
      </c>
      <c r="AE85" s="18" t="str">
        <f t="shared" si="30"/>
        <v>·</v>
      </c>
      <c r="AF85" s="18" t="str">
        <f t="shared" si="31"/>
        <v>·</v>
      </c>
      <c r="AG85" s="19"/>
      <c r="AH85" s="18" t="str">
        <f t="shared" si="32"/>
        <v>·</v>
      </c>
      <c r="AI85" s="20"/>
      <c r="AJ85" s="21"/>
      <c r="AK85" s="21"/>
      <c r="AL85" s="21"/>
      <c r="AM85" s="37"/>
      <c r="AN85" s="38"/>
      <c r="AO85" s="38"/>
      <c r="AP85" s="38"/>
      <c r="AQ85" s="38"/>
      <c r="AR85" s="38"/>
      <c r="AS85" s="39"/>
      <c r="AT85" s="49"/>
      <c r="AU85" s="49"/>
      <c r="AW85" s="53" t="e">
        <f t="shared" si="33"/>
        <v>#DIV/0!</v>
      </c>
      <c r="AX85" s="53"/>
      <c r="AZ85" s="54"/>
      <c r="BA85" s="54"/>
      <c r="BB85" s="54"/>
      <c r="BC85" s="54"/>
      <c r="BD85" s="54"/>
      <c r="BE85" s="61"/>
      <c r="BG85" s="54"/>
      <c r="BH85" s="54"/>
      <c r="BI85" s="54"/>
      <c r="BJ85" s="54"/>
      <c r="BK85" s="54"/>
      <c r="BL85" s="61"/>
      <c r="BN85">
        <f t="shared" si="34"/>
        <v>0</v>
      </c>
      <c r="BO85">
        <f t="shared" si="35"/>
        <v>0</v>
      </c>
      <c r="BP85">
        <f t="shared" si="36"/>
        <v>0</v>
      </c>
      <c r="BQ85">
        <f t="shared" si="37"/>
        <v>0</v>
      </c>
      <c r="BR85">
        <f t="shared" si="38"/>
        <v>0</v>
      </c>
      <c r="BS85">
        <f t="shared" si="39"/>
        <v>0</v>
      </c>
      <c r="BT85">
        <f t="shared" si="40"/>
        <v>0</v>
      </c>
      <c r="BU85">
        <f t="shared" si="41"/>
        <v>0</v>
      </c>
      <c r="BV85">
        <f t="shared" si="42"/>
        <v>0</v>
      </c>
      <c r="BW85">
        <f t="shared" si="43"/>
        <v>0</v>
      </c>
      <c r="BX85">
        <f t="shared" si="44"/>
        <v>0</v>
      </c>
    </row>
    <row r="86" spans="1:76" outlineLevel="1" x14ac:dyDescent="0.15">
      <c r="A86" s="8"/>
      <c r="B86" s="8" t="s">
        <v>100</v>
      </c>
      <c r="C86" s="9" t="s">
        <v>257</v>
      </c>
      <c r="D86" s="8">
        <v>805285</v>
      </c>
      <c r="E86" s="10">
        <v>10</v>
      </c>
      <c r="F86" s="9">
        <v>1</v>
      </c>
      <c r="G86" s="9"/>
      <c r="I86" s="22" t="str">
        <f t="shared" si="23"/>
        <v>·</v>
      </c>
      <c r="J86" s="23" t="str">
        <f t="shared" si="24"/>
        <v>·</v>
      </c>
      <c r="K86" s="23" t="str">
        <f t="shared" si="25"/>
        <v>·</v>
      </c>
      <c r="L86" s="23" t="str">
        <f t="shared" si="26"/>
        <v>·</v>
      </c>
      <c r="M86" s="24"/>
      <c r="N86" s="23" t="str">
        <f t="shared" si="27"/>
        <v>·</v>
      </c>
      <c r="O86" s="25"/>
      <c r="P86" s="26"/>
      <c r="Q86" s="26"/>
      <c r="R86" s="26"/>
      <c r="S86" s="40"/>
      <c r="T86" s="41"/>
      <c r="U86" s="41"/>
      <c r="V86" s="41"/>
      <c r="W86" s="41"/>
      <c r="X86" s="41"/>
      <c r="Y86" s="42"/>
      <c r="Z86" s="50"/>
      <c r="AA86" s="50"/>
      <c r="AC86" s="22" t="str">
        <f t="shared" si="28"/>
        <v>·</v>
      </c>
      <c r="AD86" s="23" t="str">
        <f t="shared" si="29"/>
        <v>·</v>
      </c>
      <c r="AE86" s="23" t="str">
        <f t="shared" si="30"/>
        <v>·</v>
      </c>
      <c r="AF86" s="23" t="str">
        <f t="shared" si="31"/>
        <v>·</v>
      </c>
      <c r="AG86" s="24"/>
      <c r="AH86" s="23" t="str">
        <f t="shared" si="32"/>
        <v>·</v>
      </c>
      <c r="AI86" s="25"/>
      <c r="AJ86" s="26"/>
      <c r="AK86" s="26"/>
      <c r="AL86" s="26"/>
      <c r="AM86" s="40"/>
      <c r="AN86" s="41"/>
      <c r="AO86" s="41"/>
      <c r="AP86" s="41"/>
      <c r="AQ86" s="41"/>
      <c r="AR86" s="41"/>
      <c r="AS86" s="42"/>
      <c r="AT86" s="50"/>
      <c r="AU86" s="50"/>
      <c r="AW86" s="55" t="e">
        <f t="shared" si="33"/>
        <v>#DIV/0!</v>
      </c>
      <c r="AX86" s="55"/>
      <c r="AZ86" s="56"/>
      <c r="BA86" s="56"/>
      <c r="BB86" s="56"/>
      <c r="BC86" s="56"/>
      <c r="BD86" s="56"/>
      <c r="BE86" s="62"/>
      <c r="BG86" s="56"/>
      <c r="BH86" s="56"/>
      <c r="BI86" s="56"/>
      <c r="BJ86" s="56"/>
      <c r="BK86" s="56"/>
      <c r="BL86" s="62"/>
      <c r="BN86">
        <f t="shared" si="34"/>
        <v>0</v>
      </c>
      <c r="BO86">
        <f t="shared" si="35"/>
        <v>0</v>
      </c>
      <c r="BP86">
        <f t="shared" si="36"/>
        <v>0</v>
      </c>
      <c r="BQ86">
        <f t="shared" si="37"/>
        <v>0</v>
      </c>
      <c r="BR86">
        <f t="shared" si="38"/>
        <v>0</v>
      </c>
      <c r="BS86">
        <f t="shared" si="39"/>
        <v>0</v>
      </c>
      <c r="BT86">
        <f t="shared" si="40"/>
        <v>0</v>
      </c>
      <c r="BU86">
        <f t="shared" si="41"/>
        <v>0</v>
      </c>
      <c r="BV86">
        <f t="shared" si="42"/>
        <v>0</v>
      </c>
      <c r="BW86">
        <f t="shared" si="43"/>
        <v>0</v>
      </c>
      <c r="BX86">
        <f t="shared" si="44"/>
        <v>0</v>
      </c>
    </row>
    <row r="87" spans="1:76" outlineLevel="1" x14ac:dyDescent="0.15">
      <c r="A87" s="5"/>
      <c r="B87" s="5" t="s">
        <v>100</v>
      </c>
      <c r="C87" s="6" t="s">
        <v>258</v>
      </c>
      <c r="D87" s="5">
        <v>805285</v>
      </c>
      <c r="E87" s="7">
        <v>10</v>
      </c>
      <c r="F87" s="6">
        <v>1</v>
      </c>
      <c r="G87" s="6"/>
      <c r="I87" s="17" t="str">
        <f t="shared" si="23"/>
        <v>·</v>
      </c>
      <c r="J87" s="18" t="str">
        <f t="shared" si="24"/>
        <v>·</v>
      </c>
      <c r="K87" s="18" t="str">
        <f t="shared" si="25"/>
        <v>·</v>
      </c>
      <c r="L87" s="18" t="str">
        <f t="shared" si="26"/>
        <v>·</v>
      </c>
      <c r="M87" s="19"/>
      <c r="N87" s="18" t="str">
        <f t="shared" si="27"/>
        <v>·</v>
      </c>
      <c r="O87" s="20"/>
      <c r="P87" s="21"/>
      <c r="Q87" s="21"/>
      <c r="R87" s="21"/>
      <c r="S87" s="37"/>
      <c r="T87" s="38"/>
      <c r="U87" s="38"/>
      <c r="V87" s="38"/>
      <c r="W87" s="38"/>
      <c r="X87" s="38"/>
      <c r="Y87" s="39"/>
      <c r="Z87" s="49"/>
      <c r="AA87" s="49"/>
      <c r="AC87" s="17" t="str">
        <f t="shared" si="28"/>
        <v>·</v>
      </c>
      <c r="AD87" s="18" t="str">
        <f t="shared" si="29"/>
        <v>·</v>
      </c>
      <c r="AE87" s="18" t="str">
        <f t="shared" si="30"/>
        <v>·</v>
      </c>
      <c r="AF87" s="18" t="str">
        <f t="shared" si="31"/>
        <v>·</v>
      </c>
      <c r="AG87" s="19"/>
      <c r="AH87" s="18" t="str">
        <f t="shared" si="32"/>
        <v>·</v>
      </c>
      <c r="AI87" s="20"/>
      <c r="AJ87" s="21"/>
      <c r="AK87" s="21"/>
      <c r="AL87" s="21"/>
      <c r="AM87" s="37"/>
      <c r="AN87" s="38"/>
      <c r="AO87" s="38"/>
      <c r="AP87" s="38"/>
      <c r="AQ87" s="38"/>
      <c r="AR87" s="38"/>
      <c r="AS87" s="39"/>
      <c r="AT87" s="49"/>
      <c r="AU87" s="49"/>
      <c r="AW87" s="53" t="e">
        <f t="shared" si="33"/>
        <v>#DIV/0!</v>
      </c>
      <c r="AX87" s="53"/>
      <c r="AZ87" s="54"/>
      <c r="BA87" s="54"/>
      <c r="BB87" s="54"/>
      <c r="BC87" s="54"/>
      <c r="BD87" s="54"/>
      <c r="BE87" s="61"/>
      <c r="BG87" s="54"/>
      <c r="BH87" s="54"/>
      <c r="BI87" s="54"/>
      <c r="BJ87" s="54"/>
      <c r="BK87" s="54"/>
      <c r="BL87" s="61"/>
      <c r="BN87">
        <f t="shared" si="34"/>
        <v>0</v>
      </c>
      <c r="BO87">
        <f t="shared" si="35"/>
        <v>0</v>
      </c>
      <c r="BP87">
        <f t="shared" si="36"/>
        <v>0</v>
      </c>
      <c r="BQ87">
        <f t="shared" si="37"/>
        <v>0</v>
      </c>
      <c r="BR87">
        <f t="shared" si="38"/>
        <v>0</v>
      </c>
      <c r="BS87">
        <f t="shared" si="39"/>
        <v>0</v>
      </c>
      <c r="BT87">
        <f t="shared" si="40"/>
        <v>0</v>
      </c>
      <c r="BU87">
        <f t="shared" si="41"/>
        <v>0</v>
      </c>
      <c r="BV87">
        <f t="shared" si="42"/>
        <v>0</v>
      </c>
      <c r="BW87">
        <f t="shared" si="43"/>
        <v>0</v>
      </c>
      <c r="BX87">
        <f t="shared" si="44"/>
        <v>0</v>
      </c>
    </row>
    <row r="88" spans="1:76" outlineLevel="1" x14ac:dyDescent="0.15">
      <c r="A88" s="8"/>
      <c r="B88" s="14" t="s">
        <v>100</v>
      </c>
      <c r="C88" s="15" t="s">
        <v>259</v>
      </c>
      <c r="D88" s="14">
        <v>805285</v>
      </c>
      <c r="E88" s="16">
        <v>10</v>
      </c>
      <c r="F88" s="15">
        <v>1</v>
      </c>
      <c r="G88" s="15"/>
      <c r="I88" s="32" t="str">
        <f t="shared" si="23"/>
        <v>·</v>
      </c>
      <c r="J88" s="33" t="str">
        <f t="shared" si="24"/>
        <v>·</v>
      </c>
      <c r="K88" s="33" t="str">
        <f t="shared" si="25"/>
        <v>·</v>
      </c>
      <c r="L88" s="33" t="str">
        <f t="shared" si="26"/>
        <v>·</v>
      </c>
      <c r="M88" s="34"/>
      <c r="N88" s="33" t="str">
        <f t="shared" si="27"/>
        <v>·</v>
      </c>
      <c r="O88" s="35"/>
      <c r="P88" s="36"/>
      <c r="Q88" s="36"/>
      <c r="R88" s="36"/>
      <c r="S88" s="46"/>
      <c r="T88" s="47"/>
      <c r="U88" s="47"/>
      <c r="V88" s="47"/>
      <c r="W88" s="47"/>
      <c r="X88" s="47"/>
      <c r="Y88" s="48"/>
      <c r="Z88" s="52"/>
      <c r="AA88" s="52"/>
      <c r="AC88" s="32" t="str">
        <f t="shared" si="28"/>
        <v>·</v>
      </c>
      <c r="AD88" s="33" t="str">
        <f t="shared" si="29"/>
        <v>·</v>
      </c>
      <c r="AE88" s="33" t="str">
        <f t="shared" si="30"/>
        <v>·</v>
      </c>
      <c r="AF88" s="33" t="str">
        <f t="shared" si="31"/>
        <v>·</v>
      </c>
      <c r="AG88" s="34"/>
      <c r="AH88" s="33" t="str">
        <f t="shared" si="32"/>
        <v>·</v>
      </c>
      <c r="AI88" s="35"/>
      <c r="AJ88" s="36"/>
      <c r="AK88" s="36"/>
      <c r="AL88" s="36"/>
      <c r="AM88" s="46"/>
      <c r="AN88" s="47"/>
      <c r="AO88" s="47"/>
      <c r="AP88" s="47"/>
      <c r="AQ88" s="47"/>
      <c r="AR88" s="47"/>
      <c r="AS88" s="48"/>
      <c r="AT88" s="52"/>
      <c r="AU88" s="52"/>
      <c r="AW88" s="59" t="e">
        <f t="shared" si="33"/>
        <v>#DIV/0!</v>
      </c>
      <c r="AX88" s="59"/>
      <c r="AZ88" s="60"/>
      <c r="BA88" s="60"/>
      <c r="BB88" s="60"/>
      <c r="BC88" s="60"/>
      <c r="BD88" s="60"/>
      <c r="BE88" s="64"/>
      <c r="BG88" s="60"/>
      <c r="BH88" s="60"/>
      <c r="BI88" s="60"/>
      <c r="BJ88" s="60"/>
      <c r="BK88" s="60"/>
      <c r="BL88" s="64"/>
      <c r="BN88">
        <f t="shared" si="34"/>
        <v>0</v>
      </c>
      <c r="BO88">
        <f t="shared" si="35"/>
        <v>0</v>
      </c>
      <c r="BP88">
        <f t="shared" si="36"/>
        <v>0</v>
      </c>
      <c r="BQ88">
        <f t="shared" si="37"/>
        <v>0</v>
      </c>
      <c r="BR88">
        <f t="shared" si="38"/>
        <v>0</v>
      </c>
      <c r="BS88">
        <f t="shared" si="39"/>
        <v>0</v>
      </c>
      <c r="BT88">
        <f t="shared" si="40"/>
        <v>0</v>
      </c>
      <c r="BU88">
        <f t="shared" si="41"/>
        <v>0</v>
      </c>
      <c r="BV88">
        <f t="shared" si="42"/>
        <v>0</v>
      </c>
      <c r="BW88">
        <f t="shared" si="43"/>
        <v>0</v>
      </c>
      <c r="BX88">
        <f t="shared" si="44"/>
        <v>0</v>
      </c>
    </row>
    <row r="89" spans="1:76" x14ac:dyDescent="0.15">
      <c r="A89" s="5"/>
      <c r="B89" s="5" t="s">
        <v>102</v>
      </c>
      <c r="C89" s="6" t="s">
        <v>254</v>
      </c>
      <c r="D89" s="5">
        <v>1000993</v>
      </c>
      <c r="E89" s="7">
        <v>10</v>
      </c>
      <c r="F89" s="6">
        <v>1</v>
      </c>
      <c r="G89" s="6"/>
      <c r="I89" s="17" t="str">
        <f t="shared" si="23"/>
        <v>·</v>
      </c>
      <c r="J89" s="18" t="str">
        <f t="shared" si="24"/>
        <v>·</v>
      </c>
      <c r="K89" s="18" t="str">
        <f t="shared" si="25"/>
        <v>·</v>
      </c>
      <c r="L89" s="18" t="str">
        <f t="shared" si="26"/>
        <v>·</v>
      </c>
      <c r="M89" s="19"/>
      <c r="N89" s="18" t="str">
        <f t="shared" si="27"/>
        <v>·</v>
      </c>
      <c r="O89" s="20"/>
      <c r="P89" s="21"/>
      <c r="Q89" s="21"/>
      <c r="R89" s="21"/>
      <c r="S89" s="37"/>
      <c r="T89" s="38"/>
      <c r="U89" s="38"/>
      <c r="V89" s="38"/>
      <c r="W89" s="38"/>
      <c r="X89" s="38"/>
      <c r="Y89" s="39"/>
      <c r="Z89" s="49"/>
      <c r="AA89" s="49"/>
      <c r="AC89" s="17" t="str">
        <f t="shared" si="28"/>
        <v>·</v>
      </c>
      <c r="AD89" s="18" t="str">
        <f t="shared" si="29"/>
        <v>·</v>
      </c>
      <c r="AE89" s="18" t="str">
        <f t="shared" si="30"/>
        <v>·</v>
      </c>
      <c r="AF89" s="18" t="str">
        <f t="shared" si="31"/>
        <v>·</v>
      </c>
      <c r="AG89" s="19"/>
      <c r="AH89" s="18" t="str">
        <f t="shared" si="32"/>
        <v>·</v>
      </c>
      <c r="AI89" s="20"/>
      <c r="AJ89" s="21"/>
      <c r="AK89" s="21"/>
      <c r="AL89" s="21"/>
      <c r="AM89" s="37"/>
      <c r="AN89" s="38"/>
      <c r="AO89" s="38"/>
      <c r="AP89" s="38"/>
      <c r="AQ89" s="38"/>
      <c r="AR89" s="38"/>
      <c r="AS89" s="39"/>
      <c r="AT89" s="49"/>
      <c r="AU89" s="49"/>
      <c r="AW89" s="53" t="e">
        <f t="shared" si="33"/>
        <v>#DIV/0!</v>
      </c>
      <c r="AX89" s="53" t="e">
        <f t="array" ref="AX89">AVERAGE(AK89:AK94/AJ89:AJ94)-AVERAGE(Q89:Q94/P89:P94)</f>
        <v>#DIV/0!</v>
      </c>
      <c r="AZ89" s="54" t="str">
        <f>IF(OR(ISBLANK(Q89:Q94),ISBLANK(AK89:AK94),ISBLANK(T89:T94),ISBLANK(AN89:AN94)),"·",bdRateExtend(Q89:Q94,T89:T94,AK89:AK94,AN89:AN94))</f>
        <v>·</v>
      </c>
      <c r="BA89" s="54" t="str">
        <f>IF(OR(ISBLANK(Q89:Q94),ISBLANK(AK89:AK94),ISBLANK(U89:U94),ISBLANK(AO89:AO94)),"·",bdRateExtend(Q89:Q94,U89:U94,AK89:AK94,AO89:AO94))</f>
        <v>·</v>
      </c>
      <c r="BB89" s="54" t="str">
        <f>IF(OR(ISBLANK(R89:R94),ISBLANK(AL89:AL94),ISBLANK(V89:V94),ISBLANK(AP89:AP94)),"·",bdRateExtend(R89:R94,V89:V94,AL89:AL94,AP89:AP94))</f>
        <v>·</v>
      </c>
      <c r="BC89" s="54" t="str">
        <f>IF(OR(ISBLANK(R89:R94),ISBLANK(AL89:AL94),ISBLANK(W89:W94),ISBLANK(AQ89:AQ94)),"·",bdRateExtend(R89:R94,W89:W94,AL89:AL94,AQ89:AQ94))</f>
        <v>·</v>
      </c>
      <c r="BD89" s="54" t="str">
        <f>IF(OR(ISBLANK(R89:R94),ISBLANK(AL89:AL94),ISBLANK(X89:X94),ISBLANK(AR89:AR94)),"·",bdRateExtend(R89:R94,X89:X94,AL89:AL94,AR89:AR94))</f>
        <v>·</v>
      </c>
      <c r="BE89" s="61"/>
      <c r="BG89" s="54" t="str">
        <f>IF(OR(ISBLANK(P89:P94),ISBLANK(AJ89:AJ94),ISBLANK(T89:T94),ISBLANK(AN89:AN94)),"·",bdRateExtend(P89:P94,T89:T94,AJ89:AJ94,AN89:AN94))</f>
        <v>·</v>
      </c>
      <c r="BH89" s="54" t="str">
        <f>IF(OR(ISBLANK(P89:P94),ISBLANK(AJ89:AJ94),ISBLANK(U89:U94),ISBLANK(AO89:AO94)),"·",bdRateExtend(P89:P94,U89:U94,AJ89:AJ94,AO89:AO94))</f>
        <v>·</v>
      </c>
      <c r="BI89" s="54" t="str">
        <f>IF(OR(ISBLANK(P89:P94),ISBLANK(AJ89:AJ94),ISBLANK(V89:V94),ISBLANK(AP89:AP94)),"·",bdRateExtend(P89:P94,V89:V94,AJ89:AJ94,AP89:AP94))</f>
        <v>·</v>
      </c>
      <c r="BJ89" s="54" t="str">
        <f>IF(OR(ISBLANK(P89:P94),ISBLANK(AJ89:AJ94),ISBLANK(W89:W94),ISBLANK(AQ89:AQ94)),"·",bdRateExtend(P89:P94,W89:W94,AJ89:AJ94,AQ89:AQ94))</f>
        <v>·</v>
      </c>
      <c r="BK89" s="54" t="str">
        <f>IF(OR(ISBLANK(P89:P94),ISBLANK(AJ89:AJ94),ISBLANK(X89:X94),ISBLANK(AR89:AR94)),"·",bdRateExtend(P89:P94,X89:X94,AJ89:AJ94,AR89:AR94))</f>
        <v>·</v>
      </c>
      <c r="BL89" s="61"/>
      <c r="BN89">
        <f t="shared" si="34"/>
        <v>0</v>
      </c>
      <c r="BO89">
        <f t="shared" si="35"/>
        <v>0</v>
      </c>
      <c r="BP89">
        <f t="shared" si="36"/>
        <v>0</v>
      </c>
      <c r="BQ89">
        <f t="shared" si="37"/>
        <v>0</v>
      </c>
      <c r="BR89">
        <f t="shared" si="38"/>
        <v>0</v>
      </c>
      <c r="BS89">
        <f t="shared" si="39"/>
        <v>0</v>
      </c>
      <c r="BT89">
        <f t="shared" si="40"/>
        <v>0</v>
      </c>
      <c r="BU89">
        <f t="shared" si="41"/>
        <v>0</v>
      </c>
      <c r="BV89">
        <f t="shared" si="42"/>
        <v>0</v>
      </c>
      <c r="BW89">
        <f t="shared" si="43"/>
        <v>0</v>
      </c>
      <c r="BX89">
        <f t="shared" si="44"/>
        <v>0</v>
      </c>
    </row>
    <row r="90" spans="1:76" outlineLevel="1" x14ac:dyDescent="0.15">
      <c r="A90" s="8"/>
      <c r="B90" s="8" t="s">
        <v>102</v>
      </c>
      <c r="C90" s="9" t="s">
        <v>255</v>
      </c>
      <c r="D90" s="8">
        <v>1000993</v>
      </c>
      <c r="E90" s="10">
        <v>10</v>
      </c>
      <c r="F90" s="9">
        <v>1</v>
      </c>
      <c r="G90" s="9"/>
      <c r="I90" s="22" t="str">
        <f t="shared" si="23"/>
        <v>·</v>
      </c>
      <c r="J90" s="23" t="str">
        <f t="shared" si="24"/>
        <v>·</v>
      </c>
      <c r="K90" s="23" t="str">
        <f t="shared" si="25"/>
        <v>·</v>
      </c>
      <c r="L90" s="23" t="str">
        <f t="shared" si="26"/>
        <v>·</v>
      </c>
      <c r="M90" s="24"/>
      <c r="N90" s="23" t="str">
        <f t="shared" si="27"/>
        <v>·</v>
      </c>
      <c r="O90" s="25"/>
      <c r="P90" s="26"/>
      <c r="Q90" s="26"/>
      <c r="R90" s="26"/>
      <c r="S90" s="40"/>
      <c r="T90" s="41"/>
      <c r="U90" s="41"/>
      <c r="V90" s="41"/>
      <c r="W90" s="41"/>
      <c r="X90" s="41"/>
      <c r="Y90" s="42"/>
      <c r="Z90" s="50"/>
      <c r="AA90" s="50"/>
      <c r="AC90" s="22" t="str">
        <f t="shared" si="28"/>
        <v>·</v>
      </c>
      <c r="AD90" s="23" t="str">
        <f t="shared" si="29"/>
        <v>·</v>
      </c>
      <c r="AE90" s="23" t="str">
        <f t="shared" si="30"/>
        <v>·</v>
      </c>
      <c r="AF90" s="23" t="str">
        <f t="shared" si="31"/>
        <v>·</v>
      </c>
      <c r="AG90" s="24"/>
      <c r="AH90" s="23" t="str">
        <f t="shared" si="32"/>
        <v>·</v>
      </c>
      <c r="AI90" s="25"/>
      <c r="AJ90" s="26"/>
      <c r="AK90" s="26"/>
      <c r="AL90" s="26"/>
      <c r="AM90" s="40"/>
      <c r="AN90" s="41"/>
      <c r="AO90" s="41"/>
      <c r="AP90" s="41"/>
      <c r="AQ90" s="41"/>
      <c r="AR90" s="41"/>
      <c r="AS90" s="42"/>
      <c r="AT90" s="50"/>
      <c r="AU90" s="50"/>
      <c r="AW90" s="55" t="e">
        <f t="shared" si="33"/>
        <v>#DIV/0!</v>
      </c>
      <c r="AX90" s="55"/>
      <c r="AZ90" s="56"/>
      <c r="BA90" s="56"/>
      <c r="BB90" s="56"/>
      <c r="BC90" s="56"/>
      <c r="BD90" s="56"/>
      <c r="BE90" s="62"/>
      <c r="BG90" s="56"/>
      <c r="BH90" s="56"/>
      <c r="BI90" s="56"/>
      <c r="BJ90" s="56"/>
      <c r="BK90" s="56"/>
      <c r="BL90" s="62"/>
      <c r="BN90">
        <f t="shared" si="34"/>
        <v>0</v>
      </c>
      <c r="BO90">
        <f t="shared" si="35"/>
        <v>0</v>
      </c>
      <c r="BP90">
        <f t="shared" si="36"/>
        <v>0</v>
      </c>
      <c r="BQ90">
        <f t="shared" si="37"/>
        <v>0</v>
      </c>
      <c r="BR90">
        <f t="shared" si="38"/>
        <v>0</v>
      </c>
      <c r="BS90">
        <f t="shared" si="39"/>
        <v>0</v>
      </c>
      <c r="BT90">
        <f t="shared" si="40"/>
        <v>0</v>
      </c>
      <c r="BU90">
        <f t="shared" si="41"/>
        <v>0</v>
      </c>
      <c r="BV90">
        <f t="shared" si="42"/>
        <v>0</v>
      </c>
      <c r="BW90">
        <f t="shared" si="43"/>
        <v>0</v>
      </c>
      <c r="BX90">
        <f t="shared" si="44"/>
        <v>0</v>
      </c>
    </row>
    <row r="91" spans="1:76" outlineLevel="1" x14ac:dyDescent="0.15">
      <c r="A91" s="5"/>
      <c r="B91" s="5" t="s">
        <v>102</v>
      </c>
      <c r="C91" s="6" t="s">
        <v>256</v>
      </c>
      <c r="D91" s="5">
        <v>1000993</v>
      </c>
      <c r="E91" s="7">
        <v>10</v>
      </c>
      <c r="F91" s="6">
        <v>1</v>
      </c>
      <c r="G91" s="6"/>
      <c r="I91" s="17" t="str">
        <f t="shared" si="23"/>
        <v>·</v>
      </c>
      <c r="J91" s="18" t="str">
        <f t="shared" si="24"/>
        <v>·</v>
      </c>
      <c r="K91" s="18" t="str">
        <f t="shared" si="25"/>
        <v>·</v>
      </c>
      <c r="L91" s="18" t="str">
        <f t="shared" si="26"/>
        <v>·</v>
      </c>
      <c r="M91" s="19"/>
      <c r="N91" s="18" t="str">
        <f t="shared" si="27"/>
        <v>·</v>
      </c>
      <c r="O91" s="20"/>
      <c r="P91" s="21"/>
      <c r="Q91" s="21"/>
      <c r="R91" s="21"/>
      <c r="S91" s="37"/>
      <c r="T91" s="38"/>
      <c r="U91" s="38"/>
      <c r="V91" s="38"/>
      <c r="W91" s="38"/>
      <c r="X91" s="38"/>
      <c r="Y91" s="39"/>
      <c r="Z91" s="49"/>
      <c r="AA91" s="49"/>
      <c r="AC91" s="17" t="str">
        <f t="shared" si="28"/>
        <v>·</v>
      </c>
      <c r="AD91" s="18" t="str">
        <f t="shared" si="29"/>
        <v>·</v>
      </c>
      <c r="AE91" s="18" t="str">
        <f t="shared" si="30"/>
        <v>·</v>
      </c>
      <c r="AF91" s="18" t="str">
        <f t="shared" si="31"/>
        <v>·</v>
      </c>
      <c r="AG91" s="19"/>
      <c r="AH91" s="18" t="str">
        <f t="shared" si="32"/>
        <v>·</v>
      </c>
      <c r="AI91" s="20"/>
      <c r="AJ91" s="21"/>
      <c r="AK91" s="21"/>
      <c r="AL91" s="21"/>
      <c r="AM91" s="37"/>
      <c r="AN91" s="38"/>
      <c r="AO91" s="38"/>
      <c r="AP91" s="38"/>
      <c r="AQ91" s="38"/>
      <c r="AR91" s="38"/>
      <c r="AS91" s="39"/>
      <c r="AT91" s="49"/>
      <c r="AU91" s="49"/>
      <c r="AW91" s="53" t="e">
        <f t="shared" si="33"/>
        <v>#DIV/0!</v>
      </c>
      <c r="AX91" s="53"/>
      <c r="AZ91" s="54"/>
      <c r="BA91" s="54"/>
      <c r="BB91" s="54"/>
      <c r="BC91" s="54"/>
      <c r="BD91" s="54"/>
      <c r="BE91" s="61"/>
      <c r="BG91" s="54"/>
      <c r="BH91" s="54"/>
      <c r="BI91" s="54"/>
      <c r="BJ91" s="54"/>
      <c r="BK91" s="54"/>
      <c r="BL91" s="61"/>
      <c r="BN91">
        <f t="shared" si="34"/>
        <v>0</v>
      </c>
      <c r="BO91">
        <f t="shared" si="35"/>
        <v>0</v>
      </c>
      <c r="BP91">
        <f t="shared" si="36"/>
        <v>0</v>
      </c>
      <c r="BQ91">
        <f t="shared" si="37"/>
        <v>0</v>
      </c>
      <c r="BR91">
        <f t="shared" si="38"/>
        <v>0</v>
      </c>
      <c r="BS91">
        <f t="shared" si="39"/>
        <v>0</v>
      </c>
      <c r="BT91">
        <f t="shared" si="40"/>
        <v>0</v>
      </c>
      <c r="BU91">
        <f t="shared" si="41"/>
        <v>0</v>
      </c>
      <c r="BV91">
        <f t="shared" si="42"/>
        <v>0</v>
      </c>
      <c r="BW91">
        <f t="shared" si="43"/>
        <v>0</v>
      </c>
      <c r="BX91">
        <f t="shared" si="44"/>
        <v>0</v>
      </c>
    </row>
    <row r="92" spans="1:76" outlineLevel="1" x14ac:dyDescent="0.15">
      <c r="A92" s="8"/>
      <c r="B92" s="8" t="s">
        <v>102</v>
      </c>
      <c r="C92" s="9" t="s">
        <v>257</v>
      </c>
      <c r="D92" s="8">
        <v>1000993</v>
      </c>
      <c r="E92" s="10">
        <v>10</v>
      </c>
      <c r="F92" s="9">
        <v>1</v>
      </c>
      <c r="G92" s="9"/>
      <c r="I92" s="22" t="str">
        <f t="shared" si="23"/>
        <v>·</v>
      </c>
      <c r="J92" s="23" t="str">
        <f t="shared" si="24"/>
        <v>·</v>
      </c>
      <c r="K92" s="23" t="str">
        <f t="shared" si="25"/>
        <v>·</v>
      </c>
      <c r="L92" s="23" t="str">
        <f t="shared" si="26"/>
        <v>·</v>
      </c>
      <c r="M92" s="24"/>
      <c r="N92" s="23" t="str">
        <f t="shared" si="27"/>
        <v>·</v>
      </c>
      <c r="O92" s="25"/>
      <c r="P92" s="26"/>
      <c r="Q92" s="26"/>
      <c r="R92" s="26"/>
      <c r="S92" s="40"/>
      <c r="T92" s="41"/>
      <c r="U92" s="41"/>
      <c r="V92" s="41"/>
      <c r="W92" s="41"/>
      <c r="X92" s="41"/>
      <c r="Y92" s="42"/>
      <c r="Z92" s="50"/>
      <c r="AA92" s="50"/>
      <c r="AC92" s="22" t="str">
        <f t="shared" si="28"/>
        <v>·</v>
      </c>
      <c r="AD92" s="23" t="str">
        <f t="shared" si="29"/>
        <v>·</v>
      </c>
      <c r="AE92" s="23" t="str">
        <f t="shared" si="30"/>
        <v>·</v>
      </c>
      <c r="AF92" s="23" t="str">
        <f t="shared" si="31"/>
        <v>·</v>
      </c>
      <c r="AG92" s="24"/>
      <c r="AH92" s="23" t="str">
        <f t="shared" si="32"/>
        <v>·</v>
      </c>
      <c r="AI92" s="25"/>
      <c r="AJ92" s="26"/>
      <c r="AK92" s="26"/>
      <c r="AL92" s="26"/>
      <c r="AM92" s="40"/>
      <c r="AN92" s="41"/>
      <c r="AO92" s="41"/>
      <c r="AP92" s="41"/>
      <c r="AQ92" s="41"/>
      <c r="AR92" s="41"/>
      <c r="AS92" s="42"/>
      <c r="AT92" s="50"/>
      <c r="AU92" s="50"/>
      <c r="AW92" s="55" t="e">
        <f t="shared" si="33"/>
        <v>#DIV/0!</v>
      </c>
      <c r="AX92" s="55"/>
      <c r="AZ92" s="56"/>
      <c r="BA92" s="56"/>
      <c r="BB92" s="56"/>
      <c r="BC92" s="56"/>
      <c r="BD92" s="56"/>
      <c r="BE92" s="62"/>
      <c r="BG92" s="56"/>
      <c r="BH92" s="56"/>
      <c r="BI92" s="56"/>
      <c r="BJ92" s="56"/>
      <c r="BK92" s="56"/>
      <c r="BL92" s="62"/>
      <c r="BN92">
        <f t="shared" si="34"/>
        <v>0</v>
      </c>
      <c r="BO92">
        <f t="shared" si="35"/>
        <v>0</v>
      </c>
      <c r="BP92">
        <f t="shared" si="36"/>
        <v>0</v>
      </c>
      <c r="BQ92">
        <f t="shared" si="37"/>
        <v>0</v>
      </c>
      <c r="BR92">
        <f t="shared" si="38"/>
        <v>0</v>
      </c>
      <c r="BS92">
        <f t="shared" si="39"/>
        <v>0</v>
      </c>
      <c r="BT92">
        <f t="shared" si="40"/>
        <v>0</v>
      </c>
      <c r="BU92">
        <f t="shared" si="41"/>
        <v>0</v>
      </c>
      <c r="BV92">
        <f t="shared" si="42"/>
        <v>0</v>
      </c>
      <c r="BW92">
        <f t="shared" si="43"/>
        <v>0</v>
      </c>
      <c r="BX92">
        <f t="shared" si="44"/>
        <v>0</v>
      </c>
    </row>
    <row r="93" spans="1:76" outlineLevel="1" x14ac:dyDescent="0.15">
      <c r="A93" s="5"/>
      <c r="B93" s="5" t="s">
        <v>102</v>
      </c>
      <c r="C93" s="6" t="s">
        <v>258</v>
      </c>
      <c r="D93" s="5">
        <v>1000993</v>
      </c>
      <c r="E93" s="7">
        <v>10</v>
      </c>
      <c r="F93" s="6">
        <v>1</v>
      </c>
      <c r="G93" s="6"/>
      <c r="I93" s="17" t="str">
        <f t="shared" si="23"/>
        <v>·</v>
      </c>
      <c r="J93" s="18" t="str">
        <f t="shared" si="24"/>
        <v>·</v>
      </c>
      <c r="K93" s="18" t="str">
        <f t="shared" si="25"/>
        <v>·</v>
      </c>
      <c r="L93" s="18" t="str">
        <f t="shared" si="26"/>
        <v>·</v>
      </c>
      <c r="M93" s="19"/>
      <c r="N93" s="18" t="str">
        <f t="shared" si="27"/>
        <v>·</v>
      </c>
      <c r="O93" s="20"/>
      <c r="P93" s="21"/>
      <c r="Q93" s="21"/>
      <c r="R93" s="21"/>
      <c r="S93" s="37"/>
      <c r="T93" s="38"/>
      <c r="U93" s="38"/>
      <c r="V93" s="38"/>
      <c r="W93" s="38"/>
      <c r="X93" s="38"/>
      <c r="Y93" s="39"/>
      <c r="Z93" s="49"/>
      <c r="AA93" s="49"/>
      <c r="AC93" s="17" t="str">
        <f t="shared" si="28"/>
        <v>·</v>
      </c>
      <c r="AD93" s="18" t="str">
        <f t="shared" si="29"/>
        <v>·</v>
      </c>
      <c r="AE93" s="18" t="str">
        <f t="shared" si="30"/>
        <v>·</v>
      </c>
      <c r="AF93" s="18" t="str">
        <f t="shared" si="31"/>
        <v>·</v>
      </c>
      <c r="AG93" s="19"/>
      <c r="AH93" s="18" t="str">
        <f t="shared" si="32"/>
        <v>·</v>
      </c>
      <c r="AI93" s="20"/>
      <c r="AJ93" s="21"/>
      <c r="AK93" s="21"/>
      <c r="AL93" s="21"/>
      <c r="AM93" s="37"/>
      <c r="AN93" s="38"/>
      <c r="AO93" s="38"/>
      <c r="AP93" s="38"/>
      <c r="AQ93" s="38"/>
      <c r="AR93" s="38"/>
      <c r="AS93" s="39"/>
      <c r="AT93" s="49"/>
      <c r="AU93" s="49"/>
      <c r="AW93" s="53" t="e">
        <f t="shared" si="33"/>
        <v>#DIV/0!</v>
      </c>
      <c r="AX93" s="53"/>
      <c r="AZ93" s="54"/>
      <c r="BA93" s="54"/>
      <c r="BB93" s="54"/>
      <c r="BC93" s="54"/>
      <c r="BD93" s="54"/>
      <c r="BE93" s="61"/>
      <c r="BG93" s="54"/>
      <c r="BH93" s="54"/>
      <c r="BI93" s="54"/>
      <c r="BJ93" s="54"/>
      <c r="BK93" s="54"/>
      <c r="BL93" s="61"/>
      <c r="BN93">
        <f t="shared" si="34"/>
        <v>0</v>
      </c>
      <c r="BO93">
        <f t="shared" si="35"/>
        <v>0</v>
      </c>
      <c r="BP93">
        <f t="shared" si="36"/>
        <v>0</v>
      </c>
      <c r="BQ93">
        <f t="shared" si="37"/>
        <v>0</v>
      </c>
      <c r="BR93">
        <f t="shared" si="38"/>
        <v>0</v>
      </c>
      <c r="BS93">
        <f t="shared" si="39"/>
        <v>0</v>
      </c>
      <c r="BT93">
        <f t="shared" si="40"/>
        <v>0</v>
      </c>
      <c r="BU93">
        <f t="shared" si="41"/>
        <v>0</v>
      </c>
      <c r="BV93">
        <f t="shared" si="42"/>
        <v>0</v>
      </c>
      <c r="BW93">
        <f t="shared" si="43"/>
        <v>0</v>
      </c>
      <c r="BX93">
        <f t="shared" si="44"/>
        <v>0</v>
      </c>
    </row>
    <row r="94" spans="1:76" outlineLevel="1" x14ac:dyDescent="0.15">
      <c r="A94" s="8"/>
      <c r="B94" s="14" t="s">
        <v>102</v>
      </c>
      <c r="C94" s="15" t="s">
        <v>259</v>
      </c>
      <c r="D94" s="14">
        <v>1000993</v>
      </c>
      <c r="E94" s="16">
        <v>10</v>
      </c>
      <c r="F94" s="15">
        <v>1</v>
      </c>
      <c r="G94" s="15"/>
      <c r="I94" s="32" t="str">
        <f t="shared" si="23"/>
        <v>·</v>
      </c>
      <c r="J94" s="33" t="str">
        <f t="shared" si="24"/>
        <v>·</v>
      </c>
      <c r="K94" s="33" t="str">
        <f t="shared" si="25"/>
        <v>·</v>
      </c>
      <c r="L94" s="33" t="str">
        <f t="shared" si="26"/>
        <v>·</v>
      </c>
      <c r="M94" s="34"/>
      <c r="N94" s="33" t="str">
        <f t="shared" si="27"/>
        <v>·</v>
      </c>
      <c r="O94" s="35"/>
      <c r="P94" s="36"/>
      <c r="Q94" s="36"/>
      <c r="R94" s="36"/>
      <c r="S94" s="46"/>
      <c r="T94" s="47"/>
      <c r="U94" s="47"/>
      <c r="V94" s="47"/>
      <c r="W94" s="47"/>
      <c r="X94" s="47"/>
      <c r="Y94" s="48"/>
      <c r="Z94" s="52"/>
      <c r="AA94" s="52"/>
      <c r="AC94" s="32" t="str">
        <f t="shared" si="28"/>
        <v>·</v>
      </c>
      <c r="AD94" s="33" t="str">
        <f t="shared" si="29"/>
        <v>·</v>
      </c>
      <c r="AE94" s="33" t="str">
        <f t="shared" si="30"/>
        <v>·</v>
      </c>
      <c r="AF94" s="33" t="str">
        <f t="shared" si="31"/>
        <v>·</v>
      </c>
      <c r="AG94" s="34"/>
      <c r="AH94" s="33" t="str">
        <f t="shared" si="32"/>
        <v>·</v>
      </c>
      <c r="AI94" s="35"/>
      <c r="AJ94" s="36"/>
      <c r="AK94" s="36"/>
      <c r="AL94" s="36"/>
      <c r="AM94" s="46"/>
      <c r="AN94" s="47"/>
      <c r="AO94" s="47"/>
      <c r="AP94" s="47"/>
      <c r="AQ94" s="47"/>
      <c r="AR94" s="47"/>
      <c r="AS94" s="48"/>
      <c r="AT94" s="52"/>
      <c r="AU94" s="52"/>
      <c r="AW94" s="59" t="e">
        <f t="shared" si="33"/>
        <v>#DIV/0!</v>
      </c>
      <c r="AX94" s="59"/>
      <c r="AZ94" s="60"/>
      <c r="BA94" s="60"/>
      <c r="BB94" s="60"/>
      <c r="BC94" s="60"/>
      <c r="BD94" s="60"/>
      <c r="BE94" s="64"/>
      <c r="BG94" s="60"/>
      <c r="BH94" s="60"/>
      <c r="BI94" s="60"/>
      <c r="BJ94" s="60"/>
      <c r="BK94" s="60"/>
      <c r="BL94" s="64"/>
      <c r="BN94">
        <f t="shared" si="34"/>
        <v>0</v>
      </c>
      <c r="BO94">
        <f t="shared" si="35"/>
        <v>0</v>
      </c>
      <c r="BP94">
        <f t="shared" si="36"/>
        <v>0</v>
      </c>
      <c r="BQ94">
        <f t="shared" si="37"/>
        <v>0</v>
      </c>
      <c r="BR94">
        <f t="shared" si="38"/>
        <v>0</v>
      </c>
      <c r="BS94">
        <f t="shared" si="39"/>
        <v>0</v>
      </c>
      <c r="BT94">
        <f t="shared" si="40"/>
        <v>0</v>
      </c>
      <c r="BU94">
        <f t="shared" si="41"/>
        <v>0</v>
      </c>
      <c r="BV94">
        <f t="shared" si="42"/>
        <v>0</v>
      </c>
      <c r="BW94">
        <f t="shared" si="43"/>
        <v>0</v>
      </c>
      <c r="BX94">
        <f t="shared" si="44"/>
        <v>0</v>
      </c>
    </row>
    <row r="95" spans="1:76" x14ac:dyDescent="0.15">
      <c r="A95" s="5"/>
      <c r="B95" s="5" t="s">
        <v>105</v>
      </c>
      <c r="C95" s="6" t="s">
        <v>254</v>
      </c>
      <c r="D95" s="5">
        <v>2770567</v>
      </c>
      <c r="E95" s="7">
        <v>12</v>
      </c>
      <c r="F95" s="6">
        <v>1</v>
      </c>
      <c r="G95" s="6"/>
      <c r="I95" s="17" t="str">
        <f t="shared" si="23"/>
        <v>·</v>
      </c>
      <c r="J95" s="18" t="str">
        <f t="shared" si="24"/>
        <v>·</v>
      </c>
      <c r="K95" s="18" t="str">
        <f t="shared" si="25"/>
        <v>·</v>
      </c>
      <c r="L95" s="18" t="str">
        <f t="shared" si="26"/>
        <v>·</v>
      </c>
      <c r="M95" s="19"/>
      <c r="N95" s="18" t="str">
        <f t="shared" si="27"/>
        <v>·</v>
      </c>
      <c r="O95" s="20"/>
      <c r="P95" s="21"/>
      <c r="Q95" s="21"/>
      <c r="R95" s="21"/>
      <c r="S95" s="37"/>
      <c r="T95" s="38"/>
      <c r="U95" s="38"/>
      <c r="V95" s="38"/>
      <c r="W95" s="38"/>
      <c r="X95" s="38"/>
      <c r="Y95" s="39"/>
      <c r="Z95" s="49"/>
      <c r="AA95" s="49"/>
      <c r="AC95" s="17" t="str">
        <f t="shared" si="28"/>
        <v>·</v>
      </c>
      <c r="AD95" s="18" t="str">
        <f t="shared" si="29"/>
        <v>·</v>
      </c>
      <c r="AE95" s="18" t="str">
        <f t="shared" si="30"/>
        <v>·</v>
      </c>
      <c r="AF95" s="18" t="str">
        <f t="shared" si="31"/>
        <v>·</v>
      </c>
      <c r="AG95" s="19"/>
      <c r="AH95" s="18" t="str">
        <f t="shared" si="32"/>
        <v>·</v>
      </c>
      <c r="AI95" s="20"/>
      <c r="AJ95" s="21"/>
      <c r="AK95" s="21"/>
      <c r="AL95" s="21"/>
      <c r="AM95" s="37"/>
      <c r="AN95" s="38"/>
      <c r="AO95" s="38"/>
      <c r="AP95" s="38"/>
      <c r="AQ95" s="38"/>
      <c r="AR95" s="38"/>
      <c r="AS95" s="39"/>
      <c r="AT95" s="49"/>
      <c r="AU95" s="49"/>
      <c r="AW95" s="53" t="e">
        <f t="shared" si="33"/>
        <v>#DIV/0!</v>
      </c>
      <c r="AX95" s="53" t="e">
        <f t="array" ref="AX95">AVERAGE(AK95:AK100/AJ95:AJ100)-AVERAGE(Q95:Q100/P95:P100)</f>
        <v>#DIV/0!</v>
      </c>
      <c r="AZ95" s="54" t="str">
        <f>IF(OR(ISBLANK(Q95:Q100),ISBLANK(AK95:AK100),ISBLANK(T95:T100),ISBLANK(AN95:AN100)),"·",bdRateExtend(Q95:Q100,T95:T100,AK95:AK100,AN95:AN100))</f>
        <v>·</v>
      </c>
      <c r="BA95" s="54" t="str">
        <f>IF(OR(ISBLANK(Q95:Q100),ISBLANK(AK95:AK100),ISBLANK(U95:U100),ISBLANK(AO95:AO100)),"·",bdRateExtend(Q95:Q100,U95:U100,AK95:AK100,AO95:AO100))</f>
        <v>·</v>
      </c>
      <c r="BB95" s="54" t="str">
        <f>IF(OR(ISBLANK(R95:R100),ISBLANK(AL95:AL100),ISBLANK(V95:V100),ISBLANK(AP95:AP100)),"·",bdRateExtend(R95:R100,V95:V100,AL95:AL100,AP95:AP100))</f>
        <v>·</v>
      </c>
      <c r="BC95" s="54" t="str">
        <f>IF(OR(ISBLANK(R95:R100),ISBLANK(AL95:AL100),ISBLANK(W95:W100),ISBLANK(AQ95:AQ100)),"·",bdRateExtend(R95:R100,W95:W100,AL95:AL100,AQ95:AQ100))</f>
        <v>·</v>
      </c>
      <c r="BD95" s="54" t="str">
        <f>IF(OR(ISBLANK(R95:R100),ISBLANK(AL95:AL100),ISBLANK(X95:X100),ISBLANK(AR95:AR100)),"·",bdRateExtend(R95:R100,X95:X100,AL95:AL100,AR95:AR100))</f>
        <v>·</v>
      </c>
      <c r="BE95" s="61"/>
      <c r="BG95" s="54" t="str">
        <f>IF(OR(ISBLANK(P95:P100),ISBLANK(AJ95:AJ100),ISBLANK(T95:T100),ISBLANK(AN95:AN100)),"·",bdRateExtend(P95:P100,T95:T100,AJ95:AJ100,AN95:AN100))</f>
        <v>·</v>
      </c>
      <c r="BH95" s="54" t="str">
        <f>IF(OR(ISBLANK(P95:P100),ISBLANK(AJ95:AJ100),ISBLANK(U95:U100),ISBLANK(AO95:AO100)),"·",bdRateExtend(P95:P100,U95:U100,AJ95:AJ100,AO95:AO100))</f>
        <v>·</v>
      </c>
      <c r="BI95" s="54" t="str">
        <f>IF(OR(ISBLANK(P95:P100),ISBLANK(AJ95:AJ100),ISBLANK(V95:V100),ISBLANK(AP95:AP100)),"·",bdRateExtend(P95:P100,V95:V100,AJ95:AJ100,AP95:AP100))</f>
        <v>·</v>
      </c>
      <c r="BJ95" s="54" t="str">
        <f>IF(OR(ISBLANK(P95:P100),ISBLANK(AJ95:AJ100),ISBLANK(W95:W100),ISBLANK(AQ95:AQ100)),"·",bdRateExtend(P95:P100,W95:W100,AJ95:AJ100,AQ95:AQ100))</f>
        <v>·</v>
      </c>
      <c r="BK95" s="54" t="str">
        <f>IF(OR(ISBLANK(P95:P100),ISBLANK(AJ95:AJ100),ISBLANK(X95:X100),ISBLANK(AR95:AR100)),"·",bdRateExtend(P95:P100,X95:X100,AJ95:AJ100,AR95:AR100))</f>
        <v>·</v>
      </c>
      <c r="BL95" s="61"/>
      <c r="BN95">
        <f t="shared" si="34"/>
        <v>0</v>
      </c>
      <c r="BO95">
        <f t="shared" si="35"/>
        <v>0</v>
      </c>
      <c r="BP95">
        <f t="shared" si="36"/>
        <v>0</v>
      </c>
      <c r="BQ95">
        <f t="shared" si="37"/>
        <v>0</v>
      </c>
      <c r="BR95">
        <f t="shared" si="38"/>
        <v>0</v>
      </c>
      <c r="BS95">
        <f t="shared" si="39"/>
        <v>0</v>
      </c>
      <c r="BT95">
        <f t="shared" si="40"/>
        <v>0</v>
      </c>
      <c r="BU95">
        <f t="shared" si="41"/>
        <v>0</v>
      </c>
      <c r="BV95">
        <f t="shared" si="42"/>
        <v>0</v>
      </c>
      <c r="BW95">
        <f t="shared" si="43"/>
        <v>0</v>
      </c>
      <c r="BX95">
        <f t="shared" si="44"/>
        <v>0</v>
      </c>
    </row>
    <row r="96" spans="1:76" outlineLevel="1" x14ac:dyDescent="0.15">
      <c r="A96" s="8"/>
      <c r="B96" s="8" t="s">
        <v>105</v>
      </c>
      <c r="C96" s="9" t="s">
        <v>255</v>
      </c>
      <c r="D96" s="8">
        <v>2770567</v>
      </c>
      <c r="E96" s="10">
        <v>12</v>
      </c>
      <c r="F96" s="9">
        <v>1</v>
      </c>
      <c r="G96" s="9"/>
      <c r="I96" s="22" t="str">
        <f t="shared" si="23"/>
        <v>·</v>
      </c>
      <c r="J96" s="23" t="str">
        <f t="shared" si="24"/>
        <v>·</v>
      </c>
      <c r="K96" s="23" t="str">
        <f t="shared" si="25"/>
        <v>·</v>
      </c>
      <c r="L96" s="23" t="str">
        <f t="shared" si="26"/>
        <v>·</v>
      </c>
      <c r="M96" s="24"/>
      <c r="N96" s="23" t="str">
        <f t="shared" si="27"/>
        <v>·</v>
      </c>
      <c r="O96" s="25"/>
      <c r="P96" s="26"/>
      <c r="Q96" s="26"/>
      <c r="R96" s="26"/>
      <c r="S96" s="40"/>
      <c r="T96" s="41"/>
      <c r="U96" s="41"/>
      <c r="V96" s="41"/>
      <c r="W96" s="41"/>
      <c r="X96" s="41"/>
      <c r="Y96" s="42"/>
      <c r="Z96" s="50"/>
      <c r="AA96" s="50"/>
      <c r="AC96" s="22" t="str">
        <f t="shared" si="28"/>
        <v>·</v>
      </c>
      <c r="AD96" s="23" t="str">
        <f t="shared" si="29"/>
        <v>·</v>
      </c>
      <c r="AE96" s="23" t="str">
        <f t="shared" si="30"/>
        <v>·</v>
      </c>
      <c r="AF96" s="23" t="str">
        <f t="shared" si="31"/>
        <v>·</v>
      </c>
      <c r="AG96" s="24"/>
      <c r="AH96" s="23" t="str">
        <f t="shared" si="32"/>
        <v>·</v>
      </c>
      <c r="AI96" s="25"/>
      <c r="AJ96" s="26"/>
      <c r="AK96" s="26"/>
      <c r="AL96" s="26"/>
      <c r="AM96" s="40"/>
      <c r="AN96" s="41"/>
      <c r="AO96" s="41"/>
      <c r="AP96" s="41"/>
      <c r="AQ96" s="41"/>
      <c r="AR96" s="41"/>
      <c r="AS96" s="42"/>
      <c r="AT96" s="50"/>
      <c r="AU96" s="50"/>
      <c r="AW96" s="55" t="e">
        <f t="shared" si="33"/>
        <v>#DIV/0!</v>
      </c>
      <c r="AX96" s="55"/>
      <c r="AZ96" s="56"/>
      <c r="BA96" s="56"/>
      <c r="BB96" s="56"/>
      <c r="BC96" s="56"/>
      <c r="BD96" s="56"/>
      <c r="BE96" s="62"/>
      <c r="BG96" s="56"/>
      <c r="BH96" s="56"/>
      <c r="BI96" s="56"/>
      <c r="BJ96" s="56"/>
      <c r="BK96" s="56"/>
      <c r="BL96" s="62"/>
      <c r="BN96">
        <f t="shared" si="34"/>
        <v>0</v>
      </c>
      <c r="BO96">
        <f t="shared" si="35"/>
        <v>0</v>
      </c>
      <c r="BP96">
        <f t="shared" si="36"/>
        <v>0</v>
      </c>
      <c r="BQ96">
        <f t="shared" si="37"/>
        <v>0</v>
      </c>
      <c r="BR96">
        <f t="shared" si="38"/>
        <v>0</v>
      </c>
      <c r="BS96">
        <f t="shared" si="39"/>
        <v>0</v>
      </c>
      <c r="BT96">
        <f t="shared" si="40"/>
        <v>0</v>
      </c>
      <c r="BU96">
        <f t="shared" si="41"/>
        <v>0</v>
      </c>
      <c r="BV96">
        <f t="shared" si="42"/>
        <v>0</v>
      </c>
      <c r="BW96">
        <f t="shared" si="43"/>
        <v>0</v>
      </c>
      <c r="BX96">
        <f t="shared" si="44"/>
        <v>0</v>
      </c>
    </row>
    <row r="97" spans="1:76" outlineLevel="1" x14ac:dyDescent="0.15">
      <c r="A97" s="5"/>
      <c r="B97" s="5" t="s">
        <v>105</v>
      </c>
      <c r="C97" s="6" t="s">
        <v>256</v>
      </c>
      <c r="D97" s="5">
        <v>2770567</v>
      </c>
      <c r="E97" s="7">
        <v>12</v>
      </c>
      <c r="F97" s="6">
        <v>1</v>
      </c>
      <c r="G97" s="6"/>
      <c r="I97" s="17" t="str">
        <f t="shared" si="23"/>
        <v>·</v>
      </c>
      <c r="J97" s="18" t="str">
        <f t="shared" si="24"/>
        <v>·</v>
      </c>
      <c r="K97" s="18" t="str">
        <f t="shared" si="25"/>
        <v>·</v>
      </c>
      <c r="L97" s="18" t="str">
        <f t="shared" si="26"/>
        <v>·</v>
      </c>
      <c r="M97" s="19"/>
      <c r="N97" s="18" t="str">
        <f t="shared" si="27"/>
        <v>·</v>
      </c>
      <c r="O97" s="20"/>
      <c r="P97" s="21"/>
      <c r="Q97" s="21"/>
      <c r="R97" s="21"/>
      <c r="S97" s="37"/>
      <c r="T97" s="38"/>
      <c r="U97" s="38"/>
      <c r="V97" s="38"/>
      <c r="W97" s="38"/>
      <c r="X97" s="38"/>
      <c r="Y97" s="39"/>
      <c r="Z97" s="49"/>
      <c r="AA97" s="49"/>
      <c r="AC97" s="17" t="str">
        <f t="shared" si="28"/>
        <v>·</v>
      </c>
      <c r="AD97" s="18" t="str">
        <f t="shared" si="29"/>
        <v>·</v>
      </c>
      <c r="AE97" s="18" t="str">
        <f t="shared" si="30"/>
        <v>·</v>
      </c>
      <c r="AF97" s="18" t="str">
        <f t="shared" si="31"/>
        <v>·</v>
      </c>
      <c r="AG97" s="19"/>
      <c r="AH97" s="18" t="str">
        <f t="shared" si="32"/>
        <v>·</v>
      </c>
      <c r="AI97" s="20"/>
      <c r="AJ97" s="21"/>
      <c r="AK97" s="21"/>
      <c r="AL97" s="21"/>
      <c r="AM97" s="37"/>
      <c r="AN97" s="38"/>
      <c r="AO97" s="38"/>
      <c r="AP97" s="38"/>
      <c r="AQ97" s="38"/>
      <c r="AR97" s="38"/>
      <c r="AS97" s="39"/>
      <c r="AT97" s="49"/>
      <c r="AU97" s="49"/>
      <c r="AW97" s="53" t="e">
        <f t="shared" si="33"/>
        <v>#DIV/0!</v>
      </c>
      <c r="AX97" s="53"/>
      <c r="AZ97" s="54"/>
      <c r="BA97" s="54"/>
      <c r="BB97" s="54"/>
      <c r="BC97" s="54"/>
      <c r="BD97" s="54"/>
      <c r="BE97" s="61"/>
      <c r="BG97" s="54"/>
      <c r="BH97" s="54"/>
      <c r="BI97" s="54"/>
      <c r="BJ97" s="54"/>
      <c r="BK97" s="54"/>
      <c r="BL97" s="61"/>
      <c r="BN97">
        <f t="shared" si="34"/>
        <v>0</v>
      </c>
      <c r="BO97">
        <f t="shared" si="35"/>
        <v>0</v>
      </c>
      <c r="BP97">
        <f t="shared" si="36"/>
        <v>0</v>
      </c>
      <c r="BQ97">
        <f t="shared" si="37"/>
        <v>0</v>
      </c>
      <c r="BR97">
        <f t="shared" si="38"/>
        <v>0</v>
      </c>
      <c r="BS97">
        <f t="shared" si="39"/>
        <v>0</v>
      </c>
      <c r="BT97">
        <f t="shared" si="40"/>
        <v>0</v>
      </c>
      <c r="BU97">
        <f t="shared" si="41"/>
        <v>0</v>
      </c>
      <c r="BV97">
        <f t="shared" si="42"/>
        <v>0</v>
      </c>
      <c r="BW97">
        <f t="shared" si="43"/>
        <v>0</v>
      </c>
      <c r="BX97">
        <f t="shared" si="44"/>
        <v>0</v>
      </c>
    </row>
    <row r="98" spans="1:76" outlineLevel="1" x14ac:dyDescent="0.15">
      <c r="A98" s="8"/>
      <c r="B98" s="8" t="s">
        <v>105</v>
      </c>
      <c r="C98" s="9" t="s">
        <v>257</v>
      </c>
      <c r="D98" s="8">
        <v>2770567</v>
      </c>
      <c r="E98" s="10">
        <v>12</v>
      </c>
      <c r="F98" s="9">
        <v>1</v>
      </c>
      <c r="G98" s="9"/>
      <c r="I98" s="22" t="str">
        <f t="shared" si="23"/>
        <v>·</v>
      </c>
      <c r="J98" s="23" t="str">
        <f t="shared" si="24"/>
        <v>·</v>
      </c>
      <c r="K98" s="23" t="str">
        <f t="shared" si="25"/>
        <v>·</v>
      </c>
      <c r="L98" s="23" t="str">
        <f t="shared" si="26"/>
        <v>·</v>
      </c>
      <c r="M98" s="24"/>
      <c r="N98" s="23" t="str">
        <f t="shared" si="27"/>
        <v>·</v>
      </c>
      <c r="O98" s="25"/>
      <c r="P98" s="26"/>
      <c r="Q98" s="26"/>
      <c r="R98" s="26"/>
      <c r="S98" s="40"/>
      <c r="T98" s="41"/>
      <c r="U98" s="41"/>
      <c r="V98" s="41"/>
      <c r="W98" s="41"/>
      <c r="X98" s="41"/>
      <c r="Y98" s="42"/>
      <c r="Z98" s="50"/>
      <c r="AA98" s="50"/>
      <c r="AC98" s="22" t="str">
        <f t="shared" si="28"/>
        <v>·</v>
      </c>
      <c r="AD98" s="23" t="str">
        <f t="shared" si="29"/>
        <v>·</v>
      </c>
      <c r="AE98" s="23" t="str">
        <f t="shared" si="30"/>
        <v>·</v>
      </c>
      <c r="AF98" s="23" t="str">
        <f t="shared" si="31"/>
        <v>·</v>
      </c>
      <c r="AG98" s="24"/>
      <c r="AH98" s="23" t="str">
        <f t="shared" si="32"/>
        <v>·</v>
      </c>
      <c r="AI98" s="25"/>
      <c r="AJ98" s="26"/>
      <c r="AK98" s="26"/>
      <c r="AL98" s="26"/>
      <c r="AM98" s="40"/>
      <c r="AN98" s="41"/>
      <c r="AO98" s="41"/>
      <c r="AP98" s="41"/>
      <c r="AQ98" s="41"/>
      <c r="AR98" s="41"/>
      <c r="AS98" s="42"/>
      <c r="AT98" s="50"/>
      <c r="AU98" s="50"/>
      <c r="AW98" s="55" t="e">
        <f t="shared" si="33"/>
        <v>#DIV/0!</v>
      </c>
      <c r="AX98" s="55"/>
      <c r="AZ98" s="56"/>
      <c r="BA98" s="56"/>
      <c r="BB98" s="56"/>
      <c r="BC98" s="56"/>
      <c r="BD98" s="56"/>
      <c r="BE98" s="62"/>
      <c r="BG98" s="56"/>
      <c r="BH98" s="56"/>
      <c r="BI98" s="56"/>
      <c r="BJ98" s="56"/>
      <c r="BK98" s="56"/>
      <c r="BL98" s="62"/>
      <c r="BN98">
        <f t="shared" si="34"/>
        <v>0</v>
      </c>
      <c r="BO98">
        <f t="shared" si="35"/>
        <v>0</v>
      </c>
      <c r="BP98">
        <f t="shared" si="36"/>
        <v>0</v>
      </c>
      <c r="BQ98">
        <f t="shared" si="37"/>
        <v>0</v>
      </c>
      <c r="BR98">
        <f t="shared" si="38"/>
        <v>0</v>
      </c>
      <c r="BS98">
        <f t="shared" si="39"/>
        <v>0</v>
      </c>
      <c r="BT98">
        <f t="shared" si="40"/>
        <v>0</v>
      </c>
      <c r="BU98">
        <f t="shared" si="41"/>
        <v>0</v>
      </c>
      <c r="BV98">
        <f t="shared" si="42"/>
        <v>0</v>
      </c>
      <c r="BW98">
        <f t="shared" si="43"/>
        <v>0</v>
      </c>
      <c r="BX98">
        <f t="shared" si="44"/>
        <v>0</v>
      </c>
    </row>
    <row r="99" spans="1:76" outlineLevel="1" x14ac:dyDescent="0.15">
      <c r="A99" s="5"/>
      <c r="B99" s="5" t="s">
        <v>105</v>
      </c>
      <c r="C99" s="6" t="s">
        <v>258</v>
      </c>
      <c r="D99" s="5">
        <v>2770567</v>
      </c>
      <c r="E99" s="7">
        <v>12</v>
      </c>
      <c r="F99" s="6">
        <v>1</v>
      </c>
      <c r="G99" s="6"/>
      <c r="I99" s="17" t="str">
        <f t="shared" si="23"/>
        <v>·</v>
      </c>
      <c r="J99" s="18" t="str">
        <f t="shared" si="24"/>
        <v>·</v>
      </c>
      <c r="K99" s="18" t="str">
        <f t="shared" si="25"/>
        <v>·</v>
      </c>
      <c r="L99" s="18" t="str">
        <f t="shared" si="26"/>
        <v>·</v>
      </c>
      <c r="M99" s="19"/>
      <c r="N99" s="18" t="str">
        <f t="shared" si="27"/>
        <v>·</v>
      </c>
      <c r="O99" s="20"/>
      <c r="P99" s="21"/>
      <c r="Q99" s="21"/>
      <c r="R99" s="21"/>
      <c r="S99" s="37"/>
      <c r="T99" s="38"/>
      <c r="U99" s="38"/>
      <c r="V99" s="38"/>
      <c r="W99" s="38"/>
      <c r="X99" s="38"/>
      <c r="Y99" s="39"/>
      <c r="Z99" s="49"/>
      <c r="AA99" s="49"/>
      <c r="AC99" s="17" t="str">
        <f t="shared" si="28"/>
        <v>·</v>
      </c>
      <c r="AD99" s="18" t="str">
        <f t="shared" si="29"/>
        <v>·</v>
      </c>
      <c r="AE99" s="18" t="str">
        <f t="shared" si="30"/>
        <v>·</v>
      </c>
      <c r="AF99" s="18" t="str">
        <f t="shared" si="31"/>
        <v>·</v>
      </c>
      <c r="AG99" s="19"/>
      <c r="AH99" s="18" t="str">
        <f t="shared" si="32"/>
        <v>·</v>
      </c>
      <c r="AI99" s="20"/>
      <c r="AJ99" s="21"/>
      <c r="AK99" s="21"/>
      <c r="AL99" s="21"/>
      <c r="AM99" s="37"/>
      <c r="AN99" s="38"/>
      <c r="AO99" s="38"/>
      <c r="AP99" s="38"/>
      <c r="AQ99" s="38"/>
      <c r="AR99" s="38"/>
      <c r="AS99" s="39"/>
      <c r="AT99" s="49"/>
      <c r="AU99" s="49"/>
      <c r="AW99" s="53" t="e">
        <f t="shared" si="33"/>
        <v>#DIV/0!</v>
      </c>
      <c r="AX99" s="53"/>
      <c r="AZ99" s="54"/>
      <c r="BA99" s="54"/>
      <c r="BB99" s="54"/>
      <c r="BC99" s="54"/>
      <c r="BD99" s="54"/>
      <c r="BE99" s="61"/>
      <c r="BG99" s="54"/>
      <c r="BH99" s="54"/>
      <c r="BI99" s="54"/>
      <c r="BJ99" s="54"/>
      <c r="BK99" s="54"/>
      <c r="BL99" s="61"/>
      <c r="BN99">
        <f t="shared" si="34"/>
        <v>0</v>
      </c>
      <c r="BO99">
        <f t="shared" si="35"/>
        <v>0</v>
      </c>
      <c r="BP99">
        <f t="shared" si="36"/>
        <v>0</v>
      </c>
      <c r="BQ99">
        <f t="shared" si="37"/>
        <v>0</v>
      </c>
      <c r="BR99">
        <f t="shared" si="38"/>
        <v>0</v>
      </c>
      <c r="BS99">
        <f t="shared" si="39"/>
        <v>0</v>
      </c>
      <c r="BT99">
        <f t="shared" si="40"/>
        <v>0</v>
      </c>
      <c r="BU99">
        <f t="shared" si="41"/>
        <v>0</v>
      </c>
      <c r="BV99">
        <f t="shared" si="42"/>
        <v>0</v>
      </c>
      <c r="BW99">
        <f t="shared" si="43"/>
        <v>0</v>
      </c>
      <c r="BX99">
        <f t="shared" si="44"/>
        <v>0</v>
      </c>
    </row>
    <row r="100" spans="1:76" outlineLevel="1" x14ac:dyDescent="0.15">
      <c r="A100" s="8"/>
      <c r="B100" s="14" t="s">
        <v>105</v>
      </c>
      <c r="C100" s="15" t="s">
        <v>259</v>
      </c>
      <c r="D100" s="14">
        <v>2770567</v>
      </c>
      <c r="E100" s="16">
        <v>12</v>
      </c>
      <c r="F100" s="15">
        <v>1</v>
      </c>
      <c r="G100" s="15"/>
      <c r="I100" s="32" t="str">
        <f t="shared" si="23"/>
        <v>·</v>
      </c>
      <c r="J100" s="33" t="str">
        <f t="shared" si="24"/>
        <v>·</v>
      </c>
      <c r="K100" s="33" t="str">
        <f t="shared" si="25"/>
        <v>·</v>
      </c>
      <c r="L100" s="33" t="str">
        <f t="shared" si="26"/>
        <v>·</v>
      </c>
      <c r="M100" s="34"/>
      <c r="N100" s="33" t="str">
        <f t="shared" si="27"/>
        <v>·</v>
      </c>
      <c r="O100" s="35"/>
      <c r="P100" s="36"/>
      <c r="Q100" s="36"/>
      <c r="R100" s="36"/>
      <c r="S100" s="46"/>
      <c r="T100" s="47"/>
      <c r="U100" s="47"/>
      <c r="V100" s="47"/>
      <c r="W100" s="47"/>
      <c r="X100" s="47"/>
      <c r="Y100" s="48"/>
      <c r="Z100" s="52"/>
      <c r="AA100" s="52"/>
      <c r="AC100" s="32" t="str">
        <f t="shared" si="28"/>
        <v>·</v>
      </c>
      <c r="AD100" s="33" t="str">
        <f t="shared" si="29"/>
        <v>·</v>
      </c>
      <c r="AE100" s="33" t="str">
        <f t="shared" si="30"/>
        <v>·</v>
      </c>
      <c r="AF100" s="33" t="str">
        <f t="shared" si="31"/>
        <v>·</v>
      </c>
      <c r="AG100" s="34"/>
      <c r="AH100" s="33" t="str">
        <f t="shared" si="32"/>
        <v>·</v>
      </c>
      <c r="AI100" s="35"/>
      <c r="AJ100" s="36"/>
      <c r="AK100" s="36"/>
      <c r="AL100" s="36"/>
      <c r="AM100" s="46"/>
      <c r="AN100" s="47"/>
      <c r="AO100" s="47"/>
      <c r="AP100" s="47"/>
      <c r="AQ100" s="47"/>
      <c r="AR100" s="47"/>
      <c r="AS100" s="48"/>
      <c r="AT100" s="52"/>
      <c r="AU100" s="52"/>
      <c r="AW100" s="59" t="e">
        <f t="shared" si="33"/>
        <v>#DIV/0!</v>
      </c>
      <c r="AX100" s="59"/>
      <c r="AZ100" s="60"/>
      <c r="BA100" s="60"/>
      <c r="BB100" s="60"/>
      <c r="BC100" s="60"/>
      <c r="BD100" s="60"/>
      <c r="BE100" s="64"/>
      <c r="BG100" s="60"/>
      <c r="BH100" s="60"/>
      <c r="BI100" s="60"/>
      <c r="BJ100" s="60"/>
      <c r="BK100" s="60"/>
      <c r="BL100" s="64"/>
      <c r="BN100">
        <f t="shared" si="34"/>
        <v>0</v>
      </c>
      <c r="BO100">
        <f t="shared" si="35"/>
        <v>0</v>
      </c>
      <c r="BP100">
        <f t="shared" si="36"/>
        <v>0</v>
      </c>
      <c r="BQ100">
        <f t="shared" si="37"/>
        <v>0</v>
      </c>
      <c r="BR100">
        <f t="shared" si="38"/>
        <v>0</v>
      </c>
      <c r="BS100">
        <f t="shared" si="39"/>
        <v>0</v>
      </c>
      <c r="BT100">
        <f t="shared" si="40"/>
        <v>0</v>
      </c>
      <c r="BU100">
        <f t="shared" si="41"/>
        <v>0</v>
      </c>
      <c r="BV100">
        <f t="shared" si="42"/>
        <v>0</v>
      </c>
      <c r="BW100">
        <f t="shared" si="43"/>
        <v>0</v>
      </c>
      <c r="BX100">
        <f t="shared" si="44"/>
        <v>0</v>
      </c>
    </row>
    <row r="101" spans="1:76" x14ac:dyDescent="0.15">
      <c r="A101" s="5"/>
      <c r="B101" s="5" t="s">
        <v>108</v>
      </c>
      <c r="C101" s="6" t="s">
        <v>254</v>
      </c>
      <c r="D101" s="5">
        <v>757691</v>
      </c>
      <c r="E101" s="7">
        <v>10</v>
      </c>
      <c r="F101" s="6">
        <v>1</v>
      </c>
      <c r="G101" s="6"/>
      <c r="I101" s="17" t="str">
        <f t="shared" si="23"/>
        <v>·</v>
      </c>
      <c r="J101" s="18" t="str">
        <f t="shared" si="24"/>
        <v>·</v>
      </c>
      <c r="K101" s="18" t="str">
        <f t="shared" si="25"/>
        <v>·</v>
      </c>
      <c r="L101" s="18" t="str">
        <f t="shared" si="26"/>
        <v>·</v>
      </c>
      <c r="M101" s="19"/>
      <c r="N101" s="18" t="str">
        <f t="shared" si="27"/>
        <v>·</v>
      </c>
      <c r="O101" s="20"/>
      <c r="P101" s="21"/>
      <c r="Q101" s="21"/>
      <c r="R101" s="21"/>
      <c r="S101" s="37"/>
      <c r="T101" s="38"/>
      <c r="U101" s="38"/>
      <c r="V101" s="38"/>
      <c r="W101" s="38"/>
      <c r="X101" s="38"/>
      <c r="Y101" s="39"/>
      <c r="Z101" s="49"/>
      <c r="AA101" s="49"/>
      <c r="AC101" s="17" t="str">
        <f t="shared" si="28"/>
        <v>·</v>
      </c>
      <c r="AD101" s="18" t="str">
        <f t="shared" si="29"/>
        <v>·</v>
      </c>
      <c r="AE101" s="18" t="str">
        <f t="shared" si="30"/>
        <v>·</v>
      </c>
      <c r="AF101" s="18" t="str">
        <f t="shared" si="31"/>
        <v>·</v>
      </c>
      <c r="AG101" s="19"/>
      <c r="AH101" s="18" t="str">
        <f t="shared" si="32"/>
        <v>·</v>
      </c>
      <c r="AI101" s="20"/>
      <c r="AJ101" s="21"/>
      <c r="AK101" s="21"/>
      <c r="AL101" s="21"/>
      <c r="AM101" s="37"/>
      <c r="AN101" s="38"/>
      <c r="AO101" s="38"/>
      <c r="AP101" s="38"/>
      <c r="AQ101" s="38"/>
      <c r="AR101" s="38"/>
      <c r="AS101" s="39"/>
      <c r="AT101" s="49"/>
      <c r="AU101" s="49"/>
      <c r="AW101" s="53" t="e">
        <f t="shared" si="33"/>
        <v>#DIV/0!</v>
      </c>
      <c r="AX101" s="53" t="e">
        <f t="array" ref="AX101">AVERAGE(AK101:AK106/AJ101:AJ106)-AVERAGE(Q101:Q106/P101:P106)</f>
        <v>#DIV/0!</v>
      </c>
      <c r="AZ101" s="54" t="str">
        <f>IF(OR(ISBLANK(Q101:Q106),ISBLANK(AK101:AK106),ISBLANK(T101:T106),ISBLANK(AN101:AN106)),"·",bdRateExtend(Q101:Q106,T101:T106,AK101:AK106,AN101:AN106))</f>
        <v>·</v>
      </c>
      <c r="BA101" s="54" t="str">
        <f>IF(OR(ISBLANK(Q101:Q106),ISBLANK(AK101:AK106),ISBLANK(U101:U106),ISBLANK(AO101:AO106)),"·",bdRateExtend(Q101:Q106,U101:U106,AK101:AK106,AO101:AO106))</f>
        <v>·</v>
      </c>
      <c r="BB101" s="54" t="str">
        <f>IF(OR(ISBLANK(R101:R106),ISBLANK(AL101:AL106),ISBLANK(V101:V106),ISBLANK(AP101:AP106)),"·",bdRateExtend(R101:R106,V101:V106,AL101:AL106,AP101:AP106))</f>
        <v>·</v>
      </c>
      <c r="BC101" s="54" t="str">
        <f>IF(OR(ISBLANK(R101:R106),ISBLANK(AL101:AL106),ISBLANK(W101:W106),ISBLANK(AQ101:AQ106)),"·",bdRateExtend(R101:R106,W101:W106,AL101:AL106,AQ101:AQ106))</f>
        <v>·</v>
      </c>
      <c r="BD101" s="54" t="str">
        <f>IF(OR(ISBLANK(R101:R106),ISBLANK(AL101:AL106),ISBLANK(X101:X106),ISBLANK(AR101:AR106)),"·",bdRateExtend(R101:R106,X101:X106,AL101:AL106,AR101:AR106))</f>
        <v>·</v>
      </c>
      <c r="BE101" s="61"/>
      <c r="BG101" s="54" t="str">
        <f>IF(OR(ISBLANK(P101:P106),ISBLANK(AJ101:AJ106),ISBLANK(T101:T106),ISBLANK(AN101:AN106)),"·",bdRateExtend(P101:P106,T101:T106,AJ101:AJ106,AN101:AN106))</f>
        <v>·</v>
      </c>
      <c r="BH101" s="54" t="str">
        <f>IF(OR(ISBLANK(P101:P106),ISBLANK(AJ101:AJ106),ISBLANK(U101:U106),ISBLANK(AO101:AO106)),"·",bdRateExtend(P101:P106,U101:U106,AJ101:AJ106,AO101:AO106))</f>
        <v>·</v>
      </c>
      <c r="BI101" s="54" t="str">
        <f>IF(OR(ISBLANK(P101:P106),ISBLANK(AJ101:AJ106),ISBLANK(V101:V106),ISBLANK(AP101:AP106)),"·",bdRateExtend(P101:P106,V101:V106,AJ101:AJ106,AP101:AP106))</f>
        <v>·</v>
      </c>
      <c r="BJ101" s="54" t="str">
        <f>IF(OR(ISBLANK(P101:P106),ISBLANK(AJ101:AJ106),ISBLANK(W101:W106),ISBLANK(AQ101:AQ106)),"·",bdRateExtend(P101:P106,W101:W106,AJ101:AJ106,AQ101:AQ106))</f>
        <v>·</v>
      </c>
      <c r="BK101" s="54" t="str">
        <f>IF(OR(ISBLANK(P101:P106),ISBLANK(AJ101:AJ106),ISBLANK(X101:X106),ISBLANK(AR101:AR106)),"·",bdRateExtend(P101:P106,X101:X106,AJ101:AJ106,AR101:AR106))</f>
        <v>·</v>
      </c>
      <c r="BL101" s="61"/>
      <c r="BN101">
        <f t="shared" si="34"/>
        <v>0</v>
      </c>
      <c r="BO101">
        <f t="shared" si="35"/>
        <v>0</v>
      </c>
      <c r="BP101">
        <f t="shared" si="36"/>
        <v>0</v>
      </c>
      <c r="BQ101">
        <f t="shared" si="37"/>
        <v>0</v>
      </c>
      <c r="BR101">
        <f t="shared" si="38"/>
        <v>0</v>
      </c>
      <c r="BS101">
        <f t="shared" si="39"/>
        <v>0</v>
      </c>
      <c r="BT101">
        <f t="shared" si="40"/>
        <v>0</v>
      </c>
      <c r="BU101">
        <f t="shared" si="41"/>
        <v>0</v>
      </c>
      <c r="BV101">
        <f t="shared" si="42"/>
        <v>0</v>
      </c>
      <c r="BW101">
        <f t="shared" si="43"/>
        <v>0</v>
      </c>
      <c r="BX101">
        <f t="shared" si="44"/>
        <v>0</v>
      </c>
    </row>
    <row r="102" spans="1:76" outlineLevel="1" x14ac:dyDescent="0.15">
      <c r="A102" s="8"/>
      <c r="B102" s="8" t="s">
        <v>108</v>
      </c>
      <c r="C102" s="9" t="s">
        <v>255</v>
      </c>
      <c r="D102" s="8">
        <v>757691</v>
      </c>
      <c r="E102" s="10">
        <v>10</v>
      </c>
      <c r="F102" s="9">
        <v>1</v>
      </c>
      <c r="G102" s="9"/>
      <c r="I102" s="22" t="str">
        <f t="shared" si="23"/>
        <v>·</v>
      </c>
      <c r="J102" s="23" t="str">
        <f t="shared" si="24"/>
        <v>·</v>
      </c>
      <c r="K102" s="23" t="str">
        <f t="shared" si="25"/>
        <v>·</v>
      </c>
      <c r="L102" s="23" t="str">
        <f t="shared" si="26"/>
        <v>·</v>
      </c>
      <c r="M102" s="24"/>
      <c r="N102" s="23" t="str">
        <f t="shared" si="27"/>
        <v>·</v>
      </c>
      <c r="O102" s="25"/>
      <c r="P102" s="26"/>
      <c r="Q102" s="26"/>
      <c r="R102" s="26"/>
      <c r="S102" s="40"/>
      <c r="T102" s="41"/>
      <c r="U102" s="41"/>
      <c r="V102" s="41"/>
      <c r="W102" s="41"/>
      <c r="X102" s="41"/>
      <c r="Y102" s="42"/>
      <c r="Z102" s="50"/>
      <c r="AA102" s="50"/>
      <c r="AC102" s="22" t="str">
        <f t="shared" si="28"/>
        <v>·</v>
      </c>
      <c r="AD102" s="23" t="str">
        <f t="shared" si="29"/>
        <v>·</v>
      </c>
      <c r="AE102" s="23" t="str">
        <f t="shared" si="30"/>
        <v>·</v>
      </c>
      <c r="AF102" s="23" t="str">
        <f t="shared" si="31"/>
        <v>·</v>
      </c>
      <c r="AG102" s="24"/>
      <c r="AH102" s="23" t="str">
        <f t="shared" si="32"/>
        <v>·</v>
      </c>
      <c r="AI102" s="25"/>
      <c r="AJ102" s="26"/>
      <c r="AK102" s="26"/>
      <c r="AL102" s="26"/>
      <c r="AM102" s="40"/>
      <c r="AN102" s="41"/>
      <c r="AO102" s="41"/>
      <c r="AP102" s="41"/>
      <c r="AQ102" s="41"/>
      <c r="AR102" s="41"/>
      <c r="AS102" s="42"/>
      <c r="AT102" s="50"/>
      <c r="AU102" s="50"/>
      <c r="AW102" s="55" t="e">
        <f t="shared" si="33"/>
        <v>#DIV/0!</v>
      </c>
      <c r="AX102" s="55"/>
      <c r="AZ102" s="56"/>
      <c r="BA102" s="56"/>
      <c r="BB102" s="56"/>
      <c r="BC102" s="56"/>
      <c r="BD102" s="56"/>
      <c r="BE102" s="62"/>
      <c r="BG102" s="56"/>
      <c r="BH102" s="56"/>
      <c r="BI102" s="56"/>
      <c r="BJ102" s="56"/>
      <c r="BK102" s="56"/>
      <c r="BL102" s="62"/>
      <c r="BN102">
        <f t="shared" si="34"/>
        <v>0</v>
      </c>
      <c r="BO102">
        <f t="shared" si="35"/>
        <v>0</v>
      </c>
      <c r="BP102">
        <f t="shared" si="36"/>
        <v>0</v>
      </c>
      <c r="BQ102">
        <f t="shared" si="37"/>
        <v>0</v>
      </c>
      <c r="BR102">
        <f t="shared" si="38"/>
        <v>0</v>
      </c>
      <c r="BS102">
        <f t="shared" si="39"/>
        <v>0</v>
      </c>
      <c r="BT102">
        <f t="shared" si="40"/>
        <v>0</v>
      </c>
      <c r="BU102">
        <f t="shared" si="41"/>
        <v>0</v>
      </c>
      <c r="BV102">
        <f t="shared" si="42"/>
        <v>0</v>
      </c>
      <c r="BW102">
        <f t="shared" si="43"/>
        <v>0</v>
      </c>
      <c r="BX102">
        <f t="shared" si="44"/>
        <v>0</v>
      </c>
    </row>
    <row r="103" spans="1:76" outlineLevel="1" x14ac:dyDescent="0.15">
      <c r="A103" s="5"/>
      <c r="B103" s="5" t="s">
        <v>108</v>
      </c>
      <c r="C103" s="6" t="s">
        <v>256</v>
      </c>
      <c r="D103" s="5">
        <v>757691</v>
      </c>
      <c r="E103" s="7">
        <v>10</v>
      </c>
      <c r="F103" s="6">
        <v>1</v>
      </c>
      <c r="G103" s="6"/>
      <c r="I103" s="17" t="str">
        <f t="shared" si="23"/>
        <v>·</v>
      </c>
      <c r="J103" s="18" t="str">
        <f t="shared" si="24"/>
        <v>·</v>
      </c>
      <c r="K103" s="18" t="str">
        <f t="shared" si="25"/>
        <v>·</v>
      </c>
      <c r="L103" s="18" t="str">
        <f t="shared" si="26"/>
        <v>·</v>
      </c>
      <c r="M103" s="19"/>
      <c r="N103" s="18" t="str">
        <f t="shared" si="27"/>
        <v>·</v>
      </c>
      <c r="O103" s="20"/>
      <c r="P103" s="21"/>
      <c r="Q103" s="21"/>
      <c r="R103" s="21"/>
      <c r="S103" s="37"/>
      <c r="T103" s="38"/>
      <c r="U103" s="38"/>
      <c r="V103" s="38"/>
      <c r="W103" s="38"/>
      <c r="X103" s="38"/>
      <c r="Y103" s="39"/>
      <c r="Z103" s="49"/>
      <c r="AA103" s="49"/>
      <c r="AC103" s="17" t="str">
        <f t="shared" si="28"/>
        <v>·</v>
      </c>
      <c r="AD103" s="18" t="str">
        <f t="shared" si="29"/>
        <v>·</v>
      </c>
      <c r="AE103" s="18" t="str">
        <f t="shared" si="30"/>
        <v>·</v>
      </c>
      <c r="AF103" s="18" t="str">
        <f t="shared" si="31"/>
        <v>·</v>
      </c>
      <c r="AG103" s="19"/>
      <c r="AH103" s="18" t="str">
        <f t="shared" si="32"/>
        <v>·</v>
      </c>
      <c r="AI103" s="20"/>
      <c r="AJ103" s="21"/>
      <c r="AK103" s="21"/>
      <c r="AL103" s="21"/>
      <c r="AM103" s="37"/>
      <c r="AN103" s="38"/>
      <c r="AO103" s="38"/>
      <c r="AP103" s="38"/>
      <c r="AQ103" s="38"/>
      <c r="AR103" s="38"/>
      <c r="AS103" s="39"/>
      <c r="AT103" s="49"/>
      <c r="AU103" s="49"/>
      <c r="AW103" s="53" t="e">
        <f t="shared" si="33"/>
        <v>#DIV/0!</v>
      </c>
      <c r="AX103" s="53"/>
      <c r="AZ103" s="54"/>
      <c r="BA103" s="54"/>
      <c r="BB103" s="54"/>
      <c r="BC103" s="54"/>
      <c r="BD103" s="54"/>
      <c r="BE103" s="61"/>
      <c r="BG103" s="54"/>
      <c r="BH103" s="54"/>
      <c r="BI103" s="54"/>
      <c r="BJ103" s="54"/>
      <c r="BK103" s="54"/>
      <c r="BL103" s="61"/>
      <c r="BN103">
        <f t="shared" si="34"/>
        <v>0</v>
      </c>
      <c r="BO103">
        <f t="shared" si="35"/>
        <v>0</v>
      </c>
      <c r="BP103">
        <f t="shared" si="36"/>
        <v>0</v>
      </c>
      <c r="BQ103">
        <f t="shared" si="37"/>
        <v>0</v>
      </c>
      <c r="BR103">
        <f t="shared" si="38"/>
        <v>0</v>
      </c>
      <c r="BS103">
        <f t="shared" si="39"/>
        <v>0</v>
      </c>
      <c r="BT103">
        <f t="shared" si="40"/>
        <v>0</v>
      </c>
      <c r="BU103">
        <f t="shared" si="41"/>
        <v>0</v>
      </c>
      <c r="BV103">
        <f t="shared" si="42"/>
        <v>0</v>
      </c>
      <c r="BW103">
        <f t="shared" si="43"/>
        <v>0</v>
      </c>
      <c r="BX103">
        <f t="shared" si="44"/>
        <v>0</v>
      </c>
    </row>
    <row r="104" spans="1:76" outlineLevel="1" x14ac:dyDescent="0.15">
      <c r="A104" s="8"/>
      <c r="B104" s="8" t="s">
        <v>108</v>
      </c>
      <c r="C104" s="9" t="s">
        <v>257</v>
      </c>
      <c r="D104" s="8">
        <v>757691</v>
      </c>
      <c r="E104" s="10">
        <v>10</v>
      </c>
      <c r="F104" s="9">
        <v>1</v>
      </c>
      <c r="G104" s="9"/>
      <c r="I104" s="22" t="str">
        <f t="shared" si="23"/>
        <v>·</v>
      </c>
      <c r="J104" s="23" t="str">
        <f t="shared" si="24"/>
        <v>·</v>
      </c>
      <c r="K104" s="23" t="str">
        <f t="shared" si="25"/>
        <v>·</v>
      </c>
      <c r="L104" s="23" t="str">
        <f t="shared" si="26"/>
        <v>·</v>
      </c>
      <c r="M104" s="24"/>
      <c r="N104" s="23" t="str">
        <f t="shared" si="27"/>
        <v>·</v>
      </c>
      <c r="O104" s="25"/>
      <c r="P104" s="26"/>
      <c r="Q104" s="26"/>
      <c r="R104" s="26"/>
      <c r="S104" s="40"/>
      <c r="T104" s="41"/>
      <c r="U104" s="41"/>
      <c r="V104" s="41"/>
      <c r="W104" s="41"/>
      <c r="X104" s="41"/>
      <c r="Y104" s="42"/>
      <c r="Z104" s="50"/>
      <c r="AA104" s="50"/>
      <c r="AC104" s="22" t="str">
        <f t="shared" si="28"/>
        <v>·</v>
      </c>
      <c r="AD104" s="23" t="str">
        <f t="shared" si="29"/>
        <v>·</v>
      </c>
      <c r="AE104" s="23" t="str">
        <f t="shared" si="30"/>
        <v>·</v>
      </c>
      <c r="AF104" s="23" t="str">
        <f t="shared" si="31"/>
        <v>·</v>
      </c>
      <c r="AG104" s="24"/>
      <c r="AH104" s="23" t="str">
        <f t="shared" si="32"/>
        <v>·</v>
      </c>
      <c r="AI104" s="25"/>
      <c r="AJ104" s="26"/>
      <c r="AK104" s="26"/>
      <c r="AL104" s="26"/>
      <c r="AM104" s="40"/>
      <c r="AN104" s="41"/>
      <c r="AO104" s="41"/>
      <c r="AP104" s="41"/>
      <c r="AQ104" s="41"/>
      <c r="AR104" s="41"/>
      <c r="AS104" s="42"/>
      <c r="AT104" s="50"/>
      <c r="AU104" s="50"/>
      <c r="AW104" s="55" t="e">
        <f t="shared" si="33"/>
        <v>#DIV/0!</v>
      </c>
      <c r="AX104" s="55"/>
      <c r="AZ104" s="56"/>
      <c r="BA104" s="56"/>
      <c r="BB104" s="56"/>
      <c r="BC104" s="56"/>
      <c r="BD104" s="56"/>
      <c r="BE104" s="62"/>
      <c r="BG104" s="56"/>
      <c r="BH104" s="56"/>
      <c r="BI104" s="56"/>
      <c r="BJ104" s="56"/>
      <c r="BK104" s="56"/>
      <c r="BL104" s="62"/>
      <c r="BN104">
        <f t="shared" si="34"/>
        <v>0</v>
      </c>
      <c r="BO104">
        <f t="shared" si="35"/>
        <v>0</v>
      </c>
      <c r="BP104">
        <f t="shared" si="36"/>
        <v>0</v>
      </c>
      <c r="BQ104">
        <f t="shared" si="37"/>
        <v>0</v>
      </c>
      <c r="BR104">
        <f t="shared" si="38"/>
        <v>0</v>
      </c>
      <c r="BS104">
        <f t="shared" si="39"/>
        <v>0</v>
      </c>
      <c r="BT104">
        <f t="shared" si="40"/>
        <v>0</v>
      </c>
      <c r="BU104">
        <f t="shared" si="41"/>
        <v>0</v>
      </c>
      <c r="BV104">
        <f t="shared" si="42"/>
        <v>0</v>
      </c>
      <c r="BW104">
        <f t="shared" si="43"/>
        <v>0</v>
      </c>
      <c r="BX104">
        <f t="shared" si="44"/>
        <v>0</v>
      </c>
    </row>
    <row r="105" spans="1:76" outlineLevel="1" x14ac:dyDescent="0.15">
      <c r="A105" s="5"/>
      <c r="B105" s="5" t="s">
        <v>108</v>
      </c>
      <c r="C105" s="6" t="s">
        <v>258</v>
      </c>
      <c r="D105" s="5">
        <v>757691</v>
      </c>
      <c r="E105" s="7">
        <v>10</v>
      </c>
      <c r="F105" s="6">
        <v>1</v>
      </c>
      <c r="G105" s="6"/>
      <c r="I105" s="17" t="str">
        <f t="shared" si="23"/>
        <v>·</v>
      </c>
      <c r="J105" s="18" t="str">
        <f t="shared" si="24"/>
        <v>·</v>
      </c>
      <c r="K105" s="18" t="str">
        <f t="shared" si="25"/>
        <v>·</v>
      </c>
      <c r="L105" s="18" t="str">
        <f t="shared" si="26"/>
        <v>·</v>
      </c>
      <c r="M105" s="19"/>
      <c r="N105" s="18" t="str">
        <f t="shared" si="27"/>
        <v>·</v>
      </c>
      <c r="O105" s="20"/>
      <c r="P105" s="21"/>
      <c r="Q105" s="21"/>
      <c r="R105" s="21"/>
      <c r="S105" s="37"/>
      <c r="T105" s="38"/>
      <c r="U105" s="38"/>
      <c r="V105" s="38"/>
      <c r="W105" s="38"/>
      <c r="X105" s="38"/>
      <c r="Y105" s="39"/>
      <c r="Z105" s="49"/>
      <c r="AA105" s="49"/>
      <c r="AC105" s="17" t="str">
        <f t="shared" si="28"/>
        <v>·</v>
      </c>
      <c r="AD105" s="18" t="str">
        <f t="shared" si="29"/>
        <v>·</v>
      </c>
      <c r="AE105" s="18" t="str">
        <f t="shared" si="30"/>
        <v>·</v>
      </c>
      <c r="AF105" s="18" t="str">
        <f t="shared" si="31"/>
        <v>·</v>
      </c>
      <c r="AG105" s="19"/>
      <c r="AH105" s="18" t="str">
        <f t="shared" si="32"/>
        <v>·</v>
      </c>
      <c r="AI105" s="20"/>
      <c r="AJ105" s="21"/>
      <c r="AK105" s="21"/>
      <c r="AL105" s="21"/>
      <c r="AM105" s="37"/>
      <c r="AN105" s="38"/>
      <c r="AO105" s="38"/>
      <c r="AP105" s="38"/>
      <c r="AQ105" s="38"/>
      <c r="AR105" s="38"/>
      <c r="AS105" s="39"/>
      <c r="AT105" s="49"/>
      <c r="AU105" s="49"/>
      <c r="AW105" s="53" t="e">
        <f t="shared" si="33"/>
        <v>#DIV/0!</v>
      </c>
      <c r="AX105" s="53"/>
      <c r="AZ105" s="54"/>
      <c r="BA105" s="54"/>
      <c r="BB105" s="54"/>
      <c r="BC105" s="54"/>
      <c r="BD105" s="54"/>
      <c r="BE105" s="61"/>
      <c r="BG105" s="54"/>
      <c r="BH105" s="54"/>
      <c r="BI105" s="54"/>
      <c r="BJ105" s="54"/>
      <c r="BK105" s="54"/>
      <c r="BL105" s="61"/>
      <c r="BN105">
        <f t="shared" si="34"/>
        <v>0</v>
      </c>
      <c r="BO105">
        <f t="shared" si="35"/>
        <v>0</v>
      </c>
      <c r="BP105">
        <f t="shared" si="36"/>
        <v>0</v>
      </c>
      <c r="BQ105">
        <f t="shared" si="37"/>
        <v>0</v>
      </c>
      <c r="BR105">
        <f t="shared" si="38"/>
        <v>0</v>
      </c>
      <c r="BS105">
        <f t="shared" si="39"/>
        <v>0</v>
      </c>
      <c r="BT105">
        <f t="shared" si="40"/>
        <v>0</v>
      </c>
      <c r="BU105">
        <f t="shared" si="41"/>
        <v>0</v>
      </c>
      <c r="BV105">
        <f t="shared" si="42"/>
        <v>0</v>
      </c>
      <c r="BW105">
        <f t="shared" si="43"/>
        <v>0</v>
      </c>
      <c r="BX105">
        <f t="shared" si="44"/>
        <v>0</v>
      </c>
    </row>
    <row r="106" spans="1:76" outlineLevel="1" x14ac:dyDescent="0.15">
      <c r="A106" s="8"/>
      <c r="B106" s="14" t="s">
        <v>108</v>
      </c>
      <c r="C106" s="15" t="s">
        <v>259</v>
      </c>
      <c r="D106" s="14">
        <v>757691</v>
      </c>
      <c r="E106" s="16">
        <v>10</v>
      </c>
      <c r="F106" s="15">
        <v>1</v>
      </c>
      <c r="G106" s="15"/>
      <c r="I106" s="32" t="str">
        <f t="shared" si="23"/>
        <v>·</v>
      </c>
      <c r="J106" s="33" t="str">
        <f t="shared" si="24"/>
        <v>·</v>
      </c>
      <c r="K106" s="33" t="str">
        <f t="shared" si="25"/>
        <v>·</v>
      </c>
      <c r="L106" s="33" t="str">
        <f t="shared" si="26"/>
        <v>·</v>
      </c>
      <c r="M106" s="34"/>
      <c r="N106" s="33" t="str">
        <f t="shared" si="27"/>
        <v>·</v>
      </c>
      <c r="O106" s="35"/>
      <c r="P106" s="36"/>
      <c r="Q106" s="36"/>
      <c r="R106" s="36"/>
      <c r="S106" s="46"/>
      <c r="T106" s="47"/>
      <c r="U106" s="47"/>
      <c r="V106" s="47"/>
      <c r="W106" s="47"/>
      <c r="X106" s="47"/>
      <c r="Y106" s="48"/>
      <c r="Z106" s="52"/>
      <c r="AA106" s="52"/>
      <c r="AC106" s="32" t="str">
        <f t="shared" si="28"/>
        <v>·</v>
      </c>
      <c r="AD106" s="33" t="str">
        <f t="shared" si="29"/>
        <v>·</v>
      </c>
      <c r="AE106" s="33" t="str">
        <f t="shared" si="30"/>
        <v>·</v>
      </c>
      <c r="AF106" s="33" t="str">
        <f t="shared" si="31"/>
        <v>·</v>
      </c>
      <c r="AG106" s="34"/>
      <c r="AH106" s="33" t="str">
        <f t="shared" si="32"/>
        <v>·</v>
      </c>
      <c r="AI106" s="35"/>
      <c r="AJ106" s="36"/>
      <c r="AK106" s="36"/>
      <c r="AL106" s="36"/>
      <c r="AM106" s="46"/>
      <c r="AN106" s="47"/>
      <c r="AO106" s="47"/>
      <c r="AP106" s="47"/>
      <c r="AQ106" s="47"/>
      <c r="AR106" s="47"/>
      <c r="AS106" s="48"/>
      <c r="AT106" s="52"/>
      <c r="AU106" s="52"/>
      <c r="AW106" s="59" t="e">
        <f t="shared" si="33"/>
        <v>#DIV/0!</v>
      </c>
      <c r="AX106" s="59"/>
      <c r="AZ106" s="60"/>
      <c r="BA106" s="60"/>
      <c r="BB106" s="60"/>
      <c r="BC106" s="60"/>
      <c r="BD106" s="60"/>
      <c r="BE106" s="64"/>
      <c r="BG106" s="60"/>
      <c r="BH106" s="60"/>
      <c r="BI106" s="60"/>
      <c r="BJ106" s="60"/>
      <c r="BK106" s="60"/>
      <c r="BL106" s="64"/>
      <c r="BN106">
        <f t="shared" si="34"/>
        <v>0</v>
      </c>
      <c r="BO106">
        <f t="shared" si="35"/>
        <v>0</v>
      </c>
      <c r="BP106">
        <f t="shared" si="36"/>
        <v>0</v>
      </c>
      <c r="BQ106">
        <f t="shared" si="37"/>
        <v>0</v>
      </c>
      <c r="BR106">
        <f t="shared" si="38"/>
        <v>0</v>
      </c>
      <c r="BS106">
        <f t="shared" si="39"/>
        <v>0</v>
      </c>
      <c r="BT106">
        <f t="shared" si="40"/>
        <v>0</v>
      </c>
      <c r="BU106">
        <f t="shared" si="41"/>
        <v>0</v>
      </c>
      <c r="BV106">
        <f t="shared" si="42"/>
        <v>0</v>
      </c>
      <c r="BW106">
        <f t="shared" si="43"/>
        <v>0</v>
      </c>
      <c r="BX106">
        <f t="shared" si="44"/>
        <v>0</v>
      </c>
    </row>
    <row r="107" spans="1:76" x14ac:dyDescent="0.15">
      <c r="A107" s="5"/>
      <c r="B107" s="5" t="s">
        <v>111</v>
      </c>
      <c r="C107" s="6" t="s">
        <v>254</v>
      </c>
      <c r="D107" s="5">
        <v>1009132</v>
      </c>
      <c r="E107" s="7">
        <v>12</v>
      </c>
      <c r="F107" s="6">
        <v>1</v>
      </c>
      <c r="G107" s="6"/>
      <c r="I107" s="17" t="str">
        <f t="shared" si="23"/>
        <v>·</v>
      </c>
      <c r="J107" s="18" t="str">
        <f t="shared" si="24"/>
        <v>·</v>
      </c>
      <c r="K107" s="18" t="str">
        <f t="shared" si="25"/>
        <v>·</v>
      </c>
      <c r="L107" s="18" t="str">
        <f t="shared" si="26"/>
        <v>·</v>
      </c>
      <c r="M107" s="19"/>
      <c r="N107" s="18" t="str">
        <f t="shared" si="27"/>
        <v>·</v>
      </c>
      <c r="O107" s="20"/>
      <c r="P107" s="21"/>
      <c r="Q107" s="21"/>
      <c r="R107" s="21"/>
      <c r="S107" s="37"/>
      <c r="T107" s="38"/>
      <c r="U107" s="38"/>
      <c r="V107" s="38"/>
      <c r="W107" s="38"/>
      <c r="X107" s="38"/>
      <c r="Y107" s="39"/>
      <c r="Z107" s="49"/>
      <c r="AA107" s="49"/>
      <c r="AC107" s="17" t="str">
        <f t="shared" si="28"/>
        <v>·</v>
      </c>
      <c r="AD107" s="18" t="str">
        <f t="shared" si="29"/>
        <v>·</v>
      </c>
      <c r="AE107" s="18" t="str">
        <f t="shared" si="30"/>
        <v>·</v>
      </c>
      <c r="AF107" s="18" t="str">
        <f t="shared" si="31"/>
        <v>·</v>
      </c>
      <c r="AG107" s="19"/>
      <c r="AH107" s="18" t="str">
        <f t="shared" si="32"/>
        <v>·</v>
      </c>
      <c r="AI107" s="20"/>
      <c r="AJ107" s="21"/>
      <c r="AK107" s="21"/>
      <c r="AL107" s="21"/>
      <c r="AM107" s="37"/>
      <c r="AN107" s="38"/>
      <c r="AO107" s="38"/>
      <c r="AP107" s="38"/>
      <c r="AQ107" s="38"/>
      <c r="AR107" s="38"/>
      <c r="AS107" s="39"/>
      <c r="AT107" s="49"/>
      <c r="AU107" s="49"/>
      <c r="AW107" s="53" t="e">
        <f t="shared" si="33"/>
        <v>#DIV/0!</v>
      </c>
      <c r="AX107" s="53" t="e">
        <f t="array" ref="AX107">AVERAGE(AK107:AK112/AJ107:AJ112)-AVERAGE(Q107:Q112/P107:P112)</f>
        <v>#DIV/0!</v>
      </c>
      <c r="AZ107" s="54" t="str">
        <f>IF(OR(ISBLANK(Q107:Q112),ISBLANK(AK107:AK112),ISBLANK(T107:T112),ISBLANK(AN107:AN112)),"·",bdRateExtend(Q107:Q112,T107:T112,AK107:AK112,AN107:AN112))</f>
        <v>·</v>
      </c>
      <c r="BA107" s="54" t="str">
        <f>IF(OR(ISBLANK(Q107:Q112),ISBLANK(AK107:AK112),ISBLANK(U107:U112),ISBLANK(AO107:AO112)),"·",bdRateExtend(Q107:Q112,U107:U112,AK107:AK112,AO107:AO112))</f>
        <v>·</v>
      </c>
      <c r="BB107" s="54" t="str">
        <f>IF(OR(ISBLANK(R107:R112),ISBLANK(AL107:AL112),ISBLANK(V107:V112),ISBLANK(AP107:AP112)),"·",bdRateExtend(R107:R112,V107:V112,AL107:AL112,AP107:AP112))</f>
        <v>·</v>
      </c>
      <c r="BC107" s="54" t="str">
        <f>IF(OR(ISBLANK(R107:R112),ISBLANK(AL107:AL112),ISBLANK(W107:W112),ISBLANK(AQ107:AQ112)),"·",bdRateExtend(R107:R112,W107:W112,AL107:AL112,AQ107:AQ112))</f>
        <v>·</v>
      </c>
      <c r="BD107" s="54" t="str">
        <f>IF(OR(ISBLANK(R107:R112),ISBLANK(AL107:AL112),ISBLANK(X107:X112),ISBLANK(AR107:AR112)),"·",bdRateExtend(R107:R112,X107:X112,AL107:AL112,AR107:AR112))</f>
        <v>·</v>
      </c>
      <c r="BE107" s="61"/>
      <c r="BG107" s="54" t="str">
        <f>IF(OR(ISBLANK(P107:P112),ISBLANK(AJ107:AJ112),ISBLANK(T107:T112),ISBLANK(AN107:AN112)),"·",bdRateExtend(P107:P112,T107:T112,AJ107:AJ112,AN107:AN112))</f>
        <v>·</v>
      </c>
      <c r="BH107" s="54" t="str">
        <f>IF(OR(ISBLANK(P107:P112),ISBLANK(AJ107:AJ112),ISBLANK(U107:U112),ISBLANK(AO107:AO112)),"·",bdRateExtend(P107:P112,U107:U112,AJ107:AJ112,AO107:AO112))</f>
        <v>·</v>
      </c>
      <c r="BI107" s="54" t="str">
        <f>IF(OR(ISBLANK(P107:P112),ISBLANK(AJ107:AJ112),ISBLANK(V107:V112),ISBLANK(AP107:AP112)),"·",bdRateExtend(P107:P112,V107:V112,AJ107:AJ112,AP107:AP112))</f>
        <v>·</v>
      </c>
      <c r="BJ107" s="54" t="str">
        <f>IF(OR(ISBLANK(P107:P112),ISBLANK(AJ107:AJ112),ISBLANK(W107:W112),ISBLANK(AQ107:AQ112)),"·",bdRateExtend(P107:P112,W107:W112,AJ107:AJ112,AQ107:AQ112))</f>
        <v>·</v>
      </c>
      <c r="BK107" s="54" t="str">
        <f>IF(OR(ISBLANK(P107:P112),ISBLANK(AJ107:AJ112),ISBLANK(X107:X112),ISBLANK(AR107:AR112)),"·",bdRateExtend(P107:P112,X107:X112,AJ107:AJ112,AR107:AR112))</f>
        <v>·</v>
      </c>
      <c r="BL107" s="61"/>
      <c r="BN107">
        <f t="shared" si="34"/>
        <v>0</v>
      </c>
      <c r="BO107">
        <f t="shared" si="35"/>
        <v>0</v>
      </c>
      <c r="BP107">
        <f t="shared" si="36"/>
        <v>0</v>
      </c>
      <c r="BQ107">
        <f t="shared" si="37"/>
        <v>0</v>
      </c>
      <c r="BR107">
        <f t="shared" si="38"/>
        <v>0</v>
      </c>
      <c r="BS107">
        <f t="shared" si="39"/>
        <v>0</v>
      </c>
      <c r="BT107">
        <f t="shared" si="40"/>
        <v>0</v>
      </c>
      <c r="BU107">
        <f t="shared" si="41"/>
        <v>0</v>
      </c>
      <c r="BV107">
        <f t="shared" si="42"/>
        <v>0</v>
      </c>
      <c r="BW107">
        <f t="shared" si="43"/>
        <v>0</v>
      </c>
      <c r="BX107">
        <f t="shared" si="44"/>
        <v>0</v>
      </c>
    </row>
    <row r="108" spans="1:76" outlineLevel="1" x14ac:dyDescent="0.15">
      <c r="A108" s="8"/>
      <c r="B108" s="8" t="s">
        <v>111</v>
      </c>
      <c r="C108" s="9" t="s">
        <v>255</v>
      </c>
      <c r="D108" s="8">
        <v>1009132</v>
      </c>
      <c r="E108" s="10">
        <v>12</v>
      </c>
      <c r="F108" s="9">
        <v>1</v>
      </c>
      <c r="G108" s="9"/>
      <c r="I108" s="22" t="str">
        <f t="shared" si="23"/>
        <v>·</v>
      </c>
      <c r="J108" s="23" t="str">
        <f t="shared" si="24"/>
        <v>·</v>
      </c>
      <c r="K108" s="23" t="str">
        <f t="shared" si="25"/>
        <v>·</v>
      </c>
      <c r="L108" s="23" t="str">
        <f t="shared" si="26"/>
        <v>·</v>
      </c>
      <c r="M108" s="24"/>
      <c r="N108" s="23" t="str">
        <f t="shared" si="27"/>
        <v>·</v>
      </c>
      <c r="O108" s="25"/>
      <c r="P108" s="26"/>
      <c r="Q108" s="26"/>
      <c r="R108" s="26"/>
      <c r="S108" s="40"/>
      <c r="T108" s="41"/>
      <c r="U108" s="41"/>
      <c r="V108" s="41"/>
      <c r="W108" s="41"/>
      <c r="X108" s="41"/>
      <c r="Y108" s="42"/>
      <c r="Z108" s="50"/>
      <c r="AA108" s="50"/>
      <c r="AC108" s="22" t="str">
        <f t="shared" si="28"/>
        <v>·</v>
      </c>
      <c r="AD108" s="23" t="str">
        <f t="shared" si="29"/>
        <v>·</v>
      </c>
      <c r="AE108" s="23" t="str">
        <f t="shared" si="30"/>
        <v>·</v>
      </c>
      <c r="AF108" s="23" t="str">
        <f t="shared" si="31"/>
        <v>·</v>
      </c>
      <c r="AG108" s="24"/>
      <c r="AH108" s="23" t="str">
        <f t="shared" si="32"/>
        <v>·</v>
      </c>
      <c r="AI108" s="25"/>
      <c r="AJ108" s="26"/>
      <c r="AK108" s="26"/>
      <c r="AL108" s="26"/>
      <c r="AM108" s="40"/>
      <c r="AN108" s="41"/>
      <c r="AO108" s="41"/>
      <c r="AP108" s="41"/>
      <c r="AQ108" s="41"/>
      <c r="AR108" s="41"/>
      <c r="AS108" s="42"/>
      <c r="AT108" s="50"/>
      <c r="AU108" s="50"/>
      <c r="AW108" s="55" t="e">
        <f t="shared" si="33"/>
        <v>#DIV/0!</v>
      </c>
      <c r="AX108" s="55"/>
      <c r="AZ108" s="56"/>
      <c r="BA108" s="56"/>
      <c r="BB108" s="56"/>
      <c r="BC108" s="56"/>
      <c r="BD108" s="56"/>
      <c r="BE108" s="62"/>
      <c r="BG108" s="56"/>
      <c r="BH108" s="56"/>
      <c r="BI108" s="56"/>
      <c r="BJ108" s="56"/>
      <c r="BK108" s="56"/>
      <c r="BL108" s="62"/>
      <c r="BN108">
        <f t="shared" si="34"/>
        <v>0</v>
      </c>
      <c r="BO108">
        <f t="shared" si="35"/>
        <v>0</v>
      </c>
      <c r="BP108">
        <f t="shared" si="36"/>
        <v>0</v>
      </c>
      <c r="BQ108">
        <f t="shared" si="37"/>
        <v>0</v>
      </c>
      <c r="BR108">
        <f t="shared" si="38"/>
        <v>0</v>
      </c>
      <c r="BS108">
        <f t="shared" si="39"/>
        <v>0</v>
      </c>
      <c r="BT108">
        <f t="shared" si="40"/>
        <v>0</v>
      </c>
      <c r="BU108">
        <f t="shared" si="41"/>
        <v>0</v>
      </c>
      <c r="BV108">
        <f t="shared" si="42"/>
        <v>0</v>
      </c>
      <c r="BW108">
        <f t="shared" si="43"/>
        <v>0</v>
      </c>
      <c r="BX108">
        <f t="shared" si="44"/>
        <v>0</v>
      </c>
    </row>
    <row r="109" spans="1:76" outlineLevel="1" x14ac:dyDescent="0.15">
      <c r="A109" s="5"/>
      <c r="B109" s="5" t="s">
        <v>111</v>
      </c>
      <c r="C109" s="6" t="s">
        <v>256</v>
      </c>
      <c r="D109" s="5">
        <v>1009132</v>
      </c>
      <c r="E109" s="7">
        <v>12</v>
      </c>
      <c r="F109" s="6">
        <v>1</v>
      </c>
      <c r="G109" s="6"/>
      <c r="I109" s="17" t="str">
        <f t="shared" si="23"/>
        <v>·</v>
      </c>
      <c r="J109" s="18" t="str">
        <f t="shared" si="24"/>
        <v>·</v>
      </c>
      <c r="K109" s="18" t="str">
        <f t="shared" si="25"/>
        <v>·</v>
      </c>
      <c r="L109" s="18" t="str">
        <f t="shared" si="26"/>
        <v>·</v>
      </c>
      <c r="M109" s="19"/>
      <c r="N109" s="18" t="str">
        <f t="shared" si="27"/>
        <v>·</v>
      </c>
      <c r="O109" s="20"/>
      <c r="P109" s="21"/>
      <c r="Q109" s="21"/>
      <c r="R109" s="21"/>
      <c r="S109" s="37"/>
      <c r="T109" s="38"/>
      <c r="U109" s="38"/>
      <c r="V109" s="38"/>
      <c r="W109" s="38"/>
      <c r="X109" s="38"/>
      <c r="Y109" s="39"/>
      <c r="Z109" s="49"/>
      <c r="AA109" s="49"/>
      <c r="AC109" s="17" t="str">
        <f t="shared" si="28"/>
        <v>·</v>
      </c>
      <c r="AD109" s="18" t="str">
        <f t="shared" si="29"/>
        <v>·</v>
      </c>
      <c r="AE109" s="18" t="str">
        <f t="shared" si="30"/>
        <v>·</v>
      </c>
      <c r="AF109" s="18" t="str">
        <f t="shared" si="31"/>
        <v>·</v>
      </c>
      <c r="AG109" s="19"/>
      <c r="AH109" s="18" t="str">
        <f t="shared" si="32"/>
        <v>·</v>
      </c>
      <c r="AI109" s="20"/>
      <c r="AJ109" s="21"/>
      <c r="AK109" s="21"/>
      <c r="AL109" s="21"/>
      <c r="AM109" s="37"/>
      <c r="AN109" s="38"/>
      <c r="AO109" s="38"/>
      <c r="AP109" s="38"/>
      <c r="AQ109" s="38"/>
      <c r="AR109" s="38"/>
      <c r="AS109" s="39"/>
      <c r="AT109" s="49"/>
      <c r="AU109" s="49"/>
      <c r="AW109" s="53" t="e">
        <f t="shared" si="33"/>
        <v>#DIV/0!</v>
      </c>
      <c r="AX109" s="53"/>
      <c r="AZ109" s="54"/>
      <c r="BA109" s="54"/>
      <c r="BB109" s="54"/>
      <c r="BC109" s="54"/>
      <c r="BD109" s="54"/>
      <c r="BE109" s="61"/>
      <c r="BG109" s="54"/>
      <c r="BH109" s="54"/>
      <c r="BI109" s="54"/>
      <c r="BJ109" s="54"/>
      <c r="BK109" s="54"/>
      <c r="BL109" s="61"/>
      <c r="BN109">
        <f t="shared" si="34"/>
        <v>0</v>
      </c>
      <c r="BO109">
        <f t="shared" si="35"/>
        <v>0</v>
      </c>
      <c r="BP109">
        <f t="shared" si="36"/>
        <v>0</v>
      </c>
      <c r="BQ109">
        <f t="shared" si="37"/>
        <v>0</v>
      </c>
      <c r="BR109">
        <f t="shared" si="38"/>
        <v>0</v>
      </c>
      <c r="BS109">
        <f t="shared" si="39"/>
        <v>0</v>
      </c>
      <c r="BT109">
        <f t="shared" si="40"/>
        <v>0</v>
      </c>
      <c r="BU109">
        <f t="shared" si="41"/>
        <v>0</v>
      </c>
      <c r="BV109">
        <f t="shared" si="42"/>
        <v>0</v>
      </c>
      <c r="BW109">
        <f t="shared" si="43"/>
        <v>0</v>
      </c>
      <c r="BX109">
        <f t="shared" si="44"/>
        <v>0</v>
      </c>
    </row>
    <row r="110" spans="1:76" outlineLevel="1" x14ac:dyDescent="0.15">
      <c r="A110" s="8"/>
      <c r="B110" s="8" t="s">
        <v>111</v>
      </c>
      <c r="C110" s="9" t="s">
        <v>257</v>
      </c>
      <c r="D110" s="8">
        <v>1009132</v>
      </c>
      <c r="E110" s="10">
        <v>12</v>
      </c>
      <c r="F110" s="9">
        <v>1</v>
      </c>
      <c r="G110" s="9"/>
      <c r="I110" s="22" t="str">
        <f t="shared" si="23"/>
        <v>·</v>
      </c>
      <c r="J110" s="23" t="str">
        <f t="shared" si="24"/>
        <v>·</v>
      </c>
      <c r="K110" s="23" t="str">
        <f t="shared" si="25"/>
        <v>·</v>
      </c>
      <c r="L110" s="23" t="str">
        <f t="shared" si="26"/>
        <v>·</v>
      </c>
      <c r="M110" s="24"/>
      <c r="N110" s="23" t="str">
        <f t="shared" si="27"/>
        <v>·</v>
      </c>
      <c r="O110" s="25"/>
      <c r="P110" s="26"/>
      <c r="Q110" s="26"/>
      <c r="R110" s="26"/>
      <c r="S110" s="40"/>
      <c r="T110" s="41"/>
      <c r="U110" s="41"/>
      <c r="V110" s="41"/>
      <c r="W110" s="41"/>
      <c r="X110" s="41"/>
      <c r="Y110" s="42"/>
      <c r="Z110" s="50"/>
      <c r="AA110" s="50"/>
      <c r="AC110" s="22" t="str">
        <f t="shared" si="28"/>
        <v>·</v>
      </c>
      <c r="AD110" s="23" t="str">
        <f t="shared" si="29"/>
        <v>·</v>
      </c>
      <c r="AE110" s="23" t="str">
        <f t="shared" si="30"/>
        <v>·</v>
      </c>
      <c r="AF110" s="23" t="str">
        <f t="shared" si="31"/>
        <v>·</v>
      </c>
      <c r="AG110" s="24"/>
      <c r="AH110" s="23" t="str">
        <f t="shared" si="32"/>
        <v>·</v>
      </c>
      <c r="AI110" s="25"/>
      <c r="AJ110" s="26"/>
      <c r="AK110" s="26"/>
      <c r="AL110" s="26"/>
      <c r="AM110" s="40"/>
      <c r="AN110" s="41"/>
      <c r="AO110" s="41"/>
      <c r="AP110" s="41"/>
      <c r="AQ110" s="41"/>
      <c r="AR110" s="41"/>
      <c r="AS110" s="42"/>
      <c r="AT110" s="50"/>
      <c r="AU110" s="50"/>
      <c r="AW110" s="55" t="e">
        <f t="shared" si="33"/>
        <v>#DIV/0!</v>
      </c>
      <c r="AX110" s="55"/>
      <c r="AZ110" s="56"/>
      <c r="BA110" s="56"/>
      <c r="BB110" s="56"/>
      <c r="BC110" s="56"/>
      <c r="BD110" s="56"/>
      <c r="BE110" s="62"/>
      <c r="BG110" s="56"/>
      <c r="BH110" s="56"/>
      <c r="BI110" s="56"/>
      <c r="BJ110" s="56"/>
      <c r="BK110" s="56"/>
      <c r="BL110" s="62"/>
      <c r="BN110">
        <f t="shared" si="34"/>
        <v>0</v>
      </c>
      <c r="BO110">
        <f t="shared" si="35"/>
        <v>0</v>
      </c>
      <c r="BP110">
        <f t="shared" si="36"/>
        <v>0</v>
      </c>
      <c r="BQ110">
        <f t="shared" si="37"/>
        <v>0</v>
      </c>
      <c r="BR110">
        <f t="shared" si="38"/>
        <v>0</v>
      </c>
      <c r="BS110">
        <f t="shared" si="39"/>
        <v>0</v>
      </c>
      <c r="BT110">
        <f t="shared" si="40"/>
        <v>0</v>
      </c>
      <c r="BU110">
        <f t="shared" si="41"/>
        <v>0</v>
      </c>
      <c r="BV110">
        <f t="shared" si="42"/>
        <v>0</v>
      </c>
      <c r="BW110">
        <f t="shared" si="43"/>
        <v>0</v>
      </c>
      <c r="BX110">
        <f t="shared" si="44"/>
        <v>0</v>
      </c>
    </row>
    <row r="111" spans="1:76" outlineLevel="1" x14ac:dyDescent="0.15">
      <c r="A111" s="5"/>
      <c r="B111" s="5" t="s">
        <v>111</v>
      </c>
      <c r="C111" s="6" t="s">
        <v>258</v>
      </c>
      <c r="D111" s="5">
        <v>1009132</v>
      </c>
      <c r="E111" s="7">
        <v>12</v>
      </c>
      <c r="F111" s="6">
        <v>1</v>
      </c>
      <c r="G111" s="6"/>
      <c r="I111" s="17" t="str">
        <f t="shared" si="23"/>
        <v>·</v>
      </c>
      <c r="J111" s="18" t="str">
        <f t="shared" si="24"/>
        <v>·</v>
      </c>
      <c r="K111" s="18" t="str">
        <f t="shared" si="25"/>
        <v>·</v>
      </c>
      <c r="L111" s="18" t="str">
        <f t="shared" si="26"/>
        <v>·</v>
      </c>
      <c r="M111" s="19"/>
      <c r="N111" s="18" t="str">
        <f t="shared" si="27"/>
        <v>·</v>
      </c>
      <c r="O111" s="20"/>
      <c r="P111" s="21"/>
      <c r="Q111" s="21"/>
      <c r="R111" s="21"/>
      <c r="S111" s="37"/>
      <c r="T111" s="38"/>
      <c r="U111" s="38"/>
      <c r="V111" s="38"/>
      <c r="W111" s="38"/>
      <c r="X111" s="38"/>
      <c r="Y111" s="39"/>
      <c r="Z111" s="49"/>
      <c r="AA111" s="49"/>
      <c r="AC111" s="17" t="str">
        <f t="shared" si="28"/>
        <v>·</v>
      </c>
      <c r="AD111" s="18" t="str">
        <f t="shared" si="29"/>
        <v>·</v>
      </c>
      <c r="AE111" s="18" t="str">
        <f t="shared" si="30"/>
        <v>·</v>
      </c>
      <c r="AF111" s="18" t="str">
        <f t="shared" si="31"/>
        <v>·</v>
      </c>
      <c r="AG111" s="19"/>
      <c r="AH111" s="18" t="str">
        <f t="shared" si="32"/>
        <v>·</v>
      </c>
      <c r="AI111" s="20"/>
      <c r="AJ111" s="21"/>
      <c r="AK111" s="21"/>
      <c r="AL111" s="21"/>
      <c r="AM111" s="37"/>
      <c r="AN111" s="38"/>
      <c r="AO111" s="38"/>
      <c r="AP111" s="38"/>
      <c r="AQ111" s="38"/>
      <c r="AR111" s="38"/>
      <c r="AS111" s="39"/>
      <c r="AT111" s="49"/>
      <c r="AU111" s="49"/>
      <c r="AW111" s="53" t="e">
        <f t="shared" si="33"/>
        <v>#DIV/0!</v>
      </c>
      <c r="AX111" s="53"/>
      <c r="AZ111" s="54"/>
      <c r="BA111" s="54"/>
      <c r="BB111" s="54"/>
      <c r="BC111" s="54"/>
      <c r="BD111" s="54"/>
      <c r="BE111" s="61"/>
      <c r="BG111" s="54"/>
      <c r="BH111" s="54"/>
      <c r="BI111" s="54"/>
      <c r="BJ111" s="54"/>
      <c r="BK111" s="54"/>
      <c r="BL111" s="61"/>
      <c r="BN111">
        <f t="shared" si="34"/>
        <v>0</v>
      </c>
      <c r="BO111">
        <f t="shared" si="35"/>
        <v>0</v>
      </c>
      <c r="BP111">
        <f t="shared" si="36"/>
        <v>0</v>
      </c>
      <c r="BQ111">
        <f t="shared" si="37"/>
        <v>0</v>
      </c>
      <c r="BR111">
        <f t="shared" si="38"/>
        <v>0</v>
      </c>
      <c r="BS111">
        <f t="shared" si="39"/>
        <v>0</v>
      </c>
      <c r="BT111">
        <f t="shared" si="40"/>
        <v>0</v>
      </c>
      <c r="BU111">
        <f t="shared" si="41"/>
        <v>0</v>
      </c>
      <c r="BV111">
        <f t="shared" si="42"/>
        <v>0</v>
      </c>
      <c r="BW111">
        <f t="shared" si="43"/>
        <v>0</v>
      </c>
      <c r="BX111">
        <f t="shared" si="44"/>
        <v>0</v>
      </c>
    </row>
    <row r="112" spans="1:76" outlineLevel="1" x14ac:dyDescent="0.15">
      <c r="A112" s="8"/>
      <c r="B112" s="14" t="s">
        <v>111</v>
      </c>
      <c r="C112" s="15" t="s">
        <v>259</v>
      </c>
      <c r="D112" s="14">
        <v>1009132</v>
      </c>
      <c r="E112" s="16">
        <v>12</v>
      </c>
      <c r="F112" s="15">
        <v>1</v>
      </c>
      <c r="G112" s="15"/>
      <c r="I112" s="32" t="str">
        <f t="shared" si="23"/>
        <v>·</v>
      </c>
      <c r="J112" s="33" t="str">
        <f t="shared" si="24"/>
        <v>·</v>
      </c>
      <c r="K112" s="33" t="str">
        <f t="shared" si="25"/>
        <v>·</v>
      </c>
      <c r="L112" s="33" t="str">
        <f t="shared" si="26"/>
        <v>·</v>
      </c>
      <c r="M112" s="34"/>
      <c r="N112" s="33" t="str">
        <f t="shared" si="27"/>
        <v>·</v>
      </c>
      <c r="O112" s="35"/>
      <c r="P112" s="36"/>
      <c r="Q112" s="36"/>
      <c r="R112" s="36"/>
      <c r="S112" s="46"/>
      <c r="T112" s="47"/>
      <c r="U112" s="47"/>
      <c r="V112" s="47"/>
      <c r="W112" s="47"/>
      <c r="X112" s="47"/>
      <c r="Y112" s="48"/>
      <c r="Z112" s="52"/>
      <c r="AA112" s="52"/>
      <c r="AC112" s="32" t="str">
        <f t="shared" si="28"/>
        <v>·</v>
      </c>
      <c r="AD112" s="33" t="str">
        <f t="shared" si="29"/>
        <v>·</v>
      </c>
      <c r="AE112" s="33" t="str">
        <f t="shared" si="30"/>
        <v>·</v>
      </c>
      <c r="AF112" s="33" t="str">
        <f t="shared" si="31"/>
        <v>·</v>
      </c>
      <c r="AG112" s="34"/>
      <c r="AH112" s="33" t="str">
        <f t="shared" si="32"/>
        <v>·</v>
      </c>
      <c r="AI112" s="35"/>
      <c r="AJ112" s="36"/>
      <c r="AK112" s="36"/>
      <c r="AL112" s="36"/>
      <c r="AM112" s="46"/>
      <c r="AN112" s="47"/>
      <c r="AO112" s="47"/>
      <c r="AP112" s="47"/>
      <c r="AQ112" s="47"/>
      <c r="AR112" s="47"/>
      <c r="AS112" s="48"/>
      <c r="AT112" s="52"/>
      <c r="AU112" s="52"/>
      <c r="AW112" s="59" t="e">
        <f t="shared" si="33"/>
        <v>#DIV/0!</v>
      </c>
      <c r="AX112" s="59"/>
      <c r="AZ112" s="60"/>
      <c r="BA112" s="60"/>
      <c r="BB112" s="60"/>
      <c r="BC112" s="60"/>
      <c r="BD112" s="60"/>
      <c r="BE112" s="64"/>
      <c r="BG112" s="60"/>
      <c r="BH112" s="60"/>
      <c r="BI112" s="60"/>
      <c r="BJ112" s="60"/>
      <c r="BK112" s="60"/>
      <c r="BL112" s="64"/>
      <c r="BN112">
        <f t="shared" si="34"/>
        <v>0</v>
      </c>
      <c r="BO112">
        <f t="shared" si="35"/>
        <v>0</v>
      </c>
      <c r="BP112">
        <f t="shared" si="36"/>
        <v>0</v>
      </c>
      <c r="BQ112">
        <f t="shared" si="37"/>
        <v>0</v>
      </c>
      <c r="BR112">
        <f t="shared" si="38"/>
        <v>0</v>
      </c>
      <c r="BS112">
        <f t="shared" si="39"/>
        <v>0</v>
      </c>
      <c r="BT112">
        <f t="shared" si="40"/>
        <v>0</v>
      </c>
      <c r="BU112">
        <f t="shared" si="41"/>
        <v>0</v>
      </c>
      <c r="BV112">
        <f t="shared" si="42"/>
        <v>0</v>
      </c>
      <c r="BW112">
        <f t="shared" si="43"/>
        <v>0</v>
      </c>
      <c r="BX112">
        <f t="shared" si="44"/>
        <v>0</v>
      </c>
    </row>
    <row r="113" spans="1:76" x14ac:dyDescent="0.15">
      <c r="A113" s="5"/>
      <c r="B113" s="5" t="s">
        <v>114</v>
      </c>
      <c r="C113" s="6" t="s">
        <v>254</v>
      </c>
      <c r="D113" s="5">
        <v>4001754</v>
      </c>
      <c r="E113" s="7">
        <v>12</v>
      </c>
      <c r="F113" s="6">
        <v>1</v>
      </c>
      <c r="G113" s="6"/>
      <c r="I113" s="17" t="str">
        <f t="shared" si="23"/>
        <v>·</v>
      </c>
      <c r="J113" s="18" t="str">
        <f t="shared" si="24"/>
        <v>·</v>
      </c>
      <c r="K113" s="18" t="str">
        <f t="shared" si="25"/>
        <v>·</v>
      </c>
      <c r="L113" s="18" t="str">
        <f t="shared" si="26"/>
        <v>·</v>
      </c>
      <c r="M113" s="19"/>
      <c r="N113" s="18" t="str">
        <f t="shared" si="27"/>
        <v>·</v>
      </c>
      <c r="O113" s="20"/>
      <c r="P113" s="21"/>
      <c r="Q113" s="21"/>
      <c r="R113" s="21"/>
      <c r="S113" s="37"/>
      <c r="T113" s="38"/>
      <c r="U113" s="38"/>
      <c r="V113" s="38"/>
      <c r="W113" s="38"/>
      <c r="X113" s="38"/>
      <c r="Y113" s="39"/>
      <c r="Z113" s="49"/>
      <c r="AA113" s="49"/>
      <c r="AC113" s="17" t="str">
        <f t="shared" si="28"/>
        <v>·</v>
      </c>
      <c r="AD113" s="18" t="str">
        <f t="shared" si="29"/>
        <v>·</v>
      </c>
      <c r="AE113" s="18" t="str">
        <f t="shared" si="30"/>
        <v>·</v>
      </c>
      <c r="AF113" s="18" t="str">
        <f t="shared" si="31"/>
        <v>·</v>
      </c>
      <c r="AG113" s="19"/>
      <c r="AH113" s="18" t="str">
        <f t="shared" si="32"/>
        <v>·</v>
      </c>
      <c r="AI113" s="20"/>
      <c r="AJ113" s="21"/>
      <c r="AK113" s="21"/>
      <c r="AL113" s="21"/>
      <c r="AM113" s="37"/>
      <c r="AN113" s="38"/>
      <c r="AO113" s="38"/>
      <c r="AP113" s="38"/>
      <c r="AQ113" s="38"/>
      <c r="AR113" s="38"/>
      <c r="AS113" s="39"/>
      <c r="AT113" s="49"/>
      <c r="AU113" s="49"/>
      <c r="AW113" s="53" t="e">
        <f t="shared" si="33"/>
        <v>#DIV/0!</v>
      </c>
      <c r="AX113" s="53" t="e">
        <f t="array" ref="AX113">AVERAGE(AK113:AK118/AJ113:AJ118)-AVERAGE(Q113:Q118/P113:P118)</f>
        <v>#DIV/0!</v>
      </c>
      <c r="AZ113" s="54" t="str">
        <f>IF(OR(ISBLANK(Q113:Q118),ISBLANK(AK113:AK118),ISBLANK(T113:T118),ISBLANK(AN113:AN118)),"·",bdRateExtend(Q113:Q118,T113:T118,AK113:AK118,AN113:AN118))</f>
        <v>·</v>
      </c>
      <c r="BA113" s="54" t="str">
        <f>IF(OR(ISBLANK(Q113:Q118),ISBLANK(AK113:AK118),ISBLANK(U113:U118),ISBLANK(AO113:AO118)),"·",bdRateExtend(Q113:Q118,U113:U118,AK113:AK118,AO113:AO118))</f>
        <v>·</v>
      </c>
      <c r="BB113" s="54" t="str">
        <f>IF(OR(ISBLANK(R113:R118),ISBLANK(AL113:AL118),ISBLANK(V113:V118),ISBLANK(AP113:AP118)),"·",bdRateExtend(R113:R118,V113:V118,AL113:AL118,AP113:AP118))</f>
        <v>·</v>
      </c>
      <c r="BC113" s="54" t="str">
        <f>IF(OR(ISBLANK(R113:R118),ISBLANK(AL113:AL118),ISBLANK(W113:W118),ISBLANK(AQ113:AQ118)),"·",bdRateExtend(R113:R118,W113:W118,AL113:AL118,AQ113:AQ118))</f>
        <v>·</v>
      </c>
      <c r="BD113" s="54" t="str">
        <f>IF(OR(ISBLANK(R113:R118),ISBLANK(AL113:AL118),ISBLANK(X113:X118),ISBLANK(AR113:AR118)),"·",bdRateExtend(R113:R118,X113:X118,AL113:AL118,AR113:AR118))</f>
        <v>·</v>
      </c>
      <c r="BE113" s="61"/>
      <c r="BG113" s="54" t="str">
        <f>IF(OR(ISBLANK(P113:P118),ISBLANK(AJ113:AJ118),ISBLANK(T113:T118),ISBLANK(AN113:AN118)),"·",bdRateExtend(P113:P118,T113:T118,AJ113:AJ118,AN113:AN118))</f>
        <v>·</v>
      </c>
      <c r="BH113" s="54" t="str">
        <f>IF(OR(ISBLANK(P113:P118),ISBLANK(AJ113:AJ118),ISBLANK(U113:U118),ISBLANK(AO113:AO118)),"·",bdRateExtend(P113:P118,U113:U118,AJ113:AJ118,AO113:AO118))</f>
        <v>·</v>
      </c>
      <c r="BI113" s="54" t="str">
        <f>IF(OR(ISBLANK(P113:P118),ISBLANK(AJ113:AJ118),ISBLANK(V113:V118),ISBLANK(AP113:AP118)),"·",bdRateExtend(P113:P118,V113:V118,AJ113:AJ118,AP113:AP118))</f>
        <v>·</v>
      </c>
      <c r="BJ113" s="54" t="str">
        <f>IF(OR(ISBLANK(P113:P118),ISBLANK(AJ113:AJ118),ISBLANK(W113:W118),ISBLANK(AQ113:AQ118)),"·",bdRateExtend(P113:P118,W113:W118,AJ113:AJ118,AQ113:AQ118))</f>
        <v>·</v>
      </c>
      <c r="BK113" s="54" t="str">
        <f>IF(OR(ISBLANK(P113:P118),ISBLANK(AJ113:AJ118),ISBLANK(X113:X118),ISBLANK(AR113:AR118)),"·",bdRateExtend(P113:P118,X113:X118,AJ113:AJ118,AR113:AR118))</f>
        <v>·</v>
      </c>
      <c r="BL113" s="61"/>
      <c r="BN113">
        <f t="shared" si="34"/>
        <v>0</v>
      </c>
      <c r="BO113">
        <f t="shared" si="35"/>
        <v>0</v>
      </c>
      <c r="BP113">
        <f t="shared" si="36"/>
        <v>0</v>
      </c>
      <c r="BQ113">
        <f t="shared" si="37"/>
        <v>0</v>
      </c>
      <c r="BR113">
        <f t="shared" si="38"/>
        <v>0</v>
      </c>
      <c r="BS113">
        <f t="shared" si="39"/>
        <v>0</v>
      </c>
      <c r="BT113">
        <f t="shared" si="40"/>
        <v>0</v>
      </c>
      <c r="BU113">
        <f t="shared" si="41"/>
        <v>0</v>
      </c>
      <c r="BV113">
        <f t="shared" si="42"/>
        <v>0</v>
      </c>
      <c r="BW113">
        <f t="shared" si="43"/>
        <v>0</v>
      </c>
      <c r="BX113">
        <f t="shared" si="44"/>
        <v>0</v>
      </c>
    </row>
    <row r="114" spans="1:76" outlineLevel="1" x14ac:dyDescent="0.15">
      <c r="A114" s="8"/>
      <c r="B114" s="8" t="s">
        <v>114</v>
      </c>
      <c r="C114" s="9" t="s">
        <v>255</v>
      </c>
      <c r="D114" s="8">
        <v>4001754</v>
      </c>
      <c r="E114" s="10">
        <v>12</v>
      </c>
      <c r="F114" s="9">
        <v>1</v>
      </c>
      <c r="G114" s="9"/>
      <c r="I114" s="22" t="str">
        <f t="shared" si="23"/>
        <v>·</v>
      </c>
      <c r="J114" s="23" t="str">
        <f t="shared" si="24"/>
        <v>·</v>
      </c>
      <c r="K114" s="23" t="str">
        <f t="shared" si="25"/>
        <v>·</v>
      </c>
      <c r="L114" s="23" t="str">
        <f t="shared" si="26"/>
        <v>·</v>
      </c>
      <c r="M114" s="24"/>
      <c r="N114" s="23" t="str">
        <f t="shared" si="27"/>
        <v>·</v>
      </c>
      <c r="O114" s="25"/>
      <c r="P114" s="26"/>
      <c r="Q114" s="26"/>
      <c r="R114" s="26"/>
      <c r="S114" s="40"/>
      <c r="T114" s="41"/>
      <c r="U114" s="41"/>
      <c r="V114" s="41"/>
      <c r="W114" s="41"/>
      <c r="X114" s="41"/>
      <c r="Y114" s="42"/>
      <c r="Z114" s="50"/>
      <c r="AA114" s="50"/>
      <c r="AC114" s="22" t="str">
        <f t="shared" si="28"/>
        <v>·</v>
      </c>
      <c r="AD114" s="23" t="str">
        <f t="shared" si="29"/>
        <v>·</v>
      </c>
      <c r="AE114" s="23" t="str">
        <f t="shared" si="30"/>
        <v>·</v>
      </c>
      <c r="AF114" s="23" t="str">
        <f t="shared" si="31"/>
        <v>·</v>
      </c>
      <c r="AG114" s="24"/>
      <c r="AH114" s="23" t="str">
        <f t="shared" si="32"/>
        <v>·</v>
      </c>
      <c r="AI114" s="25"/>
      <c r="AJ114" s="26"/>
      <c r="AK114" s="26"/>
      <c r="AL114" s="26"/>
      <c r="AM114" s="40"/>
      <c r="AN114" s="41"/>
      <c r="AO114" s="41"/>
      <c r="AP114" s="41"/>
      <c r="AQ114" s="41"/>
      <c r="AR114" s="41"/>
      <c r="AS114" s="42"/>
      <c r="AT114" s="50"/>
      <c r="AU114" s="50"/>
      <c r="AW114" s="55" t="e">
        <f t="shared" si="33"/>
        <v>#DIV/0!</v>
      </c>
      <c r="AX114" s="55"/>
      <c r="AZ114" s="56"/>
      <c r="BA114" s="56"/>
      <c r="BB114" s="56"/>
      <c r="BC114" s="56"/>
      <c r="BD114" s="56"/>
      <c r="BE114" s="62"/>
      <c r="BG114" s="56"/>
      <c r="BH114" s="56"/>
      <c r="BI114" s="56"/>
      <c r="BJ114" s="56"/>
      <c r="BK114" s="56"/>
      <c r="BL114" s="62"/>
      <c r="BN114">
        <f t="shared" si="34"/>
        <v>0</v>
      </c>
      <c r="BO114">
        <f t="shared" si="35"/>
        <v>0</v>
      </c>
      <c r="BP114">
        <f t="shared" si="36"/>
        <v>0</v>
      </c>
      <c r="BQ114">
        <f t="shared" si="37"/>
        <v>0</v>
      </c>
      <c r="BR114">
        <f t="shared" si="38"/>
        <v>0</v>
      </c>
      <c r="BS114">
        <f t="shared" si="39"/>
        <v>0</v>
      </c>
      <c r="BT114">
        <f t="shared" si="40"/>
        <v>0</v>
      </c>
      <c r="BU114">
        <f t="shared" si="41"/>
        <v>0</v>
      </c>
      <c r="BV114">
        <f t="shared" si="42"/>
        <v>0</v>
      </c>
      <c r="BW114">
        <f t="shared" si="43"/>
        <v>0</v>
      </c>
      <c r="BX114">
        <f t="shared" si="44"/>
        <v>0</v>
      </c>
    </row>
    <row r="115" spans="1:76" outlineLevel="1" x14ac:dyDescent="0.15">
      <c r="A115" s="5"/>
      <c r="B115" s="5" t="s">
        <v>114</v>
      </c>
      <c r="C115" s="6" t="s">
        <v>256</v>
      </c>
      <c r="D115" s="5">
        <v>4001754</v>
      </c>
      <c r="E115" s="7">
        <v>12</v>
      </c>
      <c r="F115" s="6">
        <v>1</v>
      </c>
      <c r="G115" s="6"/>
      <c r="I115" s="17" t="str">
        <f t="shared" si="23"/>
        <v>·</v>
      </c>
      <c r="J115" s="18" t="str">
        <f t="shared" si="24"/>
        <v>·</v>
      </c>
      <c r="K115" s="18" t="str">
        <f t="shared" si="25"/>
        <v>·</v>
      </c>
      <c r="L115" s="18" t="str">
        <f t="shared" si="26"/>
        <v>·</v>
      </c>
      <c r="M115" s="19"/>
      <c r="N115" s="18" t="str">
        <f t="shared" si="27"/>
        <v>·</v>
      </c>
      <c r="O115" s="20"/>
      <c r="P115" s="21"/>
      <c r="Q115" s="21"/>
      <c r="R115" s="21"/>
      <c r="S115" s="37"/>
      <c r="T115" s="38"/>
      <c r="U115" s="38"/>
      <c r="V115" s="38"/>
      <c r="W115" s="38"/>
      <c r="X115" s="38"/>
      <c r="Y115" s="39"/>
      <c r="Z115" s="49"/>
      <c r="AA115" s="49"/>
      <c r="AC115" s="17" t="str">
        <f t="shared" si="28"/>
        <v>·</v>
      </c>
      <c r="AD115" s="18" t="str">
        <f t="shared" si="29"/>
        <v>·</v>
      </c>
      <c r="AE115" s="18" t="str">
        <f t="shared" si="30"/>
        <v>·</v>
      </c>
      <c r="AF115" s="18" t="str">
        <f t="shared" si="31"/>
        <v>·</v>
      </c>
      <c r="AG115" s="19"/>
      <c r="AH115" s="18" t="str">
        <f t="shared" si="32"/>
        <v>·</v>
      </c>
      <c r="AI115" s="20"/>
      <c r="AJ115" s="21"/>
      <c r="AK115" s="21"/>
      <c r="AL115" s="21"/>
      <c r="AM115" s="37"/>
      <c r="AN115" s="38"/>
      <c r="AO115" s="38"/>
      <c r="AP115" s="38"/>
      <c r="AQ115" s="38"/>
      <c r="AR115" s="38"/>
      <c r="AS115" s="39"/>
      <c r="AT115" s="49"/>
      <c r="AU115" s="49"/>
      <c r="AW115" s="53" t="e">
        <f t="shared" si="33"/>
        <v>#DIV/0!</v>
      </c>
      <c r="AX115" s="53"/>
      <c r="AZ115" s="54"/>
      <c r="BA115" s="54"/>
      <c r="BB115" s="54"/>
      <c r="BC115" s="54"/>
      <c r="BD115" s="54"/>
      <c r="BE115" s="61"/>
      <c r="BG115" s="54"/>
      <c r="BH115" s="54"/>
      <c r="BI115" s="54"/>
      <c r="BJ115" s="54"/>
      <c r="BK115" s="54"/>
      <c r="BL115" s="61"/>
      <c r="BN115">
        <f t="shared" si="34"/>
        <v>0</v>
      </c>
      <c r="BO115">
        <f t="shared" si="35"/>
        <v>0</v>
      </c>
      <c r="BP115">
        <f t="shared" si="36"/>
        <v>0</v>
      </c>
      <c r="BQ115">
        <f t="shared" si="37"/>
        <v>0</v>
      </c>
      <c r="BR115">
        <f t="shared" si="38"/>
        <v>0</v>
      </c>
      <c r="BS115">
        <f t="shared" si="39"/>
        <v>0</v>
      </c>
      <c r="BT115">
        <f t="shared" si="40"/>
        <v>0</v>
      </c>
      <c r="BU115">
        <f t="shared" si="41"/>
        <v>0</v>
      </c>
      <c r="BV115">
        <f t="shared" si="42"/>
        <v>0</v>
      </c>
      <c r="BW115">
        <f t="shared" si="43"/>
        <v>0</v>
      </c>
      <c r="BX115">
        <f t="shared" si="44"/>
        <v>0</v>
      </c>
    </row>
    <row r="116" spans="1:76" outlineLevel="1" x14ac:dyDescent="0.15">
      <c r="A116" s="8"/>
      <c r="B116" s="8" t="s">
        <v>114</v>
      </c>
      <c r="C116" s="9" t="s">
        <v>257</v>
      </c>
      <c r="D116" s="8">
        <v>4001754</v>
      </c>
      <c r="E116" s="10">
        <v>12</v>
      </c>
      <c r="F116" s="9">
        <v>1</v>
      </c>
      <c r="G116" s="9"/>
      <c r="I116" s="22" t="str">
        <f t="shared" si="23"/>
        <v>·</v>
      </c>
      <c r="J116" s="23" t="str">
        <f t="shared" si="24"/>
        <v>·</v>
      </c>
      <c r="K116" s="23" t="str">
        <f t="shared" si="25"/>
        <v>·</v>
      </c>
      <c r="L116" s="23" t="str">
        <f t="shared" si="26"/>
        <v>·</v>
      </c>
      <c r="M116" s="24"/>
      <c r="N116" s="23" t="str">
        <f t="shared" si="27"/>
        <v>·</v>
      </c>
      <c r="O116" s="25"/>
      <c r="P116" s="26"/>
      <c r="Q116" s="26"/>
      <c r="R116" s="26"/>
      <c r="S116" s="40"/>
      <c r="T116" s="41"/>
      <c r="U116" s="41"/>
      <c r="V116" s="41"/>
      <c r="W116" s="41"/>
      <c r="X116" s="41"/>
      <c r="Y116" s="42"/>
      <c r="Z116" s="50"/>
      <c r="AA116" s="50"/>
      <c r="AC116" s="22" t="str">
        <f t="shared" si="28"/>
        <v>·</v>
      </c>
      <c r="AD116" s="23" t="str">
        <f t="shared" si="29"/>
        <v>·</v>
      </c>
      <c r="AE116" s="23" t="str">
        <f t="shared" si="30"/>
        <v>·</v>
      </c>
      <c r="AF116" s="23" t="str">
        <f t="shared" si="31"/>
        <v>·</v>
      </c>
      <c r="AG116" s="24"/>
      <c r="AH116" s="23" t="str">
        <f t="shared" si="32"/>
        <v>·</v>
      </c>
      <c r="AI116" s="25"/>
      <c r="AJ116" s="26"/>
      <c r="AK116" s="26"/>
      <c r="AL116" s="26"/>
      <c r="AM116" s="40"/>
      <c r="AN116" s="41"/>
      <c r="AO116" s="41"/>
      <c r="AP116" s="41"/>
      <c r="AQ116" s="41"/>
      <c r="AR116" s="41"/>
      <c r="AS116" s="42"/>
      <c r="AT116" s="50"/>
      <c r="AU116" s="50"/>
      <c r="AW116" s="55" t="e">
        <f t="shared" si="33"/>
        <v>#DIV/0!</v>
      </c>
      <c r="AX116" s="55"/>
      <c r="AZ116" s="56"/>
      <c r="BA116" s="56"/>
      <c r="BB116" s="56"/>
      <c r="BC116" s="56"/>
      <c r="BD116" s="56"/>
      <c r="BE116" s="62"/>
      <c r="BG116" s="56"/>
      <c r="BH116" s="56"/>
      <c r="BI116" s="56"/>
      <c r="BJ116" s="56"/>
      <c r="BK116" s="56"/>
      <c r="BL116" s="62"/>
      <c r="BN116">
        <f t="shared" si="34"/>
        <v>0</v>
      </c>
      <c r="BO116">
        <f t="shared" si="35"/>
        <v>0</v>
      </c>
      <c r="BP116">
        <f t="shared" si="36"/>
        <v>0</v>
      </c>
      <c r="BQ116">
        <f t="shared" si="37"/>
        <v>0</v>
      </c>
      <c r="BR116">
        <f t="shared" si="38"/>
        <v>0</v>
      </c>
      <c r="BS116">
        <f t="shared" si="39"/>
        <v>0</v>
      </c>
      <c r="BT116">
        <f t="shared" si="40"/>
        <v>0</v>
      </c>
      <c r="BU116">
        <f t="shared" si="41"/>
        <v>0</v>
      </c>
      <c r="BV116">
        <f t="shared" si="42"/>
        <v>0</v>
      </c>
      <c r="BW116">
        <f t="shared" si="43"/>
        <v>0</v>
      </c>
      <c r="BX116">
        <f t="shared" si="44"/>
        <v>0</v>
      </c>
    </row>
    <row r="117" spans="1:76" outlineLevel="1" x14ac:dyDescent="0.15">
      <c r="A117" s="5"/>
      <c r="B117" s="5" t="s">
        <v>114</v>
      </c>
      <c r="C117" s="6" t="s">
        <v>258</v>
      </c>
      <c r="D117" s="5">
        <v>4001754</v>
      </c>
      <c r="E117" s="7">
        <v>12</v>
      </c>
      <c r="F117" s="6">
        <v>1</v>
      </c>
      <c r="G117" s="6"/>
      <c r="I117" s="17" t="str">
        <f t="shared" si="23"/>
        <v>·</v>
      </c>
      <c r="J117" s="18" t="str">
        <f t="shared" si="24"/>
        <v>·</v>
      </c>
      <c r="K117" s="18" t="str">
        <f t="shared" si="25"/>
        <v>·</v>
      </c>
      <c r="L117" s="18" t="str">
        <f t="shared" si="26"/>
        <v>·</v>
      </c>
      <c r="M117" s="19"/>
      <c r="N117" s="18" t="str">
        <f t="shared" si="27"/>
        <v>·</v>
      </c>
      <c r="O117" s="20"/>
      <c r="P117" s="21"/>
      <c r="Q117" s="21"/>
      <c r="R117" s="21"/>
      <c r="S117" s="37"/>
      <c r="T117" s="38"/>
      <c r="U117" s="38"/>
      <c r="V117" s="38"/>
      <c r="W117" s="38"/>
      <c r="X117" s="38"/>
      <c r="Y117" s="39"/>
      <c r="Z117" s="49"/>
      <c r="AA117" s="49"/>
      <c r="AC117" s="17" t="str">
        <f t="shared" si="28"/>
        <v>·</v>
      </c>
      <c r="AD117" s="18" t="str">
        <f t="shared" si="29"/>
        <v>·</v>
      </c>
      <c r="AE117" s="18" t="str">
        <f t="shared" si="30"/>
        <v>·</v>
      </c>
      <c r="AF117" s="18" t="str">
        <f t="shared" si="31"/>
        <v>·</v>
      </c>
      <c r="AG117" s="19"/>
      <c r="AH117" s="18" t="str">
        <f t="shared" si="32"/>
        <v>·</v>
      </c>
      <c r="AI117" s="20"/>
      <c r="AJ117" s="21"/>
      <c r="AK117" s="21"/>
      <c r="AL117" s="21"/>
      <c r="AM117" s="37"/>
      <c r="AN117" s="38"/>
      <c r="AO117" s="38"/>
      <c r="AP117" s="38"/>
      <c r="AQ117" s="38"/>
      <c r="AR117" s="38"/>
      <c r="AS117" s="39"/>
      <c r="AT117" s="49"/>
      <c r="AU117" s="49"/>
      <c r="AW117" s="53" t="e">
        <f t="shared" si="33"/>
        <v>#DIV/0!</v>
      </c>
      <c r="AX117" s="53"/>
      <c r="AZ117" s="54"/>
      <c r="BA117" s="54"/>
      <c r="BB117" s="54"/>
      <c r="BC117" s="54"/>
      <c r="BD117" s="54"/>
      <c r="BE117" s="61"/>
      <c r="BG117" s="54"/>
      <c r="BH117" s="54"/>
      <c r="BI117" s="54"/>
      <c r="BJ117" s="54"/>
      <c r="BK117" s="54"/>
      <c r="BL117" s="61"/>
      <c r="BN117">
        <f t="shared" si="34"/>
        <v>0</v>
      </c>
      <c r="BO117">
        <f t="shared" si="35"/>
        <v>0</v>
      </c>
      <c r="BP117">
        <f t="shared" si="36"/>
        <v>0</v>
      </c>
      <c r="BQ117">
        <f t="shared" si="37"/>
        <v>0</v>
      </c>
      <c r="BR117">
        <f t="shared" si="38"/>
        <v>0</v>
      </c>
      <c r="BS117">
        <f t="shared" si="39"/>
        <v>0</v>
      </c>
      <c r="BT117">
        <f t="shared" si="40"/>
        <v>0</v>
      </c>
      <c r="BU117">
        <f t="shared" si="41"/>
        <v>0</v>
      </c>
      <c r="BV117">
        <f t="shared" si="42"/>
        <v>0</v>
      </c>
      <c r="BW117">
        <f t="shared" si="43"/>
        <v>0</v>
      </c>
      <c r="BX117">
        <f t="shared" si="44"/>
        <v>0</v>
      </c>
    </row>
    <row r="118" spans="1:76" outlineLevel="1" x14ac:dyDescent="0.15">
      <c r="A118" s="8"/>
      <c r="B118" s="14" t="s">
        <v>114</v>
      </c>
      <c r="C118" s="15" t="s">
        <v>259</v>
      </c>
      <c r="D118" s="14">
        <v>4001754</v>
      </c>
      <c r="E118" s="16">
        <v>12</v>
      </c>
      <c r="F118" s="15">
        <v>1</v>
      </c>
      <c r="G118" s="15"/>
      <c r="I118" s="32" t="str">
        <f t="shared" si="23"/>
        <v>·</v>
      </c>
      <c r="J118" s="33" t="str">
        <f t="shared" si="24"/>
        <v>·</v>
      </c>
      <c r="K118" s="33" t="str">
        <f t="shared" si="25"/>
        <v>·</v>
      </c>
      <c r="L118" s="33" t="str">
        <f t="shared" si="26"/>
        <v>·</v>
      </c>
      <c r="M118" s="34"/>
      <c r="N118" s="33" t="str">
        <f t="shared" si="27"/>
        <v>·</v>
      </c>
      <c r="O118" s="35"/>
      <c r="P118" s="36"/>
      <c r="Q118" s="36"/>
      <c r="R118" s="36"/>
      <c r="S118" s="46"/>
      <c r="T118" s="47"/>
      <c r="U118" s="47"/>
      <c r="V118" s="47"/>
      <c r="W118" s="47"/>
      <c r="X118" s="47"/>
      <c r="Y118" s="48"/>
      <c r="Z118" s="52"/>
      <c r="AA118" s="52"/>
      <c r="AC118" s="32" t="str">
        <f t="shared" si="28"/>
        <v>·</v>
      </c>
      <c r="AD118" s="33" t="str">
        <f t="shared" si="29"/>
        <v>·</v>
      </c>
      <c r="AE118" s="33" t="str">
        <f t="shared" si="30"/>
        <v>·</v>
      </c>
      <c r="AF118" s="33" t="str">
        <f t="shared" si="31"/>
        <v>·</v>
      </c>
      <c r="AG118" s="34"/>
      <c r="AH118" s="33" t="str">
        <f t="shared" si="32"/>
        <v>·</v>
      </c>
      <c r="AI118" s="35"/>
      <c r="AJ118" s="36"/>
      <c r="AK118" s="36"/>
      <c r="AL118" s="36"/>
      <c r="AM118" s="46"/>
      <c r="AN118" s="47"/>
      <c r="AO118" s="47"/>
      <c r="AP118" s="47"/>
      <c r="AQ118" s="47"/>
      <c r="AR118" s="47"/>
      <c r="AS118" s="48"/>
      <c r="AT118" s="52"/>
      <c r="AU118" s="52"/>
      <c r="AW118" s="59" t="e">
        <f t="shared" si="33"/>
        <v>#DIV/0!</v>
      </c>
      <c r="AX118" s="59"/>
      <c r="AZ118" s="60"/>
      <c r="BA118" s="60"/>
      <c r="BB118" s="60"/>
      <c r="BC118" s="60"/>
      <c r="BD118" s="60"/>
      <c r="BE118" s="64"/>
      <c r="BG118" s="60"/>
      <c r="BH118" s="60"/>
      <c r="BI118" s="60"/>
      <c r="BJ118" s="60"/>
      <c r="BK118" s="60"/>
      <c r="BL118" s="64"/>
      <c r="BN118">
        <f t="shared" si="34"/>
        <v>0</v>
      </c>
      <c r="BO118">
        <f t="shared" si="35"/>
        <v>0</v>
      </c>
      <c r="BP118">
        <f t="shared" si="36"/>
        <v>0</v>
      </c>
      <c r="BQ118">
        <f t="shared" si="37"/>
        <v>0</v>
      </c>
      <c r="BR118">
        <f t="shared" si="38"/>
        <v>0</v>
      </c>
      <c r="BS118">
        <f t="shared" si="39"/>
        <v>0</v>
      </c>
      <c r="BT118">
        <f t="shared" si="40"/>
        <v>0</v>
      </c>
      <c r="BU118">
        <f t="shared" si="41"/>
        <v>0</v>
      </c>
      <c r="BV118">
        <f t="shared" si="42"/>
        <v>0</v>
      </c>
      <c r="BW118">
        <f t="shared" si="43"/>
        <v>0</v>
      </c>
      <c r="BX118">
        <f t="shared" si="44"/>
        <v>0</v>
      </c>
    </row>
    <row r="119" spans="1:76" x14ac:dyDescent="0.15">
      <c r="A119" s="5"/>
      <c r="B119" s="5" t="s">
        <v>116</v>
      </c>
      <c r="C119" s="6" t="s">
        <v>254</v>
      </c>
      <c r="D119" s="5">
        <v>1089091</v>
      </c>
      <c r="E119" s="7">
        <v>10</v>
      </c>
      <c r="F119" s="6">
        <v>1</v>
      </c>
      <c r="G119" s="6"/>
      <c r="I119" s="17" t="str">
        <f t="shared" si="23"/>
        <v>·</v>
      </c>
      <c r="J119" s="18" t="str">
        <f t="shared" si="24"/>
        <v>·</v>
      </c>
      <c r="K119" s="18" t="str">
        <f t="shared" si="25"/>
        <v>·</v>
      </c>
      <c r="L119" s="18" t="str">
        <f t="shared" si="26"/>
        <v>·</v>
      </c>
      <c r="M119" s="19"/>
      <c r="N119" s="18" t="str">
        <f t="shared" si="27"/>
        <v>·</v>
      </c>
      <c r="O119" s="20"/>
      <c r="P119" s="21"/>
      <c r="Q119" s="21"/>
      <c r="R119" s="21"/>
      <c r="S119" s="37"/>
      <c r="T119" s="38"/>
      <c r="U119" s="38"/>
      <c r="V119" s="38"/>
      <c r="W119" s="38"/>
      <c r="X119" s="38"/>
      <c r="Y119" s="39"/>
      <c r="Z119" s="49"/>
      <c r="AA119" s="49"/>
      <c r="AC119" s="17" t="str">
        <f t="shared" si="28"/>
        <v>·</v>
      </c>
      <c r="AD119" s="18" t="str">
        <f t="shared" si="29"/>
        <v>·</v>
      </c>
      <c r="AE119" s="18" t="str">
        <f t="shared" si="30"/>
        <v>·</v>
      </c>
      <c r="AF119" s="18" t="str">
        <f t="shared" si="31"/>
        <v>·</v>
      </c>
      <c r="AG119" s="19"/>
      <c r="AH119" s="18" t="str">
        <f t="shared" si="32"/>
        <v>·</v>
      </c>
      <c r="AI119" s="20"/>
      <c r="AJ119" s="21"/>
      <c r="AK119" s="21"/>
      <c r="AL119" s="21"/>
      <c r="AM119" s="37"/>
      <c r="AN119" s="38"/>
      <c r="AO119" s="38"/>
      <c r="AP119" s="38"/>
      <c r="AQ119" s="38"/>
      <c r="AR119" s="38"/>
      <c r="AS119" s="39"/>
      <c r="AT119" s="49"/>
      <c r="AU119" s="49"/>
      <c r="AW119" s="53" t="e">
        <f t="shared" si="33"/>
        <v>#DIV/0!</v>
      </c>
      <c r="AX119" s="53" t="e">
        <f t="array" ref="AX119">AVERAGE(AK119:AK124/AJ119:AJ124)-AVERAGE(Q119:Q124/P119:P124)</f>
        <v>#DIV/0!</v>
      </c>
      <c r="AZ119" s="54" t="str">
        <f>IF(OR(ISBLANK(Q119:Q124),ISBLANK(AK119:AK124),ISBLANK(T119:T124),ISBLANK(AN119:AN124)),"·",bdRateExtend(Q119:Q124,T119:T124,AK119:AK124,AN119:AN124))</f>
        <v>·</v>
      </c>
      <c r="BA119" s="54" t="str">
        <f>IF(OR(ISBLANK(Q119:Q124),ISBLANK(AK119:AK124),ISBLANK(U119:U124),ISBLANK(AO119:AO124)),"·",bdRateExtend(Q119:Q124,U119:U124,AK119:AK124,AO119:AO124))</f>
        <v>·</v>
      </c>
      <c r="BB119" s="54" t="str">
        <f>IF(OR(ISBLANK(R119:R124),ISBLANK(AL119:AL124),ISBLANK(V119:V124),ISBLANK(AP119:AP124)),"·",bdRateExtend(R119:R124,V119:V124,AL119:AL124,AP119:AP124))</f>
        <v>·</v>
      </c>
      <c r="BC119" s="54" t="str">
        <f>IF(OR(ISBLANK(R119:R124),ISBLANK(AL119:AL124),ISBLANK(W119:W124),ISBLANK(AQ119:AQ124)),"·",bdRateExtend(R119:R124,W119:W124,AL119:AL124,AQ119:AQ124))</f>
        <v>·</v>
      </c>
      <c r="BD119" s="54" t="str">
        <f>IF(OR(ISBLANK(R119:R124),ISBLANK(AL119:AL124),ISBLANK(X119:X124),ISBLANK(AR119:AR124)),"·",bdRateExtend(R119:R124,X119:X124,AL119:AL124,AR119:AR124))</f>
        <v>·</v>
      </c>
      <c r="BE119" s="61"/>
      <c r="BG119" s="54" t="str">
        <f>IF(OR(ISBLANK(P119:P124),ISBLANK(AJ119:AJ124),ISBLANK(T119:T124),ISBLANK(AN119:AN124)),"·",bdRateExtend(P119:P124,T119:T124,AJ119:AJ124,AN119:AN124))</f>
        <v>·</v>
      </c>
      <c r="BH119" s="54" t="str">
        <f>IF(OR(ISBLANK(P119:P124),ISBLANK(AJ119:AJ124),ISBLANK(U119:U124),ISBLANK(AO119:AO124)),"·",bdRateExtend(P119:P124,U119:U124,AJ119:AJ124,AO119:AO124))</f>
        <v>·</v>
      </c>
      <c r="BI119" s="54" t="str">
        <f>IF(OR(ISBLANK(P119:P124),ISBLANK(AJ119:AJ124),ISBLANK(V119:V124),ISBLANK(AP119:AP124)),"·",bdRateExtend(P119:P124,V119:V124,AJ119:AJ124,AP119:AP124))</f>
        <v>·</v>
      </c>
      <c r="BJ119" s="54" t="str">
        <f>IF(OR(ISBLANK(P119:P124),ISBLANK(AJ119:AJ124),ISBLANK(W119:W124),ISBLANK(AQ119:AQ124)),"·",bdRateExtend(P119:P124,W119:W124,AJ119:AJ124,AQ119:AQ124))</f>
        <v>·</v>
      </c>
      <c r="BK119" s="54" t="str">
        <f>IF(OR(ISBLANK(P119:P124),ISBLANK(AJ119:AJ124),ISBLANK(X119:X124),ISBLANK(AR119:AR124)),"·",bdRateExtend(P119:P124,X119:X124,AJ119:AJ124,AR119:AR124))</f>
        <v>·</v>
      </c>
      <c r="BL119" s="61"/>
      <c r="BN119">
        <f t="shared" si="34"/>
        <v>0</v>
      </c>
      <c r="BO119">
        <f t="shared" si="35"/>
        <v>0</v>
      </c>
      <c r="BP119">
        <f t="shared" si="36"/>
        <v>0</v>
      </c>
      <c r="BQ119">
        <f t="shared" si="37"/>
        <v>0</v>
      </c>
      <c r="BR119">
        <f t="shared" si="38"/>
        <v>0</v>
      </c>
      <c r="BS119">
        <f t="shared" si="39"/>
        <v>0</v>
      </c>
      <c r="BT119">
        <f t="shared" si="40"/>
        <v>0</v>
      </c>
      <c r="BU119">
        <f t="shared" si="41"/>
        <v>0</v>
      </c>
      <c r="BV119">
        <f t="shared" si="42"/>
        <v>0</v>
      </c>
      <c r="BW119">
        <f t="shared" si="43"/>
        <v>0</v>
      </c>
      <c r="BX119">
        <f t="shared" si="44"/>
        <v>0</v>
      </c>
    </row>
    <row r="120" spans="1:76" outlineLevel="1" x14ac:dyDescent="0.15">
      <c r="A120" s="8"/>
      <c r="B120" s="8" t="s">
        <v>116</v>
      </c>
      <c r="C120" s="9" t="s">
        <v>255</v>
      </c>
      <c r="D120" s="8">
        <v>1089091</v>
      </c>
      <c r="E120" s="10">
        <v>10</v>
      </c>
      <c r="F120" s="9">
        <v>1</v>
      </c>
      <c r="G120" s="9"/>
      <c r="I120" s="22" t="str">
        <f t="shared" si="23"/>
        <v>·</v>
      </c>
      <c r="J120" s="23" t="str">
        <f t="shared" si="24"/>
        <v>·</v>
      </c>
      <c r="K120" s="23" t="str">
        <f t="shared" si="25"/>
        <v>·</v>
      </c>
      <c r="L120" s="23" t="str">
        <f t="shared" si="26"/>
        <v>·</v>
      </c>
      <c r="M120" s="24"/>
      <c r="N120" s="23" t="str">
        <f t="shared" si="27"/>
        <v>·</v>
      </c>
      <c r="O120" s="25"/>
      <c r="P120" s="26"/>
      <c r="Q120" s="26"/>
      <c r="R120" s="26"/>
      <c r="S120" s="40"/>
      <c r="T120" s="41"/>
      <c r="U120" s="41"/>
      <c r="V120" s="41"/>
      <c r="W120" s="41"/>
      <c r="X120" s="41"/>
      <c r="Y120" s="42"/>
      <c r="Z120" s="50"/>
      <c r="AA120" s="50"/>
      <c r="AC120" s="22" t="str">
        <f t="shared" si="28"/>
        <v>·</v>
      </c>
      <c r="AD120" s="23" t="str">
        <f t="shared" si="29"/>
        <v>·</v>
      </c>
      <c r="AE120" s="23" t="str">
        <f t="shared" si="30"/>
        <v>·</v>
      </c>
      <c r="AF120" s="23" t="str">
        <f t="shared" si="31"/>
        <v>·</v>
      </c>
      <c r="AG120" s="24"/>
      <c r="AH120" s="23" t="str">
        <f t="shared" si="32"/>
        <v>·</v>
      </c>
      <c r="AI120" s="25"/>
      <c r="AJ120" s="26"/>
      <c r="AK120" s="26"/>
      <c r="AL120" s="26"/>
      <c r="AM120" s="40"/>
      <c r="AN120" s="41"/>
      <c r="AO120" s="41"/>
      <c r="AP120" s="41"/>
      <c r="AQ120" s="41"/>
      <c r="AR120" s="41"/>
      <c r="AS120" s="42"/>
      <c r="AT120" s="50"/>
      <c r="AU120" s="50"/>
      <c r="AW120" s="55" t="e">
        <f t="shared" si="33"/>
        <v>#DIV/0!</v>
      </c>
      <c r="AX120" s="55"/>
      <c r="AZ120" s="56"/>
      <c r="BA120" s="56"/>
      <c r="BB120" s="56"/>
      <c r="BC120" s="56"/>
      <c r="BD120" s="56"/>
      <c r="BE120" s="62"/>
      <c r="BG120" s="56"/>
      <c r="BH120" s="56"/>
      <c r="BI120" s="56"/>
      <c r="BJ120" s="56"/>
      <c r="BK120" s="56"/>
      <c r="BL120" s="62"/>
      <c r="BN120">
        <f t="shared" si="34"/>
        <v>0</v>
      </c>
      <c r="BO120">
        <f t="shared" si="35"/>
        <v>0</v>
      </c>
      <c r="BP120">
        <f t="shared" si="36"/>
        <v>0</v>
      </c>
      <c r="BQ120">
        <f t="shared" si="37"/>
        <v>0</v>
      </c>
      <c r="BR120">
        <f t="shared" si="38"/>
        <v>0</v>
      </c>
      <c r="BS120">
        <f t="shared" si="39"/>
        <v>0</v>
      </c>
      <c r="BT120">
        <f t="shared" si="40"/>
        <v>0</v>
      </c>
      <c r="BU120">
        <f t="shared" si="41"/>
        <v>0</v>
      </c>
      <c r="BV120">
        <f t="shared" si="42"/>
        <v>0</v>
      </c>
      <c r="BW120">
        <f t="shared" si="43"/>
        <v>0</v>
      </c>
      <c r="BX120">
        <f t="shared" si="44"/>
        <v>0</v>
      </c>
    </row>
    <row r="121" spans="1:76" outlineLevel="1" x14ac:dyDescent="0.15">
      <c r="A121" s="5"/>
      <c r="B121" s="5" t="s">
        <v>116</v>
      </c>
      <c r="C121" s="6" t="s">
        <v>256</v>
      </c>
      <c r="D121" s="5">
        <v>1089091</v>
      </c>
      <c r="E121" s="7">
        <v>10</v>
      </c>
      <c r="F121" s="6">
        <v>1</v>
      </c>
      <c r="G121" s="6"/>
      <c r="I121" s="17" t="str">
        <f t="shared" si="23"/>
        <v>·</v>
      </c>
      <c r="J121" s="18" t="str">
        <f t="shared" si="24"/>
        <v>·</v>
      </c>
      <c r="K121" s="18" t="str">
        <f t="shared" si="25"/>
        <v>·</v>
      </c>
      <c r="L121" s="18" t="str">
        <f t="shared" si="26"/>
        <v>·</v>
      </c>
      <c r="M121" s="19"/>
      <c r="N121" s="18" t="str">
        <f t="shared" si="27"/>
        <v>·</v>
      </c>
      <c r="O121" s="20"/>
      <c r="P121" s="21"/>
      <c r="Q121" s="21"/>
      <c r="R121" s="21"/>
      <c r="S121" s="37"/>
      <c r="T121" s="38"/>
      <c r="U121" s="38"/>
      <c r="V121" s="38"/>
      <c r="W121" s="38"/>
      <c r="X121" s="38"/>
      <c r="Y121" s="39"/>
      <c r="Z121" s="49"/>
      <c r="AA121" s="49"/>
      <c r="AC121" s="17" t="str">
        <f t="shared" si="28"/>
        <v>·</v>
      </c>
      <c r="AD121" s="18" t="str">
        <f t="shared" si="29"/>
        <v>·</v>
      </c>
      <c r="AE121" s="18" t="str">
        <f t="shared" si="30"/>
        <v>·</v>
      </c>
      <c r="AF121" s="18" t="str">
        <f t="shared" si="31"/>
        <v>·</v>
      </c>
      <c r="AG121" s="19"/>
      <c r="AH121" s="18" t="str">
        <f t="shared" si="32"/>
        <v>·</v>
      </c>
      <c r="AI121" s="20"/>
      <c r="AJ121" s="21"/>
      <c r="AK121" s="21"/>
      <c r="AL121" s="21"/>
      <c r="AM121" s="37"/>
      <c r="AN121" s="38"/>
      <c r="AO121" s="38"/>
      <c r="AP121" s="38"/>
      <c r="AQ121" s="38"/>
      <c r="AR121" s="38"/>
      <c r="AS121" s="39"/>
      <c r="AT121" s="49"/>
      <c r="AU121" s="49"/>
      <c r="AW121" s="53" t="e">
        <f t="shared" si="33"/>
        <v>#DIV/0!</v>
      </c>
      <c r="AX121" s="53"/>
      <c r="AZ121" s="54"/>
      <c r="BA121" s="54"/>
      <c r="BB121" s="54"/>
      <c r="BC121" s="54"/>
      <c r="BD121" s="54"/>
      <c r="BE121" s="61"/>
      <c r="BG121" s="54"/>
      <c r="BH121" s="54"/>
      <c r="BI121" s="54"/>
      <c r="BJ121" s="54"/>
      <c r="BK121" s="54"/>
      <c r="BL121" s="61"/>
      <c r="BN121">
        <f t="shared" si="34"/>
        <v>0</v>
      </c>
      <c r="BO121">
        <f t="shared" si="35"/>
        <v>0</v>
      </c>
      <c r="BP121">
        <f t="shared" si="36"/>
        <v>0</v>
      </c>
      <c r="BQ121">
        <f t="shared" si="37"/>
        <v>0</v>
      </c>
      <c r="BR121">
        <f t="shared" si="38"/>
        <v>0</v>
      </c>
      <c r="BS121">
        <f t="shared" si="39"/>
        <v>0</v>
      </c>
      <c r="BT121">
        <f t="shared" si="40"/>
        <v>0</v>
      </c>
      <c r="BU121">
        <f t="shared" si="41"/>
        <v>0</v>
      </c>
      <c r="BV121">
        <f t="shared" si="42"/>
        <v>0</v>
      </c>
      <c r="BW121">
        <f t="shared" si="43"/>
        <v>0</v>
      </c>
      <c r="BX121">
        <f t="shared" si="44"/>
        <v>0</v>
      </c>
    </row>
    <row r="122" spans="1:76" outlineLevel="1" x14ac:dyDescent="0.15">
      <c r="A122" s="8"/>
      <c r="B122" s="8" t="s">
        <v>116</v>
      </c>
      <c r="C122" s="9" t="s">
        <v>257</v>
      </c>
      <c r="D122" s="8">
        <v>1089091</v>
      </c>
      <c r="E122" s="10">
        <v>10</v>
      </c>
      <c r="F122" s="9">
        <v>1</v>
      </c>
      <c r="G122" s="9"/>
      <c r="I122" s="22" t="str">
        <f t="shared" si="23"/>
        <v>·</v>
      </c>
      <c r="J122" s="23" t="str">
        <f t="shared" si="24"/>
        <v>·</v>
      </c>
      <c r="K122" s="23" t="str">
        <f t="shared" si="25"/>
        <v>·</v>
      </c>
      <c r="L122" s="23" t="str">
        <f t="shared" si="26"/>
        <v>·</v>
      </c>
      <c r="M122" s="24"/>
      <c r="N122" s="23" t="str">
        <f t="shared" si="27"/>
        <v>·</v>
      </c>
      <c r="O122" s="25"/>
      <c r="P122" s="26"/>
      <c r="Q122" s="26"/>
      <c r="R122" s="26"/>
      <c r="S122" s="40"/>
      <c r="T122" s="41"/>
      <c r="U122" s="41"/>
      <c r="V122" s="41"/>
      <c r="W122" s="41"/>
      <c r="X122" s="41"/>
      <c r="Y122" s="42"/>
      <c r="Z122" s="50"/>
      <c r="AA122" s="50"/>
      <c r="AC122" s="22" t="str">
        <f t="shared" si="28"/>
        <v>·</v>
      </c>
      <c r="AD122" s="23" t="str">
        <f t="shared" si="29"/>
        <v>·</v>
      </c>
      <c r="AE122" s="23" t="str">
        <f t="shared" si="30"/>
        <v>·</v>
      </c>
      <c r="AF122" s="23" t="str">
        <f t="shared" si="31"/>
        <v>·</v>
      </c>
      <c r="AG122" s="24"/>
      <c r="AH122" s="23" t="str">
        <f t="shared" si="32"/>
        <v>·</v>
      </c>
      <c r="AI122" s="25"/>
      <c r="AJ122" s="26"/>
      <c r="AK122" s="26"/>
      <c r="AL122" s="26"/>
      <c r="AM122" s="40"/>
      <c r="AN122" s="41"/>
      <c r="AO122" s="41"/>
      <c r="AP122" s="41"/>
      <c r="AQ122" s="41"/>
      <c r="AR122" s="41"/>
      <c r="AS122" s="42"/>
      <c r="AT122" s="50"/>
      <c r="AU122" s="50"/>
      <c r="AW122" s="55" t="e">
        <f t="shared" si="33"/>
        <v>#DIV/0!</v>
      </c>
      <c r="AX122" s="55"/>
      <c r="AZ122" s="56"/>
      <c r="BA122" s="56"/>
      <c r="BB122" s="56"/>
      <c r="BC122" s="56"/>
      <c r="BD122" s="56"/>
      <c r="BE122" s="62"/>
      <c r="BG122" s="56"/>
      <c r="BH122" s="56"/>
      <c r="BI122" s="56"/>
      <c r="BJ122" s="56"/>
      <c r="BK122" s="56"/>
      <c r="BL122" s="62"/>
      <c r="BN122">
        <f t="shared" si="34"/>
        <v>0</v>
      </c>
      <c r="BO122">
        <f t="shared" si="35"/>
        <v>0</v>
      </c>
      <c r="BP122">
        <f t="shared" si="36"/>
        <v>0</v>
      </c>
      <c r="BQ122">
        <f t="shared" si="37"/>
        <v>0</v>
      </c>
      <c r="BR122">
        <f t="shared" si="38"/>
        <v>0</v>
      </c>
      <c r="BS122">
        <f t="shared" si="39"/>
        <v>0</v>
      </c>
      <c r="BT122">
        <f t="shared" si="40"/>
        <v>0</v>
      </c>
      <c r="BU122">
        <f t="shared" si="41"/>
        <v>0</v>
      </c>
      <c r="BV122">
        <f t="shared" si="42"/>
        <v>0</v>
      </c>
      <c r="BW122">
        <f t="shared" si="43"/>
        <v>0</v>
      </c>
      <c r="BX122">
        <f t="shared" si="44"/>
        <v>0</v>
      </c>
    </row>
    <row r="123" spans="1:76" outlineLevel="1" x14ac:dyDescent="0.15">
      <c r="A123" s="5"/>
      <c r="B123" s="5" t="s">
        <v>116</v>
      </c>
      <c r="C123" s="6" t="s">
        <v>258</v>
      </c>
      <c r="D123" s="5">
        <v>1089091</v>
      </c>
      <c r="E123" s="7">
        <v>10</v>
      </c>
      <c r="F123" s="6">
        <v>1</v>
      </c>
      <c r="G123" s="6"/>
      <c r="I123" s="17" t="str">
        <f t="shared" si="23"/>
        <v>·</v>
      </c>
      <c r="J123" s="18" t="str">
        <f t="shared" si="24"/>
        <v>·</v>
      </c>
      <c r="K123" s="18" t="str">
        <f t="shared" si="25"/>
        <v>·</v>
      </c>
      <c r="L123" s="18" t="str">
        <f t="shared" si="26"/>
        <v>·</v>
      </c>
      <c r="M123" s="19"/>
      <c r="N123" s="18" t="str">
        <f t="shared" si="27"/>
        <v>·</v>
      </c>
      <c r="O123" s="20"/>
      <c r="P123" s="21"/>
      <c r="Q123" s="21"/>
      <c r="R123" s="21"/>
      <c r="S123" s="37"/>
      <c r="T123" s="38"/>
      <c r="U123" s="38"/>
      <c r="V123" s="38"/>
      <c r="W123" s="38"/>
      <c r="X123" s="38"/>
      <c r="Y123" s="39"/>
      <c r="Z123" s="49"/>
      <c r="AA123" s="49"/>
      <c r="AC123" s="17" t="str">
        <f t="shared" si="28"/>
        <v>·</v>
      </c>
      <c r="AD123" s="18" t="str">
        <f t="shared" si="29"/>
        <v>·</v>
      </c>
      <c r="AE123" s="18" t="str">
        <f t="shared" si="30"/>
        <v>·</v>
      </c>
      <c r="AF123" s="18" t="str">
        <f t="shared" si="31"/>
        <v>·</v>
      </c>
      <c r="AG123" s="19"/>
      <c r="AH123" s="18" t="str">
        <f t="shared" si="32"/>
        <v>·</v>
      </c>
      <c r="AI123" s="20"/>
      <c r="AJ123" s="21"/>
      <c r="AK123" s="21"/>
      <c r="AL123" s="21"/>
      <c r="AM123" s="37"/>
      <c r="AN123" s="38"/>
      <c r="AO123" s="38"/>
      <c r="AP123" s="38"/>
      <c r="AQ123" s="38"/>
      <c r="AR123" s="38"/>
      <c r="AS123" s="39"/>
      <c r="AT123" s="49"/>
      <c r="AU123" s="49"/>
      <c r="AW123" s="53" t="e">
        <f t="shared" si="33"/>
        <v>#DIV/0!</v>
      </c>
      <c r="AX123" s="53"/>
      <c r="AZ123" s="54"/>
      <c r="BA123" s="54"/>
      <c r="BB123" s="54"/>
      <c r="BC123" s="54"/>
      <c r="BD123" s="54"/>
      <c r="BE123" s="61"/>
      <c r="BG123" s="54"/>
      <c r="BH123" s="54"/>
      <c r="BI123" s="54"/>
      <c r="BJ123" s="54"/>
      <c r="BK123" s="54"/>
      <c r="BL123" s="61"/>
      <c r="BN123">
        <f t="shared" si="34"/>
        <v>0</v>
      </c>
      <c r="BO123">
        <f t="shared" si="35"/>
        <v>0</v>
      </c>
      <c r="BP123">
        <f t="shared" si="36"/>
        <v>0</v>
      </c>
      <c r="BQ123">
        <f t="shared" si="37"/>
        <v>0</v>
      </c>
      <c r="BR123">
        <f t="shared" si="38"/>
        <v>0</v>
      </c>
      <c r="BS123">
        <f t="shared" si="39"/>
        <v>0</v>
      </c>
      <c r="BT123">
        <f t="shared" si="40"/>
        <v>0</v>
      </c>
      <c r="BU123">
        <f t="shared" si="41"/>
        <v>0</v>
      </c>
      <c r="BV123">
        <f t="shared" si="42"/>
        <v>0</v>
      </c>
      <c r="BW123">
        <f t="shared" si="43"/>
        <v>0</v>
      </c>
      <c r="BX123">
        <f t="shared" si="44"/>
        <v>0</v>
      </c>
    </row>
    <row r="124" spans="1:76" outlineLevel="1" x14ac:dyDescent="0.15">
      <c r="A124" s="8"/>
      <c r="B124" s="14" t="s">
        <v>116</v>
      </c>
      <c r="C124" s="15" t="s">
        <v>259</v>
      </c>
      <c r="D124" s="14">
        <v>1089091</v>
      </c>
      <c r="E124" s="16">
        <v>10</v>
      </c>
      <c r="F124" s="15">
        <v>1</v>
      </c>
      <c r="G124" s="15"/>
      <c r="I124" s="32" t="str">
        <f t="shared" si="23"/>
        <v>·</v>
      </c>
      <c r="J124" s="33" t="str">
        <f t="shared" si="24"/>
        <v>·</v>
      </c>
      <c r="K124" s="33" t="str">
        <f t="shared" si="25"/>
        <v>·</v>
      </c>
      <c r="L124" s="33" t="str">
        <f t="shared" si="26"/>
        <v>·</v>
      </c>
      <c r="M124" s="34"/>
      <c r="N124" s="33" t="str">
        <f t="shared" si="27"/>
        <v>·</v>
      </c>
      <c r="O124" s="35"/>
      <c r="P124" s="36"/>
      <c r="Q124" s="36"/>
      <c r="R124" s="36"/>
      <c r="S124" s="46"/>
      <c r="T124" s="47"/>
      <c r="U124" s="47"/>
      <c r="V124" s="47"/>
      <c r="W124" s="47"/>
      <c r="X124" s="47"/>
      <c r="Y124" s="48"/>
      <c r="Z124" s="52"/>
      <c r="AA124" s="52"/>
      <c r="AC124" s="32" t="str">
        <f t="shared" si="28"/>
        <v>·</v>
      </c>
      <c r="AD124" s="33" t="str">
        <f t="shared" si="29"/>
        <v>·</v>
      </c>
      <c r="AE124" s="33" t="str">
        <f t="shared" si="30"/>
        <v>·</v>
      </c>
      <c r="AF124" s="33" t="str">
        <f t="shared" si="31"/>
        <v>·</v>
      </c>
      <c r="AG124" s="34"/>
      <c r="AH124" s="33" t="str">
        <f t="shared" si="32"/>
        <v>·</v>
      </c>
      <c r="AI124" s="35"/>
      <c r="AJ124" s="36"/>
      <c r="AK124" s="36"/>
      <c r="AL124" s="36"/>
      <c r="AM124" s="46"/>
      <c r="AN124" s="47"/>
      <c r="AO124" s="47"/>
      <c r="AP124" s="47"/>
      <c r="AQ124" s="47"/>
      <c r="AR124" s="47"/>
      <c r="AS124" s="48"/>
      <c r="AT124" s="52"/>
      <c r="AU124" s="52"/>
      <c r="AW124" s="59" t="e">
        <f t="shared" si="33"/>
        <v>#DIV/0!</v>
      </c>
      <c r="AX124" s="59"/>
      <c r="AZ124" s="60"/>
      <c r="BA124" s="60"/>
      <c r="BB124" s="60"/>
      <c r="BC124" s="60"/>
      <c r="BD124" s="60"/>
      <c r="BE124" s="64"/>
      <c r="BG124" s="60"/>
      <c r="BH124" s="60"/>
      <c r="BI124" s="60"/>
      <c r="BJ124" s="60"/>
      <c r="BK124" s="60"/>
      <c r="BL124" s="64"/>
      <c r="BN124">
        <f t="shared" si="34"/>
        <v>0</v>
      </c>
      <c r="BO124">
        <f t="shared" si="35"/>
        <v>0</v>
      </c>
      <c r="BP124">
        <f t="shared" si="36"/>
        <v>0</v>
      </c>
      <c r="BQ124">
        <f t="shared" si="37"/>
        <v>0</v>
      </c>
      <c r="BR124">
        <f t="shared" si="38"/>
        <v>0</v>
      </c>
      <c r="BS124">
        <f t="shared" si="39"/>
        <v>0</v>
      </c>
      <c r="BT124">
        <f t="shared" si="40"/>
        <v>0</v>
      </c>
      <c r="BU124">
        <f t="shared" si="41"/>
        <v>0</v>
      </c>
      <c r="BV124">
        <f t="shared" si="42"/>
        <v>0</v>
      </c>
      <c r="BW124">
        <f t="shared" si="43"/>
        <v>0</v>
      </c>
      <c r="BX124">
        <f t="shared" si="44"/>
        <v>0</v>
      </c>
    </row>
    <row r="125" spans="1:76" x14ac:dyDescent="0.15">
      <c r="A125" s="5"/>
      <c r="B125" s="5" t="s">
        <v>119</v>
      </c>
      <c r="C125" s="6" t="s">
        <v>254</v>
      </c>
      <c r="D125" s="5">
        <v>3130215</v>
      </c>
      <c r="E125" s="7">
        <v>12</v>
      </c>
      <c r="F125" s="6">
        <v>1</v>
      </c>
      <c r="G125" s="6"/>
      <c r="I125" s="17" t="str">
        <f t="shared" si="23"/>
        <v>·</v>
      </c>
      <c r="J125" s="18" t="str">
        <f t="shared" si="24"/>
        <v>·</v>
      </c>
      <c r="K125" s="18" t="str">
        <f t="shared" si="25"/>
        <v>·</v>
      </c>
      <c r="L125" s="18" t="str">
        <f t="shared" si="26"/>
        <v>·</v>
      </c>
      <c r="M125" s="19"/>
      <c r="N125" s="18" t="str">
        <f t="shared" si="27"/>
        <v>·</v>
      </c>
      <c r="O125" s="20"/>
      <c r="P125" s="21"/>
      <c r="Q125" s="21"/>
      <c r="R125" s="21"/>
      <c r="S125" s="37"/>
      <c r="T125" s="38"/>
      <c r="U125" s="38"/>
      <c r="V125" s="38"/>
      <c r="W125" s="38"/>
      <c r="X125" s="38"/>
      <c r="Y125" s="39"/>
      <c r="Z125" s="49"/>
      <c r="AA125" s="49"/>
      <c r="AC125" s="17" t="str">
        <f t="shared" si="28"/>
        <v>·</v>
      </c>
      <c r="AD125" s="18" t="str">
        <f t="shared" si="29"/>
        <v>·</v>
      </c>
      <c r="AE125" s="18" t="str">
        <f t="shared" si="30"/>
        <v>·</v>
      </c>
      <c r="AF125" s="18" t="str">
        <f t="shared" si="31"/>
        <v>·</v>
      </c>
      <c r="AG125" s="19"/>
      <c r="AH125" s="18" t="str">
        <f t="shared" si="32"/>
        <v>·</v>
      </c>
      <c r="AI125" s="20"/>
      <c r="AJ125" s="21"/>
      <c r="AK125" s="21"/>
      <c r="AL125" s="21"/>
      <c r="AM125" s="37"/>
      <c r="AN125" s="38"/>
      <c r="AO125" s="38"/>
      <c r="AP125" s="38"/>
      <c r="AQ125" s="38"/>
      <c r="AR125" s="38"/>
      <c r="AS125" s="39"/>
      <c r="AT125" s="49"/>
      <c r="AU125" s="49"/>
      <c r="AW125" s="53" t="e">
        <f t="shared" si="33"/>
        <v>#DIV/0!</v>
      </c>
      <c r="AX125" s="53" t="e">
        <f t="array" ref="AX125">AVERAGE(AK125:AK130/AJ125:AJ130)-AVERAGE(Q125:Q130/P125:P130)</f>
        <v>#DIV/0!</v>
      </c>
      <c r="AZ125" s="54" t="str">
        <f>IF(OR(ISBLANK(Q125:Q130),ISBLANK(AK125:AK130),ISBLANK(T125:T130),ISBLANK(AN125:AN130)),"·",bdRateExtend(Q125:Q130,T125:T130,AK125:AK130,AN125:AN130))</f>
        <v>·</v>
      </c>
      <c r="BA125" s="54" t="str">
        <f>IF(OR(ISBLANK(Q125:Q130),ISBLANK(AK125:AK130),ISBLANK(U125:U130),ISBLANK(AO125:AO130)),"·",bdRateExtend(Q125:Q130,U125:U130,AK125:AK130,AO125:AO130))</f>
        <v>·</v>
      </c>
      <c r="BB125" s="54" t="str">
        <f>IF(OR(ISBLANK(R125:R130),ISBLANK(AL125:AL130),ISBLANK(V125:V130),ISBLANK(AP125:AP130)),"·",bdRateExtend(R125:R130,V125:V130,AL125:AL130,AP125:AP130))</f>
        <v>·</v>
      </c>
      <c r="BC125" s="54" t="str">
        <f>IF(OR(ISBLANK(R125:R130),ISBLANK(AL125:AL130),ISBLANK(W125:W130),ISBLANK(AQ125:AQ130)),"·",bdRateExtend(R125:R130,W125:W130,AL125:AL130,AQ125:AQ130))</f>
        <v>·</v>
      </c>
      <c r="BD125" s="54" t="str">
        <f>IF(OR(ISBLANK(R125:R130),ISBLANK(AL125:AL130),ISBLANK(X125:X130),ISBLANK(AR125:AR130)),"·",bdRateExtend(R125:R130,X125:X130,AL125:AL130,AR125:AR130))</f>
        <v>·</v>
      </c>
      <c r="BE125" s="61"/>
      <c r="BG125" s="54" t="str">
        <f>IF(OR(ISBLANK(P125:P130),ISBLANK(AJ125:AJ130),ISBLANK(T125:T130),ISBLANK(AN125:AN130)),"·",bdRateExtend(P125:P130,T125:T130,AJ125:AJ130,AN125:AN130))</f>
        <v>·</v>
      </c>
      <c r="BH125" s="54" t="str">
        <f>IF(OR(ISBLANK(P125:P130),ISBLANK(AJ125:AJ130),ISBLANK(U125:U130),ISBLANK(AO125:AO130)),"·",bdRateExtend(P125:P130,U125:U130,AJ125:AJ130,AO125:AO130))</f>
        <v>·</v>
      </c>
      <c r="BI125" s="54" t="str">
        <f>IF(OR(ISBLANK(P125:P130),ISBLANK(AJ125:AJ130),ISBLANK(V125:V130),ISBLANK(AP125:AP130)),"·",bdRateExtend(P125:P130,V125:V130,AJ125:AJ130,AP125:AP130))</f>
        <v>·</v>
      </c>
      <c r="BJ125" s="54" t="str">
        <f>IF(OR(ISBLANK(P125:P130),ISBLANK(AJ125:AJ130),ISBLANK(W125:W130),ISBLANK(AQ125:AQ130)),"·",bdRateExtend(P125:P130,W125:W130,AJ125:AJ130,AQ125:AQ130))</f>
        <v>·</v>
      </c>
      <c r="BK125" s="54" t="str">
        <f>IF(OR(ISBLANK(P125:P130),ISBLANK(AJ125:AJ130),ISBLANK(X125:X130),ISBLANK(AR125:AR130)),"·",bdRateExtend(P125:P130,X125:X130,AJ125:AJ130,AR125:AR130))</f>
        <v>·</v>
      </c>
      <c r="BL125" s="61"/>
      <c r="BN125">
        <f t="shared" si="34"/>
        <v>0</v>
      </c>
      <c r="BO125">
        <f t="shared" si="35"/>
        <v>0</v>
      </c>
      <c r="BP125">
        <f t="shared" si="36"/>
        <v>0</v>
      </c>
      <c r="BQ125">
        <f t="shared" si="37"/>
        <v>0</v>
      </c>
      <c r="BR125">
        <f t="shared" si="38"/>
        <v>0</v>
      </c>
      <c r="BS125">
        <f t="shared" si="39"/>
        <v>0</v>
      </c>
      <c r="BT125">
        <f t="shared" si="40"/>
        <v>0</v>
      </c>
      <c r="BU125">
        <f t="shared" si="41"/>
        <v>0</v>
      </c>
      <c r="BV125">
        <f t="shared" si="42"/>
        <v>0</v>
      </c>
      <c r="BW125">
        <f t="shared" si="43"/>
        <v>0</v>
      </c>
      <c r="BX125">
        <f t="shared" si="44"/>
        <v>0</v>
      </c>
    </row>
    <row r="126" spans="1:76" outlineLevel="1" x14ac:dyDescent="0.15">
      <c r="A126" s="8"/>
      <c r="B126" s="8" t="s">
        <v>119</v>
      </c>
      <c r="C126" s="9" t="s">
        <v>255</v>
      </c>
      <c r="D126" s="8">
        <v>3130215</v>
      </c>
      <c r="E126" s="10">
        <v>12</v>
      </c>
      <c r="F126" s="9">
        <v>1</v>
      </c>
      <c r="G126" s="9"/>
      <c r="I126" s="22" t="str">
        <f t="shared" si="23"/>
        <v>·</v>
      </c>
      <c r="J126" s="23" t="str">
        <f t="shared" si="24"/>
        <v>·</v>
      </c>
      <c r="K126" s="23" t="str">
        <f t="shared" si="25"/>
        <v>·</v>
      </c>
      <c r="L126" s="23" t="str">
        <f t="shared" si="26"/>
        <v>·</v>
      </c>
      <c r="M126" s="24"/>
      <c r="N126" s="23" t="str">
        <f t="shared" si="27"/>
        <v>·</v>
      </c>
      <c r="O126" s="25"/>
      <c r="P126" s="26"/>
      <c r="Q126" s="26"/>
      <c r="R126" s="26"/>
      <c r="S126" s="40"/>
      <c r="T126" s="41"/>
      <c r="U126" s="41"/>
      <c r="V126" s="41"/>
      <c r="W126" s="41"/>
      <c r="X126" s="41"/>
      <c r="Y126" s="42"/>
      <c r="Z126" s="50"/>
      <c r="AA126" s="50"/>
      <c r="AC126" s="22" t="str">
        <f t="shared" si="28"/>
        <v>·</v>
      </c>
      <c r="AD126" s="23" t="str">
        <f t="shared" si="29"/>
        <v>·</v>
      </c>
      <c r="AE126" s="23" t="str">
        <f t="shared" si="30"/>
        <v>·</v>
      </c>
      <c r="AF126" s="23" t="str">
        <f t="shared" si="31"/>
        <v>·</v>
      </c>
      <c r="AG126" s="24"/>
      <c r="AH126" s="23" t="str">
        <f t="shared" si="32"/>
        <v>·</v>
      </c>
      <c r="AI126" s="25"/>
      <c r="AJ126" s="26"/>
      <c r="AK126" s="26"/>
      <c r="AL126" s="26"/>
      <c r="AM126" s="40"/>
      <c r="AN126" s="41"/>
      <c r="AO126" s="41"/>
      <c r="AP126" s="41"/>
      <c r="AQ126" s="41"/>
      <c r="AR126" s="41"/>
      <c r="AS126" s="42"/>
      <c r="AT126" s="50"/>
      <c r="AU126" s="50"/>
      <c r="AW126" s="55" t="e">
        <f t="shared" si="33"/>
        <v>#DIV/0!</v>
      </c>
      <c r="AX126" s="55"/>
      <c r="AZ126" s="56"/>
      <c r="BA126" s="56"/>
      <c r="BB126" s="56"/>
      <c r="BC126" s="56"/>
      <c r="BD126" s="56"/>
      <c r="BE126" s="62"/>
      <c r="BG126" s="56"/>
      <c r="BH126" s="56"/>
      <c r="BI126" s="56"/>
      <c r="BJ126" s="56"/>
      <c r="BK126" s="56"/>
      <c r="BL126" s="62"/>
      <c r="BN126">
        <f t="shared" si="34"/>
        <v>0</v>
      </c>
      <c r="BO126">
        <f t="shared" si="35"/>
        <v>0</v>
      </c>
      <c r="BP126">
        <f t="shared" si="36"/>
        <v>0</v>
      </c>
      <c r="BQ126">
        <f t="shared" si="37"/>
        <v>0</v>
      </c>
      <c r="BR126">
        <f t="shared" si="38"/>
        <v>0</v>
      </c>
      <c r="BS126">
        <f t="shared" si="39"/>
        <v>0</v>
      </c>
      <c r="BT126">
        <f t="shared" si="40"/>
        <v>0</v>
      </c>
      <c r="BU126">
        <f t="shared" si="41"/>
        <v>0</v>
      </c>
      <c r="BV126">
        <f t="shared" si="42"/>
        <v>0</v>
      </c>
      <c r="BW126">
        <f t="shared" si="43"/>
        <v>0</v>
      </c>
      <c r="BX126">
        <f t="shared" si="44"/>
        <v>0</v>
      </c>
    </row>
    <row r="127" spans="1:76" outlineLevel="1" x14ac:dyDescent="0.15">
      <c r="A127" s="5"/>
      <c r="B127" s="5" t="s">
        <v>119</v>
      </c>
      <c r="C127" s="6" t="s">
        <v>256</v>
      </c>
      <c r="D127" s="5">
        <v>3130215</v>
      </c>
      <c r="E127" s="7">
        <v>12</v>
      </c>
      <c r="F127" s="6">
        <v>1</v>
      </c>
      <c r="G127" s="6"/>
      <c r="I127" s="17" t="str">
        <f t="shared" si="23"/>
        <v>·</v>
      </c>
      <c r="J127" s="18" t="str">
        <f t="shared" si="24"/>
        <v>·</v>
      </c>
      <c r="K127" s="18" t="str">
        <f t="shared" si="25"/>
        <v>·</v>
      </c>
      <c r="L127" s="18" t="str">
        <f t="shared" si="26"/>
        <v>·</v>
      </c>
      <c r="M127" s="19"/>
      <c r="N127" s="18" t="str">
        <f t="shared" si="27"/>
        <v>·</v>
      </c>
      <c r="O127" s="20"/>
      <c r="P127" s="21"/>
      <c r="Q127" s="21"/>
      <c r="R127" s="21"/>
      <c r="S127" s="37"/>
      <c r="T127" s="38"/>
      <c r="U127" s="38"/>
      <c r="V127" s="38"/>
      <c r="W127" s="38"/>
      <c r="X127" s="38"/>
      <c r="Y127" s="39"/>
      <c r="Z127" s="49"/>
      <c r="AA127" s="49"/>
      <c r="AC127" s="17" t="str">
        <f t="shared" si="28"/>
        <v>·</v>
      </c>
      <c r="AD127" s="18" t="str">
        <f t="shared" si="29"/>
        <v>·</v>
      </c>
      <c r="AE127" s="18" t="str">
        <f t="shared" si="30"/>
        <v>·</v>
      </c>
      <c r="AF127" s="18" t="str">
        <f t="shared" si="31"/>
        <v>·</v>
      </c>
      <c r="AG127" s="19"/>
      <c r="AH127" s="18" t="str">
        <f t="shared" si="32"/>
        <v>·</v>
      </c>
      <c r="AI127" s="20"/>
      <c r="AJ127" s="21"/>
      <c r="AK127" s="21"/>
      <c r="AL127" s="21"/>
      <c r="AM127" s="37"/>
      <c r="AN127" s="38"/>
      <c r="AO127" s="38"/>
      <c r="AP127" s="38"/>
      <c r="AQ127" s="38"/>
      <c r="AR127" s="38"/>
      <c r="AS127" s="39"/>
      <c r="AT127" s="49"/>
      <c r="AU127" s="49"/>
      <c r="AW127" s="53" t="e">
        <f t="shared" si="33"/>
        <v>#DIV/0!</v>
      </c>
      <c r="AX127" s="53"/>
      <c r="AZ127" s="54"/>
      <c r="BA127" s="54"/>
      <c r="BB127" s="54"/>
      <c r="BC127" s="54"/>
      <c r="BD127" s="54"/>
      <c r="BE127" s="61"/>
      <c r="BG127" s="54"/>
      <c r="BH127" s="54"/>
      <c r="BI127" s="54"/>
      <c r="BJ127" s="54"/>
      <c r="BK127" s="54"/>
      <c r="BL127" s="61"/>
      <c r="BN127">
        <f t="shared" si="34"/>
        <v>0</v>
      </c>
      <c r="BO127">
        <f t="shared" si="35"/>
        <v>0</v>
      </c>
      <c r="BP127">
        <f t="shared" si="36"/>
        <v>0</v>
      </c>
      <c r="BQ127">
        <f t="shared" si="37"/>
        <v>0</v>
      </c>
      <c r="BR127">
        <f t="shared" si="38"/>
        <v>0</v>
      </c>
      <c r="BS127">
        <f t="shared" si="39"/>
        <v>0</v>
      </c>
      <c r="BT127">
        <f t="shared" si="40"/>
        <v>0</v>
      </c>
      <c r="BU127">
        <f t="shared" si="41"/>
        <v>0</v>
      </c>
      <c r="BV127">
        <f t="shared" si="42"/>
        <v>0</v>
      </c>
      <c r="BW127">
        <f t="shared" si="43"/>
        <v>0</v>
      </c>
      <c r="BX127">
        <f t="shared" si="44"/>
        <v>0</v>
      </c>
    </row>
    <row r="128" spans="1:76" outlineLevel="1" x14ac:dyDescent="0.15">
      <c r="A128" s="8"/>
      <c r="B128" s="8" t="s">
        <v>119</v>
      </c>
      <c r="C128" s="9" t="s">
        <v>257</v>
      </c>
      <c r="D128" s="8">
        <v>3130215</v>
      </c>
      <c r="E128" s="10">
        <v>12</v>
      </c>
      <c r="F128" s="9">
        <v>1</v>
      </c>
      <c r="G128" s="9"/>
      <c r="I128" s="22" t="str">
        <f t="shared" si="23"/>
        <v>·</v>
      </c>
      <c r="J128" s="23" t="str">
        <f t="shared" si="24"/>
        <v>·</v>
      </c>
      <c r="K128" s="23" t="str">
        <f t="shared" si="25"/>
        <v>·</v>
      </c>
      <c r="L128" s="23" t="str">
        <f t="shared" si="26"/>
        <v>·</v>
      </c>
      <c r="M128" s="24"/>
      <c r="N128" s="23" t="str">
        <f t="shared" si="27"/>
        <v>·</v>
      </c>
      <c r="O128" s="25"/>
      <c r="P128" s="26"/>
      <c r="Q128" s="26"/>
      <c r="R128" s="26"/>
      <c r="S128" s="40"/>
      <c r="T128" s="41"/>
      <c r="U128" s="41"/>
      <c r="V128" s="41"/>
      <c r="W128" s="41"/>
      <c r="X128" s="41"/>
      <c r="Y128" s="42"/>
      <c r="Z128" s="50"/>
      <c r="AA128" s="50"/>
      <c r="AC128" s="22" t="str">
        <f t="shared" si="28"/>
        <v>·</v>
      </c>
      <c r="AD128" s="23" t="str">
        <f t="shared" si="29"/>
        <v>·</v>
      </c>
      <c r="AE128" s="23" t="str">
        <f t="shared" si="30"/>
        <v>·</v>
      </c>
      <c r="AF128" s="23" t="str">
        <f t="shared" si="31"/>
        <v>·</v>
      </c>
      <c r="AG128" s="24"/>
      <c r="AH128" s="23" t="str">
        <f t="shared" si="32"/>
        <v>·</v>
      </c>
      <c r="AI128" s="25"/>
      <c r="AJ128" s="26"/>
      <c r="AK128" s="26"/>
      <c r="AL128" s="26"/>
      <c r="AM128" s="40"/>
      <c r="AN128" s="41"/>
      <c r="AO128" s="41"/>
      <c r="AP128" s="41"/>
      <c r="AQ128" s="41"/>
      <c r="AR128" s="41"/>
      <c r="AS128" s="42"/>
      <c r="AT128" s="50"/>
      <c r="AU128" s="50"/>
      <c r="AW128" s="55" t="e">
        <f t="shared" si="33"/>
        <v>#DIV/0!</v>
      </c>
      <c r="AX128" s="55"/>
      <c r="AZ128" s="56"/>
      <c r="BA128" s="56"/>
      <c r="BB128" s="56"/>
      <c r="BC128" s="56"/>
      <c r="BD128" s="56"/>
      <c r="BE128" s="62"/>
      <c r="BG128" s="56"/>
      <c r="BH128" s="56"/>
      <c r="BI128" s="56"/>
      <c r="BJ128" s="56"/>
      <c r="BK128" s="56"/>
      <c r="BL128" s="62"/>
      <c r="BN128">
        <f t="shared" si="34"/>
        <v>0</v>
      </c>
      <c r="BO128">
        <f t="shared" si="35"/>
        <v>0</v>
      </c>
      <c r="BP128">
        <f t="shared" si="36"/>
        <v>0</v>
      </c>
      <c r="BQ128">
        <f t="shared" si="37"/>
        <v>0</v>
      </c>
      <c r="BR128">
        <f t="shared" si="38"/>
        <v>0</v>
      </c>
      <c r="BS128">
        <f t="shared" si="39"/>
        <v>0</v>
      </c>
      <c r="BT128">
        <f t="shared" si="40"/>
        <v>0</v>
      </c>
      <c r="BU128">
        <f t="shared" si="41"/>
        <v>0</v>
      </c>
      <c r="BV128">
        <f t="shared" si="42"/>
        <v>0</v>
      </c>
      <c r="BW128">
        <f t="shared" si="43"/>
        <v>0</v>
      </c>
      <c r="BX128">
        <f t="shared" si="44"/>
        <v>0</v>
      </c>
    </row>
    <row r="129" spans="1:76" outlineLevel="1" x14ac:dyDescent="0.15">
      <c r="A129" s="5"/>
      <c r="B129" s="5" t="s">
        <v>119</v>
      </c>
      <c r="C129" s="6" t="s">
        <v>258</v>
      </c>
      <c r="D129" s="5">
        <v>3130215</v>
      </c>
      <c r="E129" s="7">
        <v>12</v>
      </c>
      <c r="F129" s="6">
        <v>1</v>
      </c>
      <c r="G129" s="6"/>
      <c r="I129" s="17" t="str">
        <f t="shared" si="23"/>
        <v>·</v>
      </c>
      <c r="J129" s="18" t="str">
        <f t="shared" si="24"/>
        <v>·</v>
      </c>
      <c r="K129" s="18" t="str">
        <f t="shared" si="25"/>
        <v>·</v>
      </c>
      <c r="L129" s="18" t="str">
        <f t="shared" si="26"/>
        <v>·</v>
      </c>
      <c r="M129" s="19"/>
      <c r="N129" s="18" t="str">
        <f t="shared" si="27"/>
        <v>·</v>
      </c>
      <c r="O129" s="20"/>
      <c r="P129" s="21"/>
      <c r="Q129" s="21"/>
      <c r="R129" s="21"/>
      <c r="S129" s="37"/>
      <c r="T129" s="38"/>
      <c r="U129" s="38"/>
      <c r="V129" s="38"/>
      <c r="W129" s="38"/>
      <c r="X129" s="38"/>
      <c r="Y129" s="39"/>
      <c r="Z129" s="49"/>
      <c r="AA129" s="49"/>
      <c r="AC129" s="17" t="str">
        <f t="shared" si="28"/>
        <v>·</v>
      </c>
      <c r="AD129" s="18" t="str">
        <f t="shared" si="29"/>
        <v>·</v>
      </c>
      <c r="AE129" s="18" t="str">
        <f t="shared" si="30"/>
        <v>·</v>
      </c>
      <c r="AF129" s="18" t="str">
        <f t="shared" si="31"/>
        <v>·</v>
      </c>
      <c r="AG129" s="19"/>
      <c r="AH129" s="18" t="str">
        <f t="shared" si="32"/>
        <v>·</v>
      </c>
      <c r="AI129" s="20"/>
      <c r="AJ129" s="21"/>
      <c r="AK129" s="21"/>
      <c r="AL129" s="21"/>
      <c r="AM129" s="37"/>
      <c r="AN129" s="38"/>
      <c r="AO129" s="38"/>
      <c r="AP129" s="38"/>
      <c r="AQ129" s="38"/>
      <c r="AR129" s="38"/>
      <c r="AS129" s="39"/>
      <c r="AT129" s="49"/>
      <c r="AU129" s="49"/>
      <c r="AW129" s="53" t="e">
        <f t="shared" si="33"/>
        <v>#DIV/0!</v>
      </c>
      <c r="AX129" s="53"/>
      <c r="AZ129" s="54"/>
      <c r="BA129" s="54"/>
      <c r="BB129" s="54"/>
      <c r="BC129" s="54"/>
      <c r="BD129" s="54"/>
      <c r="BE129" s="61"/>
      <c r="BG129" s="54"/>
      <c r="BH129" s="54"/>
      <c r="BI129" s="54"/>
      <c r="BJ129" s="54"/>
      <c r="BK129" s="54"/>
      <c r="BL129" s="61"/>
      <c r="BN129">
        <f t="shared" si="34"/>
        <v>0</v>
      </c>
      <c r="BO129">
        <f t="shared" si="35"/>
        <v>0</v>
      </c>
      <c r="BP129">
        <f t="shared" si="36"/>
        <v>0</v>
      </c>
      <c r="BQ129">
        <f t="shared" si="37"/>
        <v>0</v>
      </c>
      <c r="BR129">
        <f t="shared" si="38"/>
        <v>0</v>
      </c>
      <c r="BS129">
        <f t="shared" si="39"/>
        <v>0</v>
      </c>
      <c r="BT129">
        <f t="shared" si="40"/>
        <v>0</v>
      </c>
      <c r="BU129">
        <f t="shared" si="41"/>
        <v>0</v>
      </c>
      <c r="BV129">
        <f t="shared" si="42"/>
        <v>0</v>
      </c>
      <c r="BW129">
        <f t="shared" si="43"/>
        <v>0</v>
      </c>
      <c r="BX129">
        <f t="shared" si="44"/>
        <v>0</v>
      </c>
    </row>
    <row r="130" spans="1:76" outlineLevel="1" x14ac:dyDescent="0.15">
      <c r="A130" s="8"/>
      <c r="B130" s="14" t="s">
        <v>119</v>
      </c>
      <c r="C130" s="15" t="s">
        <v>259</v>
      </c>
      <c r="D130" s="14">
        <v>3130215</v>
      </c>
      <c r="E130" s="16">
        <v>12</v>
      </c>
      <c r="F130" s="15">
        <v>1</v>
      </c>
      <c r="G130" s="15"/>
      <c r="I130" s="32" t="str">
        <f t="shared" si="23"/>
        <v>·</v>
      </c>
      <c r="J130" s="33" t="str">
        <f t="shared" si="24"/>
        <v>·</v>
      </c>
      <c r="K130" s="33" t="str">
        <f t="shared" si="25"/>
        <v>·</v>
      </c>
      <c r="L130" s="33" t="str">
        <f t="shared" si="26"/>
        <v>·</v>
      </c>
      <c r="M130" s="34"/>
      <c r="N130" s="33" t="str">
        <f t="shared" si="27"/>
        <v>·</v>
      </c>
      <c r="O130" s="35"/>
      <c r="P130" s="36"/>
      <c r="Q130" s="36"/>
      <c r="R130" s="36"/>
      <c r="S130" s="46"/>
      <c r="T130" s="47"/>
      <c r="U130" s="47"/>
      <c r="V130" s="47"/>
      <c r="W130" s="47"/>
      <c r="X130" s="47"/>
      <c r="Y130" s="48"/>
      <c r="Z130" s="52"/>
      <c r="AA130" s="52"/>
      <c r="AC130" s="32" t="str">
        <f t="shared" si="28"/>
        <v>·</v>
      </c>
      <c r="AD130" s="33" t="str">
        <f t="shared" si="29"/>
        <v>·</v>
      </c>
      <c r="AE130" s="33" t="str">
        <f t="shared" si="30"/>
        <v>·</v>
      </c>
      <c r="AF130" s="33" t="str">
        <f t="shared" si="31"/>
        <v>·</v>
      </c>
      <c r="AG130" s="34"/>
      <c r="AH130" s="33" t="str">
        <f t="shared" si="32"/>
        <v>·</v>
      </c>
      <c r="AI130" s="35"/>
      <c r="AJ130" s="36"/>
      <c r="AK130" s="36"/>
      <c r="AL130" s="36"/>
      <c r="AM130" s="46"/>
      <c r="AN130" s="47"/>
      <c r="AO130" s="47"/>
      <c r="AP130" s="47"/>
      <c r="AQ130" s="47"/>
      <c r="AR130" s="47"/>
      <c r="AS130" s="48"/>
      <c r="AT130" s="52"/>
      <c r="AU130" s="52"/>
      <c r="AW130" s="59" t="e">
        <f t="shared" si="33"/>
        <v>#DIV/0!</v>
      </c>
      <c r="AX130" s="59"/>
      <c r="AZ130" s="60"/>
      <c r="BA130" s="60"/>
      <c r="BB130" s="60"/>
      <c r="BC130" s="60"/>
      <c r="BD130" s="60"/>
      <c r="BE130" s="64"/>
      <c r="BG130" s="60"/>
      <c r="BH130" s="60"/>
      <c r="BI130" s="60"/>
      <c r="BJ130" s="60"/>
      <c r="BK130" s="60"/>
      <c r="BL130" s="64"/>
      <c r="BN130">
        <f t="shared" si="34"/>
        <v>0</v>
      </c>
      <c r="BO130">
        <f t="shared" si="35"/>
        <v>0</v>
      </c>
      <c r="BP130">
        <f t="shared" si="36"/>
        <v>0</v>
      </c>
      <c r="BQ130">
        <f t="shared" si="37"/>
        <v>0</v>
      </c>
      <c r="BR130">
        <f t="shared" si="38"/>
        <v>0</v>
      </c>
      <c r="BS130">
        <f t="shared" si="39"/>
        <v>0</v>
      </c>
      <c r="BT130">
        <f t="shared" si="40"/>
        <v>0</v>
      </c>
      <c r="BU130">
        <f t="shared" si="41"/>
        <v>0</v>
      </c>
      <c r="BV130">
        <f t="shared" si="42"/>
        <v>0</v>
      </c>
      <c r="BW130">
        <f t="shared" si="43"/>
        <v>0</v>
      </c>
      <c r="BX130">
        <f t="shared" si="44"/>
        <v>0</v>
      </c>
    </row>
    <row r="131" spans="1:76" x14ac:dyDescent="0.15">
      <c r="A131" s="5"/>
      <c r="B131" s="5" t="s">
        <v>122</v>
      </c>
      <c r="C131" s="6" t="s">
        <v>254</v>
      </c>
      <c r="D131" s="5">
        <v>1995189</v>
      </c>
      <c r="E131" s="7">
        <v>13</v>
      </c>
      <c r="F131" s="6">
        <v>1</v>
      </c>
      <c r="G131" s="6"/>
      <c r="I131" s="17" t="str">
        <f t="shared" si="23"/>
        <v>·</v>
      </c>
      <c r="J131" s="18" t="str">
        <f t="shared" si="24"/>
        <v>·</v>
      </c>
      <c r="K131" s="18" t="str">
        <f t="shared" si="25"/>
        <v>·</v>
      </c>
      <c r="L131" s="18" t="str">
        <f t="shared" si="26"/>
        <v>·</v>
      </c>
      <c r="M131" s="19"/>
      <c r="N131" s="18" t="str">
        <f t="shared" si="27"/>
        <v>·</v>
      </c>
      <c r="O131" s="20"/>
      <c r="P131" s="21"/>
      <c r="Q131" s="21"/>
      <c r="R131" s="21"/>
      <c r="S131" s="37"/>
      <c r="T131" s="38"/>
      <c r="U131" s="38"/>
      <c r="V131" s="38"/>
      <c r="W131" s="38"/>
      <c r="X131" s="38"/>
      <c r="Y131" s="39"/>
      <c r="Z131" s="49"/>
      <c r="AA131" s="49"/>
      <c r="AC131" s="17" t="str">
        <f t="shared" si="28"/>
        <v>·</v>
      </c>
      <c r="AD131" s="18" t="str">
        <f t="shared" si="29"/>
        <v>·</v>
      </c>
      <c r="AE131" s="18" t="str">
        <f t="shared" si="30"/>
        <v>·</v>
      </c>
      <c r="AF131" s="18" t="str">
        <f t="shared" si="31"/>
        <v>·</v>
      </c>
      <c r="AG131" s="19"/>
      <c r="AH131" s="18" t="str">
        <f t="shared" si="32"/>
        <v>·</v>
      </c>
      <c r="AI131" s="20"/>
      <c r="AJ131" s="21"/>
      <c r="AK131" s="21"/>
      <c r="AL131" s="21"/>
      <c r="AM131" s="37"/>
      <c r="AN131" s="38"/>
      <c r="AO131" s="38"/>
      <c r="AP131" s="38"/>
      <c r="AQ131" s="38"/>
      <c r="AR131" s="38"/>
      <c r="AS131" s="39"/>
      <c r="AT131" s="49"/>
      <c r="AU131" s="49"/>
      <c r="AW131" s="53" t="e">
        <f t="shared" si="33"/>
        <v>#DIV/0!</v>
      </c>
      <c r="AX131" s="53" t="e">
        <f t="array" ref="AX131">AVERAGE(AK131:AK136/AJ131:AJ136)-AVERAGE(Q131:Q136/P131:P136)</f>
        <v>#DIV/0!</v>
      </c>
      <c r="AZ131" s="54" t="str">
        <f>IF(OR(ISBLANK(Q131:Q136),ISBLANK(AK131:AK136),ISBLANK(T131:T136),ISBLANK(AN131:AN136)),"·",bdRateExtend(Q131:Q136,T131:T136,AK131:AK136,AN131:AN136))</f>
        <v>·</v>
      </c>
      <c r="BA131" s="54" t="str">
        <f>IF(OR(ISBLANK(Q131:Q136),ISBLANK(AK131:AK136),ISBLANK(U131:U136),ISBLANK(AO131:AO136)),"·",bdRateExtend(Q131:Q136,U131:U136,AK131:AK136,AO131:AO136))</f>
        <v>·</v>
      </c>
      <c r="BB131" s="54" t="str">
        <f>IF(OR(ISBLANK(R131:R136),ISBLANK(AL131:AL136),ISBLANK(V131:V136),ISBLANK(AP131:AP136)),"·",bdRateExtend(R131:R136,V131:V136,AL131:AL136,AP131:AP136))</f>
        <v>·</v>
      </c>
      <c r="BC131" s="54" t="str">
        <f>IF(OR(ISBLANK(R131:R136),ISBLANK(AL131:AL136),ISBLANK(W131:W136),ISBLANK(AQ131:AQ136)),"·",bdRateExtend(R131:R136,W131:W136,AL131:AL136,AQ131:AQ136))</f>
        <v>·</v>
      </c>
      <c r="BD131" s="54" t="str">
        <f>IF(OR(ISBLANK(R131:R136),ISBLANK(AL131:AL136),ISBLANK(X131:X136),ISBLANK(AR131:AR136)),"·",bdRateExtend(R131:R136,X131:X136,AL131:AL136,AR131:AR136))</f>
        <v>·</v>
      </c>
      <c r="BE131" s="61"/>
      <c r="BG131" s="54" t="str">
        <f>IF(OR(ISBLANK(P131:P136),ISBLANK(AJ131:AJ136),ISBLANK(T131:T136),ISBLANK(AN131:AN136)),"·",bdRateExtend(P131:P136,T131:T136,AJ131:AJ136,AN131:AN136))</f>
        <v>·</v>
      </c>
      <c r="BH131" s="54" t="str">
        <f>IF(OR(ISBLANK(P131:P136),ISBLANK(AJ131:AJ136),ISBLANK(U131:U136),ISBLANK(AO131:AO136)),"·",bdRateExtend(P131:P136,U131:U136,AJ131:AJ136,AO131:AO136))</f>
        <v>·</v>
      </c>
      <c r="BI131" s="54" t="str">
        <f>IF(OR(ISBLANK(P131:P136),ISBLANK(AJ131:AJ136),ISBLANK(V131:V136),ISBLANK(AP131:AP136)),"·",bdRateExtend(P131:P136,V131:V136,AJ131:AJ136,AP131:AP136))</f>
        <v>·</v>
      </c>
      <c r="BJ131" s="54" t="str">
        <f>IF(OR(ISBLANK(P131:P136),ISBLANK(AJ131:AJ136),ISBLANK(W131:W136),ISBLANK(AQ131:AQ136)),"·",bdRateExtend(P131:P136,W131:W136,AJ131:AJ136,AQ131:AQ136))</f>
        <v>·</v>
      </c>
      <c r="BK131" s="54" t="str">
        <f>IF(OR(ISBLANK(P131:P136),ISBLANK(AJ131:AJ136),ISBLANK(X131:X136),ISBLANK(AR131:AR136)),"·",bdRateExtend(P131:P136,X131:X136,AJ131:AJ136,AR131:AR136))</f>
        <v>·</v>
      </c>
      <c r="BL131" s="61"/>
      <c r="BN131">
        <f t="shared" si="34"/>
        <v>0</v>
      </c>
      <c r="BO131">
        <f t="shared" si="35"/>
        <v>0</v>
      </c>
      <c r="BP131">
        <f t="shared" si="36"/>
        <v>0</v>
      </c>
      <c r="BQ131">
        <f t="shared" si="37"/>
        <v>0</v>
      </c>
      <c r="BR131">
        <f t="shared" si="38"/>
        <v>0</v>
      </c>
      <c r="BS131">
        <f t="shared" si="39"/>
        <v>0</v>
      </c>
      <c r="BT131">
        <f t="shared" si="40"/>
        <v>0</v>
      </c>
      <c r="BU131">
        <f t="shared" si="41"/>
        <v>0</v>
      </c>
      <c r="BV131">
        <f t="shared" si="42"/>
        <v>0</v>
      </c>
      <c r="BW131">
        <f t="shared" si="43"/>
        <v>0</v>
      </c>
      <c r="BX131">
        <f t="shared" si="44"/>
        <v>0</v>
      </c>
    </row>
    <row r="132" spans="1:76" outlineLevel="1" x14ac:dyDescent="0.15">
      <c r="A132" s="8"/>
      <c r="B132" s="8" t="s">
        <v>122</v>
      </c>
      <c r="C132" s="9" t="s">
        <v>255</v>
      </c>
      <c r="D132" s="8">
        <v>1995189</v>
      </c>
      <c r="E132" s="10">
        <v>13</v>
      </c>
      <c r="F132" s="9">
        <v>1</v>
      </c>
      <c r="G132" s="9"/>
      <c r="I132" s="22" t="str">
        <f t="shared" si="23"/>
        <v>·</v>
      </c>
      <c r="J132" s="23" t="str">
        <f t="shared" si="24"/>
        <v>·</v>
      </c>
      <c r="K132" s="23" t="str">
        <f t="shared" si="25"/>
        <v>·</v>
      </c>
      <c r="L132" s="23" t="str">
        <f t="shared" si="26"/>
        <v>·</v>
      </c>
      <c r="M132" s="24"/>
      <c r="N132" s="23" t="str">
        <f t="shared" si="27"/>
        <v>·</v>
      </c>
      <c r="O132" s="25"/>
      <c r="P132" s="26"/>
      <c r="Q132" s="26"/>
      <c r="R132" s="26"/>
      <c r="S132" s="40"/>
      <c r="T132" s="41"/>
      <c r="U132" s="41"/>
      <c r="V132" s="41"/>
      <c r="W132" s="41"/>
      <c r="X132" s="41"/>
      <c r="Y132" s="42"/>
      <c r="Z132" s="50"/>
      <c r="AA132" s="50"/>
      <c r="AC132" s="22" t="str">
        <f t="shared" si="28"/>
        <v>·</v>
      </c>
      <c r="AD132" s="23" t="str">
        <f t="shared" si="29"/>
        <v>·</v>
      </c>
      <c r="AE132" s="23" t="str">
        <f t="shared" si="30"/>
        <v>·</v>
      </c>
      <c r="AF132" s="23" t="str">
        <f t="shared" si="31"/>
        <v>·</v>
      </c>
      <c r="AG132" s="24"/>
      <c r="AH132" s="23" t="str">
        <f t="shared" si="32"/>
        <v>·</v>
      </c>
      <c r="AI132" s="25"/>
      <c r="AJ132" s="26"/>
      <c r="AK132" s="26"/>
      <c r="AL132" s="26"/>
      <c r="AM132" s="40"/>
      <c r="AN132" s="41"/>
      <c r="AO132" s="41"/>
      <c r="AP132" s="41"/>
      <c r="AQ132" s="41"/>
      <c r="AR132" s="41"/>
      <c r="AS132" s="42"/>
      <c r="AT132" s="50"/>
      <c r="AU132" s="50"/>
      <c r="AW132" s="55" t="e">
        <f t="shared" si="33"/>
        <v>#DIV/0!</v>
      </c>
      <c r="AX132" s="55"/>
      <c r="AZ132" s="56"/>
      <c r="BA132" s="56"/>
      <c r="BB132" s="56"/>
      <c r="BC132" s="56"/>
      <c r="BD132" s="56"/>
      <c r="BE132" s="62"/>
      <c r="BG132" s="56"/>
      <c r="BH132" s="56"/>
      <c r="BI132" s="56"/>
      <c r="BJ132" s="56"/>
      <c r="BK132" s="56"/>
      <c r="BL132" s="62"/>
      <c r="BN132">
        <f t="shared" si="34"/>
        <v>0</v>
      </c>
      <c r="BO132">
        <f t="shared" si="35"/>
        <v>0</v>
      </c>
      <c r="BP132">
        <f t="shared" si="36"/>
        <v>0</v>
      </c>
      <c r="BQ132">
        <f t="shared" si="37"/>
        <v>0</v>
      </c>
      <c r="BR132">
        <f t="shared" si="38"/>
        <v>0</v>
      </c>
      <c r="BS132">
        <f t="shared" si="39"/>
        <v>0</v>
      </c>
      <c r="BT132">
        <f t="shared" si="40"/>
        <v>0</v>
      </c>
      <c r="BU132">
        <f t="shared" si="41"/>
        <v>0</v>
      </c>
      <c r="BV132">
        <f t="shared" si="42"/>
        <v>0</v>
      </c>
      <c r="BW132">
        <f t="shared" si="43"/>
        <v>0</v>
      </c>
      <c r="BX132">
        <f t="shared" si="44"/>
        <v>0</v>
      </c>
    </row>
    <row r="133" spans="1:76" outlineLevel="1" x14ac:dyDescent="0.15">
      <c r="A133" s="5"/>
      <c r="B133" s="5" t="s">
        <v>122</v>
      </c>
      <c r="C133" s="6" t="s">
        <v>256</v>
      </c>
      <c r="D133" s="5">
        <v>1995189</v>
      </c>
      <c r="E133" s="7">
        <v>13</v>
      </c>
      <c r="F133" s="6">
        <v>1</v>
      </c>
      <c r="G133" s="6"/>
      <c r="I133" s="17" t="str">
        <f t="shared" ref="I133:I196" si="45">IF(OR(ISBLANK(P133),ISBLANK(G133)),"·",P133*G133/F133/1000000)</f>
        <v>·</v>
      </c>
      <c r="J133" s="18" t="str">
        <f t="shared" ref="J133:J196" si="46">IF(ISBLANK(P133),"·",P133/D133)</f>
        <v>·</v>
      </c>
      <c r="K133" s="18" t="str">
        <f t="shared" ref="K133:K196" si="47">IF(Q133="","·",Q133/D133)</f>
        <v>·</v>
      </c>
      <c r="L133" s="18" t="str">
        <f t="shared" ref="L133:L196" si="48">IF(ISBLANK(R133),"·",R133/D133)</f>
        <v>·</v>
      </c>
      <c r="M133" s="19"/>
      <c r="N133" s="18" t="str">
        <f t="shared" ref="N133:N196" si="49">IF(ISBLANK(P133),"·",P133/O133)</f>
        <v>·</v>
      </c>
      <c r="O133" s="20"/>
      <c r="P133" s="21"/>
      <c r="Q133" s="21"/>
      <c r="R133" s="21"/>
      <c r="S133" s="37"/>
      <c r="T133" s="38"/>
      <c r="U133" s="38"/>
      <c r="V133" s="38"/>
      <c r="W133" s="38"/>
      <c r="X133" s="38"/>
      <c r="Y133" s="39"/>
      <c r="Z133" s="49"/>
      <c r="AA133" s="49"/>
      <c r="AC133" s="17" t="str">
        <f t="shared" ref="AC133:AC196" si="50">IF(OR(ISBLANK(AJ133),ISBLANK(G133)),"·",AJ133*G133/F133/1000000)</f>
        <v>·</v>
      </c>
      <c r="AD133" s="18" t="str">
        <f t="shared" ref="AD133:AD196" si="51">IF(ISBLANK(AJ133),"·",AJ133/D133)</f>
        <v>·</v>
      </c>
      <c r="AE133" s="18" t="str">
        <f t="shared" ref="AE133:AE196" si="52">IF(AK133="","·",AK133/D133)</f>
        <v>·</v>
      </c>
      <c r="AF133" s="18" t="str">
        <f t="shared" ref="AF133:AF196" si="53">IF(ISBLANK(AL133),"·",AL133/D133)</f>
        <v>·</v>
      </c>
      <c r="AG133" s="19"/>
      <c r="AH133" s="18" t="str">
        <f t="shared" ref="AH133:AH196" si="54">IF(ISBLANK(AJ133),"·",AJ133/AI133)</f>
        <v>·</v>
      </c>
      <c r="AI133" s="20"/>
      <c r="AJ133" s="21"/>
      <c r="AK133" s="21"/>
      <c r="AL133" s="21"/>
      <c r="AM133" s="37"/>
      <c r="AN133" s="38"/>
      <c r="AO133" s="38"/>
      <c r="AP133" s="38"/>
      <c r="AQ133" s="38"/>
      <c r="AR133" s="38"/>
      <c r="AS133" s="39"/>
      <c r="AT133" s="49"/>
      <c r="AU133" s="49"/>
      <c r="AW133" s="53" t="e">
        <f t="shared" ref="AW133:AW196" si="55">(AK133/AJ133)-(Q133/P133)</f>
        <v>#DIV/0!</v>
      </c>
      <c r="AX133" s="53"/>
      <c r="AZ133" s="54"/>
      <c r="BA133" s="54"/>
      <c r="BB133" s="54"/>
      <c r="BC133" s="54"/>
      <c r="BD133" s="54"/>
      <c r="BE133" s="61"/>
      <c r="BG133" s="54"/>
      <c r="BH133" s="54"/>
      <c r="BI133" s="54"/>
      <c r="BJ133" s="54"/>
      <c r="BK133" s="54"/>
      <c r="BL133" s="61"/>
      <c r="BN133">
        <f t="shared" si="34"/>
        <v>0</v>
      </c>
      <c r="BO133">
        <f t="shared" si="35"/>
        <v>0</v>
      </c>
      <c r="BP133">
        <f t="shared" si="36"/>
        <v>0</v>
      </c>
      <c r="BQ133">
        <f t="shared" si="37"/>
        <v>0</v>
      </c>
      <c r="BR133">
        <f t="shared" si="38"/>
        <v>0</v>
      </c>
      <c r="BS133">
        <f t="shared" si="39"/>
        <v>0</v>
      </c>
      <c r="BT133">
        <f t="shared" si="40"/>
        <v>0</v>
      </c>
      <c r="BU133">
        <f t="shared" si="41"/>
        <v>0</v>
      </c>
      <c r="BV133">
        <f t="shared" si="42"/>
        <v>0</v>
      </c>
      <c r="BW133">
        <f t="shared" si="43"/>
        <v>0</v>
      </c>
      <c r="BX133">
        <f t="shared" si="44"/>
        <v>0</v>
      </c>
    </row>
    <row r="134" spans="1:76" outlineLevel="1" x14ac:dyDescent="0.15">
      <c r="A134" s="8"/>
      <c r="B134" s="8" t="s">
        <v>122</v>
      </c>
      <c r="C134" s="9" t="s">
        <v>257</v>
      </c>
      <c r="D134" s="8">
        <v>1995189</v>
      </c>
      <c r="E134" s="10">
        <v>13</v>
      </c>
      <c r="F134" s="9">
        <v>1</v>
      </c>
      <c r="G134" s="9"/>
      <c r="I134" s="22" t="str">
        <f t="shared" si="45"/>
        <v>·</v>
      </c>
      <c r="J134" s="23" t="str">
        <f t="shared" si="46"/>
        <v>·</v>
      </c>
      <c r="K134" s="23" t="str">
        <f t="shared" si="47"/>
        <v>·</v>
      </c>
      <c r="L134" s="23" t="str">
        <f t="shared" si="48"/>
        <v>·</v>
      </c>
      <c r="M134" s="24"/>
      <c r="N134" s="23" t="str">
        <f t="shared" si="49"/>
        <v>·</v>
      </c>
      <c r="O134" s="25"/>
      <c r="P134" s="26"/>
      <c r="Q134" s="26"/>
      <c r="R134" s="26"/>
      <c r="S134" s="40"/>
      <c r="T134" s="41"/>
      <c r="U134" s="41"/>
      <c r="V134" s="41"/>
      <c r="W134" s="41"/>
      <c r="X134" s="41"/>
      <c r="Y134" s="42"/>
      <c r="Z134" s="50"/>
      <c r="AA134" s="50"/>
      <c r="AC134" s="22" t="str">
        <f t="shared" si="50"/>
        <v>·</v>
      </c>
      <c r="AD134" s="23" t="str">
        <f t="shared" si="51"/>
        <v>·</v>
      </c>
      <c r="AE134" s="23" t="str">
        <f t="shared" si="52"/>
        <v>·</v>
      </c>
      <c r="AF134" s="23" t="str">
        <f t="shared" si="53"/>
        <v>·</v>
      </c>
      <c r="AG134" s="24"/>
      <c r="AH134" s="23" t="str">
        <f t="shared" si="54"/>
        <v>·</v>
      </c>
      <c r="AI134" s="25"/>
      <c r="AJ134" s="26"/>
      <c r="AK134" s="26"/>
      <c r="AL134" s="26"/>
      <c r="AM134" s="40"/>
      <c r="AN134" s="41"/>
      <c r="AO134" s="41"/>
      <c r="AP134" s="41"/>
      <c r="AQ134" s="41"/>
      <c r="AR134" s="41"/>
      <c r="AS134" s="42"/>
      <c r="AT134" s="50"/>
      <c r="AU134" s="50"/>
      <c r="AW134" s="55" t="e">
        <f t="shared" si="55"/>
        <v>#DIV/0!</v>
      </c>
      <c r="AX134" s="55"/>
      <c r="AZ134" s="56"/>
      <c r="BA134" s="56"/>
      <c r="BB134" s="56"/>
      <c r="BC134" s="56"/>
      <c r="BD134" s="56"/>
      <c r="BE134" s="62"/>
      <c r="BG134" s="56"/>
      <c r="BH134" s="56"/>
      <c r="BI134" s="56"/>
      <c r="BJ134" s="56"/>
      <c r="BK134" s="56"/>
      <c r="BL134" s="62"/>
      <c r="BN134">
        <f t="shared" ref="BN134:BN197" si="56">AI134-O134</f>
        <v>0</v>
      </c>
      <c r="BO134">
        <f t="shared" ref="BO134:BO197" si="57">AJ134-P134</f>
        <v>0</v>
      </c>
      <c r="BP134">
        <f t="shared" ref="BP134:BP197" si="58">AK134-Q134</f>
        <v>0</v>
      </c>
      <c r="BQ134">
        <f t="shared" ref="BQ134:BQ197" si="59">AL134-R134</f>
        <v>0</v>
      </c>
      <c r="BR134">
        <f t="shared" ref="BR134:BR197" si="60">AM134-S134</f>
        <v>0</v>
      </c>
      <c r="BS134">
        <f t="shared" ref="BS134:BS197" si="61">AN134-T134</f>
        <v>0</v>
      </c>
      <c r="BT134">
        <f t="shared" ref="BT134:BT197" si="62">AO134-U134</f>
        <v>0</v>
      </c>
      <c r="BU134">
        <f t="shared" ref="BU134:BU197" si="63">AP134-V134</f>
        <v>0</v>
      </c>
      <c r="BV134">
        <f t="shared" ref="BV134:BV197" si="64">AQ134-W134</f>
        <v>0</v>
      </c>
      <c r="BW134">
        <f t="shared" ref="BW134:BW197" si="65">AR134-X134</f>
        <v>0</v>
      </c>
      <c r="BX134">
        <f t="shared" ref="BX134:BX197" si="66">AS134-Y134</f>
        <v>0</v>
      </c>
    </row>
    <row r="135" spans="1:76" outlineLevel="1" x14ac:dyDescent="0.15">
      <c r="A135" s="5"/>
      <c r="B135" s="5" t="s">
        <v>122</v>
      </c>
      <c r="C135" s="6" t="s">
        <v>258</v>
      </c>
      <c r="D135" s="5">
        <v>1995189</v>
      </c>
      <c r="E135" s="7">
        <v>13</v>
      </c>
      <c r="F135" s="6">
        <v>1</v>
      </c>
      <c r="G135" s="6"/>
      <c r="I135" s="17" t="str">
        <f t="shared" si="45"/>
        <v>·</v>
      </c>
      <c r="J135" s="18" t="str">
        <f t="shared" si="46"/>
        <v>·</v>
      </c>
      <c r="K135" s="18" t="str">
        <f t="shared" si="47"/>
        <v>·</v>
      </c>
      <c r="L135" s="18" t="str">
        <f t="shared" si="48"/>
        <v>·</v>
      </c>
      <c r="M135" s="19"/>
      <c r="N135" s="18" t="str">
        <f t="shared" si="49"/>
        <v>·</v>
      </c>
      <c r="O135" s="20"/>
      <c r="P135" s="21"/>
      <c r="Q135" s="21"/>
      <c r="R135" s="21"/>
      <c r="S135" s="37"/>
      <c r="T135" s="38"/>
      <c r="U135" s="38"/>
      <c r="V135" s="38"/>
      <c r="W135" s="38"/>
      <c r="X135" s="38"/>
      <c r="Y135" s="39"/>
      <c r="Z135" s="49"/>
      <c r="AA135" s="49"/>
      <c r="AC135" s="17" t="str">
        <f t="shared" si="50"/>
        <v>·</v>
      </c>
      <c r="AD135" s="18" t="str">
        <f t="shared" si="51"/>
        <v>·</v>
      </c>
      <c r="AE135" s="18" t="str">
        <f t="shared" si="52"/>
        <v>·</v>
      </c>
      <c r="AF135" s="18" t="str">
        <f t="shared" si="53"/>
        <v>·</v>
      </c>
      <c r="AG135" s="19"/>
      <c r="AH135" s="18" t="str">
        <f t="shared" si="54"/>
        <v>·</v>
      </c>
      <c r="AI135" s="20"/>
      <c r="AJ135" s="21"/>
      <c r="AK135" s="21"/>
      <c r="AL135" s="21"/>
      <c r="AM135" s="37"/>
      <c r="AN135" s="38"/>
      <c r="AO135" s="38"/>
      <c r="AP135" s="38"/>
      <c r="AQ135" s="38"/>
      <c r="AR135" s="38"/>
      <c r="AS135" s="39"/>
      <c r="AT135" s="49"/>
      <c r="AU135" s="49"/>
      <c r="AW135" s="53" t="e">
        <f t="shared" si="55"/>
        <v>#DIV/0!</v>
      </c>
      <c r="AX135" s="53"/>
      <c r="AZ135" s="54"/>
      <c r="BA135" s="54"/>
      <c r="BB135" s="54"/>
      <c r="BC135" s="54"/>
      <c r="BD135" s="54"/>
      <c r="BE135" s="61"/>
      <c r="BG135" s="54"/>
      <c r="BH135" s="54"/>
      <c r="BI135" s="54"/>
      <c r="BJ135" s="54"/>
      <c r="BK135" s="54"/>
      <c r="BL135" s="61"/>
      <c r="BN135">
        <f t="shared" si="56"/>
        <v>0</v>
      </c>
      <c r="BO135">
        <f t="shared" si="57"/>
        <v>0</v>
      </c>
      <c r="BP135">
        <f t="shared" si="58"/>
        <v>0</v>
      </c>
      <c r="BQ135">
        <f t="shared" si="59"/>
        <v>0</v>
      </c>
      <c r="BR135">
        <f t="shared" si="60"/>
        <v>0</v>
      </c>
      <c r="BS135">
        <f t="shared" si="61"/>
        <v>0</v>
      </c>
      <c r="BT135">
        <f t="shared" si="62"/>
        <v>0</v>
      </c>
      <c r="BU135">
        <f t="shared" si="63"/>
        <v>0</v>
      </c>
      <c r="BV135">
        <f t="shared" si="64"/>
        <v>0</v>
      </c>
      <c r="BW135">
        <f t="shared" si="65"/>
        <v>0</v>
      </c>
      <c r="BX135">
        <f t="shared" si="66"/>
        <v>0</v>
      </c>
    </row>
    <row r="136" spans="1:76" outlineLevel="1" x14ac:dyDescent="0.15">
      <c r="A136" s="14"/>
      <c r="B136" s="14" t="s">
        <v>122</v>
      </c>
      <c r="C136" s="15" t="s">
        <v>259</v>
      </c>
      <c r="D136" s="14">
        <v>1995189</v>
      </c>
      <c r="E136" s="16">
        <v>13</v>
      </c>
      <c r="F136" s="15">
        <v>1</v>
      </c>
      <c r="G136" s="15"/>
      <c r="I136" s="32" t="str">
        <f t="shared" si="45"/>
        <v>·</v>
      </c>
      <c r="J136" s="33" t="str">
        <f t="shared" si="46"/>
        <v>·</v>
      </c>
      <c r="K136" s="33" t="str">
        <f t="shared" si="47"/>
        <v>·</v>
      </c>
      <c r="L136" s="33" t="str">
        <f t="shared" si="48"/>
        <v>·</v>
      </c>
      <c r="M136" s="34"/>
      <c r="N136" s="33" t="str">
        <f t="shared" si="49"/>
        <v>·</v>
      </c>
      <c r="O136" s="35"/>
      <c r="P136" s="36"/>
      <c r="Q136" s="36"/>
      <c r="R136" s="36"/>
      <c r="S136" s="46"/>
      <c r="T136" s="47"/>
      <c r="U136" s="47"/>
      <c r="V136" s="47"/>
      <c r="W136" s="47"/>
      <c r="X136" s="47"/>
      <c r="Y136" s="48"/>
      <c r="Z136" s="52"/>
      <c r="AA136" s="52"/>
      <c r="AC136" s="32" t="str">
        <f t="shared" si="50"/>
        <v>·</v>
      </c>
      <c r="AD136" s="33" t="str">
        <f t="shared" si="51"/>
        <v>·</v>
      </c>
      <c r="AE136" s="33" t="str">
        <f t="shared" si="52"/>
        <v>·</v>
      </c>
      <c r="AF136" s="33" t="str">
        <f t="shared" si="53"/>
        <v>·</v>
      </c>
      <c r="AG136" s="34"/>
      <c r="AH136" s="33" t="str">
        <f t="shared" si="54"/>
        <v>·</v>
      </c>
      <c r="AI136" s="35"/>
      <c r="AJ136" s="36"/>
      <c r="AK136" s="36"/>
      <c r="AL136" s="36"/>
      <c r="AM136" s="46"/>
      <c r="AN136" s="47"/>
      <c r="AO136" s="47"/>
      <c r="AP136" s="47"/>
      <c r="AQ136" s="47"/>
      <c r="AR136" s="47"/>
      <c r="AS136" s="48"/>
      <c r="AT136" s="52"/>
      <c r="AU136" s="52"/>
      <c r="AW136" s="59" t="e">
        <f t="shared" si="55"/>
        <v>#DIV/0!</v>
      </c>
      <c r="AX136" s="59"/>
      <c r="AZ136" s="60"/>
      <c r="BA136" s="60"/>
      <c r="BB136" s="60"/>
      <c r="BC136" s="60"/>
      <c r="BD136" s="60"/>
      <c r="BE136" s="64"/>
      <c r="BG136" s="60"/>
      <c r="BH136" s="60"/>
      <c r="BI136" s="60"/>
      <c r="BJ136" s="60"/>
      <c r="BK136" s="60"/>
      <c r="BL136" s="64"/>
      <c r="BN136">
        <f t="shared" si="56"/>
        <v>0</v>
      </c>
      <c r="BO136">
        <f t="shared" si="57"/>
        <v>0</v>
      </c>
      <c r="BP136">
        <f t="shared" si="58"/>
        <v>0</v>
      </c>
      <c r="BQ136">
        <f t="shared" si="59"/>
        <v>0</v>
      </c>
      <c r="BR136">
        <f t="shared" si="60"/>
        <v>0</v>
      </c>
      <c r="BS136">
        <f t="shared" si="61"/>
        <v>0</v>
      </c>
      <c r="BT136">
        <f t="shared" si="62"/>
        <v>0</v>
      </c>
      <c r="BU136">
        <f t="shared" si="63"/>
        <v>0</v>
      </c>
      <c r="BV136">
        <f t="shared" si="64"/>
        <v>0</v>
      </c>
      <c r="BW136">
        <f t="shared" si="65"/>
        <v>0</v>
      </c>
      <c r="BX136">
        <f t="shared" si="66"/>
        <v>0</v>
      </c>
    </row>
    <row r="137" spans="1:76" x14ac:dyDescent="0.15">
      <c r="A137" s="5" t="s">
        <v>260</v>
      </c>
      <c r="B137" s="5" t="s">
        <v>125</v>
      </c>
      <c r="C137" s="6" t="s">
        <v>254</v>
      </c>
      <c r="D137" s="5">
        <v>1481746</v>
      </c>
      <c r="E137" s="7">
        <v>12</v>
      </c>
      <c r="F137" s="6">
        <v>1</v>
      </c>
      <c r="G137" s="6"/>
      <c r="I137" s="17" t="str">
        <f t="shared" si="45"/>
        <v>·</v>
      </c>
      <c r="J137" s="18" t="str">
        <f t="shared" si="46"/>
        <v>·</v>
      </c>
      <c r="K137" s="18" t="str">
        <f t="shared" si="47"/>
        <v>·</v>
      </c>
      <c r="L137" s="18" t="str">
        <f t="shared" si="48"/>
        <v>·</v>
      </c>
      <c r="M137" s="19"/>
      <c r="N137" s="18" t="str">
        <f t="shared" si="49"/>
        <v>·</v>
      </c>
      <c r="O137" s="20"/>
      <c r="P137" s="21"/>
      <c r="Q137" s="21"/>
      <c r="R137" s="21"/>
      <c r="S137" s="37"/>
      <c r="T137" s="38"/>
      <c r="U137" s="38"/>
      <c r="V137" s="38"/>
      <c r="W137" s="38"/>
      <c r="X137" s="38"/>
      <c r="Y137" s="39"/>
      <c r="Z137" s="49"/>
      <c r="AA137" s="49"/>
      <c r="AC137" s="17" t="str">
        <f t="shared" si="50"/>
        <v>·</v>
      </c>
      <c r="AD137" s="18" t="str">
        <f t="shared" si="51"/>
        <v>·</v>
      </c>
      <c r="AE137" s="18" t="str">
        <f t="shared" si="52"/>
        <v>·</v>
      </c>
      <c r="AF137" s="18" t="str">
        <f t="shared" si="53"/>
        <v>·</v>
      </c>
      <c r="AG137" s="19"/>
      <c r="AH137" s="18" t="str">
        <f t="shared" si="54"/>
        <v>·</v>
      </c>
      <c r="AI137" s="20"/>
      <c r="AJ137" s="21"/>
      <c r="AK137" s="21"/>
      <c r="AL137" s="21"/>
      <c r="AM137" s="37"/>
      <c r="AN137" s="38"/>
      <c r="AO137" s="38"/>
      <c r="AP137" s="38"/>
      <c r="AQ137" s="38"/>
      <c r="AR137" s="38"/>
      <c r="AS137" s="39"/>
      <c r="AT137" s="49"/>
      <c r="AU137" s="49"/>
      <c r="AW137" s="53" t="e">
        <f t="shared" si="55"/>
        <v>#DIV/0!</v>
      </c>
      <c r="AX137" s="53" t="e">
        <f t="array" ref="AX137">AVERAGE(AK137:AK142/AJ137:AJ142)-AVERAGE(Q137:Q142/P137:P142)</f>
        <v>#DIV/0!</v>
      </c>
      <c r="AZ137" s="54" t="str">
        <f>IF(OR(ISBLANK(Q137:Q142),ISBLANK(AK137:AK142),ISBLANK(T137:T142),ISBLANK(AN137:AN142)),"·",bdRateExtend(Q137:Q142,T137:T142,AK137:AK142,AN137:AN142))</f>
        <v>·</v>
      </c>
      <c r="BA137" s="54" t="str">
        <f>IF(OR(ISBLANK(Q137:Q142),ISBLANK(AK137:AK142),ISBLANK(U137:U142),ISBLANK(AO137:AO142)),"·",bdRateExtend(Q137:Q142,U137:U142,AK137:AK142,AO137:AO142))</f>
        <v>·</v>
      </c>
      <c r="BB137" s="54" t="str">
        <f>IF(OR(ISBLANK(R137:R142),ISBLANK(AL137:AL142),ISBLANK(V137:V142),ISBLANK(AP137:AP142)),"·",bdRateExtend(R137:R142,V137:V142,AL137:AL142,AP137:AP142))</f>
        <v>·</v>
      </c>
      <c r="BC137" s="54" t="str">
        <f>IF(OR(ISBLANK(R137:R142),ISBLANK(AL137:AL142),ISBLANK(W137:W142),ISBLANK(AQ137:AQ142)),"·",bdRateExtend(R137:R142,W137:W142,AL137:AL142,AQ137:AQ142))</f>
        <v>·</v>
      </c>
      <c r="BD137" s="54" t="str">
        <f>IF(OR(ISBLANK(R137:R142),ISBLANK(AL137:AL142),ISBLANK(X137:X142),ISBLANK(AR137:AR142)),"·",bdRateExtend(R137:R142,X137:X142,AL137:AL142,AR137:AR142))</f>
        <v>·</v>
      </c>
      <c r="BE137" s="61"/>
      <c r="BG137" s="54" t="str">
        <f>IF(OR(ISBLANK(P137:P142),ISBLANK(AJ137:AJ142),ISBLANK(T137:T142),ISBLANK(AN137:AN142)),"·",bdRateExtend(P137:P142,T137:T142,AJ137:AJ142,AN137:AN142))</f>
        <v>·</v>
      </c>
      <c r="BH137" s="54" t="str">
        <f>IF(OR(ISBLANK(P137:P142),ISBLANK(AJ137:AJ142),ISBLANK(U137:U142),ISBLANK(AO137:AO142)),"·",bdRateExtend(P137:P142,U137:U142,AJ137:AJ142,AO137:AO142))</f>
        <v>·</v>
      </c>
      <c r="BI137" s="54" t="str">
        <f>IF(OR(ISBLANK(P137:P142),ISBLANK(AJ137:AJ142),ISBLANK(V137:V142),ISBLANK(AP137:AP142)),"·",bdRateExtend(P137:P142,V137:V142,AJ137:AJ142,AP137:AP142))</f>
        <v>·</v>
      </c>
      <c r="BJ137" s="54" t="str">
        <f>IF(OR(ISBLANK(P137:P142),ISBLANK(AJ137:AJ142),ISBLANK(W137:W142),ISBLANK(AQ137:AQ142)),"·",bdRateExtend(P137:P142,W137:W142,AJ137:AJ142,AQ137:AQ142))</f>
        <v>·</v>
      </c>
      <c r="BK137" s="54" t="str">
        <f>IF(OR(ISBLANK(P137:P142),ISBLANK(AJ137:AJ142),ISBLANK(X137:X142),ISBLANK(AR137:AR142)),"·",bdRateExtend(P137:P142,X137:X142,AJ137:AJ142,AR137:AR142))</f>
        <v>·</v>
      </c>
      <c r="BL137" s="61"/>
      <c r="BN137">
        <f t="shared" si="56"/>
        <v>0</v>
      </c>
      <c r="BO137">
        <f t="shared" si="57"/>
        <v>0</v>
      </c>
      <c r="BP137">
        <f t="shared" si="58"/>
        <v>0</v>
      </c>
      <c r="BQ137">
        <f t="shared" si="59"/>
        <v>0</v>
      </c>
      <c r="BR137">
        <f t="shared" si="60"/>
        <v>0</v>
      </c>
      <c r="BS137">
        <f t="shared" si="61"/>
        <v>0</v>
      </c>
      <c r="BT137">
        <f t="shared" si="62"/>
        <v>0</v>
      </c>
      <c r="BU137">
        <f t="shared" si="63"/>
        <v>0</v>
      </c>
      <c r="BV137">
        <f t="shared" si="64"/>
        <v>0</v>
      </c>
      <c r="BW137">
        <f t="shared" si="65"/>
        <v>0</v>
      </c>
      <c r="BX137">
        <f t="shared" si="66"/>
        <v>0</v>
      </c>
    </row>
    <row r="138" spans="1:76" outlineLevel="1" x14ac:dyDescent="0.15">
      <c r="A138" s="8"/>
      <c r="B138" s="8" t="s">
        <v>125</v>
      </c>
      <c r="C138" s="9" t="s">
        <v>255</v>
      </c>
      <c r="D138" s="8">
        <v>1481746</v>
      </c>
      <c r="E138" s="10">
        <v>12</v>
      </c>
      <c r="F138" s="9">
        <v>1</v>
      </c>
      <c r="G138" s="9"/>
      <c r="I138" s="22" t="str">
        <f t="shared" si="45"/>
        <v>·</v>
      </c>
      <c r="J138" s="23" t="str">
        <f t="shared" si="46"/>
        <v>·</v>
      </c>
      <c r="K138" s="23" t="str">
        <f t="shared" si="47"/>
        <v>·</v>
      </c>
      <c r="L138" s="23" t="str">
        <f t="shared" si="48"/>
        <v>·</v>
      </c>
      <c r="M138" s="24"/>
      <c r="N138" s="23" t="str">
        <f t="shared" si="49"/>
        <v>·</v>
      </c>
      <c r="O138" s="25"/>
      <c r="P138" s="26"/>
      <c r="Q138" s="26"/>
      <c r="R138" s="26"/>
      <c r="S138" s="40"/>
      <c r="T138" s="41"/>
      <c r="U138" s="41"/>
      <c r="V138" s="41"/>
      <c r="W138" s="41"/>
      <c r="X138" s="41"/>
      <c r="Y138" s="42"/>
      <c r="Z138" s="50"/>
      <c r="AA138" s="50"/>
      <c r="AC138" s="22" t="str">
        <f t="shared" si="50"/>
        <v>·</v>
      </c>
      <c r="AD138" s="23" t="str">
        <f t="shared" si="51"/>
        <v>·</v>
      </c>
      <c r="AE138" s="23" t="str">
        <f t="shared" si="52"/>
        <v>·</v>
      </c>
      <c r="AF138" s="23" t="str">
        <f t="shared" si="53"/>
        <v>·</v>
      </c>
      <c r="AG138" s="24"/>
      <c r="AH138" s="23" t="str">
        <f t="shared" si="54"/>
        <v>·</v>
      </c>
      <c r="AI138" s="25"/>
      <c r="AJ138" s="26"/>
      <c r="AK138" s="26"/>
      <c r="AL138" s="26"/>
      <c r="AM138" s="40"/>
      <c r="AN138" s="41"/>
      <c r="AO138" s="41"/>
      <c r="AP138" s="41"/>
      <c r="AQ138" s="41"/>
      <c r="AR138" s="41"/>
      <c r="AS138" s="42"/>
      <c r="AT138" s="50"/>
      <c r="AU138" s="50"/>
      <c r="AW138" s="55" t="e">
        <f t="shared" si="55"/>
        <v>#DIV/0!</v>
      </c>
      <c r="AX138" s="55"/>
      <c r="AZ138" s="56"/>
      <c r="BA138" s="56"/>
      <c r="BB138" s="56"/>
      <c r="BC138" s="56"/>
      <c r="BD138" s="56"/>
      <c r="BE138" s="62"/>
      <c r="BG138" s="56"/>
      <c r="BH138" s="56"/>
      <c r="BI138" s="56"/>
      <c r="BJ138" s="56"/>
      <c r="BK138" s="56"/>
      <c r="BL138" s="62"/>
      <c r="BN138">
        <f t="shared" si="56"/>
        <v>0</v>
      </c>
      <c r="BO138">
        <f t="shared" si="57"/>
        <v>0</v>
      </c>
      <c r="BP138">
        <f t="shared" si="58"/>
        <v>0</v>
      </c>
      <c r="BQ138">
        <f t="shared" si="59"/>
        <v>0</v>
      </c>
      <c r="BR138">
        <f t="shared" si="60"/>
        <v>0</v>
      </c>
      <c r="BS138">
        <f t="shared" si="61"/>
        <v>0</v>
      </c>
      <c r="BT138">
        <f t="shared" si="62"/>
        <v>0</v>
      </c>
      <c r="BU138">
        <f t="shared" si="63"/>
        <v>0</v>
      </c>
      <c r="BV138">
        <f t="shared" si="64"/>
        <v>0</v>
      </c>
      <c r="BW138">
        <f t="shared" si="65"/>
        <v>0</v>
      </c>
      <c r="BX138">
        <f t="shared" si="66"/>
        <v>0</v>
      </c>
    </row>
    <row r="139" spans="1:76" outlineLevel="1" x14ac:dyDescent="0.15">
      <c r="A139" s="5"/>
      <c r="B139" s="5" t="s">
        <v>125</v>
      </c>
      <c r="C139" s="6" t="s">
        <v>256</v>
      </c>
      <c r="D139" s="5">
        <v>1481746</v>
      </c>
      <c r="E139" s="7">
        <v>12</v>
      </c>
      <c r="F139" s="6">
        <v>1</v>
      </c>
      <c r="G139" s="6"/>
      <c r="I139" s="17" t="str">
        <f t="shared" si="45"/>
        <v>·</v>
      </c>
      <c r="J139" s="18" t="str">
        <f t="shared" si="46"/>
        <v>·</v>
      </c>
      <c r="K139" s="18" t="str">
        <f t="shared" si="47"/>
        <v>·</v>
      </c>
      <c r="L139" s="18" t="str">
        <f t="shared" si="48"/>
        <v>·</v>
      </c>
      <c r="M139" s="19"/>
      <c r="N139" s="18" t="str">
        <f t="shared" si="49"/>
        <v>·</v>
      </c>
      <c r="O139" s="20"/>
      <c r="P139" s="21"/>
      <c r="Q139" s="21"/>
      <c r="R139" s="21"/>
      <c r="S139" s="37"/>
      <c r="T139" s="38"/>
      <c r="U139" s="38"/>
      <c r="V139" s="38"/>
      <c r="W139" s="38"/>
      <c r="X139" s="38"/>
      <c r="Y139" s="39"/>
      <c r="Z139" s="49"/>
      <c r="AA139" s="49"/>
      <c r="AC139" s="17" t="str">
        <f t="shared" si="50"/>
        <v>·</v>
      </c>
      <c r="AD139" s="18" t="str">
        <f t="shared" si="51"/>
        <v>·</v>
      </c>
      <c r="AE139" s="18" t="str">
        <f t="shared" si="52"/>
        <v>·</v>
      </c>
      <c r="AF139" s="18" t="str">
        <f t="shared" si="53"/>
        <v>·</v>
      </c>
      <c r="AG139" s="19"/>
      <c r="AH139" s="18" t="str">
        <f t="shared" si="54"/>
        <v>·</v>
      </c>
      <c r="AI139" s="20"/>
      <c r="AJ139" s="21"/>
      <c r="AK139" s="21"/>
      <c r="AL139" s="21"/>
      <c r="AM139" s="37"/>
      <c r="AN139" s="38"/>
      <c r="AO139" s="38"/>
      <c r="AP139" s="38"/>
      <c r="AQ139" s="38"/>
      <c r="AR139" s="38"/>
      <c r="AS139" s="39"/>
      <c r="AT139" s="49"/>
      <c r="AU139" s="49"/>
      <c r="AW139" s="53" t="e">
        <f t="shared" si="55"/>
        <v>#DIV/0!</v>
      </c>
      <c r="AX139" s="53"/>
      <c r="AZ139" s="54"/>
      <c r="BA139" s="54"/>
      <c r="BB139" s="54"/>
      <c r="BC139" s="54"/>
      <c r="BD139" s="54"/>
      <c r="BE139" s="61"/>
      <c r="BG139" s="54"/>
      <c r="BH139" s="54"/>
      <c r="BI139" s="54"/>
      <c r="BJ139" s="54"/>
      <c r="BK139" s="54"/>
      <c r="BL139" s="61"/>
      <c r="BN139">
        <f t="shared" si="56"/>
        <v>0</v>
      </c>
      <c r="BO139">
        <f t="shared" si="57"/>
        <v>0</v>
      </c>
      <c r="BP139">
        <f t="shared" si="58"/>
        <v>0</v>
      </c>
      <c r="BQ139">
        <f t="shared" si="59"/>
        <v>0</v>
      </c>
      <c r="BR139">
        <f t="shared" si="60"/>
        <v>0</v>
      </c>
      <c r="BS139">
        <f t="shared" si="61"/>
        <v>0</v>
      </c>
      <c r="BT139">
        <f t="shared" si="62"/>
        <v>0</v>
      </c>
      <c r="BU139">
        <f t="shared" si="63"/>
        <v>0</v>
      </c>
      <c r="BV139">
        <f t="shared" si="64"/>
        <v>0</v>
      </c>
      <c r="BW139">
        <f t="shared" si="65"/>
        <v>0</v>
      </c>
      <c r="BX139">
        <f t="shared" si="66"/>
        <v>0</v>
      </c>
    </row>
    <row r="140" spans="1:76" outlineLevel="1" x14ac:dyDescent="0.15">
      <c r="A140" s="8"/>
      <c r="B140" s="8" t="s">
        <v>125</v>
      </c>
      <c r="C140" s="9" t="s">
        <v>257</v>
      </c>
      <c r="D140" s="8">
        <v>1481746</v>
      </c>
      <c r="E140" s="10">
        <v>12</v>
      </c>
      <c r="F140" s="9">
        <v>1</v>
      </c>
      <c r="G140" s="9"/>
      <c r="I140" s="22" t="str">
        <f t="shared" si="45"/>
        <v>·</v>
      </c>
      <c r="J140" s="23" t="str">
        <f t="shared" si="46"/>
        <v>·</v>
      </c>
      <c r="K140" s="23" t="str">
        <f t="shared" si="47"/>
        <v>·</v>
      </c>
      <c r="L140" s="23" t="str">
        <f t="shared" si="48"/>
        <v>·</v>
      </c>
      <c r="M140" s="24"/>
      <c r="N140" s="23" t="str">
        <f t="shared" si="49"/>
        <v>·</v>
      </c>
      <c r="O140" s="25"/>
      <c r="P140" s="26"/>
      <c r="Q140" s="26"/>
      <c r="R140" s="26"/>
      <c r="S140" s="40"/>
      <c r="T140" s="41"/>
      <c r="U140" s="41"/>
      <c r="V140" s="41"/>
      <c r="W140" s="41"/>
      <c r="X140" s="41"/>
      <c r="Y140" s="42"/>
      <c r="Z140" s="50"/>
      <c r="AA140" s="50"/>
      <c r="AC140" s="22" t="str">
        <f t="shared" si="50"/>
        <v>·</v>
      </c>
      <c r="AD140" s="23" t="str">
        <f t="shared" si="51"/>
        <v>·</v>
      </c>
      <c r="AE140" s="23" t="str">
        <f t="shared" si="52"/>
        <v>·</v>
      </c>
      <c r="AF140" s="23" t="str">
        <f t="shared" si="53"/>
        <v>·</v>
      </c>
      <c r="AG140" s="24"/>
      <c r="AH140" s="23" t="str">
        <f t="shared" si="54"/>
        <v>·</v>
      </c>
      <c r="AI140" s="25"/>
      <c r="AJ140" s="26"/>
      <c r="AK140" s="26"/>
      <c r="AL140" s="26"/>
      <c r="AM140" s="40"/>
      <c r="AN140" s="41"/>
      <c r="AO140" s="41"/>
      <c r="AP140" s="41"/>
      <c r="AQ140" s="41"/>
      <c r="AR140" s="41"/>
      <c r="AS140" s="42"/>
      <c r="AT140" s="50"/>
      <c r="AU140" s="50"/>
      <c r="AW140" s="55" t="e">
        <f t="shared" si="55"/>
        <v>#DIV/0!</v>
      </c>
      <c r="AX140" s="55"/>
      <c r="AZ140" s="56"/>
      <c r="BA140" s="56"/>
      <c r="BB140" s="56"/>
      <c r="BC140" s="56"/>
      <c r="BD140" s="56"/>
      <c r="BE140" s="62"/>
      <c r="BG140" s="56"/>
      <c r="BH140" s="56"/>
      <c r="BI140" s="56"/>
      <c r="BJ140" s="56"/>
      <c r="BK140" s="56"/>
      <c r="BL140" s="62"/>
      <c r="BN140">
        <f t="shared" si="56"/>
        <v>0</v>
      </c>
      <c r="BO140">
        <f t="shared" si="57"/>
        <v>0</v>
      </c>
      <c r="BP140">
        <f t="shared" si="58"/>
        <v>0</v>
      </c>
      <c r="BQ140">
        <f t="shared" si="59"/>
        <v>0</v>
      </c>
      <c r="BR140">
        <f t="shared" si="60"/>
        <v>0</v>
      </c>
      <c r="BS140">
        <f t="shared" si="61"/>
        <v>0</v>
      </c>
      <c r="BT140">
        <f t="shared" si="62"/>
        <v>0</v>
      </c>
      <c r="BU140">
        <f t="shared" si="63"/>
        <v>0</v>
      </c>
      <c r="BV140">
        <f t="shared" si="64"/>
        <v>0</v>
      </c>
      <c r="BW140">
        <f t="shared" si="65"/>
        <v>0</v>
      </c>
      <c r="BX140">
        <f t="shared" si="66"/>
        <v>0</v>
      </c>
    </row>
    <row r="141" spans="1:76" outlineLevel="1" x14ac:dyDescent="0.15">
      <c r="A141" s="5"/>
      <c r="B141" s="5" t="s">
        <v>125</v>
      </c>
      <c r="C141" s="6" t="s">
        <v>258</v>
      </c>
      <c r="D141" s="5">
        <v>1481746</v>
      </c>
      <c r="E141" s="7">
        <v>12</v>
      </c>
      <c r="F141" s="6">
        <v>1</v>
      </c>
      <c r="G141" s="6"/>
      <c r="I141" s="17" t="str">
        <f t="shared" si="45"/>
        <v>·</v>
      </c>
      <c r="J141" s="18" t="str">
        <f t="shared" si="46"/>
        <v>·</v>
      </c>
      <c r="K141" s="18" t="str">
        <f t="shared" si="47"/>
        <v>·</v>
      </c>
      <c r="L141" s="18" t="str">
        <f t="shared" si="48"/>
        <v>·</v>
      </c>
      <c r="M141" s="19"/>
      <c r="N141" s="18" t="str">
        <f t="shared" si="49"/>
        <v>·</v>
      </c>
      <c r="O141" s="20"/>
      <c r="P141" s="21"/>
      <c r="Q141" s="21"/>
      <c r="R141" s="21"/>
      <c r="S141" s="37"/>
      <c r="T141" s="38"/>
      <c r="U141" s="38"/>
      <c r="V141" s="38"/>
      <c r="W141" s="38"/>
      <c r="X141" s="38"/>
      <c r="Y141" s="39"/>
      <c r="Z141" s="49"/>
      <c r="AA141" s="49"/>
      <c r="AC141" s="17" t="str">
        <f t="shared" si="50"/>
        <v>·</v>
      </c>
      <c r="AD141" s="18" t="str">
        <f t="shared" si="51"/>
        <v>·</v>
      </c>
      <c r="AE141" s="18" t="str">
        <f t="shared" si="52"/>
        <v>·</v>
      </c>
      <c r="AF141" s="18" t="str">
        <f t="shared" si="53"/>
        <v>·</v>
      </c>
      <c r="AG141" s="19"/>
      <c r="AH141" s="18" t="str">
        <f t="shared" si="54"/>
        <v>·</v>
      </c>
      <c r="AI141" s="20"/>
      <c r="AJ141" s="21"/>
      <c r="AK141" s="21"/>
      <c r="AL141" s="21"/>
      <c r="AM141" s="37"/>
      <c r="AN141" s="38"/>
      <c r="AO141" s="38"/>
      <c r="AP141" s="38"/>
      <c r="AQ141" s="38"/>
      <c r="AR141" s="38"/>
      <c r="AS141" s="39"/>
      <c r="AT141" s="49"/>
      <c r="AU141" s="49"/>
      <c r="AW141" s="53" t="e">
        <f t="shared" si="55"/>
        <v>#DIV/0!</v>
      </c>
      <c r="AX141" s="53"/>
      <c r="AZ141" s="54"/>
      <c r="BA141" s="54"/>
      <c r="BB141" s="54"/>
      <c r="BC141" s="54"/>
      <c r="BD141" s="54"/>
      <c r="BE141" s="61"/>
      <c r="BG141" s="54"/>
      <c r="BH141" s="54"/>
      <c r="BI141" s="54"/>
      <c r="BJ141" s="54"/>
      <c r="BK141" s="54"/>
      <c r="BL141" s="61"/>
      <c r="BN141">
        <f t="shared" si="56"/>
        <v>0</v>
      </c>
      <c r="BO141">
        <f t="shared" si="57"/>
        <v>0</v>
      </c>
      <c r="BP141">
        <f t="shared" si="58"/>
        <v>0</v>
      </c>
      <c r="BQ141">
        <f t="shared" si="59"/>
        <v>0</v>
      </c>
      <c r="BR141">
        <f t="shared" si="60"/>
        <v>0</v>
      </c>
      <c r="BS141">
        <f t="shared" si="61"/>
        <v>0</v>
      </c>
      <c r="BT141">
        <f t="shared" si="62"/>
        <v>0</v>
      </c>
      <c r="BU141">
        <f t="shared" si="63"/>
        <v>0</v>
      </c>
      <c r="BV141">
        <f t="shared" si="64"/>
        <v>0</v>
      </c>
      <c r="BW141">
        <f t="shared" si="65"/>
        <v>0</v>
      </c>
      <c r="BX141">
        <f t="shared" si="66"/>
        <v>0</v>
      </c>
    </row>
    <row r="142" spans="1:76" outlineLevel="1" x14ac:dyDescent="0.15">
      <c r="A142" s="8"/>
      <c r="B142" s="14" t="s">
        <v>125</v>
      </c>
      <c r="C142" s="15" t="s">
        <v>259</v>
      </c>
      <c r="D142" s="14">
        <v>1481746</v>
      </c>
      <c r="E142" s="16">
        <v>12</v>
      </c>
      <c r="F142" s="15">
        <v>1</v>
      </c>
      <c r="G142" s="15"/>
      <c r="I142" s="32" t="str">
        <f t="shared" si="45"/>
        <v>·</v>
      </c>
      <c r="J142" s="33" t="str">
        <f t="shared" si="46"/>
        <v>·</v>
      </c>
      <c r="K142" s="33" t="str">
        <f t="shared" si="47"/>
        <v>·</v>
      </c>
      <c r="L142" s="33" t="str">
        <f t="shared" si="48"/>
        <v>·</v>
      </c>
      <c r="M142" s="34"/>
      <c r="N142" s="33" t="str">
        <f t="shared" si="49"/>
        <v>·</v>
      </c>
      <c r="O142" s="35"/>
      <c r="P142" s="36"/>
      <c r="Q142" s="36"/>
      <c r="R142" s="36"/>
      <c r="S142" s="46"/>
      <c r="T142" s="47"/>
      <c r="U142" s="47"/>
      <c r="V142" s="47"/>
      <c r="W142" s="47"/>
      <c r="X142" s="47"/>
      <c r="Y142" s="48"/>
      <c r="Z142" s="52"/>
      <c r="AA142" s="52"/>
      <c r="AC142" s="32" t="str">
        <f t="shared" si="50"/>
        <v>·</v>
      </c>
      <c r="AD142" s="33" t="str">
        <f t="shared" si="51"/>
        <v>·</v>
      </c>
      <c r="AE142" s="33" t="str">
        <f t="shared" si="52"/>
        <v>·</v>
      </c>
      <c r="AF142" s="33" t="str">
        <f t="shared" si="53"/>
        <v>·</v>
      </c>
      <c r="AG142" s="34"/>
      <c r="AH142" s="33" t="str">
        <f t="shared" si="54"/>
        <v>·</v>
      </c>
      <c r="AI142" s="35"/>
      <c r="AJ142" s="36"/>
      <c r="AK142" s="36"/>
      <c r="AL142" s="36"/>
      <c r="AM142" s="46"/>
      <c r="AN142" s="47"/>
      <c r="AO142" s="47"/>
      <c r="AP142" s="47"/>
      <c r="AQ142" s="47"/>
      <c r="AR142" s="47"/>
      <c r="AS142" s="48"/>
      <c r="AT142" s="52"/>
      <c r="AU142" s="52"/>
      <c r="AW142" s="59" t="e">
        <f t="shared" si="55"/>
        <v>#DIV/0!</v>
      </c>
      <c r="AX142" s="59"/>
      <c r="AZ142" s="60"/>
      <c r="BA142" s="60"/>
      <c r="BB142" s="60"/>
      <c r="BC142" s="60"/>
      <c r="BD142" s="60"/>
      <c r="BE142" s="64"/>
      <c r="BG142" s="60"/>
      <c r="BH142" s="60"/>
      <c r="BI142" s="60"/>
      <c r="BJ142" s="60"/>
      <c r="BK142" s="60"/>
      <c r="BL142" s="64"/>
      <c r="BN142">
        <f t="shared" si="56"/>
        <v>0</v>
      </c>
      <c r="BO142">
        <f t="shared" si="57"/>
        <v>0</v>
      </c>
      <c r="BP142">
        <f t="shared" si="58"/>
        <v>0</v>
      </c>
      <c r="BQ142">
        <f t="shared" si="59"/>
        <v>0</v>
      </c>
      <c r="BR142">
        <f t="shared" si="60"/>
        <v>0</v>
      </c>
      <c r="BS142">
        <f t="shared" si="61"/>
        <v>0</v>
      </c>
      <c r="BT142">
        <f t="shared" si="62"/>
        <v>0</v>
      </c>
      <c r="BU142">
        <f t="shared" si="63"/>
        <v>0</v>
      </c>
      <c r="BV142">
        <f t="shared" si="64"/>
        <v>0</v>
      </c>
      <c r="BW142">
        <f t="shared" si="65"/>
        <v>0</v>
      </c>
      <c r="BX142">
        <f t="shared" si="66"/>
        <v>0</v>
      </c>
    </row>
    <row r="143" spans="1:76" x14ac:dyDescent="0.15">
      <c r="A143" s="5"/>
      <c r="B143" s="5" t="s">
        <v>128</v>
      </c>
      <c r="C143" s="6" t="s">
        <v>254</v>
      </c>
      <c r="D143" s="5">
        <v>1530552</v>
      </c>
      <c r="E143" s="7">
        <v>20</v>
      </c>
      <c r="F143" s="6">
        <v>1</v>
      </c>
      <c r="G143" s="6"/>
      <c r="I143" s="17" t="str">
        <f t="shared" si="45"/>
        <v>·</v>
      </c>
      <c r="J143" s="18" t="str">
        <f t="shared" si="46"/>
        <v>·</v>
      </c>
      <c r="K143" s="18" t="str">
        <f t="shared" si="47"/>
        <v>·</v>
      </c>
      <c r="L143" s="18" t="str">
        <f t="shared" si="48"/>
        <v>·</v>
      </c>
      <c r="M143" s="19"/>
      <c r="N143" s="18" t="str">
        <f t="shared" si="49"/>
        <v>·</v>
      </c>
      <c r="O143" s="20"/>
      <c r="P143" s="21"/>
      <c r="Q143" s="21"/>
      <c r="R143" s="21"/>
      <c r="S143" s="37"/>
      <c r="T143" s="38"/>
      <c r="U143" s="38"/>
      <c r="V143" s="38"/>
      <c r="W143" s="38"/>
      <c r="X143" s="38"/>
      <c r="Y143" s="39"/>
      <c r="Z143" s="49"/>
      <c r="AA143" s="49"/>
      <c r="AC143" s="17" t="str">
        <f t="shared" si="50"/>
        <v>·</v>
      </c>
      <c r="AD143" s="18" t="str">
        <f t="shared" si="51"/>
        <v>·</v>
      </c>
      <c r="AE143" s="18" t="str">
        <f t="shared" si="52"/>
        <v>·</v>
      </c>
      <c r="AF143" s="18" t="str">
        <f t="shared" si="53"/>
        <v>·</v>
      </c>
      <c r="AG143" s="19"/>
      <c r="AH143" s="18" t="str">
        <f t="shared" si="54"/>
        <v>·</v>
      </c>
      <c r="AI143" s="20"/>
      <c r="AJ143" s="21"/>
      <c r="AK143" s="21"/>
      <c r="AL143" s="21"/>
      <c r="AM143" s="37"/>
      <c r="AN143" s="38"/>
      <c r="AO143" s="38"/>
      <c r="AP143" s="38"/>
      <c r="AQ143" s="38"/>
      <c r="AR143" s="38"/>
      <c r="AS143" s="39"/>
      <c r="AT143" s="49"/>
      <c r="AU143" s="49"/>
      <c r="AW143" s="53" t="e">
        <f t="shared" si="55"/>
        <v>#DIV/0!</v>
      </c>
      <c r="AX143" s="53" t="e">
        <f t="array" ref="AX143">AVERAGE(AK143:AK148/AJ143:AJ148)-AVERAGE(Q143:Q148/P143:P148)</f>
        <v>#DIV/0!</v>
      </c>
      <c r="AZ143" s="54" t="str">
        <f>IF(OR(ISBLANK(Q143:Q148),ISBLANK(AK143:AK148),ISBLANK(T143:T148),ISBLANK(AN143:AN148)),"·",bdRateExtend(Q143:Q148,T143:T148,AK143:AK148,AN143:AN148))</f>
        <v>·</v>
      </c>
      <c r="BA143" s="54" t="str">
        <f>IF(OR(ISBLANK(Q143:Q148),ISBLANK(AK143:AK148),ISBLANK(U143:U148),ISBLANK(AO143:AO148)),"·",bdRateExtend(Q143:Q148,U143:U148,AK143:AK148,AO143:AO148))</f>
        <v>·</v>
      </c>
      <c r="BB143" s="54" t="str">
        <f>IF(OR(ISBLANK(R143:R148),ISBLANK(AL143:AL148),ISBLANK(V143:V148),ISBLANK(AP143:AP148)),"·",bdRateExtend(R143:R148,V143:V148,AL143:AL148,AP143:AP148))</f>
        <v>·</v>
      </c>
      <c r="BC143" s="54" t="str">
        <f>IF(OR(ISBLANK(R143:R148),ISBLANK(AL143:AL148),ISBLANK(W143:W148),ISBLANK(AQ143:AQ148)),"·",bdRateExtend(R143:R148,W143:W148,AL143:AL148,AQ143:AQ148))</f>
        <v>·</v>
      </c>
      <c r="BD143" s="54" t="str">
        <f>IF(OR(ISBLANK(R143:R148),ISBLANK(AL143:AL148),ISBLANK(X143:X148),ISBLANK(AR143:AR148)),"·",bdRateExtend(R143:R148,X143:X148,AL143:AL148,AR143:AR148))</f>
        <v>·</v>
      </c>
      <c r="BE143" s="61"/>
      <c r="BG143" s="54" t="str">
        <f>IF(OR(ISBLANK(P143:P148),ISBLANK(AJ143:AJ148),ISBLANK(T143:T148),ISBLANK(AN143:AN148)),"·",bdRateExtend(P143:P148,T143:T148,AJ143:AJ148,AN143:AN148))</f>
        <v>·</v>
      </c>
      <c r="BH143" s="54" t="str">
        <f>IF(OR(ISBLANK(P143:P148),ISBLANK(AJ143:AJ148),ISBLANK(U143:U148),ISBLANK(AO143:AO148)),"·",bdRateExtend(P143:P148,U143:U148,AJ143:AJ148,AO143:AO148))</f>
        <v>·</v>
      </c>
      <c r="BI143" s="54" t="str">
        <f>IF(OR(ISBLANK(P143:P148),ISBLANK(AJ143:AJ148),ISBLANK(V143:V148),ISBLANK(AP143:AP148)),"·",bdRateExtend(P143:P148,V143:V148,AJ143:AJ148,AP143:AP148))</f>
        <v>·</v>
      </c>
      <c r="BJ143" s="54" t="str">
        <f>IF(OR(ISBLANK(P143:P148),ISBLANK(AJ143:AJ148),ISBLANK(W143:W148),ISBLANK(AQ143:AQ148)),"·",bdRateExtend(P143:P148,W143:W148,AJ143:AJ148,AQ143:AQ148))</f>
        <v>·</v>
      </c>
      <c r="BK143" s="54" t="str">
        <f>IF(OR(ISBLANK(P143:P148),ISBLANK(AJ143:AJ148),ISBLANK(X143:X148),ISBLANK(AR143:AR148)),"·",bdRateExtend(P143:P148,X143:X148,AJ143:AJ148,AR143:AR148))</f>
        <v>·</v>
      </c>
      <c r="BL143" s="61"/>
      <c r="BN143">
        <f t="shared" si="56"/>
        <v>0</v>
      </c>
      <c r="BO143">
        <f t="shared" si="57"/>
        <v>0</v>
      </c>
      <c r="BP143">
        <f t="shared" si="58"/>
        <v>0</v>
      </c>
      <c r="BQ143">
        <f t="shared" si="59"/>
        <v>0</v>
      </c>
      <c r="BR143">
        <f t="shared" si="60"/>
        <v>0</v>
      </c>
      <c r="BS143">
        <f t="shared" si="61"/>
        <v>0</v>
      </c>
      <c r="BT143">
        <f t="shared" si="62"/>
        <v>0</v>
      </c>
      <c r="BU143">
        <f t="shared" si="63"/>
        <v>0</v>
      </c>
      <c r="BV143">
        <f t="shared" si="64"/>
        <v>0</v>
      </c>
      <c r="BW143">
        <f t="shared" si="65"/>
        <v>0</v>
      </c>
      <c r="BX143">
        <f t="shared" si="66"/>
        <v>0</v>
      </c>
    </row>
    <row r="144" spans="1:76" outlineLevel="1" x14ac:dyDescent="0.15">
      <c r="A144" s="8"/>
      <c r="B144" s="8" t="s">
        <v>128</v>
      </c>
      <c r="C144" s="9" t="s">
        <v>255</v>
      </c>
      <c r="D144" s="8">
        <v>1530552</v>
      </c>
      <c r="E144" s="10">
        <v>20</v>
      </c>
      <c r="F144" s="9">
        <v>1</v>
      </c>
      <c r="G144" s="9"/>
      <c r="I144" s="22" t="str">
        <f t="shared" si="45"/>
        <v>·</v>
      </c>
      <c r="J144" s="23" t="str">
        <f t="shared" si="46"/>
        <v>·</v>
      </c>
      <c r="K144" s="23" t="str">
        <f t="shared" si="47"/>
        <v>·</v>
      </c>
      <c r="L144" s="23" t="str">
        <f t="shared" si="48"/>
        <v>·</v>
      </c>
      <c r="M144" s="24"/>
      <c r="N144" s="23" t="str">
        <f t="shared" si="49"/>
        <v>·</v>
      </c>
      <c r="O144" s="25"/>
      <c r="P144" s="26"/>
      <c r="Q144" s="26"/>
      <c r="R144" s="26"/>
      <c r="S144" s="40"/>
      <c r="T144" s="41"/>
      <c r="U144" s="41"/>
      <c r="V144" s="41"/>
      <c r="W144" s="41"/>
      <c r="X144" s="41"/>
      <c r="Y144" s="42"/>
      <c r="Z144" s="50"/>
      <c r="AA144" s="50"/>
      <c r="AC144" s="22" t="str">
        <f t="shared" si="50"/>
        <v>·</v>
      </c>
      <c r="AD144" s="23" t="str">
        <f t="shared" si="51"/>
        <v>·</v>
      </c>
      <c r="AE144" s="23" t="str">
        <f t="shared" si="52"/>
        <v>·</v>
      </c>
      <c r="AF144" s="23" t="str">
        <f t="shared" si="53"/>
        <v>·</v>
      </c>
      <c r="AG144" s="24"/>
      <c r="AH144" s="23" t="str">
        <f t="shared" si="54"/>
        <v>·</v>
      </c>
      <c r="AI144" s="25"/>
      <c r="AJ144" s="26"/>
      <c r="AK144" s="26"/>
      <c r="AL144" s="26"/>
      <c r="AM144" s="40"/>
      <c r="AN144" s="41"/>
      <c r="AO144" s="41"/>
      <c r="AP144" s="41"/>
      <c r="AQ144" s="41"/>
      <c r="AR144" s="41"/>
      <c r="AS144" s="42"/>
      <c r="AT144" s="50"/>
      <c r="AU144" s="50"/>
      <c r="AW144" s="55" t="e">
        <f t="shared" si="55"/>
        <v>#DIV/0!</v>
      </c>
      <c r="AX144" s="55"/>
      <c r="AZ144" s="56"/>
      <c r="BA144" s="56"/>
      <c r="BB144" s="56"/>
      <c r="BC144" s="56"/>
      <c r="BD144" s="56"/>
      <c r="BE144" s="62"/>
      <c r="BG144" s="56"/>
      <c r="BH144" s="56"/>
      <c r="BI144" s="56"/>
      <c r="BJ144" s="56"/>
      <c r="BK144" s="56"/>
      <c r="BL144" s="62"/>
      <c r="BN144">
        <f t="shared" si="56"/>
        <v>0</v>
      </c>
      <c r="BO144">
        <f t="shared" si="57"/>
        <v>0</v>
      </c>
      <c r="BP144">
        <f t="shared" si="58"/>
        <v>0</v>
      </c>
      <c r="BQ144">
        <f t="shared" si="59"/>
        <v>0</v>
      </c>
      <c r="BR144">
        <f t="shared" si="60"/>
        <v>0</v>
      </c>
      <c r="BS144">
        <f t="shared" si="61"/>
        <v>0</v>
      </c>
      <c r="BT144">
        <f t="shared" si="62"/>
        <v>0</v>
      </c>
      <c r="BU144">
        <f t="shared" si="63"/>
        <v>0</v>
      </c>
      <c r="BV144">
        <f t="shared" si="64"/>
        <v>0</v>
      </c>
      <c r="BW144">
        <f t="shared" si="65"/>
        <v>0</v>
      </c>
      <c r="BX144">
        <f t="shared" si="66"/>
        <v>0</v>
      </c>
    </row>
    <row r="145" spans="1:76" outlineLevel="1" x14ac:dyDescent="0.15">
      <c r="A145" s="5"/>
      <c r="B145" s="5" t="s">
        <v>128</v>
      </c>
      <c r="C145" s="6" t="s">
        <v>256</v>
      </c>
      <c r="D145" s="5">
        <v>1530552</v>
      </c>
      <c r="E145" s="7">
        <v>20</v>
      </c>
      <c r="F145" s="6">
        <v>1</v>
      </c>
      <c r="G145" s="6"/>
      <c r="I145" s="17" t="str">
        <f t="shared" si="45"/>
        <v>·</v>
      </c>
      <c r="J145" s="18" t="str">
        <f t="shared" si="46"/>
        <v>·</v>
      </c>
      <c r="K145" s="18" t="str">
        <f t="shared" si="47"/>
        <v>·</v>
      </c>
      <c r="L145" s="18" t="str">
        <f t="shared" si="48"/>
        <v>·</v>
      </c>
      <c r="M145" s="19"/>
      <c r="N145" s="18" t="str">
        <f t="shared" si="49"/>
        <v>·</v>
      </c>
      <c r="O145" s="20"/>
      <c r="P145" s="21"/>
      <c r="Q145" s="21"/>
      <c r="R145" s="21"/>
      <c r="S145" s="37"/>
      <c r="T145" s="38"/>
      <c r="U145" s="38"/>
      <c r="V145" s="38"/>
      <c r="W145" s="38"/>
      <c r="X145" s="38"/>
      <c r="Y145" s="39"/>
      <c r="Z145" s="49"/>
      <c r="AA145" s="49"/>
      <c r="AC145" s="17" t="str">
        <f t="shared" si="50"/>
        <v>·</v>
      </c>
      <c r="AD145" s="18" t="str">
        <f t="shared" si="51"/>
        <v>·</v>
      </c>
      <c r="AE145" s="18" t="str">
        <f t="shared" si="52"/>
        <v>·</v>
      </c>
      <c r="AF145" s="18" t="str">
        <f t="shared" si="53"/>
        <v>·</v>
      </c>
      <c r="AG145" s="19"/>
      <c r="AH145" s="18" t="str">
        <f t="shared" si="54"/>
        <v>·</v>
      </c>
      <c r="AI145" s="20"/>
      <c r="AJ145" s="21"/>
      <c r="AK145" s="21"/>
      <c r="AL145" s="21"/>
      <c r="AM145" s="37"/>
      <c r="AN145" s="38"/>
      <c r="AO145" s="38"/>
      <c r="AP145" s="38"/>
      <c r="AQ145" s="38"/>
      <c r="AR145" s="38"/>
      <c r="AS145" s="39"/>
      <c r="AT145" s="49"/>
      <c r="AU145" s="49"/>
      <c r="AW145" s="53" t="e">
        <f t="shared" si="55"/>
        <v>#DIV/0!</v>
      </c>
      <c r="AX145" s="53"/>
      <c r="AZ145" s="54"/>
      <c r="BA145" s="54"/>
      <c r="BB145" s="54"/>
      <c r="BC145" s="54"/>
      <c r="BD145" s="54"/>
      <c r="BE145" s="61"/>
      <c r="BG145" s="54"/>
      <c r="BH145" s="54"/>
      <c r="BI145" s="54"/>
      <c r="BJ145" s="54"/>
      <c r="BK145" s="54"/>
      <c r="BL145" s="61"/>
      <c r="BN145">
        <f t="shared" si="56"/>
        <v>0</v>
      </c>
      <c r="BO145">
        <f t="shared" si="57"/>
        <v>0</v>
      </c>
      <c r="BP145">
        <f t="shared" si="58"/>
        <v>0</v>
      </c>
      <c r="BQ145">
        <f t="shared" si="59"/>
        <v>0</v>
      </c>
      <c r="BR145">
        <f t="shared" si="60"/>
        <v>0</v>
      </c>
      <c r="BS145">
        <f t="shared" si="61"/>
        <v>0</v>
      </c>
      <c r="BT145">
        <f t="shared" si="62"/>
        <v>0</v>
      </c>
      <c r="BU145">
        <f t="shared" si="63"/>
        <v>0</v>
      </c>
      <c r="BV145">
        <f t="shared" si="64"/>
        <v>0</v>
      </c>
      <c r="BW145">
        <f t="shared" si="65"/>
        <v>0</v>
      </c>
      <c r="BX145">
        <f t="shared" si="66"/>
        <v>0</v>
      </c>
    </row>
    <row r="146" spans="1:76" outlineLevel="1" x14ac:dyDescent="0.15">
      <c r="A146" s="8"/>
      <c r="B146" s="8" t="s">
        <v>128</v>
      </c>
      <c r="C146" s="9" t="s">
        <v>257</v>
      </c>
      <c r="D146" s="8">
        <v>1530552</v>
      </c>
      <c r="E146" s="10">
        <v>20</v>
      </c>
      <c r="F146" s="9">
        <v>1</v>
      </c>
      <c r="G146" s="9"/>
      <c r="I146" s="22" t="str">
        <f t="shared" si="45"/>
        <v>·</v>
      </c>
      <c r="J146" s="23" t="str">
        <f t="shared" si="46"/>
        <v>·</v>
      </c>
      <c r="K146" s="23" t="str">
        <f t="shared" si="47"/>
        <v>·</v>
      </c>
      <c r="L146" s="23" t="str">
        <f t="shared" si="48"/>
        <v>·</v>
      </c>
      <c r="M146" s="24"/>
      <c r="N146" s="23" t="str">
        <f t="shared" si="49"/>
        <v>·</v>
      </c>
      <c r="O146" s="25"/>
      <c r="P146" s="26"/>
      <c r="Q146" s="26"/>
      <c r="R146" s="26"/>
      <c r="S146" s="40"/>
      <c r="T146" s="41"/>
      <c r="U146" s="41"/>
      <c r="V146" s="41"/>
      <c r="W146" s="41"/>
      <c r="X146" s="41"/>
      <c r="Y146" s="42"/>
      <c r="Z146" s="50"/>
      <c r="AA146" s="50"/>
      <c r="AC146" s="22" t="str">
        <f t="shared" si="50"/>
        <v>·</v>
      </c>
      <c r="AD146" s="23" t="str">
        <f t="shared" si="51"/>
        <v>·</v>
      </c>
      <c r="AE146" s="23" t="str">
        <f t="shared" si="52"/>
        <v>·</v>
      </c>
      <c r="AF146" s="23" t="str">
        <f t="shared" si="53"/>
        <v>·</v>
      </c>
      <c r="AG146" s="24"/>
      <c r="AH146" s="23" t="str">
        <f t="shared" si="54"/>
        <v>·</v>
      </c>
      <c r="AI146" s="25"/>
      <c r="AJ146" s="26"/>
      <c r="AK146" s="26"/>
      <c r="AL146" s="26"/>
      <c r="AM146" s="40"/>
      <c r="AN146" s="41"/>
      <c r="AO146" s="41"/>
      <c r="AP146" s="41"/>
      <c r="AQ146" s="41"/>
      <c r="AR146" s="41"/>
      <c r="AS146" s="42"/>
      <c r="AT146" s="50"/>
      <c r="AU146" s="50"/>
      <c r="AW146" s="55" t="e">
        <f t="shared" si="55"/>
        <v>#DIV/0!</v>
      </c>
      <c r="AX146" s="55"/>
      <c r="AZ146" s="56"/>
      <c r="BA146" s="56"/>
      <c r="BB146" s="56"/>
      <c r="BC146" s="56"/>
      <c r="BD146" s="56"/>
      <c r="BE146" s="62"/>
      <c r="BG146" s="56"/>
      <c r="BH146" s="56"/>
      <c r="BI146" s="56"/>
      <c r="BJ146" s="56"/>
      <c r="BK146" s="56"/>
      <c r="BL146" s="62"/>
      <c r="BN146">
        <f t="shared" si="56"/>
        <v>0</v>
      </c>
      <c r="BO146">
        <f t="shared" si="57"/>
        <v>0</v>
      </c>
      <c r="BP146">
        <f t="shared" si="58"/>
        <v>0</v>
      </c>
      <c r="BQ146">
        <f t="shared" si="59"/>
        <v>0</v>
      </c>
      <c r="BR146">
        <f t="shared" si="60"/>
        <v>0</v>
      </c>
      <c r="BS146">
        <f t="shared" si="61"/>
        <v>0</v>
      </c>
      <c r="BT146">
        <f t="shared" si="62"/>
        <v>0</v>
      </c>
      <c r="BU146">
        <f t="shared" si="63"/>
        <v>0</v>
      </c>
      <c r="BV146">
        <f t="shared" si="64"/>
        <v>0</v>
      </c>
      <c r="BW146">
        <f t="shared" si="65"/>
        <v>0</v>
      </c>
      <c r="BX146">
        <f t="shared" si="66"/>
        <v>0</v>
      </c>
    </row>
    <row r="147" spans="1:76" outlineLevel="1" x14ac:dyDescent="0.15">
      <c r="A147" s="5"/>
      <c r="B147" s="5" t="s">
        <v>128</v>
      </c>
      <c r="C147" s="6" t="s">
        <v>258</v>
      </c>
      <c r="D147" s="5">
        <v>1530552</v>
      </c>
      <c r="E147" s="7">
        <v>20</v>
      </c>
      <c r="F147" s="6">
        <v>1</v>
      </c>
      <c r="G147" s="6"/>
      <c r="I147" s="17" t="str">
        <f t="shared" si="45"/>
        <v>·</v>
      </c>
      <c r="J147" s="18" t="str">
        <f t="shared" si="46"/>
        <v>·</v>
      </c>
      <c r="K147" s="18" t="str">
        <f t="shared" si="47"/>
        <v>·</v>
      </c>
      <c r="L147" s="18" t="str">
        <f t="shared" si="48"/>
        <v>·</v>
      </c>
      <c r="M147" s="19"/>
      <c r="N147" s="18" t="str">
        <f t="shared" si="49"/>
        <v>·</v>
      </c>
      <c r="O147" s="20"/>
      <c r="P147" s="21"/>
      <c r="Q147" s="21"/>
      <c r="R147" s="21"/>
      <c r="S147" s="37"/>
      <c r="T147" s="38"/>
      <c r="U147" s="38"/>
      <c r="V147" s="38"/>
      <c r="W147" s="38"/>
      <c r="X147" s="38"/>
      <c r="Y147" s="39"/>
      <c r="Z147" s="49"/>
      <c r="AA147" s="49"/>
      <c r="AC147" s="17" t="str">
        <f t="shared" si="50"/>
        <v>·</v>
      </c>
      <c r="AD147" s="18" t="str">
        <f t="shared" si="51"/>
        <v>·</v>
      </c>
      <c r="AE147" s="18" t="str">
        <f t="shared" si="52"/>
        <v>·</v>
      </c>
      <c r="AF147" s="18" t="str">
        <f t="shared" si="53"/>
        <v>·</v>
      </c>
      <c r="AG147" s="19"/>
      <c r="AH147" s="18" t="str">
        <f t="shared" si="54"/>
        <v>·</v>
      </c>
      <c r="AI147" s="20"/>
      <c r="AJ147" s="21"/>
      <c r="AK147" s="21"/>
      <c r="AL147" s="21"/>
      <c r="AM147" s="37"/>
      <c r="AN147" s="38"/>
      <c r="AO147" s="38"/>
      <c r="AP147" s="38"/>
      <c r="AQ147" s="38"/>
      <c r="AR147" s="38"/>
      <c r="AS147" s="39"/>
      <c r="AT147" s="49"/>
      <c r="AU147" s="49"/>
      <c r="AW147" s="53" t="e">
        <f t="shared" si="55"/>
        <v>#DIV/0!</v>
      </c>
      <c r="AX147" s="53"/>
      <c r="AZ147" s="54"/>
      <c r="BA147" s="54"/>
      <c r="BB147" s="54"/>
      <c r="BC147" s="54"/>
      <c r="BD147" s="54"/>
      <c r="BE147" s="61"/>
      <c r="BG147" s="54"/>
      <c r="BH147" s="54"/>
      <c r="BI147" s="54"/>
      <c r="BJ147" s="54"/>
      <c r="BK147" s="54"/>
      <c r="BL147" s="61"/>
      <c r="BN147">
        <f t="shared" si="56"/>
        <v>0</v>
      </c>
      <c r="BO147">
        <f t="shared" si="57"/>
        <v>0</v>
      </c>
      <c r="BP147">
        <f t="shared" si="58"/>
        <v>0</v>
      </c>
      <c r="BQ147">
        <f t="shared" si="59"/>
        <v>0</v>
      </c>
      <c r="BR147">
        <f t="shared" si="60"/>
        <v>0</v>
      </c>
      <c r="BS147">
        <f t="shared" si="61"/>
        <v>0</v>
      </c>
      <c r="BT147">
        <f t="shared" si="62"/>
        <v>0</v>
      </c>
      <c r="BU147">
        <f t="shared" si="63"/>
        <v>0</v>
      </c>
      <c r="BV147">
        <f t="shared" si="64"/>
        <v>0</v>
      </c>
      <c r="BW147">
        <f t="shared" si="65"/>
        <v>0</v>
      </c>
      <c r="BX147">
        <f t="shared" si="66"/>
        <v>0</v>
      </c>
    </row>
    <row r="148" spans="1:76" outlineLevel="1" x14ac:dyDescent="0.15">
      <c r="A148" s="8"/>
      <c r="B148" s="14" t="s">
        <v>128</v>
      </c>
      <c r="C148" s="15" t="s">
        <v>259</v>
      </c>
      <c r="D148" s="14">
        <v>1530552</v>
      </c>
      <c r="E148" s="16">
        <v>20</v>
      </c>
      <c r="F148" s="15">
        <v>1</v>
      </c>
      <c r="G148" s="15"/>
      <c r="I148" s="32" t="str">
        <f t="shared" si="45"/>
        <v>·</v>
      </c>
      <c r="J148" s="33" t="str">
        <f t="shared" si="46"/>
        <v>·</v>
      </c>
      <c r="K148" s="33" t="str">
        <f t="shared" si="47"/>
        <v>·</v>
      </c>
      <c r="L148" s="33" t="str">
        <f t="shared" si="48"/>
        <v>·</v>
      </c>
      <c r="M148" s="34"/>
      <c r="N148" s="33" t="str">
        <f t="shared" si="49"/>
        <v>·</v>
      </c>
      <c r="O148" s="35"/>
      <c r="P148" s="36"/>
      <c r="Q148" s="36"/>
      <c r="R148" s="36"/>
      <c r="S148" s="46"/>
      <c r="T148" s="47"/>
      <c r="U148" s="47"/>
      <c r="V148" s="47"/>
      <c r="W148" s="47"/>
      <c r="X148" s="47"/>
      <c r="Y148" s="48"/>
      <c r="Z148" s="52"/>
      <c r="AA148" s="52"/>
      <c r="AC148" s="32" t="str">
        <f t="shared" si="50"/>
        <v>·</v>
      </c>
      <c r="AD148" s="33" t="str">
        <f t="shared" si="51"/>
        <v>·</v>
      </c>
      <c r="AE148" s="33" t="str">
        <f t="shared" si="52"/>
        <v>·</v>
      </c>
      <c r="AF148" s="33" t="str">
        <f t="shared" si="53"/>
        <v>·</v>
      </c>
      <c r="AG148" s="34"/>
      <c r="AH148" s="33" t="str">
        <f t="shared" si="54"/>
        <v>·</v>
      </c>
      <c r="AI148" s="35"/>
      <c r="AJ148" s="36"/>
      <c r="AK148" s="36"/>
      <c r="AL148" s="36"/>
      <c r="AM148" s="46"/>
      <c r="AN148" s="47"/>
      <c r="AO148" s="47"/>
      <c r="AP148" s="47"/>
      <c r="AQ148" s="47"/>
      <c r="AR148" s="47"/>
      <c r="AS148" s="48"/>
      <c r="AT148" s="52"/>
      <c r="AU148" s="52"/>
      <c r="AW148" s="59" t="e">
        <f t="shared" si="55"/>
        <v>#DIV/0!</v>
      </c>
      <c r="AX148" s="59"/>
      <c r="AZ148" s="60"/>
      <c r="BA148" s="60"/>
      <c r="BB148" s="60"/>
      <c r="BC148" s="60"/>
      <c r="BD148" s="60"/>
      <c r="BE148" s="64"/>
      <c r="BG148" s="60"/>
      <c r="BH148" s="60"/>
      <c r="BI148" s="60"/>
      <c r="BJ148" s="60"/>
      <c r="BK148" s="60"/>
      <c r="BL148" s="64"/>
      <c r="BN148">
        <f t="shared" si="56"/>
        <v>0</v>
      </c>
      <c r="BO148">
        <f t="shared" si="57"/>
        <v>0</v>
      </c>
      <c r="BP148">
        <f t="shared" si="58"/>
        <v>0</v>
      </c>
      <c r="BQ148">
        <f t="shared" si="59"/>
        <v>0</v>
      </c>
      <c r="BR148">
        <f t="shared" si="60"/>
        <v>0</v>
      </c>
      <c r="BS148">
        <f t="shared" si="61"/>
        <v>0</v>
      </c>
      <c r="BT148">
        <f t="shared" si="62"/>
        <v>0</v>
      </c>
      <c r="BU148">
        <f t="shared" si="63"/>
        <v>0</v>
      </c>
      <c r="BV148">
        <f t="shared" si="64"/>
        <v>0</v>
      </c>
      <c r="BW148">
        <f t="shared" si="65"/>
        <v>0</v>
      </c>
      <c r="BX148">
        <f t="shared" si="66"/>
        <v>0</v>
      </c>
    </row>
    <row r="149" spans="1:76" x14ac:dyDescent="0.15">
      <c r="A149" s="5"/>
      <c r="B149" s="5" t="s">
        <v>131</v>
      </c>
      <c r="C149" s="6" t="s">
        <v>254</v>
      </c>
      <c r="D149" s="5">
        <v>272689</v>
      </c>
      <c r="E149" s="7">
        <v>20</v>
      </c>
      <c r="F149" s="6">
        <v>1</v>
      </c>
      <c r="G149" s="6"/>
      <c r="I149" s="17" t="str">
        <f t="shared" si="45"/>
        <v>·</v>
      </c>
      <c r="J149" s="18" t="str">
        <f t="shared" si="46"/>
        <v>·</v>
      </c>
      <c r="K149" s="18" t="str">
        <f t="shared" si="47"/>
        <v>·</v>
      </c>
      <c r="L149" s="18" t="str">
        <f t="shared" si="48"/>
        <v>·</v>
      </c>
      <c r="M149" s="19"/>
      <c r="N149" s="18" t="str">
        <f t="shared" si="49"/>
        <v>·</v>
      </c>
      <c r="O149" s="20"/>
      <c r="P149" s="21"/>
      <c r="Q149" s="21"/>
      <c r="R149" s="21"/>
      <c r="S149" s="37"/>
      <c r="T149" s="38"/>
      <c r="U149" s="38"/>
      <c r="V149" s="38"/>
      <c r="W149" s="38"/>
      <c r="X149" s="38"/>
      <c r="Y149" s="39"/>
      <c r="Z149" s="49"/>
      <c r="AA149" s="49"/>
      <c r="AC149" s="17" t="str">
        <f t="shared" si="50"/>
        <v>·</v>
      </c>
      <c r="AD149" s="18" t="str">
        <f t="shared" si="51"/>
        <v>·</v>
      </c>
      <c r="AE149" s="18" t="str">
        <f t="shared" si="52"/>
        <v>·</v>
      </c>
      <c r="AF149" s="18" t="str">
        <f t="shared" si="53"/>
        <v>·</v>
      </c>
      <c r="AG149" s="19"/>
      <c r="AH149" s="18" t="str">
        <f t="shared" si="54"/>
        <v>·</v>
      </c>
      <c r="AI149" s="20"/>
      <c r="AJ149" s="21"/>
      <c r="AK149" s="21"/>
      <c r="AL149" s="21"/>
      <c r="AM149" s="37"/>
      <c r="AN149" s="38"/>
      <c r="AO149" s="38"/>
      <c r="AP149" s="38"/>
      <c r="AQ149" s="38"/>
      <c r="AR149" s="38"/>
      <c r="AS149" s="39"/>
      <c r="AT149" s="49"/>
      <c r="AU149" s="49"/>
      <c r="AW149" s="53" t="e">
        <f t="shared" si="55"/>
        <v>#DIV/0!</v>
      </c>
      <c r="AX149" s="53" t="e">
        <f t="array" ref="AX149">AVERAGE(AK149:AK154/AJ149:AJ154)-AVERAGE(Q149:Q154/P149:P154)</f>
        <v>#DIV/0!</v>
      </c>
      <c r="AZ149" s="54" t="str">
        <f>IF(OR(ISBLANK(Q149:Q154),ISBLANK(AK149:AK154),ISBLANK(T149:T154),ISBLANK(AN149:AN154)),"·",bdRateExtend(Q149:Q154,T149:T154,AK149:AK154,AN149:AN154))</f>
        <v>·</v>
      </c>
      <c r="BA149" s="54" t="str">
        <f>IF(OR(ISBLANK(Q149:Q154),ISBLANK(AK149:AK154),ISBLANK(U149:U154),ISBLANK(AO149:AO154)),"·",bdRateExtend(Q149:Q154,U149:U154,AK149:AK154,AO149:AO154))</f>
        <v>·</v>
      </c>
      <c r="BB149" s="54" t="str">
        <f>IF(OR(ISBLANK(R149:R154),ISBLANK(AL149:AL154),ISBLANK(V149:V154),ISBLANK(AP149:AP154)),"·",bdRateExtend(R149:R154,V149:V154,AL149:AL154,AP149:AP154))</f>
        <v>·</v>
      </c>
      <c r="BC149" s="54" t="str">
        <f>IF(OR(ISBLANK(R149:R154),ISBLANK(AL149:AL154),ISBLANK(W149:W154),ISBLANK(AQ149:AQ154)),"·",bdRateExtend(R149:R154,W149:W154,AL149:AL154,AQ149:AQ154))</f>
        <v>·</v>
      </c>
      <c r="BD149" s="54" t="str">
        <f>IF(OR(ISBLANK(R149:R154),ISBLANK(AL149:AL154),ISBLANK(X149:X154),ISBLANK(AR149:AR154)),"·",bdRateExtend(R149:R154,X149:X154,AL149:AL154,AR149:AR154))</f>
        <v>·</v>
      </c>
      <c r="BE149" s="61"/>
      <c r="BG149" s="54" t="str">
        <f>IF(OR(ISBLANK(P149:P154),ISBLANK(AJ149:AJ154),ISBLANK(T149:T154),ISBLANK(AN149:AN154)),"·",bdRateExtend(P149:P154,T149:T154,AJ149:AJ154,AN149:AN154))</f>
        <v>·</v>
      </c>
      <c r="BH149" s="54" t="str">
        <f>IF(OR(ISBLANK(P149:P154),ISBLANK(AJ149:AJ154),ISBLANK(U149:U154),ISBLANK(AO149:AO154)),"·",bdRateExtend(P149:P154,U149:U154,AJ149:AJ154,AO149:AO154))</f>
        <v>·</v>
      </c>
      <c r="BI149" s="54" t="str">
        <f>IF(OR(ISBLANK(P149:P154),ISBLANK(AJ149:AJ154),ISBLANK(V149:V154),ISBLANK(AP149:AP154)),"·",bdRateExtend(P149:P154,V149:V154,AJ149:AJ154,AP149:AP154))</f>
        <v>·</v>
      </c>
      <c r="BJ149" s="54" t="str">
        <f>IF(OR(ISBLANK(P149:P154),ISBLANK(AJ149:AJ154),ISBLANK(W149:W154),ISBLANK(AQ149:AQ154)),"·",bdRateExtend(P149:P154,W149:W154,AJ149:AJ154,AQ149:AQ154))</f>
        <v>·</v>
      </c>
      <c r="BK149" s="54" t="str">
        <f>IF(OR(ISBLANK(P149:P154),ISBLANK(AJ149:AJ154),ISBLANK(X149:X154),ISBLANK(AR149:AR154)),"·",bdRateExtend(P149:P154,X149:X154,AJ149:AJ154,AR149:AR154))</f>
        <v>·</v>
      </c>
      <c r="BL149" s="61"/>
      <c r="BN149">
        <f t="shared" si="56"/>
        <v>0</v>
      </c>
      <c r="BO149">
        <f t="shared" si="57"/>
        <v>0</v>
      </c>
      <c r="BP149">
        <f t="shared" si="58"/>
        <v>0</v>
      </c>
      <c r="BQ149">
        <f t="shared" si="59"/>
        <v>0</v>
      </c>
      <c r="BR149">
        <f t="shared" si="60"/>
        <v>0</v>
      </c>
      <c r="BS149">
        <f t="shared" si="61"/>
        <v>0</v>
      </c>
      <c r="BT149">
        <f t="shared" si="62"/>
        <v>0</v>
      </c>
      <c r="BU149">
        <f t="shared" si="63"/>
        <v>0</v>
      </c>
      <c r="BV149">
        <f t="shared" si="64"/>
        <v>0</v>
      </c>
      <c r="BW149">
        <f t="shared" si="65"/>
        <v>0</v>
      </c>
      <c r="BX149">
        <f t="shared" si="66"/>
        <v>0</v>
      </c>
    </row>
    <row r="150" spans="1:76" outlineLevel="1" x14ac:dyDescent="0.15">
      <c r="A150" s="8"/>
      <c r="B150" s="8" t="s">
        <v>131</v>
      </c>
      <c r="C150" s="9" t="s">
        <v>255</v>
      </c>
      <c r="D150" s="8">
        <v>272689</v>
      </c>
      <c r="E150" s="10">
        <v>20</v>
      </c>
      <c r="F150" s="9">
        <v>1</v>
      </c>
      <c r="G150" s="9"/>
      <c r="I150" s="22" t="str">
        <f t="shared" si="45"/>
        <v>·</v>
      </c>
      <c r="J150" s="23" t="str">
        <f t="shared" si="46"/>
        <v>·</v>
      </c>
      <c r="K150" s="23" t="str">
        <f t="shared" si="47"/>
        <v>·</v>
      </c>
      <c r="L150" s="23" t="str">
        <f t="shared" si="48"/>
        <v>·</v>
      </c>
      <c r="M150" s="24"/>
      <c r="N150" s="23" t="str">
        <f t="shared" si="49"/>
        <v>·</v>
      </c>
      <c r="O150" s="25"/>
      <c r="P150" s="26"/>
      <c r="Q150" s="26"/>
      <c r="R150" s="26"/>
      <c r="S150" s="40"/>
      <c r="T150" s="41"/>
      <c r="U150" s="41"/>
      <c r="V150" s="41"/>
      <c r="W150" s="41"/>
      <c r="X150" s="41"/>
      <c r="Y150" s="42"/>
      <c r="Z150" s="50"/>
      <c r="AA150" s="50"/>
      <c r="AC150" s="22" t="str">
        <f t="shared" si="50"/>
        <v>·</v>
      </c>
      <c r="AD150" s="23" t="str">
        <f t="shared" si="51"/>
        <v>·</v>
      </c>
      <c r="AE150" s="23" t="str">
        <f t="shared" si="52"/>
        <v>·</v>
      </c>
      <c r="AF150" s="23" t="str">
        <f t="shared" si="53"/>
        <v>·</v>
      </c>
      <c r="AG150" s="24"/>
      <c r="AH150" s="23" t="str">
        <f t="shared" si="54"/>
        <v>·</v>
      </c>
      <c r="AI150" s="25"/>
      <c r="AJ150" s="26"/>
      <c r="AK150" s="26"/>
      <c r="AL150" s="26"/>
      <c r="AM150" s="40"/>
      <c r="AN150" s="41"/>
      <c r="AO150" s="41"/>
      <c r="AP150" s="41"/>
      <c r="AQ150" s="41"/>
      <c r="AR150" s="41"/>
      <c r="AS150" s="42"/>
      <c r="AT150" s="50"/>
      <c r="AU150" s="50"/>
      <c r="AW150" s="55" t="e">
        <f t="shared" si="55"/>
        <v>#DIV/0!</v>
      </c>
      <c r="AX150" s="55"/>
      <c r="AZ150" s="56"/>
      <c r="BA150" s="56"/>
      <c r="BB150" s="56"/>
      <c r="BC150" s="56"/>
      <c r="BD150" s="56"/>
      <c r="BE150" s="62"/>
      <c r="BG150" s="56"/>
      <c r="BH150" s="56"/>
      <c r="BI150" s="56"/>
      <c r="BJ150" s="56"/>
      <c r="BK150" s="56"/>
      <c r="BL150" s="62"/>
      <c r="BN150">
        <f t="shared" si="56"/>
        <v>0</v>
      </c>
      <c r="BO150">
        <f t="shared" si="57"/>
        <v>0</v>
      </c>
      <c r="BP150">
        <f t="shared" si="58"/>
        <v>0</v>
      </c>
      <c r="BQ150">
        <f t="shared" si="59"/>
        <v>0</v>
      </c>
      <c r="BR150">
        <f t="shared" si="60"/>
        <v>0</v>
      </c>
      <c r="BS150">
        <f t="shared" si="61"/>
        <v>0</v>
      </c>
      <c r="BT150">
        <f t="shared" si="62"/>
        <v>0</v>
      </c>
      <c r="BU150">
        <f t="shared" si="63"/>
        <v>0</v>
      </c>
      <c r="BV150">
        <f t="shared" si="64"/>
        <v>0</v>
      </c>
      <c r="BW150">
        <f t="shared" si="65"/>
        <v>0</v>
      </c>
      <c r="BX150">
        <f t="shared" si="66"/>
        <v>0</v>
      </c>
    </row>
    <row r="151" spans="1:76" outlineLevel="1" x14ac:dyDescent="0.15">
      <c r="A151" s="5"/>
      <c r="B151" s="5" t="s">
        <v>131</v>
      </c>
      <c r="C151" s="6" t="s">
        <v>256</v>
      </c>
      <c r="D151" s="5">
        <v>272689</v>
      </c>
      <c r="E151" s="7">
        <v>20</v>
      </c>
      <c r="F151" s="6">
        <v>1</v>
      </c>
      <c r="G151" s="6"/>
      <c r="I151" s="17" t="str">
        <f t="shared" si="45"/>
        <v>·</v>
      </c>
      <c r="J151" s="18" t="str">
        <f t="shared" si="46"/>
        <v>·</v>
      </c>
      <c r="K151" s="18" t="str">
        <f t="shared" si="47"/>
        <v>·</v>
      </c>
      <c r="L151" s="18" t="str">
        <f t="shared" si="48"/>
        <v>·</v>
      </c>
      <c r="M151" s="19"/>
      <c r="N151" s="18" t="str">
        <f t="shared" si="49"/>
        <v>·</v>
      </c>
      <c r="O151" s="20"/>
      <c r="P151" s="21"/>
      <c r="Q151" s="21"/>
      <c r="R151" s="21"/>
      <c r="S151" s="37"/>
      <c r="T151" s="38"/>
      <c r="U151" s="38"/>
      <c r="V151" s="38"/>
      <c r="W151" s="38"/>
      <c r="X151" s="38"/>
      <c r="Y151" s="39"/>
      <c r="Z151" s="49"/>
      <c r="AA151" s="49"/>
      <c r="AC151" s="17" t="str">
        <f t="shared" si="50"/>
        <v>·</v>
      </c>
      <c r="AD151" s="18" t="str">
        <f t="shared" si="51"/>
        <v>·</v>
      </c>
      <c r="AE151" s="18" t="str">
        <f t="shared" si="52"/>
        <v>·</v>
      </c>
      <c r="AF151" s="18" t="str">
        <f t="shared" si="53"/>
        <v>·</v>
      </c>
      <c r="AG151" s="19"/>
      <c r="AH151" s="18" t="str">
        <f t="shared" si="54"/>
        <v>·</v>
      </c>
      <c r="AI151" s="20"/>
      <c r="AJ151" s="21"/>
      <c r="AK151" s="21"/>
      <c r="AL151" s="21"/>
      <c r="AM151" s="37"/>
      <c r="AN151" s="38"/>
      <c r="AO151" s="38"/>
      <c r="AP151" s="38"/>
      <c r="AQ151" s="38"/>
      <c r="AR151" s="38"/>
      <c r="AS151" s="39"/>
      <c r="AT151" s="49"/>
      <c r="AU151" s="49"/>
      <c r="AW151" s="53" t="e">
        <f t="shared" si="55"/>
        <v>#DIV/0!</v>
      </c>
      <c r="AX151" s="53"/>
      <c r="AZ151" s="54"/>
      <c r="BA151" s="54"/>
      <c r="BB151" s="54"/>
      <c r="BC151" s="54"/>
      <c r="BD151" s="54"/>
      <c r="BE151" s="61"/>
      <c r="BG151" s="54"/>
      <c r="BH151" s="54"/>
      <c r="BI151" s="54"/>
      <c r="BJ151" s="54"/>
      <c r="BK151" s="54"/>
      <c r="BL151" s="61"/>
      <c r="BN151">
        <f t="shared" si="56"/>
        <v>0</v>
      </c>
      <c r="BO151">
        <f t="shared" si="57"/>
        <v>0</v>
      </c>
      <c r="BP151">
        <f t="shared" si="58"/>
        <v>0</v>
      </c>
      <c r="BQ151">
        <f t="shared" si="59"/>
        <v>0</v>
      </c>
      <c r="BR151">
        <f t="shared" si="60"/>
        <v>0</v>
      </c>
      <c r="BS151">
        <f t="shared" si="61"/>
        <v>0</v>
      </c>
      <c r="BT151">
        <f t="shared" si="62"/>
        <v>0</v>
      </c>
      <c r="BU151">
        <f t="shared" si="63"/>
        <v>0</v>
      </c>
      <c r="BV151">
        <f t="shared" si="64"/>
        <v>0</v>
      </c>
      <c r="BW151">
        <f t="shared" si="65"/>
        <v>0</v>
      </c>
      <c r="BX151">
        <f t="shared" si="66"/>
        <v>0</v>
      </c>
    </row>
    <row r="152" spans="1:76" outlineLevel="1" x14ac:dyDescent="0.15">
      <c r="A152" s="8"/>
      <c r="B152" s="8" t="s">
        <v>131</v>
      </c>
      <c r="C152" s="9" t="s">
        <v>257</v>
      </c>
      <c r="D152" s="8">
        <v>272689</v>
      </c>
      <c r="E152" s="10">
        <v>20</v>
      </c>
      <c r="F152" s="9">
        <v>1</v>
      </c>
      <c r="G152" s="9"/>
      <c r="I152" s="22" t="str">
        <f t="shared" si="45"/>
        <v>·</v>
      </c>
      <c r="J152" s="23" t="str">
        <f t="shared" si="46"/>
        <v>·</v>
      </c>
      <c r="K152" s="23" t="str">
        <f t="shared" si="47"/>
        <v>·</v>
      </c>
      <c r="L152" s="23" t="str">
        <f t="shared" si="48"/>
        <v>·</v>
      </c>
      <c r="M152" s="24"/>
      <c r="N152" s="23" t="str">
        <f t="shared" si="49"/>
        <v>·</v>
      </c>
      <c r="O152" s="25"/>
      <c r="P152" s="26"/>
      <c r="Q152" s="26"/>
      <c r="R152" s="26"/>
      <c r="S152" s="40"/>
      <c r="T152" s="41"/>
      <c r="U152" s="41"/>
      <c r="V152" s="41"/>
      <c r="W152" s="41"/>
      <c r="X152" s="41"/>
      <c r="Y152" s="42"/>
      <c r="Z152" s="50"/>
      <c r="AA152" s="50"/>
      <c r="AC152" s="22" t="str">
        <f t="shared" si="50"/>
        <v>·</v>
      </c>
      <c r="AD152" s="23" t="str">
        <f t="shared" si="51"/>
        <v>·</v>
      </c>
      <c r="AE152" s="23" t="str">
        <f t="shared" si="52"/>
        <v>·</v>
      </c>
      <c r="AF152" s="23" t="str">
        <f t="shared" si="53"/>
        <v>·</v>
      </c>
      <c r="AG152" s="24"/>
      <c r="AH152" s="23" t="str">
        <f t="shared" si="54"/>
        <v>·</v>
      </c>
      <c r="AI152" s="25"/>
      <c r="AJ152" s="26"/>
      <c r="AK152" s="26"/>
      <c r="AL152" s="26"/>
      <c r="AM152" s="40"/>
      <c r="AN152" s="41"/>
      <c r="AO152" s="41"/>
      <c r="AP152" s="41"/>
      <c r="AQ152" s="41"/>
      <c r="AR152" s="41"/>
      <c r="AS152" s="42"/>
      <c r="AT152" s="50"/>
      <c r="AU152" s="50"/>
      <c r="AW152" s="55" t="e">
        <f t="shared" si="55"/>
        <v>#DIV/0!</v>
      </c>
      <c r="AX152" s="55"/>
      <c r="AZ152" s="56"/>
      <c r="BA152" s="56"/>
      <c r="BB152" s="56"/>
      <c r="BC152" s="56"/>
      <c r="BD152" s="56"/>
      <c r="BE152" s="62"/>
      <c r="BG152" s="56"/>
      <c r="BH152" s="56"/>
      <c r="BI152" s="56"/>
      <c r="BJ152" s="56"/>
      <c r="BK152" s="56"/>
      <c r="BL152" s="62"/>
      <c r="BN152">
        <f t="shared" si="56"/>
        <v>0</v>
      </c>
      <c r="BO152">
        <f t="shared" si="57"/>
        <v>0</v>
      </c>
      <c r="BP152">
        <f t="shared" si="58"/>
        <v>0</v>
      </c>
      <c r="BQ152">
        <f t="shared" si="59"/>
        <v>0</v>
      </c>
      <c r="BR152">
        <f t="shared" si="60"/>
        <v>0</v>
      </c>
      <c r="BS152">
        <f t="shared" si="61"/>
        <v>0</v>
      </c>
      <c r="BT152">
        <f t="shared" si="62"/>
        <v>0</v>
      </c>
      <c r="BU152">
        <f t="shared" si="63"/>
        <v>0</v>
      </c>
      <c r="BV152">
        <f t="shared" si="64"/>
        <v>0</v>
      </c>
      <c r="BW152">
        <f t="shared" si="65"/>
        <v>0</v>
      </c>
      <c r="BX152">
        <f t="shared" si="66"/>
        <v>0</v>
      </c>
    </row>
    <row r="153" spans="1:76" outlineLevel="1" x14ac:dyDescent="0.15">
      <c r="A153" s="5"/>
      <c r="B153" s="5" t="s">
        <v>131</v>
      </c>
      <c r="C153" s="6" t="s">
        <v>258</v>
      </c>
      <c r="D153" s="5">
        <v>272689</v>
      </c>
      <c r="E153" s="7">
        <v>20</v>
      </c>
      <c r="F153" s="6">
        <v>1</v>
      </c>
      <c r="G153" s="6"/>
      <c r="I153" s="17" t="str">
        <f t="shared" si="45"/>
        <v>·</v>
      </c>
      <c r="J153" s="18" t="str">
        <f t="shared" si="46"/>
        <v>·</v>
      </c>
      <c r="K153" s="18" t="str">
        <f t="shared" si="47"/>
        <v>·</v>
      </c>
      <c r="L153" s="18" t="str">
        <f t="shared" si="48"/>
        <v>·</v>
      </c>
      <c r="M153" s="19"/>
      <c r="N153" s="18" t="str">
        <f t="shared" si="49"/>
        <v>·</v>
      </c>
      <c r="O153" s="20"/>
      <c r="P153" s="21"/>
      <c r="Q153" s="21"/>
      <c r="R153" s="21"/>
      <c r="S153" s="37"/>
      <c r="T153" s="38"/>
      <c r="U153" s="38"/>
      <c r="V153" s="38"/>
      <c r="W153" s="38"/>
      <c r="X153" s="38"/>
      <c r="Y153" s="39"/>
      <c r="Z153" s="49"/>
      <c r="AA153" s="49"/>
      <c r="AC153" s="17" t="str">
        <f t="shared" si="50"/>
        <v>·</v>
      </c>
      <c r="AD153" s="18" t="str">
        <f t="shared" si="51"/>
        <v>·</v>
      </c>
      <c r="AE153" s="18" t="str">
        <f t="shared" si="52"/>
        <v>·</v>
      </c>
      <c r="AF153" s="18" t="str">
        <f t="shared" si="53"/>
        <v>·</v>
      </c>
      <c r="AG153" s="19"/>
      <c r="AH153" s="18" t="str">
        <f t="shared" si="54"/>
        <v>·</v>
      </c>
      <c r="AI153" s="20"/>
      <c r="AJ153" s="21"/>
      <c r="AK153" s="21"/>
      <c r="AL153" s="21"/>
      <c r="AM153" s="37"/>
      <c r="AN153" s="38"/>
      <c r="AO153" s="38"/>
      <c r="AP153" s="38"/>
      <c r="AQ153" s="38"/>
      <c r="AR153" s="38"/>
      <c r="AS153" s="39"/>
      <c r="AT153" s="49"/>
      <c r="AU153" s="49"/>
      <c r="AW153" s="53" t="e">
        <f t="shared" si="55"/>
        <v>#DIV/0!</v>
      </c>
      <c r="AX153" s="53"/>
      <c r="AZ153" s="54"/>
      <c r="BA153" s="54"/>
      <c r="BB153" s="54"/>
      <c r="BC153" s="54"/>
      <c r="BD153" s="54"/>
      <c r="BE153" s="61"/>
      <c r="BG153" s="54"/>
      <c r="BH153" s="54"/>
      <c r="BI153" s="54"/>
      <c r="BJ153" s="54"/>
      <c r="BK153" s="54"/>
      <c r="BL153" s="61"/>
      <c r="BN153">
        <f t="shared" si="56"/>
        <v>0</v>
      </c>
      <c r="BO153">
        <f t="shared" si="57"/>
        <v>0</v>
      </c>
      <c r="BP153">
        <f t="shared" si="58"/>
        <v>0</v>
      </c>
      <c r="BQ153">
        <f t="shared" si="59"/>
        <v>0</v>
      </c>
      <c r="BR153">
        <f t="shared" si="60"/>
        <v>0</v>
      </c>
      <c r="BS153">
        <f t="shared" si="61"/>
        <v>0</v>
      </c>
      <c r="BT153">
        <f t="shared" si="62"/>
        <v>0</v>
      </c>
      <c r="BU153">
        <f t="shared" si="63"/>
        <v>0</v>
      </c>
      <c r="BV153">
        <f t="shared" si="64"/>
        <v>0</v>
      </c>
      <c r="BW153">
        <f t="shared" si="65"/>
        <v>0</v>
      </c>
      <c r="BX153">
        <f t="shared" si="66"/>
        <v>0</v>
      </c>
    </row>
    <row r="154" spans="1:76" outlineLevel="1" x14ac:dyDescent="0.15">
      <c r="A154" s="8"/>
      <c r="B154" s="14" t="s">
        <v>131</v>
      </c>
      <c r="C154" s="15" t="s">
        <v>259</v>
      </c>
      <c r="D154" s="14">
        <v>272689</v>
      </c>
      <c r="E154" s="16">
        <v>20</v>
      </c>
      <c r="F154" s="15">
        <v>1</v>
      </c>
      <c r="G154" s="15"/>
      <c r="I154" s="32" t="str">
        <f t="shared" si="45"/>
        <v>·</v>
      </c>
      <c r="J154" s="33" t="str">
        <f t="shared" si="46"/>
        <v>·</v>
      </c>
      <c r="K154" s="33" t="str">
        <f t="shared" si="47"/>
        <v>·</v>
      </c>
      <c r="L154" s="33" t="str">
        <f t="shared" si="48"/>
        <v>·</v>
      </c>
      <c r="M154" s="34"/>
      <c r="N154" s="33" t="str">
        <f t="shared" si="49"/>
        <v>·</v>
      </c>
      <c r="O154" s="35"/>
      <c r="P154" s="36"/>
      <c r="Q154" s="36"/>
      <c r="R154" s="36"/>
      <c r="S154" s="46"/>
      <c r="T154" s="47"/>
      <c r="U154" s="47"/>
      <c r="V154" s="47"/>
      <c r="W154" s="47"/>
      <c r="X154" s="47"/>
      <c r="Y154" s="48"/>
      <c r="Z154" s="52"/>
      <c r="AA154" s="52"/>
      <c r="AC154" s="32" t="str">
        <f t="shared" si="50"/>
        <v>·</v>
      </c>
      <c r="AD154" s="33" t="str">
        <f t="shared" si="51"/>
        <v>·</v>
      </c>
      <c r="AE154" s="33" t="str">
        <f t="shared" si="52"/>
        <v>·</v>
      </c>
      <c r="AF154" s="33" t="str">
        <f t="shared" si="53"/>
        <v>·</v>
      </c>
      <c r="AG154" s="34"/>
      <c r="AH154" s="33" t="str">
        <f t="shared" si="54"/>
        <v>·</v>
      </c>
      <c r="AI154" s="35"/>
      <c r="AJ154" s="36"/>
      <c r="AK154" s="36"/>
      <c r="AL154" s="36"/>
      <c r="AM154" s="46"/>
      <c r="AN154" s="47"/>
      <c r="AO154" s="47"/>
      <c r="AP154" s="47"/>
      <c r="AQ154" s="47"/>
      <c r="AR154" s="47"/>
      <c r="AS154" s="48"/>
      <c r="AT154" s="52"/>
      <c r="AU154" s="52"/>
      <c r="AW154" s="59" t="e">
        <f t="shared" si="55"/>
        <v>#DIV/0!</v>
      </c>
      <c r="AX154" s="59"/>
      <c r="AZ154" s="60"/>
      <c r="BA154" s="60"/>
      <c r="BB154" s="60"/>
      <c r="BC154" s="60"/>
      <c r="BD154" s="60"/>
      <c r="BE154" s="64"/>
      <c r="BG154" s="60"/>
      <c r="BH154" s="60"/>
      <c r="BI154" s="60"/>
      <c r="BJ154" s="60"/>
      <c r="BK154" s="60"/>
      <c r="BL154" s="64"/>
      <c r="BN154">
        <f t="shared" si="56"/>
        <v>0</v>
      </c>
      <c r="BO154">
        <f t="shared" si="57"/>
        <v>0</v>
      </c>
      <c r="BP154">
        <f t="shared" si="58"/>
        <v>0</v>
      </c>
      <c r="BQ154">
        <f t="shared" si="59"/>
        <v>0</v>
      </c>
      <c r="BR154">
        <f t="shared" si="60"/>
        <v>0</v>
      </c>
      <c r="BS154">
        <f t="shared" si="61"/>
        <v>0</v>
      </c>
      <c r="BT154">
        <f t="shared" si="62"/>
        <v>0</v>
      </c>
      <c r="BU154">
        <f t="shared" si="63"/>
        <v>0</v>
      </c>
      <c r="BV154">
        <f t="shared" si="64"/>
        <v>0</v>
      </c>
      <c r="BW154">
        <f t="shared" si="65"/>
        <v>0</v>
      </c>
      <c r="BX154">
        <f t="shared" si="66"/>
        <v>0</v>
      </c>
    </row>
    <row r="155" spans="1:76" x14ac:dyDescent="0.15">
      <c r="A155" s="5"/>
      <c r="B155" s="5" t="s">
        <v>134</v>
      </c>
      <c r="C155" s="6" t="s">
        <v>254</v>
      </c>
      <c r="D155" s="5">
        <v>1602990</v>
      </c>
      <c r="E155" s="7">
        <v>20</v>
      </c>
      <c r="F155" s="6">
        <v>1</v>
      </c>
      <c r="G155" s="6"/>
      <c r="I155" s="17" t="str">
        <f t="shared" si="45"/>
        <v>·</v>
      </c>
      <c r="J155" s="18" t="str">
        <f t="shared" si="46"/>
        <v>·</v>
      </c>
      <c r="K155" s="18" t="str">
        <f t="shared" si="47"/>
        <v>·</v>
      </c>
      <c r="L155" s="18" t="str">
        <f t="shared" si="48"/>
        <v>·</v>
      </c>
      <c r="M155" s="19"/>
      <c r="N155" s="18" t="str">
        <f t="shared" si="49"/>
        <v>·</v>
      </c>
      <c r="O155" s="20"/>
      <c r="P155" s="21"/>
      <c r="Q155" s="21"/>
      <c r="R155" s="21"/>
      <c r="S155" s="37"/>
      <c r="T155" s="38"/>
      <c r="U155" s="38"/>
      <c r="V155" s="38"/>
      <c r="W155" s="38"/>
      <c r="X155" s="38"/>
      <c r="Y155" s="39"/>
      <c r="Z155" s="49"/>
      <c r="AA155" s="49"/>
      <c r="AC155" s="17" t="str">
        <f t="shared" si="50"/>
        <v>·</v>
      </c>
      <c r="AD155" s="18" t="str">
        <f t="shared" si="51"/>
        <v>·</v>
      </c>
      <c r="AE155" s="18" t="str">
        <f t="shared" si="52"/>
        <v>·</v>
      </c>
      <c r="AF155" s="18" t="str">
        <f t="shared" si="53"/>
        <v>·</v>
      </c>
      <c r="AG155" s="19"/>
      <c r="AH155" s="18" t="str">
        <f t="shared" si="54"/>
        <v>·</v>
      </c>
      <c r="AI155" s="20"/>
      <c r="AJ155" s="21"/>
      <c r="AK155" s="21"/>
      <c r="AL155" s="21"/>
      <c r="AM155" s="37"/>
      <c r="AN155" s="38"/>
      <c r="AO155" s="38"/>
      <c r="AP155" s="38"/>
      <c r="AQ155" s="38"/>
      <c r="AR155" s="38"/>
      <c r="AS155" s="39"/>
      <c r="AT155" s="49"/>
      <c r="AU155" s="49"/>
      <c r="AW155" s="53" t="e">
        <f t="shared" si="55"/>
        <v>#DIV/0!</v>
      </c>
      <c r="AX155" s="53" t="e">
        <f t="array" ref="AX155">AVERAGE(AK155:AK160/AJ155:AJ160)-AVERAGE(Q155:Q160/P155:P160)</f>
        <v>#DIV/0!</v>
      </c>
      <c r="AZ155" s="54" t="str">
        <f>IF(OR(ISBLANK(Q155:Q160),ISBLANK(AK155:AK160),ISBLANK(T155:T160),ISBLANK(AN155:AN160)),"·",bdRateExtend(Q155:Q160,T155:T160,AK155:AK160,AN155:AN160))</f>
        <v>·</v>
      </c>
      <c r="BA155" s="54" t="str">
        <f>IF(OR(ISBLANK(Q155:Q160),ISBLANK(AK155:AK160),ISBLANK(U155:U160),ISBLANK(AO155:AO160)),"·",bdRateExtend(Q155:Q160,U155:U160,AK155:AK160,AO155:AO160))</f>
        <v>·</v>
      </c>
      <c r="BB155" s="54" t="str">
        <f>IF(OR(ISBLANK(R155:R160),ISBLANK(AL155:AL160),ISBLANK(V155:V160),ISBLANK(AP155:AP160)),"·",bdRateExtend(R155:R160,V155:V160,AL155:AL160,AP155:AP160))</f>
        <v>·</v>
      </c>
      <c r="BC155" s="54" t="str">
        <f>IF(OR(ISBLANK(R155:R160),ISBLANK(AL155:AL160),ISBLANK(W155:W160),ISBLANK(AQ155:AQ160)),"·",bdRateExtend(R155:R160,W155:W160,AL155:AL160,AQ155:AQ160))</f>
        <v>·</v>
      </c>
      <c r="BD155" s="54" t="str">
        <f>IF(OR(ISBLANK(R155:R160),ISBLANK(AL155:AL160),ISBLANK(X155:X160),ISBLANK(AR155:AR160)),"·",bdRateExtend(R155:R160,X155:X160,AL155:AL160,AR155:AR160))</f>
        <v>·</v>
      </c>
      <c r="BE155" s="61"/>
      <c r="BG155" s="54" t="str">
        <f>IF(OR(ISBLANK(P155:P160),ISBLANK(AJ155:AJ160),ISBLANK(T155:T160),ISBLANK(AN155:AN160)),"·",bdRateExtend(P155:P160,T155:T160,AJ155:AJ160,AN155:AN160))</f>
        <v>·</v>
      </c>
      <c r="BH155" s="54" t="str">
        <f>IF(OR(ISBLANK(P155:P160),ISBLANK(AJ155:AJ160),ISBLANK(U155:U160),ISBLANK(AO155:AO160)),"·",bdRateExtend(P155:P160,U155:U160,AJ155:AJ160,AO155:AO160))</f>
        <v>·</v>
      </c>
      <c r="BI155" s="54" t="str">
        <f>IF(OR(ISBLANK(P155:P160),ISBLANK(AJ155:AJ160),ISBLANK(V155:V160),ISBLANK(AP155:AP160)),"·",bdRateExtend(P155:P160,V155:V160,AJ155:AJ160,AP155:AP160))</f>
        <v>·</v>
      </c>
      <c r="BJ155" s="54" t="str">
        <f>IF(OR(ISBLANK(P155:P160),ISBLANK(AJ155:AJ160),ISBLANK(W155:W160),ISBLANK(AQ155:AQ160)),"·",bdRateExtend(P155:P160,W155:W160,AJ155:AJ160,AQ155:AQ160))</f>
        <v>·</v>
      </c>
      <c r="BK155" s="54" t="str">
        <f>IF(OR(ISBLANK(P155:P160),ISBLANK(AJ155:AJ160),ISBLANK(X155:X160),ISBLANK(AR155:AR160)),"·",bdRateExtend(P155:P160,X155:X160,AJ155:AJ160,AR155:AR160))</f>
        <v>·</v>
      </c>
      <c r="BL155" s="61"/>
      <c r="BN155">
        <f t="shared" si="56"/>
        <v>0</v>
      </c>
      <c r="BO155">
        <f t="shared" si="57"/>
        <v>0</v>
      </c>
      <c r="BP155">
        <f t="shared" si="58"/>
        <v>0</v>
      </c>
      <c r="BQ155">
        <f t="shared" si="59"/>
        <v>0</v>
      </c>
      <c r="BR155">
        <f t="shared" si="60"/>
        <v>0</v>
      </c>
      <c r="BS155">
        <f t="shared" si="61"/>
        <v>0</v>
      </c>
      <c r="BT155">
        <f t="shared" si="62"/>
        <v>0</v>
      </c>
      <c r="BU155">
        <f t="shared" si="63"/>
        <v>0</v>
      </c>
      <c r="BV155">
        <f t="shared" si="64"/>
        <v>0</v>
      </c>
      <c r="BW155">
        <f t="shared" si="65"/>
        <v>0</v>
      </c>
      <c r="BX155">
        <f t="shared" si="66"/>
        <v>0</v>
      </c>
    </row>
    <row r="156" spans="1:76" outlineLevel="1" x14ac:dyDescent="0.15">
      <c r="A156" s="8"/>
      <c r="B156" s="8" t="s">
        <v>134</v>
      </c>
      <c r="C156" s="9" t="s">
        <v>255</v>
      </c>
      <c r="D156" s="8">
        <v>1602990</v>
      </c>
      <c r="E156" s="10">
        <v>20</v>
      </c>
      <c r="F156" s="9">
        <v>1</v>
      </c>
      <c r="G156" s="9"/>
      <c r="I156" s="22" t="str">
        <f t="shared" si="45"/>
        <v>·</v>
      </c>
      <c r="J156" s="23" t="str">
        <f t="shared" si="46"/>
        <v>·</v>
      </c>
      <c r="K156" s="23" t="str">
        <f t="shared" si="47"/>
        <v>·</v>
      </c>
      <c r="L156" s="23" t="str">
        <f t="shared" si="48"/>
        <v>·</v>
      </c>
      <c r="M156" s="24"/>
      <c r="N156" s="23" t="str">
        <f t="shared" si="49"/>
        <v>·</v>
      </c>
      <c r="O156" s="25"/>
      <c r="P156" s="26"/>
      <c r="Q156" s="26"/>
      <c r="R156" s="26"/>
      <c r="S156" s="40"/>
      <c r="T156" s="41"/>
      <c r="U156" s="41"/>
      <c r="V156" s="41"/>
      <c r="W156" s="41"/>
      <c r="X156" s="41"/>
      <c r="Y156" s="42"/>
      <c r="Z156" s="50"/>
      <c r="AA156" s="50"/>
      <c r="AC156" s="22" t="str">
        <f t="shared" si="50"/>
        <v>·</v>
      </c>
      <c r="AD156" s="23" t="str">
        <f t="shared" si="51"/>
        <v>·</v>
      </c>
      <c r="AE156" s="23" t="str">
        <f t="shared" si="52"/>
        <v>·</v>
      </c>
      <c r="AF156" s="23" t="str">
        <f t="shared" si="53"/>
        <v>·</v>
      </c>
      <c r="AG156" s="24"/>
      <c r="AH156" s="23" t="str">
        <f t="shared" si="54"/>
        <v>·</v>
      </c>
      <c r="AI156" s="25"/>
      <c r="AJ156" s="26"/>
      <c r="AK156" s="26"/>
      <c r="AL156" s="26"/>
      <c r="AM156" s="40"/>
      <c r="AN156" s="41"/>
      <c r="AO156" s="41"/>
      <c r="AP156" s="41"/>
      <c r="AQ156" s="41"/>
      <c r="AR156" s="41"/>
      <c r="AS156" s="42"/>
      <c r="AT156" s="50"/>
      <c r="AU156" s="50"/>
      <c r="AW156" s="55" t="e">
        <f t="shared" si="55"/>
        <v>#DIV/0!</v>
      </c>
      <c r="AX156" s="55"/>
      <c r="AZ156" s="56"/>
      <c r="BA156" s="56"/>
      <c r="BB156" s="56"/>
      <c r="BC156" s="56"/>
      <c r="BD156" s="56"/>
      <c r="BE156" s="62"/>
      <c r="BG156" s="56"/>
      <c r="BH156" s="56"/>
      <c r="BI156" s="56"/>
      <c r="BJ156" s="56"/>
      <c r="BK156" s="56"/>
      <c r="BL156" s="62"/>
      <c r="BN156">
        <f t="shared" si="56"/>
        <v>0</v>
      </c>
      <c r="BO156">
        <f t="shared" si="57"/>
        <v>0</v>
      </c>
      <c r="BP156">
        <f t="shared" si="58"/>
        <v>0</v>
      </c>
      <c r="BQ156">
        <f t="shared" si="59"/>
        <v>0</v>
      </c>
      <c r="BR156">
        <f t="shared" si="60"/>
        <v>0</v>
      </c>
      <c r="BS156">
        <f t="shared" si="61"/>
        <v>0</v>
      </c>
      <c r="BT156">
        <f t="shared" si="62"/>
        <v>0</v>
      </c>
      <c r="BU156">
        <f t="shared" si="63"/>
        <v>0</v>
      </c>
      <c r="BV156">
        <f t="shared" si="64"/>
        <v>0</v>
      </c>
      <c r="BW156">
        <f t="shared" si="65"/>
        <v>0</v>
      </c>
      <c r="BX156">
        <f t="shared" si="66"/>
        <v>0</v>
      </c>
    </row>
    <row r="157" spans="1:76" outlineLevel="1" x14ac:dyDescent="0.15">
      <c r="A157" s="5"/>
      <c r="B157" s="5" t="s">
        <v>134</v>
      </c>
      <c r="C157" s="6" t="s">
        <v>256</v>
      </c>
      <c r="D157" s="5">
        <v>1602990</v>
      </c>
      <c r="E157" s="7">
        <v>20</v>
      </c>
      <c r="F157" s="6">
        <v>1</v>
      </c>
      <c r="G157" s="6"/>
      <c r="I157" s="17" t="str">
        <f t="shared" si="45"/>
        <v>·</v>
      </c>
      <c r="J157" s="18" t="str">
        <f t="shared" si="46"/>
        <v>·</v>
      </c>
      <c r="K157" s="18" t="str">
        <f t="shared" si="47"/>
        <v>·</v>
      </c>
      <c r="L157" s="18" t="str">
        <f t="shared" si="48"/>
        <v>·</v>
      </c>
      <c r="M157" s="19"/>
      <c r="N157" s="18" t="str">
        <f t="shared" si="49"/>
        <v>·</v>
      </c>
      <c r="O157" s="20"/>
      <c r="P157" s="21"/>
      <c r="Q157" s="21"/>
      <c r="R157" s="21"/>
      <c r="S157" s="37"/>
      <c r="T157" s="38"/>
      <c r="U157" s="38"/>
      <c r="V157" s="38"/>
      <c r="W157" s="38"/>
      <c r="X157" s="38"/>
      <c r="Y157" s="39"/>
      <c r="Z157" s="49"/>
      <c r="AA157" s="49"/>
      <c r="AC157" s="17" t="str">
        <f t="shared" si="50"/>
        <v>·</v>
      </c>
      <c r="AD157" s="18" t="str">
        <f t="shared" si="51"/>
        <v>·</v>
      </c>
      <c r="AE157" s="18" t="str">
        <f t="shared" si="52"/>
        <v>·</v>
      </c>
      <c r="AF157" s="18" t="str">
        <f t="shared" si="53"/>
        <v>·</v>
      </c>
      <c r="AG157" s="19"/>
      <c r="AH157" s="18" t="str">
        <f t="shared" si="54"/>
        <v>·</v>
      </c>
      <c r="AI157" s="20"/>
      <c r="AJ157" s="21"/>
      <c r="AK157" s="21"/>
      <c r="AL157" s="21"/>
      <c r="AM157" s="37"/>
      <c r="AN157" s="38"/>
      <c r="AO157" s="38"/>
      <c r="AP157" s="38"/>
      <c r="AQ157" s="38"/>
      <c r="AR157" s="38"/>
      <c r="AS157" s="39"/>
      <c r="AT157" s="49"/>
      <c r="AU157" s="49"/>
      <c r="AW157" s="53" t="e">
        <f t="shared" si="55"/>
        <v>#DIV/0!</v>
      </c>
      <c r="AX157" s="53"/>
      <c r="AZ157" s="54"/>
      <c r="BA157" s="54"/>
      <c r="BB157" s="54"/>
      <c r="BC157" s="54"/>
      <c r="BD157" s="54"/>
      <c r="BE157" s="61"/>
      <c r="BG157" s="54"/>
      <c r="BH157" s="54"/>
      <c r="BI157" s="54"/>
      <c r="BJ157" s="54"/>
      <c r="BK157" s="54"/>
      <c r="BL157" s="61"/>
      <c r="BN157">
        <f t="shared" si="56"/>
        <v>0</v>
      </c>
      <c r="BO157">
        <f t="shared" si="57"/>
        <v>0</v>
      </c>
      <c r="BP157">
        <f t="shared" si="58"/>
        <v>0</v>
      </c>
      <c r="BQ157">
        <f t="shared" si="59"/>
        <v>0</v>
      </c>
      <c r="BR157">
        <f t="shared" si="60"/>
        <v>0</v>
      </c>
      <c r="BS157">
        <f t="shared" si="61"/>
        <v>0</v>
      </c>
      <c r="BT157">
        <f t="shared" si="62"/>
        <v>0</v>
      </c>
      <c r="BU157">
        <f t="shared" si="63"/>
        <v>0</v>
      </c>
      <c r="BV157">
        <f t="shared" si="64"/>
        <v>0</v>
      </c>
      <c r="BW157">
        <f t="shared" si="65"/>
        <v>0</v>
      </c>
      <c r="BX157">
        <f t="shared" si="66"/>
        <v>0</v>
      </c>
    </row>
    <row r="158" spans="1:76" outlineLevel="1" x14ac:dyDescent="0.15">
      <c r="A158" s="8"/>
      <c r="B158" s="8" t="s">
        <v>134</v>
      </c>
      <c r="C158" s="9" t="s">
        <v>257</v>
      </c>
      <c r="D158" s="8">
        <v>1602990</v>
      </c>
      <c r="E158" s="10">
        <v>20</v>
      </c>
      <c r="F158" s="9">
        <v>1</v>
      </c>
      <c r="G158" s="9"/>
      <c r="I158" s="22" t="str">
        <f t="shared" si="45"/>
        <v>·</v>
      </c>
      <c r="J158" s="23" t="str">
        <f t="shared" si="46"/>
        <v>·</v>
      </c>
      <c r="K158" s="23" t="str">
        <f t="shared" si="47"/>
        <v>·</v>
      </c>
      <c r="L158" s="23" t="str">
        <f t="shared" si="48"/>
        <v>·</v>
      </c>
      <c r="M158" s="24"/>
      <c r="N158" s="23" t="str">
        <f t="shared" si="49"/>
        <v>·</v>
      </c>
      <c r="O158" s="25"/>
      <c r="P158" s="26"/>
      <c r="Q158" s="26"/>
      <c r="R158" s="26"/>
      <c r="S158" s="40"/>
      <c r="T158" s="41"/>
      <c r="U158" s="41"/>
      <c r="V158" s="41"/>
      <c r="W158" s="41"/>
      <c r="X158" s="41"/>
      <c r="Y158" s="42"/>
      <c r="Z158" s="50"/>
      <c r="AA158" s="50"/>
      <c r="AC158" s="22" t="str">
        <f t="shared" si="50"/>
        <v>·</v>
      </c>
      <c r="AD158" s="23" t="str">
        <f t="shared" si="51"/>
        <v>·</v>
      </c>
      <c r="AE158" s="23" t="str">
        <f t="shared" si="52"/>
        <v>·</v>
      </c>
      <c r="AF158" s="23" t="str">
        <f t="shared" si="53"/>
        <v>·</v>
      </c>
      <c r="AG158" s="24"/>
      <c r="AH158" s="23" t="str">
        <f t="shared" si="54"/>
        <v>·</v>
      </c>
      <c r="AI158" s="25"/>
      <c r="AJ158" s="26"/>
      <c r="AK158" s="26"/>
      <c r="AL158" s="26"/>
      <c r="AM158" s="40"/>
      <c r="AN158" s="41"/>
      <c r="AO158" s="41"/>
      <c r="AP158" s="41"/>
      <c r="AQ158" s="41"/>
      <c r="AR158" s="41"/>
      <c r="AS158" s="42"/>
      <c r="AT158" s="50"/>
      <c r="AU158" s="50"/>
      <c r="AW158" s="55" t="e">
        <f t="shared" si="55"/>
        <v>#DIV/0!</v>
      </c>
      <c r="AX158" s="55"/>
      <c r="AZ158" s="56"/>
      <c r="BA158" s="56"/>
      <c r="BB158" s="56"/>
      <c r="BC158" s="56"/>
      <c r="BD158" s="56"/>
      <c r="BE158" s="62"/>
      <c r="BG158" s="56"/>
      <c r="BH158" s="56"/>
      <c r="BI158" s="56"/>
      <c r="BJ158" s="56"/>
      <c r="BK158" s="56"/>
      <c r="BL158" s="62"/>
      <c r="BN158">
        <f t="shared" si="56"/>
        <v>0</v>
      </c>
      <c r="BO158">
        <f t="shared" si="57"/>
        <v>0</v>
      </c>
      <c r="BP158">
        <f t="shared" si="58"/>
        <v>0</v>
      </c>
      <c r="BQ158">
        <f t="shared" si="59"/>
        <v>0</v>
      </c>
      <c r="BR158">
        <f t="shared" si="60"/>
        <v>0</v>
      </c>
      <c r="BS158">
        <f t="shared" si="61"/>
        <v>0</v>
      </c>
      <c r="BT158">
        <f t="shared" si="62"/>
        <v>0</v>
      </c>
      <c r="BU158">
        <f t="shared" si="63"/>
        <v>0</v>
      </c>
      <c r="BV158">
        <f t="shared" si="64"/>
        <v>0</v>
      </c>
      <c r="BW158">
        <f t="shared" si="65"/>
        <v>0</v>
      </c>
      <c r="BX158">
        <f t="shared" si="66"/>
        <v>0</v>
      </c>
    </row>
    <row r="159" spans="1:76" outlineLevel="1" x14ac:dyDescent="0.15">
      <c r="A159" s="5"/>
      <c r="B159" s="5" t="s">
        <v>134</v>
      </c>
      <c r="C159" s="6" t="s">
        <v>258</v>
      </c>
      <c r="D159" s="5">
        <v>1602990</v>
      </c>
      <c r="E159" s="7">
        <v>20</v>
      </c>
      <c r="F159" s="6">
        <v>1</v>
      </c>
      <c r="G159" s="6"/>
      <c r="I159" s="17" t="str">
        <f t="shared" si="45"/>
        <v>·</v>
      </c>
      <c r="J159" s="18" t="str">
        <f t="shared" si="46"/>
        <v>·</v>
      </c>
      <c r="K159" s="18" t="str">
        <f t="shared" si="47"/>
        <v>·</v>
      </c>
      <c r="L159" s="18" t="str">
        <f t="shared" si="48"/>
        <v>·</v>
      </c>
      <c r="M159" s="19"/>
      <c r="N159" s="18" t="str">
        <f t="shared" si="49"/>
        <v>·</v>
      </c>
      <c r="O159" s="20"/>
      <c r="P159" s="21"/>
      <c r="Q159" s="21"/>
      <c r="R159" s="21"/>
      <c r="S159" s="37"/>
      <c r="T159" s="38"/>
      <c r="U159" s="38"/>
      <c r="V159" s="38"/>
      <c r="W159" s="38"/>
      <c r="X159" s="38"/>
      <c r="Y159" s="39"/>
      <c r="Z159" s="49"/>
      <c r="AA159" s="49"/>
      <c r="AC159" s="17" t="str">
        <f t="shared" si="50"/>
        <v>·</v>
      </c>
      <c r="AD159" s="18" t="str">
        <f t="shared" si="51"/>
        <v>·</v>
      </c>
      <c r="AE159" s="18" t="str">
        <f t="shared" si="52"/>
        <v>·</v>
      </c>
      <c r="AF159" s="18" t="str">
        <f t="shared" si="53"/>
        <v>·</v>
      </c>
      <c r="AG159" s="19"/>
      <c r="AH159" s="18" t="str">
        <f t="shared" si="54"/>
        <v>·</v>
      </c>
      <c r="AI159" s="20"/>
      <c r="AJ159" s="21"/>
      <c r="AK159" s="21"/>
      <c r="AL159" s="21"/>
      <c r="AM159" s="37"/>
      <c r="AN159" s="38"/>
      <c r="AO159" s="38"/>
      <c r="AP159" s="38"/>
      <c r="AQ159" s="38"/>
      <c r="AR159" s="38"/>
      <c r="AS159" s="39"/>
      <c r="AT159" s="49"/>
      <c r="AU159" s="49"/>
      <c r="AW159" s="53" t="e">
        <f t="shared" si="55"/>
        <v>#DIV/0!</v>
      </c>
      <c r="AX159" s="53"/>
      <c r="AZ159" s="54"/>
      <c r="BA159" s="54"/>
      <c r="BB159" s="54"/>
      <c r="BC159" s="54"/>
      <c r="BD159" s="54"/>
      <c r="BE159" s="61"/>
      <c r="BG159" s="54"/>
      <c r="BH159" s="54"/>
      <c r="BI159" s="54"/>
      <c r="BJ159" s="54"/>
      <c r="BK159" s="54"/>
      <c r="BL159" s="61"/>
      <c r="BN159">
        <f t="shared" si="56"/>
        <v>0</v>
      </c>
      <c r="BO159">
        <f t="shared" si="57"/>
        <v>0</v>
      </c>
      <c r="BP159">
        <f t="shared" si="58"/>
        <v>0</v>
      </c>
      <c r="BQ159">
        <f t="shared" si="59"/>
        <v>0</v>
      </c>
      <c r="BR159">
        <f t="shared" si="60"/>
        <v>0</v>
      </c>
      <c r="BS159">
        <f t="shared" si="61"/>
        <v>0</v>
      </c>
      <c r="BT159">
        <f t="shared" si="62"/>
        <v>0</v>
      </c>
      <c r="BU159">
        <f t="shared" si="63"/>
        <v>0</v>
      </c>
      <c r="BV159">
        <f t="shared" si="64"/>
        <v>0</v>
      </c>
      <c r="BW159">
        <f t="shared" si="65"/>
        <v>0</v>
      </c>
      <c r="BX159">
        <f t="shared" si="66"/>
        <v>0</v>
      </c>
    </row>
    <row r="160" spans="1:76" outlineLevel="1" x14ac:dyDescent="0.15">
      <c r="A160" s="8"/>
      <c r="B160" s="14" t="s">
        <v>134</v>
      </c>
      <c r="C160" s="15" t="s">
        <v>259</v>
      </c>
      <c r="D160" s="14">
        <v>1602990</v>
      </c>
      <c r="E160" s="16">
        <v>20</v>
      </c>
      <c r="F160" s="15">
        <v>1</v>
      </c>
      <c r="G160" s="15"/>
      <c r="I160" s="32" t="str">
        <f t="shared" si="45"/>
        <v>·</v>
      </c>
      <c r="J160" s="33" t="str">
        <f t="shared" si="46"/>
        <v>·</v>
      </c>
      <c r="K160" s="33" t="str">
        <f t="shared" si="47"/>
        <v>·</v>
      </c>
      <c r="L160" s="33" t="str">
        <f t="shared" si="48"/>
        <v>·</v>
      </c>
      <c r="M160" s="34"/>
      <c r="N160" s="33" t="str">
        <f t="shared" si="49"/>
        <v>·</v>
      </c>
      <c r="O160" s="35"/>
      <c r="P160" s="36"/>
      <c r="Q160" s="36"/>
      <c r="R160" s="36"/>
      <c r="S160" s="46"/>
      <c r="T160" s="47"/>
      <c r="U160" s="47"/>
      <c r="V160" s="47"/>
      <c r="W160" s="47"/>
      <c r="X160" s="47"/>
      <c r="Y160" s="48"/>
      <c r="Z160" s="52"/>
      <c r="AA160" s="52"/>
      <c r="AC160" s="32" t="str">
        <f t="shared" si="50"/>
        <v>·</v>
      </c>
      <c r="AD160" s="33" t="str">
        <f t="shared" si="51"/>
        <v>·</v>
      </c>
      <c r="AE160" s="33" t="str">
        <f t="shared" si="52"/>
        <v>·</v>
      </c>
      <c r="AF160" s="33" t="str">
        <f t="shared" si="53"/>
        <v>·</v>
      </c>
      <c r="AG160" s="34"/>
      <c r="AH160" s="33" t="str">
        <f t="shared" si="54"/>
        <v>·</v>
      </c>
      <c r="AI160" s="35"/>
      <c r="AJ160" s="36"/>
      <c r="AK160" s="36"/>
      <c r="AL160" s="36"/>
      <c r="AM160" s="46"/>
      <c r="AN160" s="47"/>
      <c r="AO160" s="47"/>
      <c r="AP160" s="47"/>
      <c r="AQ160" s="47"/>
      <c r="AR160" s="47"/>
      <c r="AS160" s="48"/>
      <c r="AT160" s="52"/>
      <c r="AU160" s="52"/>
      <c r="AW160" s="59" t="e">
        <f t="shared" si="55"/>
        <v>#DIV/0!</v>
      </c>
      <c r="AX160" s="59"/>
      <c r="AZ160" s="60"/>
      <c r="BA160" s="60"/>
      <c r="BB160" s="60"/>
      <c r="BC160" s="60"/>
      <c r="BD160" s="60"/>
      <c r="BE160" s="64"/>
      <c r="BG160" s="60"/>
      <c r="BH160" s="60"/>
      <c r="BI160" s="60"/>
      <c r="BJ160" s="60"/>
      <c r="BK160" s="60"/>
      <c r="BL160" s="64"/>
      <c r="BN160">
        <f t="shared" si="56"/>
        <v>0</v>
      </c>
      <c r="BO160">
        <f t="shared" si="57"/>
        <v>0</v>
      </c>
      <c r="BP160">
        <f t="shared" si="58"/>
        <v>0</v>
      </c>
      <c r="BQ160">
        <f t="shared" si="59"/>
        <v>0</v>
      </c>
      <c r="BR160">
        <f t="shared" si="60"/>
        <v>0</v>
      </c>
      <c r="BS160">
        <f t="shared" si="61"/>
        <v>0</v>
      </c>
      <c r="BT160">
        <f t="shared" si="62"/>
        <v>0</v>
      </c>
      <c r="BU160">
        <f t="shared" si="63"/>
        <v>0</v>
      </c>
      <c r="BV160">
        <f t="shared" si="64"/>
        <v>0</v>
      </c>
      <c r="BW160">
        <f t="shared" si="65"/>
        <v>0</v>
      </c>
      <c r="BX160">
        <f t="shared" si="66"/>
        <v>0</v>
      </c>
    </row>
    <row r="161" spans="1:76" x14ac:dyDescent="0.15">
      <c r="A161" s="5"/>
      <c r="B161" s="5" t="s">
        <v>137</v>
      </c>
      <c r="C161" s="6" t="s">
        <v>254</v>
      </c>
      <c r="D161" s="5">
        <v>8929532</v>
      </c>
      <c r="E161" s="7">
        <v>20</v>
      </c>
      <c r="F161" s="6">
        <v>1</v>
      </c>
      <c r="G161" s="6"/>
      <c r="I161" s="17" t="str">
        <f t="shared" si="45"/>
        <v>·</v>
      </c>
      <c r="J161" s="18" t="str">
        <f t="shared" si="46"/>
        <v>·</v>
      </c>
      <c r="K161" s="18" t="str">
        <f t="shared" si="47"/>
        <v>·</v>
      </c>
      <c r="L161" s="18" t="str">
        <f t="shared" si="48"/>
        <v>·</v>
      </c>
      <c r="M161" s="19"/>
      <c r="N161" s="18" t="str">
        <f t="shared" si="49"/>
        <v>·</v>
      </c>
      <c r="O161" s="20"/>
      <c r="P161" s="21"/>
      <c r="Q161" s="21"/>
      <c r="R161" s="21"/>
      <c r="S161" s="37"/>
      <c r="T161" s="38"/>
      <c r="U161" s="38"/>
      <c r="V161" s="38"/>
      <c r="W161" s="38"/>
      <c r="X161" s="38"/>
      <c r="Y161" s="39"/>
      <c r="Z161" s="49"/>
      <c r="AA161" s="49"/>
      <c r="AC161" s="17" t="str">
        <f t="shared" si="50"/>
        <v>·</v>
      </c>
      <c r="AD161" s="18" t="str">
        <f t="shared" si="51"/>
        <v>·</v>
      </c>
      <c r="AE161" s="18" t="str">
        <f t="shared" si="52"/>
        <v>·</v>
      </c>
      <c r="AF161" s="18" t="str">
        <f t="shared" si="53"/>
        <v>·</v>
      </c>
      <c r="AG161" s="19"/>
      <c r="AH161" s="18" t="str">
        <f t="shared" si="54"/>
        <v>·</v>
      </c>
      <c r="AI161" s="20"/>
      <c r="AJ161" s="21"/>
      <c r="AK161" s="21"/>
      <c r="AL161" s="21"/>
      <c r="AM161" s="37"/>
      <c r="AN161" s="38"/>
      <c r="AO161" s="38"/>
      <c r="AP161" s="38"/>
      <c r="AQ161" s="38"/>
      <c r="AR161" s="38"/>
      <c r="AS161" s="39"/>
      <c r="AT161" s="49"/>
      <c r="AU161" s="49"/>
      <c r="AW161" s="53" t="e">
        <f t="shared" si="55"/>
        <v>#DIV/0!</v>
      </c>
      <c r="AX161" s="53" t="e">
        <f t="array" ref="AX161">AVERAGE(AK161:AK166/AJ161:AJ166)-AVERAGE(Q161:Q166/P161:P166)</f>
        <v>#DIV/0!</v>
      </c>
      <c r="AZ161" s="54" t="str">
        <f>IF(OR(ISBLANK(Q161:Q166),ISBLANK(AK161:AK166),ISBLANK(T161:T166),ISBLANK(AN161:AN166)),"·",bdRateExtend(Q161:Q166,T161:T166,AK161:AK166,AN161:AN166))</f>
        <v>·</v>
      </c>
      <c r="BA161" s="54" t="str">
        <f>IF(OR(ISBLANK(Q161:Q166),ISBLANK(AK161:AK166),ISBLANK(U161:U166),ISBLANK(AO161:AO166)),"·",bdRateExtend(Q161:Q166,U161:U166,AK161:AK166,AO161:AO166))</f>
        <v>·</v>
      </c>
      <c r="BB161" s="54" t="str">
        <f>IF(OR(ISBLANK(R161:R166),ISBLANK(AL161:AL166),ISBLANK(V161:V166),ISBLANK(AP161:AP166)),"·",bdRateExtend(R161:R166,V161:V166,AL161:AL166,AP161:AP166))</f>
        <v>·</v>
      </c>
      <c r="BC161" s="54" t="str">
        <f>IF(OR(ISBLANK(R161:R166),ISBLANK(AL161:AL166),ISBLANK(W161:W166),ISBLANK(AQ161:AQ166)),"·",bdRateExtend(R161:R166,W161:W166,AL161:AL166,AQ161:AQ166))</f>
        <v>·</v>
      </c>
      <c r="BD161" s="54" t="str">
        <f>IF(OR(ISBLANK(R161:R166),ISBLANK(AL161:AL166),ISBLANK(X161:X166),ISBLANK(AR161:AR166)),"·",bdRateExtend(R161:R166,X161:X166,AL161:AL166,AR161:AR166))</f>
        <v>·</v>
      </c>
      <c r="BE161" s="61"/>
      <c r="BG161" s="54" t="str">
        <f>IF(OR(ISBLANK(P161:P166),ISBLANK(AJ161:AJ166),ISBLANK(T161:T166),ISBLANK(AN161:AN166)),"·",bdRateExtend(P161:P166,T161:T166,AJ161:AJ166,AN161:AN166))</f>
        <v>·</v>
      </c>
      <c r="BH161" s="54" t="str">
        <f>IF(OR(ISBLANK(P161:P166),ISBLANK(AJ161:AJ166),ISBLANK(U161:U166),ISBLANK(AO161:AO166)),"·",bdRateExtend(P161:P166,U161:U166,AJ161:AJ166,AO161:AO166))</f>
        <v>·</v>
      </c>
      <c r="BI161" s="54" t="str">
        <f>IF(OR(ISBLANK(P161:P166),ISBLANK(AJ161:AJ166),ISBLANK(V161:V166),ISBLANK(AP161:AP166)),"·",bdRateExtend(P161:P166,V161:V166,AJ161:AJ166,AP161:AP166))</f>
        <v>·</v>
      </c>
      <c r="BJ161" s="54" t="str">
        <f>IF(OR(ISBLANK(P161:P166),ISBLANK(AJ161:AJ166),ISBLANK(W161:W166),ISBLANK(AQ161:AQ166)),"·",bdRateExtend(P161:P166,W161:W166,AJ161:AJ166,AQ161:AQ166))</f>
        <v>·</v>
      </c>
      <c r="BK161" s="54" t="str">
        <f>IF(OR(ISBLANK(P161:P166),ISBLANK(AJ161:AJ166),ISBLANK(X161:X166),ISBLANK(AR161:AR166)),"·",bdRateExtend(P161:P166,X161:X166,AJ161:AJ166,AR161:AR166))</f>
        <v>·</v>
      </c>
      <c r="BL161" s="61"/>
      <c r="BN161">
        <f t="shared" si="56"/>
        <v>0</v>
      </c>
      <c r="BO161">
        <f t="shared" si="57"/>
        <v>0</v>
      </c>
      <c r="BP161">
        <f t="shared" si="58"/>
        <v>0</v>
      </c>
      <c r="BQ161">
        <f t="shared" si="59"/>
        <v>0</v>
      </c>
      <c r="BR161">
        <f t="shared" si="60"/>
        <v>0</v>
      </c>
      <c r="BS161">
        <f t="shared" si="61"/>
        <v>0</v>
      </c>
      <c r="BT161">
        <f t="shared" si="62"/>
        <v>0</v>
      </c>
      <c r="BU161">
        <f t="shared" si="63"/>
        <v>0</v>
      </c>
      <c r="BV161">
        <f t="shared" si="64"/>
        <v>0</v>
      </c>
      <c r="BW161">
        <f t="shared" si="65"/>
        <v>0</v>
      </c>
      <c r="BX161">
        <f t="shared" si="66"/>
        <v>0</v>
      </c>
    </row>
    <row r="162" spans="1:76" outlineLevel="1" x14ac:dyDescent="0.15">
      <c r="A162" s="8"/>
      <c r="B162" s="8" t="s">
        <v>137</v>
      </c>
      <c r="C162" s="9" t="s">
        <v>255</v>
      </c>
      <c r="D162" s="8">
        <v>8929532</v>
      </c>
      <c r="E162" s="10">
        <v>20</v>
      </c>
      <c r="F162" s="9">
        <v>1</v>
      </c>
      <c r="G162" s="9"/>
      <c r="I162" s="22" t="str">
        <f t="shared" si="45"/>
        <v>·</v>
      </c>
      <c r="J162" s="23" t="str">
        <f t="shared" si="46"/>
        <v>·</v>
      </c>
      <c r="K162" s="23" t="str">
        <f t="shared" si="47"/>
        <v>·</v>
      </c>
      <c r="L162" s="23" t="str">
        <f t="shared" si="48"/>
        <v>·</v>
      </c>
      <c r="M162" s="24"/>
      <c r="N162" s="23" t="str">
        <f t="shared" si="49"/>
        <v>·</v>
      </c>
      <c r="O162" s="25"/>
      <c r="P162" s="26"/>
      <c r="Q162" s="26"/>
      <c r="R162" s="26"/>
      <c r="S162" s="40"/>
      <c r="T162" s="41"/>
      <c r="U162" s="41"/>
      <c r="V162" s="41"/>
      <c r="W162" s="41"/>
      <c r="X162" s="41"/>
      <c r="Y162" s="42"/>
      <c r="Z162" s="50"/>
      <c r="AA162" s="50"/>
      <c r="AC162" s="22" t="str">
        <f t="shared" si="50"/>
        <v>·</v>
      </c>
      <c r="AD162" s="23" t="str">
        <f t="shared" si="51"/>
        <v>·</v>
      </c>
      <c r="AE162" s="23" t="str">
        <f t="shared" si="52"/>
        <v>·</v>
      </c>
      <c r="AF162" s="23" t="str">
        <f t="shared" si="53"/>
        <v>·</v>
      </c>
      <c r="AG162" s="24"/>
      <c r="AH162" s="23" t="str">
        <f t="shared" si="54"/>
        <v>·</v>
      </c>
      <c r="AI162" s="25"/>
      <c r="AJ162" s="26"/>
      <c r="AK162" s="26"/>
      <c r="AL162" s="26"/>
      <c r="AM162" s="40"/>
      <c r="AN162" s="41"/>
      <c r="AO162" s="41"/>
      <c r="AP162" s="41"/>
      <c r="AQ162" s="41"/>
      <c r="AR162" s="41"/>
      <c r="AS162" s="42"/>
      <c r="AT162" s="50"/>
      <c r="AU162" s="50"/>
      <c r="AW162" s="55" t="e">
        <f t="shared" si="55"/>
        <v>#DIV/0!</v>
      </c>
      <c r="AX162" s="55"/>
      <c r="AZ162" s="56"/>
      <c r="BA162" s="56"/>
      <c r="BB162" s="56"/>
      <c r="BC162" s="56"/>
      <c r="BD162" s="56"/>
      <c r="BE162" s="62"/>
      <c r="BG162" s="56"/>
      <c r="BH162" s="56"/>
      <c r="BI162" s="56"/>
      <c r="BJ162" s="56"/>
      <c r="BK162" s="56"/>
      <c r="BL162" s="62"/>
      <c r="BN162">
        <f t="shared" si="56"/>
        <v>0</v>
      </c>
      <c r="BO162">
        <f t="shared" si="57"/>
        <v>0</v>
      </c>
      <c r="BP162">
        <f t="shared" si="58"/>
        <v>0</v>
      </c>
      <c r="BQ162">
        <f t="shared" si="59"/>
        <v>0</v>
      </c>
      <c r="BR162">
        <f t="shared" si="60"/>
        <v>0</v>
      </c>
      <c r="BS162">
        <f t="shared" si="61"/>
        <v>0</v>
      </c>
      <c r="BT162">
        <f t="shared" si="62"/>
        <v>0</v>
      </c>
      <c r="BU162">
        <f t="shared" si="63"/>
        <v>0</v>
      </c>
      <c r="BV162">
        <f t="shared" si="64"/>
        <v>0</v>
      </c>
      <c r="BW162">
        <f t="shared" si="65"/>
        <v>0</v>
      </c>
      <c r="BX162">
        <f t="shared" si="66"/>
        <v>0</v>
      </c>
    </row>
    <row r="163" spans="1:76" outlineLevel="1" x14ac:dyDescent="0.15">
      <c r="A163" s="5"/>
      <c r="B163" s="5" t="s">
        <v>137</v>
      </c>
      <c r="C163" s="6" t="s">
        <v>256</v>
      </c>
      <c r="D163" s="5">
        <v>8929532</v>
      </c>
      <c r="E163" s="7">
        <v>20</v>
      </c>
      <c r="F163" s="6">
        <v>1</v>
      </c>
      <c r="G163" s="6"/>
      <c r="I163" s="17" t="str">
        <f t="shared" si="45"/>
        <v>·</v>
      </c>
      <c r="J163" s="18" t="str">
        <f t="shared" si="46"/>
        <v>·</v>
      </c>
      <c r="K163" s="18" t="str">
        <f t="shared" si="47"/>
        <v>·</v>
      </c>
      <c r="L163" s="18" t="str">
        <f t="shared" si="48"/>
        <v>·</v>
      </c>
      <c r="M163" s="19"/>
      <c r="N163" s="18" t="str">
        <f t="shared" si="49"/>
        <v>·</v>
      </c>
      <c r="O163" s="20"/>
      <c r="P163" s="21"/>
      <c r="Q163" s="21"/>
      <c r="R163" s="21"/>
      <c r="S163" s="37"/>
      <c r="T163" s="38"/>
      <c r="U163" s="38"/>
      <c r="V163" s="38"/>
      <c r="W163" s="38"/>
      <c r="X163" s="38"/>
      <c r="Y163" s="39"/>
      <c r="Z163" s="49"/>
      <c r="AA163" s="49"/>
      <c r="AC163" s="17" t="str">
        <f t="shared" si="50"/>
        <v>·</v>
      </c>
      <c r="AD163" s="18" t="str">
        <f t="shared" si="51"/>
        <v>·</v>
      </c>
      <c r="AE163" s="18" t="str">
        <f t="shared" si="52"/>
        <v>·</v>
      </c>
      <c r="AF163" s="18" t="str">
        <f t="shared" si="53"/>
        <v>·</v>
      </c>
      <c r="AG163" s="19"/>
      <c r="AH163" s="18" t="str">
        <f t="shared" si="54"/>
        <v>·</v>
      </c>
      <c r="AI163" s="20"/>
      <c r="AJ163" s="21"/>
      <c r="AK163" s="21"/>
      <c r="AL163" s="21"/>
      <c r="AM163" s="37"/>
      <c r="AN163" s="38"/>
      <c r="AO163" s="38"/>
      <c r="AP163" s="38"/>
      <c r="AQ163" s="38"/>
      <c r="AR163" s="38"/>
      <c r="AS163" s="39"/>
      <c r="AT163" s="49"/>
      <c r="AU163" s="49"/>
      <c r="AW163" s="53" t="e">
        <f t="shared" si="55"/>
        <v>#DIV/0!</v>
      </c>
      <c r="AX163" s="53"/>
      <c r="AZ163" s="54"/>
      <c r="BA163" s="54"/>
      <c r="BB163" s="54"/>
      <c r="BC163" s="54"/>
      <c r="BD163" s="54"/>
      <c r="BE163" s="61"/>
      <c r="BG163" s="54"/>
      <c r="BH163" s="54"/>
      <c r="BI163" s="54"/>
      <c r="BJ163" s="54"/>
      <c r="BK163" s="54"/>
      <c r="BL163" s="61"/>
      <c r="BN163">
        <f t="shared" si="56"/>
        <v>0</v>
      </c>
      <c r="BO163">
        <f t="shared" si="57"/>
        <v>0</v>
      </c>
      <c r="BP163">
        <f t="shared" si="58"/>
        <v>0</v>
      </c>
      <c r="BQ163">
        <f t="shared" si="59"/>
        <v>0</v>
      </c>
      <c r="BR163">
        <f t="shared" si="60"/>
        <v>0</v>
      </c>
      <c r="BS163">
        <f t="shared" si="61"/>
        <v>0</v>
      </c>
      <c r="BT163">
        <f t="shared" si="62"/>
        <v>0</v>
      </c>
      <c r="BU163">
        <f t="shared" si="63"/>
        <v>0</v>
      </c>
      <c r="BV163">
        <f t="shared" si="64"/>
        <v>0</v>
      </c>
      <c r="BW163">
        <f t="shared" si="65"/>
        <v>0</v>
      </c>
      <c r="BX163">
        <f t="shared" si="66"/>
        <v>0</v>
      </c>
    </row>
    <row r="164" spans="1:76" outlineLevel="1" x14ac:dyDescent="0.15">
      <c r="A164" s="8"/>
      <c r="B164" s="8" t="s">
        <v>137</v>
      </c>
      <c r="C164" s="9" t="s">
        <v>257</v>
      </c>
      <c r="D164" s="8">
        <v>8929532</v>
      </c>
      <c r="E164" s="10">
        <v>20</v>
      </c>
      <c r="F164" s="9">
        <v>1</v>
      </c>
      <c r="G164" s="9"/>
      <c r="I164" s="22" t="str">
        <f t="shared" si="45"/>
        <v>·</v>
      </c>
      <c r="J164" s="23" t="str">
        <f t="shared" si="46"/>
        <v>·</v>
      </c>
      <c r="K164" s="23" t="str">
        <f t="shared" si="47"/>
        <v>·</v>
      </c>
      <c r="L164" s="23" t="str">
        <f t="shared" si="48"/>
        <v>·</v>
      </c>
      <c r="M164" s="24"/>
      <c r="N164" s="23" t="str">
        <f t="shared" si="49"/>
        <v>·</v>
      </c>
      <c r="O164" s="25"/>
      <c r="P164" s="26"/>
      <c r="Q164" s="26"/>
      <c r="R164" s="26"/>
      <c r="S164" s="40"/>
      <c r="T164" s="41"/>
      <c r="U164" s="41"/>
      <c r="V164" s="41"/>
      <c r="W164" s="41"/>
      <c r="X164" s="41"/>
      <c r="Y164" s="42"/>
      <c r="Z164" s="50"/>
      <c r="AA164" s="50"/>
      <c r="AC164" s="22" t="str">
        <f t="shared" si="50"/>
        <v>·</v>
      </c>
      <c r="AD164" s="23" t="str">
        <f t="shared" si="51"/>
        <v>·</v>
      </c>
      <c r="AE164" s="23" t="str">
        <f t="shared" si="52"/>
        <v>·</v>
      </c>
      <c r="AF164" s="23" t="str">
        <f t="shared" si="53"/>
        <v>·</v>
      </c>
      <c r="AG164" s="24"/>
      <c r="AH164" s="23" t="str">
        <f t="shared" si="54"/>
        <v>·</v>
      </c>
      <c r="AI164" s="25"/>
      <c r="AJ164" s="26"/>
      <c r="AK164" s="26"/>
      <c r="AL164" s="26"/>
      <c r="AM164" s="40"/>
      <c r="AN164" s="41"/>
      <c r="AO164" s="41"/>
      <c r="AP164" s="41"/>
      <c r="AQ164" s="41"/>
      <c r="AR164" s="41"/>
      <c r="AS164" s="42"/>
      <c r="AT164" s="50"/>
      <c r="AU164" s="50"/>
      <c r="AW164" s="55" t="e">
        <f t="shared" si="55"/>
        <v>#DIV/0!</v>
      </c>
      <c r="AX164" s="55"/>
      <c r="AZ164" s="56"/>
      <c r="BA164" s="56"/>
      <c r="BB164" s="56"/>
      <c r="BC164" s="56"/>
      <c r="BD164" s="56"/>
      <c r="BE164" s="62"/>
      <c r="BG164" s="56"/>
      <c r="BH164" s="56"/>
      <c r="BI164" s="56"/>
      <c r="BJ164" s="56"/>
      <c r="BK164" s="56"/>
      <c r="BL164" s="62"/>
      <c r="BN164">
        <f t="shared" si="56"/>
        <v>0</v>
      </c>
      <c r="BO164">
        <f t="shared" si="57"/>
        <v>0</v>
      </c>
      <c r="BP164">
        <f t="shared" si="58"/>
        <v>0</v>
      </c>
      <c r="BQ164">
        <f t="shared" si="59"/>
        <v>0</v>
      </c>
      <c r="BR164">
        <f t="shared" si="60"/>
        <v>0</v>
      </c>
      <c r="BS164">
        <f t="shared" si="61"/>
        <v>0</v>
      </c>
      <c r="BT164">
        <f t="shared" si="62"/>
        <v>0</v>
      </c>
      <c r="BU164">
        <f t="shared" si="63"/>
        <v>0</v>
      </c>
      <c r="BV164">
        <f t="shared" si="64"/>
        <v>0</v>
      </c>
      <c r="BW164">
        <f t="shared" si="65"/>
        <v>0</v>
      </c>
      <c r="BX164">
        <f t="shared" si="66"/>
        <v>0</v>
      </c>
    </row>
    <row r="165" spans="1:76" outlineLevel="1" x14ac:dyDescent="0.15">
      <c r="A165" s="5"/>
      <c r="B165" s="5" t="s">
        <v>137</v>
      </c>
      <c r="C165" s="6" t="s">
        <v>258</v>
      </c>
      <c r="D165" s="5">
        <v>8929532</v>
      </c>
      <c r="E165" s="7">
        <v>20</v>
      </c>
      <c r="F165" s="6">
        <v>1</v>
      </c>
      <c r="G165" s="6"/>
      <c r="I165" s="17" t="str">
        <f t="shared" si="45"/>
        <v>·</v>
      </c>
      <c r="J165" s="18" t="str">
        <f t="shared" si="46"/>
        <v>·</v>
      </c>
      <c r="K165" s="18" t="str">
        <f t="shared" si="47"/>
        <v>·</v>
      </c>
      <c r="L165" s="18" t="str">
        <f t="shared" si="48"/>
        <v>·</v>
      </c>
      <c r="M165" s="19"/>
      <c r="N165" s="18" t="str">
        <f t="shared" si="49"/>
        <v>·</v>
      </c>
      <c r="O165" s="20"/>
      <c r="P165" s="21"/>
      <c r="Q165" s="21"/>
      <c r="R165" s="21"/>
      <c r="S165" s="37"/>
      <c r="T165" s="38"/>
      <c r="U165" s="38"/>
      <c r="V165" s="38"/>
      <c r="W165" s="38"/>
      <c r="X165" s="38"/>
      <c r="Y165" s="39"/>
      <c r="Z165" s="49"/>
      <c r="AA165" s="49"/>
      <c r="AC165" s="17" t="str">
        <f t="shared" si="50"/>
        <v>·</v>
      </c>
      <c r="AD165" s="18" t="str">
        <f t="shared" si="51"/>
        <v>·</v>
      </c>
      <c r="AE165" s="18" t="str">
        <f t="shared" si="52"/>
        <v>·</v>
      </c>
      <c r="AF165" s="18" t="str">
        <f t="shared" si="53"/>
        <v>·</v>
      </c>
      <c r="AG165" s="19"/>
      <c r="AH165" s="18" t="str">
        <f t="shared" si="54"/>
        <v>·</v>
      </c>
      <c r="AI165" s="20"/>
      <c r="AJ165" s="21"/>
      <c r="AK165" s="21"/>
      <c r="AL165" s="21"/>
      <c r="AM165" s="37"/>
      <c r="AN165" s="38"/>
      <c r="AO165" s="38"/>
      <c r="AP165" s="38"/>
      <c r="AQ165" s="38"/>
      <c r="AR165" s="38"/>
      <c r="AS165" s="39"/>
      <c r="AT165" s="49"/>
      <c r="AU165" s="49"/>
      <c r="AW165" s="53" t="e">
        <f t="shared" si="55"/>
        <v>#DIV/0!</v>
      </c>
      <c r="AX165" s="53"/>
      <c r="AZ165" s="54"/>
      <c r="BA165" s="54"/>
      <c r="BB165" s="54"/>
      <c r="BC165" s="54"/>
      <c r="BD165" s="54"/>
      <c r="BE165" s="61"/>
      <c r="BG165" s="54"/>
      <c r="BH165" s="54"/>
      <c r="BI165" s="54"/>
      <c r="BJ165" s="54"/>
      <c r="BK165" s="54"/>
      <c r="BL165" s="61"/>
      <c r="BN165">
        <f t="shared" si="56"/>
        <v>0</v>
      </c>
      <c r="BO165">
        <f t="shared" si="57"/>
        <v>0</v>
      </c>
      <c r="BP165">
        <f t="shared" si="58"/>
        <v>0</v>
      </c>
      <c r="BQ165">
        <f t="shared" si="59"/>
        <v>0</v>
      </c>
      <c r="BR165">
        <f t="shared" si="60"/>
        <v>0</v>
      </c>
      <c r="BS165">
        <f t="shared" si="61"/>
        <v>0</v>
      </c>
      <c r="BT165">
        <f t="shared" si="62"/>
        <v>0</v>
      </c>
      <c r="BU165">
        <f t="shared" si="63"/>
        <v>0</v>
      </c>
      <c r="BV165">
        <f t="shared" si="64"/>
        <v>0</v>
      </c>
      <c r="BW165">
        <f t="shared" si="65"/>
        <v>0</v>
      </c>
      <c r="BX165">
        <f t="shared" si="66"/>
        <v>0</v>
      </c>
    </row>
    <row r="166" spans="1:76" outlineLevel="1" x14ac:dyDescent="0.15">
      <c r="A166" s="8"/>
      <c r="B166" s="14" t="s">
        <v>137</v>
      </c>
      <c r="C166" s="15" t="s">
        <v>259</v>
      </c>
      <c r="D166" s="14">
        <v>8929532</v>
      </c>
      <c r="E166" s="16">
        <v>20</v>
      </c>
      <c r="F166" s="15">
        <v>1</v>
      </c>
      <c r="G166" s="15"/>
      <c r="I166" s="32" t="str">
        <f t="shared" si="45"/>
        <v>·</v>
      </c>
      <c r="J166" s="33" t="str">
        <f t="shared" si="46"/>
        <v>·</v>
      </c>
      <c r="K166" s="33" t="str">
        <f t="shared" si="47"/>
        <v>·</v>
      </c>
      <c r="L166" s="33" t="str">
        <f t="shared" si="48"/>
        <v>·</v>
      </c>
      <c r="M166" s="34"/>
      <c r="N166" s="33" t="str">
        <f t="shared" si="49"/>
        <v>·</v>
      </c>
      <c r="O166" s="35"/>
      <c r="P166" s="36"/>
      <c r="Q166" s="36"/>
      <c r="R166" s="36"/>
      <c r="S166" s="46"/>
      <c r="T166" s="47"/>
      <c r="U166" s="47"/>
      <c r="V166" s="47"/>
      <c r="W166" s="47"/>
      <c r="X166" s="47"/>
      <c r="Y166" s="48"/>
      <c r="Z166" s="52"/>
      <c r="AA166" s="52"/>
      <c r="AC166" s="32" t="str">
        <f t="shared" si="50"/>
        <v>·</v>
      </c>
      <c r="AD166" s="33" t="str">
        <f t="shared" si="51"/>
        <v>·</v>
      </c>
      <c r="AE166" s="33" t="str">
        <f t="shared" si="52"/>
        <v>·</v>
      </c>
      <c r="AF166" s="33" t="str">
        <f t="shared" si="53"/>
        <v>·</v>
      </c>
      <c r="AG166" s="34"/>
      <c r="AH166" s="33" t="str">
        <f t="shared" si="54"/>
        <v>·</v>
      </c>
      <c r="AI166" s="35"/>
      <c r="AJ166" s="36"/>
      <c r="AK166" s="36"/>
      <c r="AL166" s="36"/>
      <c r="AM166" s="46"/>
      <c r="AN166" s="47"/>
      <c r="AO166" s="47"/>
      <c r="AP166" s="47"/>
      <c r="AQ166" s="47"/>
      <c r="AR166" s="47"/>
      <c r="AS166" s="48"/>
      <c r="AT166" s="52"/>
      <c r="AU166" s="52"/>
      <c r="AW166" s="59" t="e">
        <f t="shared" si="55"/>
        <v>#DIV/0!</v>
      </c>
      <c r="AX166" s="59"/>
      <c r="AZ166" s="60"/>
      <c r="BA166" s="60"/>
      <c r="BB166" s="60"/>
      <c r="BC166" s="60"/>
      <c r="BD166" s="60"/>
      <c r="BE166" s="64"/>
      <c r="BG166" s="60"/>
      <c r="BH166" s="60"/>
      <c r="BI166" s="60"/>
      <c r="BJ166" s="60"/>
      <c r="BK166" s="60"/>
      <c r="BL166" s="64"/>
      <c r="BN166">
        <f t="shared" si="56"/>
        <v>0</v>
      </c>
      <c r="BO166">
        <f t="shared" si="57"/>
        <v>0</v>
      </c>
      <c r="BP166">
        <f t="shared" si="58"/>
        <v>0</v>
      </c>
      <c r="BQ166">
        <f t="shared" si="59"/>
        <v>0</v>
      </c>
      <c r="BR166">
        <f t="shared" si="60"/>
        <v>0</v>
      </c>
      <c r="BS166">
        <f t="shared" si="61"/>
        <v>0</v>
      </c>
      <c r="BT166">
        <f t="shared" si="62"/>
        <v>0</v>
      </c>
      <c r="BU166">
        <f t="shared" si="63"/>
        <v>0</v>
      </c>
      <c r="BV166">
        <f t="shared" si="64"/>
        <v>0</v>
      </c>
      <c r="BW166">
        <f t="shared" si="65"/>
        <v>0</v>
      </c>
      <c r="BX166">
        <f t="shared" si="66"/>
        <v>0</v>
      </c>
    </row>
    <row r="167" spans="1:76" x14ac:dyDescent="0.15">
      <c r="A167" s="5"/>
      <c r="B167" s="5" t="s">
        <v>140</v>
      </c>
      <c r="C167" s="6" t="s">
        <v>254</v>
      </c>
      <c r="D167" s="5">
        <v>19702134</v>
      </c>
      <c r="E167" s="7">
        <v>14</v>
      </c>
      <c r="F167" s="6">
        <v>1</v>
      </c>
      <c r="G167" s="6"/>
      <c r="I167" s="17" t="str">
        <f t="shared" si="45"/>
        <v>·</v>
      </c>
      <c r="J167" s="18" t="str">
        <f t="shared" si="46"/>
        <v>·</v>
      </c>
      <c r="K167" s="18" t="str">
        <f t="shared" si="47"/>
        <v>·</v>
      </c>
      <c r="L167" s="18" t="str">
        <f t="shared" si="48"/>
        <v>·</v>
      </c>
      <c r="M167" s="19"/>
      <c r="N167" s="18" t="str">
        <f t="shared" si="49"/>
        <v>·</v>
      </c>
      <c r="O167" s="20"/>
      <c r="P167" s="21"/>
      <c r="Q167" s="21"/>
      <c r="R167" s="21"/>
      <c r="S167" s="37"/>
      <c r="T167" s="38"/>
      <c r="U167" s="38"/>
      <c r="V167" s="38"/>
      <c r="W167" s="38"/>
      <c r="X167" s="38"/>
      <c r="Y167" s="39"/>
      <c r="Z167" s="49"/>
      <c r="AA167" s="49"/>
      <c r="AC167" s="17" t="str">
        <f t="shared" si="50"/>
        <v>·</v>
      </c>
      <c r="AD167" s="18" t="str">
        <f t="shared" si="51"/>
        <v>·</v>
      </c>
      <c r="AE167" s="18" t="str">
        <f t="shared" si="52"/>
        <v>·</v>
      </c>
      <c r="AF167" s="18" t="str">
        <f t="shared" si="53"/>
        <v>·</v>
      </c>
      <c r="AG167" s="19"/>
      <c r="AH167" s="18" t="str">
        <f t="shared" si="54"/>
        <v>·</v>
      </c>
      <c r="AI167" s="20"/>
      <c r="AJ167" s="21"/>
      <c r="AK167" s="21"/>
      <c r="AL167" s="21"/>
      <c r="AM167" s="37"/>
      <c r="AN167" s="38"/>
      <c r="AO167" s="38"/>
      <c r="AP167" s="38"/>
      <c r="AQ167" s="38"/>
      <c r="AR167" s="38"/>
      <c r="AS167" s="39"/>
      <c r="AT167" s="49"/>
      <c r="AU167" s="49"/>
      <c r="AW167" s="53" t="e">
        <f t="shared" si="55"/>
        <v>#DIV/0!</v>
      </c>
      <c r="AX167" s="53" t="e">
        <f t="array" ref="AX167">AVERAGE(AK167:AK172/AJ167:AJ172)-AVERAGE(Q167:Q172/P167:P172)</f>
        <v>#DIV/0!</v>
      </c>
      <c r="AZ167" s="54" t="str">
        <f>IF(OR(ISBLANK(Q167:Q172),ISBLANK(AK167:AK172),ISBLANK(T167:T172),ISBLANK(AN167:AN172)),"·",bdRateExtend(Q167:Q172,T167:T172,AK167:AK172,AN167:AN172))</f>
        <v>·</v>
      </c>
      <c r="BA167" s="54" t="str">
        <f>IF(OR(ISBLANK(Q167:Q172),ISBLANK(AK167:AK172),ISBLANK(U167:U172),ISBLANK(AO167:AO172)),"·",bdRateExtend(Q167:Q172,U167:U172,AK167:AK172,AO167:AO172))</f>
        <v>·</v>
      </c>
      <c r="BB167" s="54" t="str">
        <f>IF(OR(ISBLANK(R167:R172),ISBLANK(AL167:AL172),ISBLANK(V167:V172),ISBLANK(AP167:AP172)),"·",bdRateExtend(R167:R172,V167:V172,AL167:AL172,AP167:AP172))</f>
        <v>·</v>
      </c>
      <c r="BC167" s="54" t="str">
        <f>IF(OR(ISBLANK(R167:R172),ISBLANK(AL167:AL172),ISBLANK(W167:W172),ISBLANK(AQ167:AQ172)),"·",bdRateExtend(R167:R172,W167:W172,AL167:AL172,AQ167:AQ172))</f>
        <v>·</v>
      </c>
      <c r="BD167" s="54" t="str">
        <f>IF(OR(ISBLANK(R167:R172),ISBLANK(AL167:AL172),ISBLANK(X167:X172),ISBLANK(AR167:AR172)),"·",bdRateExtend(R167:R172,X167:X172,AL167:AL172,AR167:AR172))</f>
        <v>·</v>
      </c>
      <c r="BE167" s="61"/>
      <c r="BG167" s="54" t="str">
        <f>IF(OR(ISBLANK(P167:P172),ISBLANK(AJ167:AJ172),ISBLANK(T167:T172),ISBLANK(AN167:AN172)),"·",bdRateExtend(P167:P172,T167:T172,AJ167:AJ172,AN167:AN172))</f>
        <v>·</v>
      </c>
      <c r="BH167" s="54" t="str">
        <f>IF(OR(ISBLANK(P167:P172),ISBLANK(AJ167:AJ172),ISBLANK(U167:U172),ISBLANK(AO167:AO172)),"·",bdRateExtend(P167:P172,U167:U172,AJ167:AJ172,AO167:AO172))</f>
        <v>·</v>
      </c>
      <c r="BI167" s="54" t="str">
        <f>IF(OR(ISBLANK(P167:P172),ISBLANK(AJ167:AJ172),ISBLANK(V167:V172),ISBLANK(AP167:AP172)),"·",bdRateExtend(P167:P172,V167:V172,AJ167:AJ172,AP167:AP172))</f>
        <v>·</v>
      </c>
      <c r="BJ167" s="54" t="str">
        <f>IF(OR(ISBLANK(P167:P172),ISBLANK(AJ167:AJ172),ISBLANK(W167:W172),ISBLANK(AQ167:AQ172)),"·",bdRateExtend(P167:P172,W167:W172,AJ167:AJ172,AQ167:AQ172))</f>
        <v>·</v>
      </c>
      <c r="BK167" s="54" t="str">
        <f>IF(OR(ISBLANK(P167:P172),ISBLANK(AJ167:AJ172),ISBLANK(X167:X172),ISBLANK(AR167:AR172)),"·",bdRateExtend(P167:P172,X167:X172,AJ167:AJ172,AR167:AR172))</f>
        <v>·</v>
      </c>
      <c r="BL167" s="61"/>
      <c r="BN167">
        <f t="shared" si="56"/>
        <v>0</v>
      </c>
      <c r="BO167">
        <f t="shared" si="57"/>
        <v>0</v>
      </c>
      <c r="BP167">
        <f t="shared" si="58"/>
        <v>0</v>
      </c>
      <c r="BQ167">
        <f t="shared" si="59"/>
        <v>0</v>
      </c>
      <c r="BR167">
        <f t="shared" si="60"/>
        <v>0</v>
      </c>
      <c r="BS167">
        <f t="shared" si="61"/>
        <v>0</v>
      </c>
      <c r="BT167">
        <f t="shared" si="62"/>
        <v>0</v>
      </c>
      <c r="BU167">
        <f t="shared" si="63"/>
        <v>0</v>
      </c>
      <c r="BV167">
        <f t="shared" si="64"/>
        <v>0</v>
      </c>
      <c r="BW167">
        <f t="shared" si="65"/>
        <v>0</v>
      </c>
      <c r="BX167">
        <f t="shared" si="66"/>
        <v>0</v>
      </c>
    </row>
    <row r="168" spans="1:76" outlineLevel="1" x14ac:dyDescent="0.15">
      <c r="A168" s="8"/>
      <c r="B168" s="8" t="s">
        <v>140</v>
      </c>
      <c r="C168" s="9" t="s">
        <v>255</v>
      </c>
      <c r="D168" s="8">
        <v>19702134</v>
      </c>
      <c r="E168" s="10">
        <v>14</v>
      </c>
      <c r="F168" s="9">
        <v>1</v>
      </c>
      <c r="G168" s="9"/>
      <c r="I168" s="22" t="str">
        <f t="shared" si="45"/>
        <v>·</v>
      </c>
      <c r="J168" s="23" t="str">
        <f t="shared" si="46"/>
        <v>·</v>
      </c>
      <c r="K168" s="23" t="str">
        <f t="shared" si="47"/>
        <v>·</v>
      </c>
      <c r="L168" s="23" t="str">
        <f t="shared" si="48"/>
        <v>·</v>
      </c>
      <c r="M168" s="24"/>
      <c r="N168" s="23" t="str">
        <f t="shared" si="49"/>
        <v>·</v>
      </c>
      <c r="O168" s="25"/>
      <c r="P168" s="26"/>
      <c r="Q168" s="26"/>
      <c r="R168" s="26"/>
      <c r="S168" s="40"/>
      <c r="T168" s="41"/>
      <c r="U168" s="41"/>
      <c r="V168" s="41"/>
      <c r="W168" s="41"/>
      <c r="X168" s="41"/>
      <c r="Y168" s="42"/>
      <c r="Z168" s="50"/>
      <c r="AA168" s="50"/>
      <c r="AC168" s="22" t="str">
        <f t="shared" si="50"/>
        <v>·</v>
      </c>
      <c r="AD168" s="23" t="str">
        <f t="shared" si="51"/>
        <v>·</v>
      </c>
      <c r="AE168" s="23" t="str">
        <f t="shared" si="52"/>
        <v>·</v>
      </c>
      <c r="AF168" s="23" t="str">
        <f t="shared" si="53"/>
        <v>·</v>
      </c>
      <c r="AG168" s="24"/>
      <c r="AH168" s="23" t="str">
        <f t="shared" si="54"/>
        <v>·</v>
      </c>
      <c r="AI168" s="25"/>
      <c r="AJ168" s="26"/>
      <c r="AK168" s="26"/>
      <c r="AL168" s="26"/>
      <c r="AM168" s="40"/>
      <c r="AN168" s="41"/>
      <c r="AO168" s="41"/>
      <c r="AP168" s="41"/>
      <c r="AQ168" s="41"/>
      <c r="AR168" s="41"/>
      <c r="AS168" s="42"/>
      <c r="AT168" s="50"/>
      <c r="AU168" s="50"/>
      <c r="AW168" s="55" t="e">
        <f t="shared" si="55"/>
        <v>#DIV/0!</v>
      </c>
      <c r="AX168" s="55"/>
      <c r="AZ168" s="56"/>
      <c r="BA168" s="56"/>
      <c r="BB168" s="56"/>
      <c r="BC168" s="56"/>
      <c r="BD168" s="56"/>
      <c r="BE168" s="62"/>
      <c r="BG168" s="56"/>
      <c r="BH168" s="56"/>
      <c r="BI168" s="56"/>
      <c r="BJ168" s="56"/>
      <c r="BK168" s="56"/>
      <c r="BL168" s="62"/>
      <c r="BN168">
        <f t="shared" si="56"/>
        <v>0</v>
      </c>
      <c r="BO168">
        <f t="shared" si="57"/>
        <v>0</v>
      </c>
      <c r="BP168">
        <f t="shared" si="58"/>
        <v>0</v>
      </c>
      <c r="BQ168">
        <f t="shared" si="59"/>
        <v>0</v>
      </c>
      <c r="BR168">
        <f t="shared" si="60"/>
        <v>0</v>
      </c>
      <c r="BS168">
        <f t="shared" si="61"/>
        <v>0</v>
      </c>
      <c r="BT168">
        <f t="shared" si="62"/>
        <v>0</v>
      </c>
      <c r="BU168">
        <f t="shared" si="63"/>
        <v>0</v>
      </c>
      <c r="BV168">
        <f t="shared" si="64"/>
        <v>0</v>
      </c>
      <c r="BW168">
        <f t="shared" si="65"/>
        <v>0</v>
      </c>
      <c r="BX168">
        <f t="shared" si="66"/>
        <v>0</v>
      </c>
    </row>
    <row r="169" spans="1:76" outlineLevel="1" x14ac:dyDescent="0.15">
      <c r="A169" s="5"/>
      <c r="B169" s="5" t="s">
        <v>140</v>
      </c>
      <c r="C169" s="6" t="s">
        <v>256</v>
      </c>
      <c r="D169" s="5">
        <v>19702134</v>
      </c>
      <c r="E169" s="7">
        <v>14</v>
      </c>
      <c r="F169" s="6">
        <v>1</v>
      </c>
      <c r="G169" s="6"/>
      <c r="I169" s="17" t="str">
        <f t="shared" si="45"/>
        <v>·</v>
      </c>
      <c r="J169" s="18" t="str">
        <f t="shared" si="46"/>
        <v>·</v>
      </c>
      <c r="K169" s="18" t="str">
        <f t="shared" si="47"/>
        <v>·</v>
      </c>
      <c r="L169" s="18" t="str">
        <f t="shared" si="48"/>
        <v>·</v>
      </c>
      <c r="M169" s="19"/>
      <c r="N169" s="18" t="str">
        <f t="shared" si="49"/>
        <v>·</v>
      </c>
      <c r="O169" s="20"/>
      <c r="P169" s="21"/>
      <c r="Q169" s="21"/>
      <c r="R169" s="21"/>
      <c r="S169" s="37"/>
      <c r="T169" s="38"/>
      <c r="U169" s="38"/>
      <c r="V169" s="38"/>
      <c r="W169" s="38"/>
      <c r="X169" s="38"/>
      <c r="Y169" s="39"/>
      <c r="Z169" s="49"/>
      <c r="AA169" s="49"/>
      <c r="AC169" s="17" t="str">
        <f t="shared" si="50"/>
        <v>·</v>
      </c>
      <c r="AD169" s="18" t="str">
        <f t="shared" si="51"/>
        <v>·</v>
      </c>
      <c r="AE169" s="18" t="str">
        <f t="shared" si="52"/>
        <v>·</v>
      </c>
      <c r="AF169" s="18" t="str">
        <f t="shared" si="53"/>
        <v>·</v>
      </c>
      <c r="AG169" s="19"/>
      <c r="AH169" s="18" t="str">
        <f t="shared" si="54"/>
        <v>·</v>
      </c>
      <c r="AI169" s="20"/>
      <c r="AJ169" s="21"/>
      <c r="AK169" s="21"/>
      <c r="AL169" s="21"/>
      <c r="AM169" s="37"/>
      <c r="AN169" s="38"/>
      <c r="AO169" s="38"/>
      <c r="AP169" s="38"/>
      <c r="AQ169" s="38"/>
      <c r="AR169" s="38"/>
      <c r="AS169" s="39"/>
      <c r="AT169" s="49"/>
      <c r="AU169" s="49"/>
      <c r="AW169" s="53" t="e">
        <f t="shared" si="55"/>
        <v>#DIV/0!</v>
      </c>
      <c r="AX169" s="53"/>
      <c r="AZ169" s="54"/>
      <c r="BA169" s="54"/>
      <c r="BB169" s="54"/>
      <c r="BC169" s="54"/>
      <c r="BD169" s="54"/>
      <c r="BE169" s="61"/>
      <c r="BG169" s="54"/>
      <c r="BH169" s="54"/>
      <c r="BI169" s="54"/>
      <c r="BJ169" s="54"/>
      <c r="BK169" s="54"/>
      <c r="BL169" s="61"/>
      <c r="BN169">
        <f t="shared" si="56"/>
        <v>0</v>
      </c>
      <c r="BO169">
        <f t="shared" si="57"/>
        <v>0</v>
      </c>
      <c r="BP169">
        <f t="shared" si="58"/>
        <v>0</v>
      </c>
      <c r="BQ169">
        <f t="shared" si="59"/>
        <v>0</v>
      </c>
      <c r="BR169">
        <f t="shared" si="60"/>
        <v>0</v>
      </c>
      <c r="BS169">
        <f t="shared" si="61"/>
        <v>0</v>
      </c>
      <c r="BT169">
        <f t="shared" si="62"/>
        <v>0</v>
      </c>
      <c r="BU169">
        <f t="shared" si="63"/>
        <v>0</v>
      </c>
      <c r="BV169">
        <f t="shared" si="64"/>
        <v>0</v>
      </c>
      <c r="BW169">
        <f t="shared" si="65"/>
        <v>0</v>
      </c>
      <c r="BX169">
        <f t="shared" si="66"/>
        <v>0</v>
      </c>
    </row>
    <row r="170" spans="1:76" outlineLevel="1" x14ac:dyDescent="0.15">
      <c r="A170" s="8"/>
      <c r="B170" s="8" t="s">
        <v>140</v>
      </c>
      <c r="C170" s="9" t="s">
        <v>257</v>
      </c>
      <c r="D170" s="8">
        <v>19702134</v>
      </c>
      <c r="E170" s="10">
        <v>14</v>
      </c>
      <c r="F170" s="9">
        <v>1</v>
      </c>
      <c r="G170" s="9"/>
      <c r="I170" s="22" t="str">
        <f t="shared" si="45"/>
        <v>·</v>
      </c>
      <c r="J170" s="23" t="str">
        <f t="shared" si="46"/>
        <v>·</v>
      </c>
      <c r="K170" s="23" t="str">
        <f t="shared" si="47"/>
        <v>·</v>
      </c>
      <c r="L170" s="23" t="str">
        <f t="shared" si="48"/>
        <v>·</v>
      </c>
      <c r="M170" s="24"/>
      <c r="N170" s="23" t="str">
        <f t="shared" si="49"/>
        <v>·</v>
      </c>
      <c r="O170" s="25"/>
      <c r="P170" s="26"/>
      <c r="Q170" s="26"/>
      <c r="R170" s="26"/>
      <c r="S170" s="40"/>
      <c r="T170" s="41"/>
      <c r="U170" s="41"/>
      <c r="V170" s="41"/>
      <c r="W170" s="41"/>
      <c r="X170" s="41"/>
      <c r="Y170" s="42"/>
      <c r="Z170" s="50"/>
      <c r="AA170" s="50"/>
      <c r="AC170" s="22" t="str">
        <f t="shared" si="50"/>
        <v>·</v>
      </c>
      <c r="AD170" s="23" t="str">
        <f t="shared" si="51"/>
        <v>·</v>
      </c>
      <c r="AE170" s="23" t="str">
        <f t="shared" si="52"/>
        <v>·</v>
      </c>
      <c r="AF170" s="23" t="str">
        <f t="shared" si="53"/>
        <v>·</v>
      </c>
      <c r="AG170" s="24"/>
      <c r="AH170" s="23" t="str">
        <f t="shared" si="54"/>
        <v>·</v>
      </c>
      <c r="AI170" s="25"/>
      <c r="AJ170" s="26"/>
      <c r="AK170" s="26"/>
      <c r="AL170" s="26"/>
      <c r="AM170" s="40"/>
      <c r="AN170" s="41"/>
      <c r="AO170" s="41"/>
      <c r="AP170" s="41"/>
      <c r="AQ170" s="41"/>
      <c r="AR170" s="41"/>
      <c r="AS170" s="42"/>
      <c r="AT170" s="50"/>
      <c r="AU170" s="50"/>
      <c r="AW170" s="55" t="e">
        <f t="shared" si="55"/>
        <v>#DIV/0!</v>
      </c>
      <c r="AX170" s="55"/>
      <c r="AZ170" s="56"/>
      <c r="BA170" s="56"/>
      <c r="BB170" s="56"/>
      <c r="BC170" s="56"/>
      <c r="BD170" s="56"/>
      <c r="BE170" s="62"/>
      <c r="BG170" s="56"/>
      <c r="BH170" s="56"/>
      <c r="BI170" s="56"/>
      <c r="BJ170" s="56"/>
      <c r="BK170" s="56"/>
      <c r="BL170" s="62"/>
      <c r="BN170">
        <f t="shared" si="56"/>
        <v>0</v>
      </c>
      <c r="BO170">
        <f t="shared" si="57"/>
        <v>0</v>
      </c>
      <c r="BP170">
        <f t="shared" si="58"/>
        <v>0</v>
      </c>
      <c r="BQ170">
        <f t="shared" si="59"/>
        <v>0</v>
      </c>
      <c r="BR170">
        <f t="shared" si="60"/>
        <v>0</v>
      </c>
      <c r="BS170">
        <f t="shared" si="61"/>
        <v>0</v>
      </c>
      <c r="BT170">
        <f t="shared" si="62"/>
        <v>0</v>
      </c>
      <c r="BU170">
        <f t="shared" si="63"/>
        <v>0</v>
      </c>
      <c r="BV170">
        <f t="shared" si="64"/>
        <v>0</v>
      </c>
      <c r="BW170">
        <f t="shared" si="65"/>
        <v>0</v>
      </c>
      <c r="BX170">
        <f t="shared" si="66"/>
        <v>0</v>
      </c>
    </row>
    <row r="171" spans="1:76" outlineLevel="1" x14ac:dyDescent="0.15">
      <c r="A171" s="5"/>
      <c r="B171" s="5" t="s">
        <v>140</v>
      </c>
      <c r="C171" s="6" t="s">
        <v>258</v>
      </c>
      <c r="D171" s="5">
        <v>19702134</v>
      </c>
      <c r="E171" s="7">
        <v>14</v>
      </c>
      <c r="F171" s="6">
        <v>1</v>
      </c>
      <c r="G171" s="6"/>
      <c r="I171" s="17" t="str">
        <f t="shared" si="45"/>
        <v>·</v>
      </c>
      <c r="J171" s="18" t="str">
        <f t="shared" si="46"/>
        <v>·</v>
      </c>
      <c r="K171" s="18" t="str">
        <f t="shared" si="47"/>
        <v>·</v>
      </c>
      <c r="L171" s="18" t="str">
        <f t="shared" si="48"/>
        <v>·</v>
      </c>
      <c r="M171" s="19"/>
      <c r="N171" s="18" t="str">
        <f t="shared" si="49"/>
        <v>·</v>
      </c>
      <c r="O171" s="20"/>
      <c r="P171" s="21"/>
      <c r="Q171" s="21"/>
      <c r="R171" s="21"/>
      <c r="S171" s="37"/>
      <c r="T171" s="38"/>
      <c r="U171" s="38"/>
      <c r="V171" s="38"/>
      <c r="W171" s="38"/>
      <c r="X171" s="38"/>
      <c r="Y171" s="39"/>
      <c r="Z171" s="49"/>
      <c r="AA171" s="49"/>
      <c r="AC171" s="17" t="str">
        <f t="shared" si="50"/>
        <v>·</v>
      </c>
      <c r="AD171" s="18" t="str">
        <f t="shared" si="51"/>
        <v>·</v>
      </c>
      <c r="AE171" s="18" t="str">
        <f t="shared" si="52"/>
        <v>·</v>
      </c>
      <c r="AF171" s="18" t="str">
        <f t="shared" si="53"/>
        <v>·</v>
      </c>
      <c r="AG171" s="19"/>
      <c r="AH171" s="18" t="str">
        <f t="shared" si="54"/>
        <v>·</v>
      </c>
      <c r="AI171" s="20"/>
      <c r="AJ171" s="21"/>
      <c r="AK171" s="21"/>
      <c r="AL171" s="21"/>
      <c r="AM171" s="37"/>
      <c r="AN171" s="38"/>
      <c r="AO171" s="38"/>
      <c r="AP171" s="38"/>
      <c r="AQ171" s="38"/>
      <c r="AR171" s="38"/>
      <c r="AS171" s="39"/>
      <c r="AT171" s="49"/>
      <c r="AU171" s="49"/>
      <c r="AW171" s="53" t="e">
        <f t="shared" si="55"/>
        <v>#DIV/0!</v>
      </c>
      <c r="AX171" s="53"/>
      <c r="AZ171" s="54"/>
      <c r="BA171" s="54"/>
      <c r="BB171" s="54"/>
      <c r="BC171" s="54"/>
      <c r="BD171" s="54"/>
      <c r="BE171" s="61"/>
      <c r="BG171" s="54"/>
      <c r="BH171" s="54"/>
      <c r="BI171" s="54"/>
      <c r="BJ171" s="54"/>
      <c r="BK171" s="54"/>
      <c r="BL171" s="61"/>
      <c r="BN171">
        <f t="shared" si="56"/>
        <v>0</v>
      </c>
      <c r="BO171">
        <f t="shared" si="57"/>
        <v>0</v>
      </c>
      <c r="BP171">
        <f t="shared" si="58"/>
        <v>0</v>
      </c>
      <c r="BQ171">
        <f t="shared" si="59"/>
        <v>0</v>
      </c>
      <c r="BR171">
        <f t="shared" si="60"/>
        <v>0</v>
      </c>
      <c r="BS171">
        <f t="shared" si="61"/>
        <v>0</v>
      </c>
      <c r="BT171">
        <f t="shared" si="62"/>
        <v>0</v>
      </c>
      <c r="BU171">
        <f t="shared" si="63"/>
        <v>0</v>
      </c>
      <c r="BV171">
        <f t="shared" si="64"/>
        <v>0</v>
      </c>
      <c r="BW171">
        <f t="shared" si="65"/>
        <v>0</v>
      </c>
      <c r="BX171">
        <f t="shared" si="66"/>
        <v>0</v>
      </c>
    </row>
    <row r="172" spans="1:76" outlineLevel="1" x14ac:dyDescent="0.15">
      <c r="A172" s="8"/>
      <c r="B172" s="14" t="s">
        <v>140</v>
      </c>
      <c r="C172" s="15" t="s">
        <v>259</v>
      </c>
      <c r="D172" s="14">
        <v>19702134</v>
      </c>
      <c r="E172" s="16">
        <v>14</v>
      </c>
      <c r="F172" s="15">
        <v>1</v>
      </c>
      <c r="G172" s="15"/>
      <c r="I172" s="32" t="str">
        <f t="shared" si="45"/>
        <v>·</v>
      </c>
      <c r="J172" s="33" t="str">
        <f t="shared" si="46"/>
        <v>·</v>
      </c>
      <c r="K172" s="33" t="str">
        <f t="shared" si="47"/>
        <v>·</v>
      </c>
      <c r="L172" s="33" t="str">
        <f t="shared" si="48"/>
        <v>·</v>
      </c>
      <c r="M172" s="34"/>
      <c r="N172" s="33" t="str">
        <f t="shared" si="49"/>
        <v>·</v>
      </c>
      <c r="O172" s="35"/>
      <c r="P172" s="36"/>
      <c r="Q172" s="36"/>
      <c r="R172" s="36"/>
      <c r="S172" s="46"/>
      <c r="T172" s="47"/>
      <c r="U172" s="47"/>
      <c r="V172" s="47"/>
      <c r="W172" s="47"/>
      <c r="X172" s="47"/>
      <c r="Y172" s="48"/>
      <c r="Z172" s="52"/>
      <c r="AA172" s="52"/>
      <c r="AC172" s="32" t="str">
        <f t="shared" si="50"/>
        <v>·</v>
      </c>
      <c r="AD172" s="33" t="str">
        <f t="shared" si="51"/>
        <v>·</v>
      </c>
      <c r="AE172" s="33" t="str">
        <f t="shared" si="52"/>
        <v>·</v>
      </c>
      <c r="AF172" s="33" t="str">
        <f t="shared" si="53"/>
        <v>·</v>
      </c>
      <c r="AG172" s="34"/>
      <c r="AH172" s="33" t="str">
        <f t="shared" si="54"/>
        <v>·</v>
      </c>
      <c r="AI172" s="35"/>
      <c r="AJ172" s="36"/>
      <c r="AK172" s="36"/>
      <c r="AL172" s="36"/>
      <c r="AM172" s="46"/>
      <c r="AN172" s="47"/>
      <c r="AO172" s="47"/>
      <c r="AP172" s="47"/>
      <c r="AQ172" s="47"/>
      <c r="AR172" s="47"/>
      <c r="AS172" s="48"/>
      <c r="AT172" s="52"/>
      <c r="AU172" s="52"/>
      <c r="AW172" s="59" t="e">
        <f t="shared" si="55"/>
        <v>#DIV/0!</v>
      </c>
      <c r="AX172" s="59"/>
      <c r="AZ172" s="60"/>
      <c r="BA172" s="60"/>
      <c r="BB172" s="60"/>
      <c r="BC172" s="60"/>
      <c r="BD172" s="60"/>
      <c r="BE172" s="64"/>
      <c r="BG172" s="60"/>
      <c r="BH172" s="60"/>
      <c r="BI172" s="60"/>
      <c r="BJ172" s="60"/>
      <c r="BK172" s="60"/>
      <c r="BL172" s="64"/>
      <c r="BN172">
        <f t="shared" si="56"/>
        <v>0</v>
      </c>
      <c r="BO172">
        <f t="shared" si="57"/>
        <v>0</v>
      </c>
      <c r="BP172">
        <f t="shared" si="58"/>
        <v>0</v>
      </c>
      <c r="BQ172">
        <f t="shared" si="59"/>
        <v>0</v>
      </c>
      <c r="BR172">
        <f t="shared" si="60"/>
        <v>0</v>
      </c>
      <c r="BS172">
        <f t="shared" si="61"/>
        <v>0</v>
      </c>
      <c r="BT172">
        <f t="shared" si="62"/>
        <v>0</v>
      </c>
      <c r="BU172">
        <f t="shared" si="63"/>
        <v>0</v>
      </c>
      <c r="BV172">
        <f t="shared" si="64"/>
        <v>0</v>
      </c>
      <c r="BW172">
        <f t="shared" si="65"/>
        <v>0</v>
      </c>
      <c r="BX172">
        <f t="shared" si="66"/>
        <v>0</v>
      </c>
    </row>
    <row r="173" spans="1:76" x14ac:dyDescent="0.15">
      <c r="A173" s="5"/>
      <c r="B173" s="5" t="s">
        <v>143</v>
      </c>
      <c r="C173" s="6" t="s">
        <v>254</v>
      </c>
      <c r="D173" s="5">
        <v>19714629</v>
      </c>
      <c r="E173" s="7">
        <v>20</v>
      </c>
      <c r="F173" s="6">
        <v>1</v>
      </c>
      <c r="G173" s="6"/>
      <c r="I173" s="17" t="str">
        <f t="shared" si="45"/>
        <v>·</v>
      </c>
      <c r="J173" s="18" t="str">
        <f t="shared" si="46"/>
        <v>·</v>
      </c>
      <c r="K173" s="18" t="str">
        <f t="shared" si="47"/>
        <v>·</v>
      </c>
      <c r="L173" s="18" t="str">
        <f t="shared" si="48"/>
        <v>·</v>
      </c>
      <c r="M173" s="19"/>
      <c r="N173" s="18" t="str">
        <f t="shared" si="49"/>
        <v>·</v>
      </c>
      <c r="O173" s="20"/>
      <c r="P173" s="21"/>
      <c r="Q173" s="21"/>
      <c r="R173" s="21"/>
      <c r="S173" s="37"/>
      <c r="T173" s="38"/>
      <c r="U173" s="38"/>
      <c r="V173" s="38"/>
      <c r="W173" s="38"/>
      <c r="X173" s="38"/>
      <c r="Y173" s="39"/>
      <c r="Z173" s="49"/>
      <c r="AA173" s="49"/>
      <c r="AC173" s="17" t="str">
        <f t="shared" si="50"/>
        <v>·</v>
      </c>
      <c r="AD173" s="18" t="str">
        <f t="shared" si="51"/>
        <v>·</v>
      </c>
      <c r="AE173" s="18" t="str">
        <f t="shared" si="52"/>
        <v>·</v>
      </c>
      <c r="AF173" s="18" t="str">
        <f t="shared" si="53"/>
        <v>·</v>
      </c>
      <c r="AG173" s="19"/>
      <c r="AH173" s="18" t="str">
        <f t="shared" si="54"/>
        <v>·</v>
      </c>
      <c r="AI173" s="20"/>
      <c r="AJ173" s="21"/>
      <c r="AK173" s="21"/>
      <c r="AL173" s="21"/>
      <c r="AM173" s="37"/>
      <c r="AN173" s="38"/>
      <c r="AO173" s="38"/>
      <c r="AP173" s="38"/>
      <c r="AQ173" s="38"/>
      <c r="AR173" s="38"/>
      <c r="AS173" s="39"/>
      <c r="AT173" s="49"/>
      <c r="AU173" s="49"/>
      <c r="AW173" s="53" t="e">
        <f t="shared" si="55"/>
        <v>#DIV/0!</v>
      </c>
      <c r="AX173" s="53" t="e">
        <f t="array" ref="AX173">AVERAGE(AK173:AK178/AJ173:AJ178)-AVERAGE(Q173:Q178/P173:P178)</f>
        <v>#DIV/0!</v>
      </c>
      <c r="AZ173" s="54" t="str">
        <f>IF(OR(ISBLANK(Q173:Q178),ISBLANK(AK173:AK178),ISBLANK(T173:T178),ISBLANK(AN173:AN178)),"·",bdRateExtend(Q173:Q178,T173:T178,AK173:AK178,AN173:AN178))</f>
        <v>·</v>
      </c>
      <c r="BA173" s="54" t="str">
        <f>IF(OR(ISBLANK(Q173:Q178),ISBLANK(AK173:AK178),ISBLANK(U173:U178),ISBLANK(AO173:AO178)),"·",bdRateExtend(Q173:Q178,U173:U178,AK173:AK178,AO173:AO178))</f>
        <v>·</v>
      </c>
      <c r="BB173" s="54" t="str">
        <f>IF(OR(ISBLANK(R173:R178),ISBLANK(AL173:AL178),ISBLANK(V173:V178),ISBLANK(AP173:AP178)),"·",bdRateExtend(R173:R178,V173:V178,AL173:AL178,AP173:AP178))</f>
        <v>·</v>
      </c>
      <c r="BC173" s="54" t="str">
        <f>IF(OR(ISBLANK(R173:R178),ISBLANK(AL173:AL178),ISBLANK(W173:W178),ISBLANK(AQ173:AQ178)),"·",bdRateExtend(R173:R178,W173:W178,AL173:AL178,AQ173:AQ178))</f>
        <v>·</v>
      </c>
      <c r="BD173" s="54" t="str">
        <f>IF(OR(ISBLANK(R173:R178),ISBLANK(AL173:AL178),ISBLANK(X173:X178),ISBLANK(AR173:AR178)),"·",bdRateExtend(R173:R178,X173:X178,AL173:AL178,AR173:AR178))</f>
        <v>·</v>
      </c>
      <c r="BE173" s="61"/>
      <c r="BG173" s="54" t="str">
        <f>IF(OR(ISBLANK(P173:P178),ISBLANK(AJ173:AJ178),ISBLANK(T173:T178),ISBLANK(AN173:AN178)),"·",bdRateExtend(P173:P178,T173:T178,AJ173:AJ178,AN173:AN178))</f>
        <v>·</v>
      </c>
      <c r="BH173" s="54" t="str">
        <f>IF(OR(ISBLANK(P173:P178),ISBLANK(AJ173:AJ178),ISBLANK(U173:U178),ISBLANK(AO173:AO178)),"·",bdRateExtend(P173:P178,U173:U178,AJ173:AJ178,AO173:AO178))</f>
        <v>·</v>
      </c>
      <c r="BI173" s="54" t="str">
        <f>IF(OR(ISBLANK(P173:P178),ISBLANK(AJ173:AJ178),ISBLANK(V173:V178),ISBLANK(AP173:AP178)),"·",bdRateExtend(P173:P178,V173:V178,AJ173:AJ178,AP173:AP178))</f>
        <v>·</v>
      </c>
      <c r="BJ173" s="54" t="str">
        <f>IF(OR(ISBLANK(P173:P178),ISBLANK(AJ173:AJ178),ISBLANK(W173:W178),ISBLANK(AQ173:AQ178)),"·",bdRateExtend(P173:P178,W173:W178,AJ173:AJ178,AQ173:AQ178))</f>
        <v>·</v>
      </c>
      <c r="BK173" s="54" t="str">
        <f>IF(OR(ISBLANK(P173:P178),ISBLANK(AJ173:AJ178),ISBLANK(X173:X178),ISBLANK(AR173:AR178)),"·",bdRateExtend(P173:P178,X173:X178,AJ173:AJ178,AR173:AR178))</f>
        <v>·</v>
      </c>
      <c r="BL173" s="61"/>
      <c r="BN173">
        <f t="shared" si="56"/>
        <v>0</v>
      </c>
      <c r="BO173">
        <f t="shared" si="57"/>
        <v>0</v>
      </c>
      <c r="BP173">
        <f t="shared" si="58"/>
        <v>0</v>
      </c>
      <c r="BQ173">
        <f t="shared" si="59"/>
        <v>0</v>
      </c>
      <c r="BR173">
        <f t="shared" si="60"/>
        <v>0</v>
      </c>
      <c r="BS173">
        <f t="shared" si="61"/>
        <v>0</v>
      </c>
      <c r="BT173">
        <f t="shared" si="62"/>
        <v>0</v>
      </c>
      <c r="BU173">
        <f t="shared" si="63"/>
        <v>0</v>
      </c>
      <c r="BV173">
        <f t="shared" si="64"/>
        <v>0</v>
      </c>
      <c r="BW173">
        <f t="shared" si="65"/>
        <v>0</v>
      </c>
      <c r="BX173">
        <f t="shared" si="66"/>
        <v>0</v>
      </c>
    </row>
    <row r="174" spans="1:76" outlineLevel="1" x14ac:dyDescent="0.15">
      <c r="A174" s="8"/>
      <c r="B174" s="8" t="s">
        <v>143</v>
      </c>
      <c r="C174" s="9" t="s">
        <v>255</v>
      </c>
      <c r="D174" s="8">
        <v>19714629</v>
      </c>
      <c r="E174" s="10">
        <v>20</v>
      </c>
      <c r="F174" s="9">
        <v>1</v>
      </c>
      <c r="G174" s="9"/>
      <c r="I174" s="22" t="str">
        <f t="shared" si="45"/>
        <v>·</v>
      </c>
      <c r="J174" s="23" t="str">
        <f t="shared" si="46"/>
        <v>·</v>
      </c>
      <c r="K174" s="23" t="str">
        <f t="shared" si="47"/>
        <v>·</v>
      </c>
      <c r="L174" s="23" t="str">
        <f t="shared" si="48"/>
        <v>·</v>
      </c>
      <c r="M174" s="24"/>
      <c r="N174" s="23" t="str">
        <f t="shared" si="49"/>
        <v>·</v>
      </c>
      <c r="O174" s="25"/>
      <c r="P174" s="26"/>
      <c r="Q174" s="26"/>
      <c r="R174" s="26"/>
      <c r="S174" s="40"/>
      <c r="T174" s="41"/>
      <c r="U174" s="41"/>
      <c r="V174" s="41"/>
      <c r="W174" s="41"/>
      <c r="X174" s="41"/>
      <c r="Y174" s="42"/>
      <c r="Z174" s="50"/>
      <c r="AA174" s="50"/>
      <c r="AC174" s="22" t="str">
        <f t="shared" si="50"/>
        <v>·</v>
      </c>
      <c r="AD174" s="23" t="str">
        <f t="shared" si="51"/>
        <v>·</v>
      </c>
      <c r="AE174" s="23" t="str">
        <f t="shared" si="52"/>
        <v>·</v>
      </c>
      <c r="AF174" s="23" t="str">
        <f t="shared" si="53"/>
        <v>·</v>
      </c>
      <c r="AG174" s="24"/>
      <c r="AH174" s="23" t="str">
        <f t="shared" si="54"/>
        <v>·</v>
      </c>
      <c r="AI174" s="25"/>
      <c r="AJ174" s="26"/>
      <c r="AK174" s="26"/>
      <c r="AL174" s="26"/>
      <c r="AM174" s="40"/>
      <c r="AN174" s="41"/>
      <c r="AO174" s="41"/>
      <c r="AP174" s="41"/>
      <c r="AQ174" s="41"/>
      <c r="AR174" s="41"/>
      <c r="AS174" s="42"/>
      <c r="AT174" s="50"/>
      <c r="AU174" s="50"/>
      <c r="AW174" s="55" t="e">
        <f t="shared" si="55"/>
        <v>#DIV/0!</v>
      </c>
      <c r="AX174" s="55"/>
      <c r="AZ174" s="56"/>
      <c r="BA174" s="56"/>
      <c r="BB174" s="56"/>
      <c r="BC174" s="56"/>
      <c r="BD174" s="56"/>
      <c r="BE174" s="62"/>
      <c r="BG174" s="56"/>
      <c r="BH174" s="56"/>
      <c r="BI174" s="56"/>
      <c r="BJ174" s="56"/>
      <c r="BK174" s="56"/>
      <c r="BL174" s="62"/>
      <c r="BN174">
        <f t="shared" si="56"/>
        <v>0</v>
      </c>
      <c r="BO174">
        <f t="shared" si="57"/>
        <v>0</v>
      </c>
      <c r="BP174">
        <f t="shared" si="58"/>
        <v>0</v>
      </c>
      <c r="BQ174">
        <f t="shared" si="59"/>
        <v>0</v>
      </c>
      <c r="BR174">
        <f t="shared" si="60"/>
        <v>0</v>
      </c>
      <c r="BS174">
        <f t="shared" si="61"/>
        <v>0</v>
      </c>
      <c r="BT174">
        <f t="shared" si="62"/>
        <v>0</v>
      </c>
      <c r="BU174">
        <f t="shared" si="63"/>
        <v>0</v>
      </c>
      <c r="BV174">
        <f t="shared" si="64"/>
        <v>0</v>
      </c>
      <c r="BW174">
        <f t="shared" si="65"/>
        <v>0</v>
      </c>
      <c r="BX174">
        <f t="shared" si="66"/>
        <v>0</v>
      </c>
    </row>
    <row r="175" spans="1:76" outlineLevel="1" x14ac:dyDescent="0.15">
      <c r="A175" s="5"/>
      <c r="B175" s="5" t="s">
        <v>143</v>
      </c>
      <c r="C175" s="6" t="s">
        <v>256</v>
      </c>
      <c r="D175" s="5">
        <v>19714629</v>
      </c>
      <c r="E175" s="7">
        <v>20</v>
      </c>
      <c r="F175" s="6">
        <v>1</v>
      </c>
      <c r="G175" s="6"/>
      <c r="I175" s="17" t="str">
        <f t="shared" si="45"/>
        <v>·</v>
      </c>
      <c r="J175" s="18" t="str">
        <f t="shared" si="46"/>
        <v>·</v>
      </c>
      <c r="K175" s="18" t="str">
        <f t="shared" si="47"/>
        <v>·</v>
      </c>
      <c r="L175" s="18" t="str">
        <f t="shared" si="48"/>
        <v>·</v>
      </c>
      <c r="M175" s="19"/>
      <c r="N175" s="18" t="str">
        <f t="shared" si="49"/>
        <v>·</v>
      </c>
      <c r="O175" s="20"/>
      <c r="P175" s="21"/>
      <c r="Q175" s="21"/>
      <c r="R175" s="21"/>
      <c r="S175" s="37"/>
      <c r="T175" s="38"/>
      <c r="U175" s="38"/>
      <c r="V175" s="38"/>
      <c r="W175" s="38"/>
      <c r="X175" s="38"/>
      <c r="Y175" s="39"/>
      <c r="Z175" s="49"/>
      <c r="AA175" s="49"/>
      <c r="AC175" s="17" t="str">
        <f t="shared" si="50"/>
        <v>·</v>
      </c>
      <c r="AD175" s="18" t="str">
        <f t="shared" si="51"/>
        <v>·</v>
      </c>
      <c r="AE175" s="18" t="str">
        <f t="shared" si="52"/>
        <v>·</v>
      </c>
      <c r="AF175" s="18" t="str">
        <f t="shared" si="53"/>
        <v>·</v>
      </c>
      <c r="AG175" s="19"/>
      <c r="AH175" s="18" t="str">
        <f t="shared" si="54"/>
        <v>·</v>
      </c>
      <c r="AI175" s="20"/>
      <c r="AJ175" s="21"/>
      <c r="AK175" s="21"/>
      <c r="AL175" s="21"/>
      <c r="AM175" s="37"/>
      <c r="AN175" s="38"/>
      <c r="AO175" s="38"/>
      <c r="AP175" s="38"/>
      <c r="AQ175" s="38"/>
      <c r="AR175" s="38"/>
      <c r="AS175" s="39"/>
      <c r="AT175" s="49"/>
      <c r="AU175" s="49"/>
      <c r="AW175" s="53" t="e">
        <f t="shared" si="55"/>
        <v>#DIV/0!</v>
      </c>
      <c r="AX175" s="53"/>
      <c r="AZ175" s="54"/>
      <c r="BA175" s="54"/>
      <c r="BB175" s="54"/>
      <c r="BC175" s="54"/>
      <c r="BD175" s="54"/>
      <c r="BE175" s="61"/>
      <c r="BG175" s="54"/>
      <c r="BH175" s="54"/>
      <c r="BI175" s="54"/>
      <c r="BJ175" s="54"/>
      <c r="BK175" s="54"/>
      <c r="BL175" s="61"/>
      <c r="BN175">
        <f t="shared" si="56"/>
        <v>0</v>
      </c>
      <c r="BO175">
        <f t="shared" si="57"/>
        <v>0</v>
      </c>
      <c r="BP175">
        <f t="shared" si="58"/>
        <v>0</v>
      </c>
      <c r="BQ175">
        <f t="shared" si="59"/>
        <v>0</v>
      </c>
      <c r="BR175">
        <f t="shared" si="60"/>
        <v>0</v>
      </c>
      <c r="BS175">
        <f t="shared" si="61"/>
        <v>0</v>
      </c>
      <c r="BT175">
        <f t="shared" si="62"/>
        <v>0</v>
      </c>
      <c r="BU175">
        <f t="shared" si="63"/>
        <v>0</v>
      </c>
      <c r="BV175">
        <f t="shared" si="64"/>
        <v>0</v>
      </c>
      <c r="BW175">
        <f t="shared" si="65"/>
        <v>0</v>
      </c>
      <c r="BX175">
        <f t="shared" si="66"/>
        <v>0</v>
      </c>
    </row>
    <row r="176" spans="1:76" outlineLevel="1" x14ac:dyDescent="0.15">
      <c r="A176" s="8"/>
      <c r="B176" s="8" t="s">
        <v>143</v>
      </c>
      <c r="C176" s="9" t="s">
        <v>257</v>
      </c>
      <c r="D176" s="8">
        <v>19714629</v>
      </c>
      <c r="E176" s="10">
        <v>20</v>
      </c>
      <c r="F176" s="9">
        <v>1</v>
      </c>
      <c r="G176" s="9"/>
      <c r="I176" s="22" t="str">
        <f t="shared" si="45"/>
        <v>·</v>
      </c>
      <c r="J176" s="23" t="str">
        <f t="shared" si="46"/>
        <v>·</v>
      </c>
      <c r="K176" s="23" t="str">
        <f t="shared" si="47"/>
        <v>·</v>
      </c>
      <c r="L176" s="23" t="str">
        <f t="shared" si="48"/>
        <v>·</v>
      </c>
      <c r="M176" s="24"/>
      <c r="N176" s="23" t="str">
        <f t="shared" si="49"/>
        <v>·</v>
      </c>
      <c r="O176" s="25"/>
      <c r="P176" s="26"/>
      <c r="Q176" s="26"/>
      <c r="R176" s="26"/>
      <c r="S176" s="40"/>
      <c r="T176" s="41"/>
      <c r="U176" s="41"/>
      <c r="V176" s="41"/>
      <c r="W176" s="41"/>
      <c r="X176" s="41"/>
      <c r="Y176" s="42"/>
      <c r="Z176" s="50"/>
      <c r="AA176" s="50"/>
      <c r="AC176" s="22" t="str">
        <f t="shared" si="50"/>
        <v>·</v>
      </c>
      <c r="AD176" s="23" t="str">
        <f t="shared" si="51"/>
        <v>·</v>
      </c>
      <c r="AE176" s="23" t="str">
        <f t="shared" si="52"/>
        <v>·</v>
      </c>
      <c r="AF176" s="23" t="str">
        <f t="shared" si="53"/>
        <v>·</v>
      </c>
      <c r="AG176" s="24"/>
      <c r="AH176" s="23" t="str">
        <f t="shared" si="54"/>
        <v>·</v>
      </c>
      <c r="AI176" s="25"/>
      <c r="AJ176" s="26"/>
      <c r="AK176" s="26"/>
      <c r="AL176" s="26"/>
      <c r="AM176" s="40"/>
      <c r="AN176" s="41"/>
      <c r="AO176" s="41"/>
      <c r="AP176" s="41"/>
      <c r="AQ176" s="41"/>
      <c r="AR176" s="41"/>
      <c r="AS176" s="42"/>
      <c r="AT176" s="50"/>
      <c r="AU176" s="50"/>
      <c r="AW176" s="55" t="e">
        <f t="shared" si="55"/>
        <v>#DIV/0!</v>
      </c>
      <c r="AX176" s="55"/>
      <c r="AZ176" s="56"/>
      <c r="BA176" s="56"/>
      <c r="BB176" s="56"/>
      <c r="BC176" s="56"/>
      <c r="BD176" s="56"/>
      <c r="BE176" s="62"/>
      <c r="BG176" s="56"/>
      <c r="BH176" s="56"/>
      <c r="BI176" s="56"/>
      <c r="BJ176" s="56"/>
      <c r="BK176" s="56"/>
      <c r="BL176" s="62"/>
      <c r="BN176">
        <f t="shared" si="56"/>
        <v>0</v>
      </c>
      <c r="BO176">
        <f t="shared" si="57"/>
        <v>0</v>
      </c>
      <c r="BP176">
        <f t="shared" si="58"/>
        <v>0</v>
      </c>
      <c r="BQ176">
        <f t="shared" si="59"/>
        <v>0</v>
      </c>
      <c r="BR176">
        <f t="shared" si="60"/>
        <v>0</v>
      </c>
      <c r="BS176">
        <f t="shared" si="61"/>
        <v>0</v>
      </c>
      <c r="BT176">
        <f t="shared" si="62"/>
        <v>0</v>
      </c>
      <c r="BU176">
        <f t="shared" si="63"/>
        <v>0</v>
      </c>
      <c r="BV176">
        <f t="shared" si="64"/>
        <v>0</v>
      </c>
      <c r="BW176">
        <f t="shared" si="65"/>
        <v>0</v>
      </c>
      <c r="BX176">
        <f t="shared" si="66"/>
        <v>0</v>
      </c>
    </row>
    <row r="177" spans="1:76" outlineLevel="1" x14ac:dyDescent="0.15">
      <c r="A177" s="5"/>
      <c r="B177" s="5" t="s">
        <v>143</v>
      </c>
      <c r="C177" s="6" t="s">
        <v>258</v>
      </c>
      <c r="D177" s="5">
        <v>19714629</v>
      </c>
      <c r="E177" s="7">
        <v>20</v>
      </c>
      <c r="F177" s="6">
        <v>1</v>
      </c>
      <c r="G177" s="6"/>
      <c r="I177" s="17" t="str">
        <f t="shared" si="45"/>
        <v>·</v>
      </c>
      <c r="J177" s="18" t="str">
        <f t="shared" si="46"/>
        <v>·</v>
      </c>
      <c r="K177" s="18" t="str">
        <f t="shared" si="47"/>
        <v>·</v>
      </c>
      <c r="L177" s="18" t="str">
        <f t="shared" si="48"/>
        <v>·</v>
      </c>
      <c r="M177" s="19"/>
      <c r="N177" s="18" t="str">
        <f t="shared" si="49"/>
        <v>·</v>
      </c>
      <c r="O177" s="20"/>
      <c r="P177" s="21"/>
      <c r="Q177" s="21"/>
      <c r="R177" s="21"/>
      <c r="S177" s="37"/>
      <c r="T177" s="38"/>
      <c r="U177" s="38"/>
      <c r="V177" s="38"/>
      <c r="W177" s="38"/>
      <c r="X177" s="38"/>
      <c r="Y177" s="39"/>
      <c r="Z177" s="49"/>
      <c r="AA177" s="49"/>
      <c r="AC177" s="17" t="str">
        <f t="shared" si="50"/>
        <v>·</v>
      </c>
      <c r="AD177" s="18" t="str">
        <f t="shared" si="51"/>
        <v>·</v>
      </c>
      <c r="AE177" s="18" t="str">
        <f t="shared" si="52"/>
        <v>·</v>
      </c>
      <c r="AF177" s="18" t="str">
        <f t="shared" si="53"/>
        <v>·</v>
      </c>
      <c r="AG177" s="19"/>
      <c r="AH177" s="18" t="str">
        <f t="shared" si="54"/>
        <v>·</v>
      </c>
      <c r="AI177" s="20"/>
      <c r="AJ177" s="21"/>
      <c r="AK177" s="21"/>
      <c r="AL177" s="21"/>
      <c r="AM177" s="37"/>
      <c r="AN177" s="38"/>
      <c r="AO177" s="38"/>
      <c r="AP177" s="38"/>
      <c r="AQ177" s="38"/>
      <c r="AR177" s="38"/>
      <c r="AS177" s="39"/>
      <c r="AT177" s="49"/>
      <c r="AU177" s="49"/>
      <c r="AW177" s="53" t="e">
        <f t="shared" si="55"/>
        <v>#DIV/0!</v>
      </c>
      <c r="AX177" s="53"/>
      <c r="AZ177" s="54"/>
      <c r="BA177" s="54"/>
      <c r="BB177" s="54"/>
      <c r="BC177" s="54"/>
      <c r="BD177" s="54"/>
      <c r="BE177" s="61"/>
      <c r="BG177" s="54"/>
      <c r="BH177" s="54"/>
      <c r="BI177" s="54"/>
      <c r="BJ177" s="54"/>
      <c r="BK177" s="54"/>
      <c r="BL177" s="61"/>
      <c r="BN177">
        <f t="shared" si="56"/>
        <v>0</v>
      </c>
      <c r="BO177">
        <f t="shared" si="57"/>
        <v>0</v>
      </c>
      <c r="BP177">
        <f t="shared" si="58"/>
        <v>0</v>
      </c>
      <c r="BQ177">
        <f t="shared" si="59"/>
        <v>0</v>
      </c>
      <c r="BR177">
        <f t="shared" si="60"/>
        <v>0</v>
      </c>
      <c r="BS177">
        <f t="shared" si="61"/>
        <v>0</v>
      </c>
      <c r="BT177">
        <f t="shared" si="62"/>
        <v>0</v>
      </c>
      <c r="BU177">
        <f t="shared" si="63"/>
        <v>0</v>
      </c>
      <c r="BV177">
        <f t="shared" si="64"/>
        <v>0</v>
      </c>
      <c r="BW177">
        <f t="shared" si="65"/>
        <v>0</v>
      </c>
      <c r="BX177">
        <f t="shared" si="66"/>
        <v>0</v>
      </c>
    </row>
    <row r="178" spans="1:76" outlineLevel="1" x14ac:dyDescent="0.15">
      <c r="A178" s="8"/>
      <c r="B178" s="14" t="s">
        <v>143</v>
      </c>
      <c r="C178" s="15" t="s">
        <v>259</v>
      </c>
      <c r="D178" s="14">
        <v>19714629</v>
      </c>
      <c r="E178" s="16">
        <v>20</v>
      </c>
      <c r="F178" s="15">
        <v>1</v>
      </c>
      <c r="G178" s="15"/>
      <c r="I178" s="32" t="str">
        <f t="shared" si="45"/>
        <v>·</v>
      </c>
      <c r="J178" s="33" t="str">
        <f t="shared" si="46"/>
        <v>·</v>
      </c>
      <c r="K178" s="33" t="str">
        <f t="shared" si="47"/>
        <v>·</v>
      </c>
      <c r="L178" s="33" t="str">
        <f t="shared" si="48"/>
        <v>·</v>
      </c>
      <c r="M178" s="34"/>
      <c r="N178" s="33" t="str">
        <f t="shared" si="49"/>
        <v>·</v>
      </c>
      <c r="O178" s="35"/>
      <c r="P178" s="36"/>
      <c r="Q178" s="36"/>
      <c r="R178" s="36"/>
      <c r="S178" s="46"/>
      <c r="T178" s="47"/>
      <c r="U178" s="47"/>
      <c r="V178" s="47"/>
      <c r="W178" s="47"/>
      <c r="X178" s="47"/>
      <c r="Y178" s="48"/>
      <c r="Z178" s="52"/>
      <c r="AA178" s="52"/>
      <c r="AC178" s="32" t="str">
        <f t="shared" si="50"/>
        <v>·</v>
      </c>
      <c r="AD178" s="33" t="str">
        <f t="shared" si="51"/>
        <v>·</v>
      </c>
      <c r="AE178" s="33" t="str">
        <f t="shared" si="52"/>
        <v>·</v>
      </c>
      <c r="AF178" s="33" t="str">
        <f t="shared" si="53"/>
        <v>·</v>
      </c>
      <c r="AG178" s="34"/>
      <c r="AH178" s="33" t="str">
        <f t="shared" si="54"/>
        <v>·</v>
      </c>
      <c r="AI178" s="35"/>
      <c r="AJ178" s="36"/>
      <c r="AK178" s="36"/>
      <c r="AL178" s="36"/>
      <c r="AM178" s="46"/>
      <c r="AN178" s="47"/>
      <c r="AO178" s="47"/>
      <c r="AP178" s="47"/>
      <c r="AQ178" s="47"/>
      <c r="AR178" s="47"/>
      <c r="AS178" s="48"/>
      <c r="AT178" s="52"/>
      <c r="AU178" s="52"/>
      <c r="AW178" s="59" t="e">
        <f t="shared" si="55"/>
        <v>#DIV/0!</v>
      </c>
      <c r="AX178" s="59"/>
      <c r="AZ178" s="60"/>
      <c r="BA178" s="60"/>
      <c r="BB178" s="60"/>
      <c r="BC178" s="60"/>
      <c r="BD178" s="60"/>
      <c r="BE178" s="64"/>
      <c r="BG178" s="60"/>
      <c r="BH178" s="60"/>
      <c r="BI178" s="60"/>
      <c r="BJ178" s="60"/>
      <c r="BK178" s="60"/>
      <c r="BL178" s="64"/>
      <c r="BN178">
        <f t="shared" si="56"/>
        <v>0</v>
      </c>
      <c r="BO178">
        <f t="shared" si="57"/>
        <v>0</v>
      </c>
      <c r="BP178">
        <f t="shared" si="58"/>
        <v>0</v>
      </c>
      <c r="BQ178">
        <f t="shared" si="59"/>
        <v>0</v>
      </c>
      <c r="BR178">
        <f t="shared" si="60"/>
        <v>0</v>
      </c>
      <c r="BS178">
        <f t="shared" si="61"/>
        <v>0</v>
      </c>
      <c r="BT178">
        <f t="shared" si="62"/>
        <v>0</v>
      </c>
      <c r="BU178">
        <f t="shared" si="63"/>
        <v>0</v>
      </c>
      <c r="BV178">
        <f t="shared" si="64"/>
        <v>0</v>
      </c>
      <c r="BW178">
        <f t="shared" si="65"/>
        <v>0</v>
      </c>
      <c r="BX178">
        <f t="shared" si="66"/>
        <v>0</v>
      </c>
    </row>
    <row r="179" spans="1:76" x14ac:dyDescent="0.15">
      <c r="A179" s="5"/>
      <c r="B179" s="5" t="s">
        <v>146</v>
      </c>
      <c r="C179" s="6" t="s">
        <v>254</v>
      </c>
      <c r="D179" s="5">
        <v>3630907</v>
      </c>
      <c r="E179" s="7">
        <v>20</v>
      </c>
      <c r="F179" s="6">
        <v>1</v>
      </c>
      <c r="G179" s="6"/>
      <c r="I179" s="17" t="str">
        <f t="shared" si="45"/>
        <v>·</v>
      </c>
      <c r="J179" s="18" t="str">
        <f t="shared" si="46"/>
        <v>·</v>
      </c>
      <c r="K179" s="18" t="str">
        <f t="shared" si="47"/>
        <v>·</v>
      </c>
      <c r="L179" s="18" t="str">
        <f t="shared" si="48"/>
        <v>·</v>
      </c>
      <c r="M179" s="19"/>
      <c r="N179" s="18" t="str">
        <f t="shared" si="49"/>
        <v>·</v>
      </c>
      <c r="O179" s="20"/>
      <c r="P179" s="21"/>
      <c r="Q179" s="21"/>
      <c r="R179" s="21"/>
      <c r="S179" s="37"/>
      <c r="T179" s="38"/>
      <c r="U179" s="38"/>
      <c r="V179" s="38"/>
      <c r="W179" s="38"/>
      <c r="X179" s="38"/>
      <c r="Y179" s="39"/>
      <c r="Z179" s="49"/>
      <c r="AA179" s="49"/>
      <c r="AC179" s="17" t="str">
        <f t="shared" si="50"/>
        <v>·</v>
      </c>
      <c r="AD179" s="18" t="str">
        <f t="shared" si="51"/>
        <v>·</v>
      </c>
      <c r="AE179" s="18" t="str">
        <f t="shared" si="52"/>
        <v>·</v>
      </c>
      <c r="AF179" s="18" t="str">
        <f t="shared" si="53"/>
        <v>·</v>
      </c>
      <c r="AG179" s="19"/>
      <c r="AH179" s="18" t="str">
        <f t="shared" si="54"/>
        <v>·</v>
      </c>
      <c r="AI179" s="20"/>
      <c r="AJ179" s="21"/>
      <c r="AK179" s="21"/>
      <c r="AL179" s="21"/>
      <c r="AM179" s="37"/>
      <c r="AN179" s="38"/>
      <c r="AO179" s="38"/>
      <c r="AP179" s="38"/>
      <c r="AQ179" s="38"/>
      <c r="AR179" s="38"/>
      <c r="AS179" s="39"/>
      <c r="AT179" s="49"/>
      <c r="AU179" s="49"/>
      <c r="AW179" s="53" t="e">
        <f t="shared" si="55"/>
        <v>#DIV/0!</v>
      </c>
      <c r="AX179" s="53" t="e">
        <f t="array" ref="AX179">AVERAGE(AK179:AK184/AJ179:AJ184)-AVERAGE(Q179:Q184/P179:P184)</f>
        <v>#DIV/0!</v>
      </c>
      <c r="AZ179" s="54" t="str">
        <f>IF(OR(ISBLANK(Q179:Q184),ISBLANK(AK179:AK184),ISBLANK(T179:T184),ISBLANK(AN179:AN184)),"·",bdRateExtend(Q179:Q184,T179:T184,AK179:AK184,AN179:AN184))</f>
        <v>·</v>
      </c>
      <c r="BA179" s="54" t="str">
        <f>IF(OR(ISBLANK(Q179:Q184),ISBLANK(AK179:AK184),ISBLANK(U179:U184),ISBLANK(AO179:AO184)),"·",bdRateExtend(Q179:Q184,U179:U184,AK179:AK184,AO179:AO184))</f>
        <v>·</v>
      </c>
      <c r="BB179" s="54" t="str">
        <f>IF(OR(ISBLANK(R179:R184),ISBLANK(AL179:AL184),ISBLANK(V179:V184),ISBLANK(AP179:AP184)),"·",bdRateExtend(R179:R184,V179:V184,AL179:AL184,AP179:AP184))</f>
        <v>·</v>
      </c>
      <c r="BC179" s="54" t="str">
        <f>IF(OR(ISBLANK(R179:R184),ISBLANK(AL179:AL184),ISBLANK(W179:W184),ISBLANK(AQ179:AQ184)),"·",bdRateExtend(R179:R184,W179:W184,AL179:AL184,AQ179:AQ184))</f>
        <v>·</v>
      </c>
      <c r="BD179" s="54" t="str">
        <f>IF(OR(ISBLANK(R179:R184),ISBLANK(AL179:AL184),ISBLANK(X179:X184),ISBLANK(AR179:AR184)),"·",bdRateExtend(R179:R184,X179:X184,AL179:AL184,AR179:AR184))</f>
        <v>·</v>
      </c>
      <c r="BE179" s="61"/>
      <c r="BG179" s="54" t="str">
        <f>IF(OR(ISBLANK(P179:P184),ISBLANK(AJ179:AJ184),ISBLANK(T179:T184),ISBLANK(AN179:AN184)),"·",bdRateExtend(P179:P184,T179:T184,AJ179:AJ184,AN179:AN184))</f>
        <v>·</v>
      </c>
      <c r="BH179" s="54" t="str">
        <f>IF(OR(ISBLANK(P179:P184),ISBLANK(AJ179:AJ184),ISBLANK(U179:U184),ISBLANK(AO179:AO184)),"·",bdRateExtend(P179:P184,U179:U184,AJ179:AJ184,AO179:AO184))</f>
        <v>·</v>
      </c>
      <c r="BI179" s="54" t="str">
        <f>IF(OR(ISBLANK(P179:P184),ISBLANK(AJ179:AJ184),ISBLANK(V179:V184),ISBLANK(AP179:AP184)),"·",bdRateExtend(P179:P184,V179:V184,AJ179:AJ184,AP179:AP184))</f>
        <v>·</v>
      </c>
      <c r="BJ179" s="54" t="str">
        <f>IF(OR(ISBLANK(P179:P184),ISBLANK(AJ179:AJ184),ISBLANK(W179:W184),ISBLANK(AQ179:AQ184)),"·",bdRateExtend(P179:P184,W179:W184,AJ179:AJ184,AQ179:AQ184))</f>
        <v>·</v>
      </c>
      <c r="BK179" s="54" t="str">
        <f>IF(OR(ISBLANK(P179:P184),ISBLANK(AJ179:AJ184),ISBLANK(X179:X184),ISBLANK(AR179:AR184)),"·",bdRateExtend(P179:P184,X179:X184,AJ179:AJ184,AR179:AR184))</f>
        <v>·</v>
      </c>
      <c r="BL179" s="61"/>
      <c r="BN179">
        <f t="shared" si="56"/>
        <v>0</v>
      </c>
      <c r="BO179">
        <f t="shared" si="57"/>
        <v>0</v>
      </c>
      <c r="BP179">
        <f t="shared" si="58"/>
        <v>0</v>
      </c>
      <c r="BQ179">
        <f t="shared" si="59"/>
        <v>0</v>
      </c>
      <c r="BR179">
        <f t="shared" si="60"/>
        <v>0</v>
      </c>
      <c r="BS179">
        <f t="shared" si="61"/>
        <v>0</v>
      </c>
      <c r="BT179">
        <f t="shared" si="62"/>
        <v>0</v>
      </c>
      <c r="BU179">
        <f t="shared" si="63"/>
        <v>0</v>
      </c>
      <c r="BV179">
        <f t="shared" si="64"/>
        <v>0</v>
      </c>
      <c r="BW179">
        <f t="shared" si="65"/>
        <v>0</v>
      </c>
      <c r="BX179">
        <f t="shared" si="66"/>
        <v>0</v>
      </c>
    </row>
    <row r="180" spans="1:76" outlineLevel="1" x14ac:dyDescent="0.15">
      <c r="A180" s="8"/>
      <c r="B180" s="8" t="s">
        <v>146</v>
      </c>
      <c r="C180" s="9" t="s">
        <v>255</v>
      </c>
      <c r="D180" s="8">
        <v>3630907</v>
      </c>
      <c r="E180" s="10">
        <v>20</v>
      </c>
      <c r="F180" s="9">
        <v>1</v>
      </c>
      <c r="G180" s="9"/>
      <c r="I180" s="22" t="str">
        <f t="shared" si="45"/>
        <v>·</v>
      </c>
      <c r="J180" s="23" t="str">
        <f t="shared" si="46"/>
        <v>·</v>
      </c>
      <c r="K180" s="23" t="str">
        <f t="shared" si="47"/>
        <v>·</v>
      </c>
      <c r="L180" s="23" t="str">
        <f t="shared" si="48"/>
        <v>·</v>
      </c>
      <c r="M180" s="24"/>
      <c r="N180" s="23" t="str">
        <f t="shared" si="49"/>
        <v>·</v>
      </c>
      <c r="O180" s="25"/>
      <c r="P180" s="26"/>
      <c r="Q180" s="26"/>
      <c r="R180" s="26"/>
      <c r="S180" s="40"/>
      <c r="T180" s="41"/>
      <c r="U180" s="41"/>
      <c r="V180" s="41"/>
      <c r="W180" s="41"/>
      <c r="X180" s="41"/>
      <c r="Y180" s="42"/>
      <c r="Z180" s="50"/>
      <c r="AA180" s="50"/>
      <c r="AC180" s="22" t="str">
        <f t="shared" si="50"/>
        <v>·</v>
      </c>
      <c r="AD180" s="23" t="str">
        <f t="shared" si="51"/>
        <v>·</v>
      </c>
      <c r="AE180" s="23" t="str">
        <f t="shared" si="52"/>
        <v>·</v>
      </c>
      <c r="AF180" s="23" t="str">
        <f t="shared" si="53"/>
        <v>·</v>
      </c>
      <c r="AG180" s="24"/>
      <c r="AH180" s="23" t="str">
        <f t="shared" si="54"/>
        <v>·</v>
      </c>
      <c r="AI180" s="25"/>
      <c r="AJ180" s="26"/>
      <c r="AK180" s="26"/>
      <c r="AL180" s="26"/>
      <c r="AM180" s="40"/>
      <c r="AN180" s="41"/>
      <c r="AO180" s="41"/>
      <c r="AP180" s="41"/>
      <c r="AQ180" s="41"/>
      <c r="AR180" s="41"/>
      <c r="AS180" s="42"/>
      <c r="AT180" s="50"/>
      <c r="AU180" s="50"/>
      <c r="AW180" s="55" t="e">
        <f t="shared" si="55"/>
        <v>#DIV/0!</v>
      </c>
      <c r="AX180" s="55"/>
      <c r="AZ180" s="56"/>
      <c r="BA180" s="56"/>
      <c r="BB180" s="56"/>
      <c r="BC180" s="56"/>
      <c r="BD180" s="56"/>
      <c r="BE180" s="62"/>
      <c r="BG180" s="56"/>
      <c r="BH180" s="56"/>
      <c r="BI180" s="56"/>
      <c r="BJ180" s="56"/>
      <c r="BK180" s="56"/>
      <c r="BL180" s="62"/>
      <c r="BN180">
        <f t="shared" si="56"/>
        <v>0</v>
      </c>
      <c r="BO180">
        <f t="shared" si="57"/>
        <v>0</v>
      </c>
      <c r="BP180">
        <f t="shared" si="58"/>
        <v>0</v>
      </c>
      <c r="BQ180">
        <f t="shared" si="59"/>
        <v>0</v>
      </c>
      <c r="BR180">
        <f t="shared" si="60"/>
        <v>0</v>
      </c>
      <c r="BS180">
        <f t="shared" si="61"/>
        <v>0</v>
      </c>
      <c r="BT180">
        <f t="shared" si="62"/>
        <v>0</v>
      </c>
      <c r="BU180">
        <f t="shared" si="63"/>
        <v>0</v>
      </c>
      <c r="BV180">
        <f t="shared" si="64"/>
        <v>0</v>
      </c>
      <c r="BW180">
        <f t="shared" si="65"/>
        <v>0</v>
      </c>
      <c r="BX180">
        <f t="shared" si="66"/>
        <v>0</v>
      </c>
    </row>
    <row r="181" spans="1:76" outlineLevel="1" x14ac:dyDescent="0.15">
      <c r="A181" s="5"/>
      <c r="B181" s="5" t="s">
        <v>146</v>
      </c>
      <c r="C181" s="6" t="s">
        <v>256</v>
      </c>
      <c r="D181" s="5">
        <v>3630907</v>
      </c>
      <c r="E181" s="7">
        <v>20</v>
      </c>
      <c r="F181" s="6">
        <v>1</v>
      </c>
      <c r="G181" s="6"/>
      <c r="I181" s="17" t="str">
        <f t="shared" si="45"/>
        <v>·</v>
      </c>
      <c r="J181" s="18" t="str">
        <f t="shared" si="46"/>
        <v>·</v>
      </c>
      <c r="K181" s="18" t="str">
        <f t="shared" si="47"/>
        <v>·</v>
      </c>
      <c r="L181" s="18" t="str">
        <f t="shared" si="48"/>
        <v>·</v>
      </c>
      <c r="M181" s="19"/>
      <c r="N181" s="18" t="str">
        <f t="shared" si="49"/>
        <v>·</v>
      </c>
      <c r="O181" s="20"/>
      <c r="P181" s="21"/>
      <c r="Q181" s="21"/>
      <c r="R181" s="21"/>
      <c r="S181" s="37"/>
      <c r="T181" s="38"/>
      <c r="U181" s="38"/>
      <c r="V181" s="38"/>
      <c r="W181" s="38"/>
      <c r="X181" s="38"/>
      <c r="Y181" s="39"/>
      <c r="Z181" s="49"/>
      <c r="AA181" s="49"/>
      <c r="AC181" s="17" t="str">
        <f t="shared" si="50"/>
        <v>·</v>
      </c>
      <c r="AD181" s="18" t="str">
        <f t="shared" si="51"/>
        <v>·</v>
      </c>
      <c r="AE181" s="18" t="str">
        <f t="shared" si="52"/>
        <v>·</v>
      </c>
      <c r="AF181" s="18" t="str">
        <f t="shared" si="53"/>
        <v>·</v>
      </c>
      <c r="AG181" s="19"/>
      <c r="AH181" s="18" t="str">
        <f t="shared" si="54"/>
        <v>·</v>
      </c>
      <c r="AI181" s="20"/>
      <c r="AJ181" s="21"/>
      <c r="AK181" s="21"/>
      <c r="AL181" s="21"/>
      <c r="AM181" s="37"/>
      <c r="AN181" s="38"/>
      <c r="AO181" s="38"/>
      <c r="AP181" s="38"/>
      <c r="AQ181" s="38"/>
      <c r="AR181" s="38"/>
      <c r="AS181" s="39"/>
      <c r="AT181" s="49"/>
      <c r="AU181" s="49"/>
      <c r="AW181" s="53" t="e">
        <f t="shared" si="55"/>
        <v>#DIV/0!</v>
      </c>
      <c r="AX181" s="53"/>
      <c r="AZ181" s="54"/>
      <c r="BA181" s="54"/>
      <c r="BB181" s="54"/>
      <c r="BC181" s="54"/>
      <c r="BD181" s="54"/>
      <c r="BE181" s="61"/>
      <c r="BG181" s="54"/>
      <c r="BH181" s="54"/>
      <c r="BI181" s="54"/>
      <c r="BJ181" s="54"/>
      <c r="BK181" s="54"/>
      <c r="BL181" s="61"/>
      <c r="BN181">
        <f t="shared" si="56"/>
        <v>0</v>
      </c>
      <c r="BO181">
        <f t="shared" si="57"/>
        <v>0</v>
      </c>
      <c r="BP181">
        <f t="shared" si="58"/>
        <v>0</v>
      </c>
      <c r="BQ181">
        <f t="shared" si="59"/>
        <v>0</v>
      </c>
      <c r="BR181">
        <f t="shared" si="60"/>
        <v>0</v>
      </c>
      <c r="BS181">
        <f t="shared" si="61"/>
        <v>0</v>
      </c>
      <c r="BT181">
        <f t="shared" si="62"/>
        <v>0</v>
      </c>
      <c r="BU181">
        <f t="shared" si="63"/>
        <v>0</v>
      </c>
      <c r="BV181">
        <f t="shared" si="64"/>
        <v>0</v>
      </c>
      <c r="BW181">
        <f t="shared" si="65"/>
        <v>0</v>
      </c>
      <c r="BX181">
        <f t="shared" si="66"/>
        <v>0</v>
      </c>
    </row>
    <row r="182" spans="1:76" outlineLevel="1" x14ac:dyDescent="0.15">
      <c r="A182" s="8"/>
      <c r="B182" s="8" t="s">
        <v>146</v>
      </c>
      <c r="C182" s="9" t="s">
        <v>257</v>
      </c>
      <c r="D182" s="8">
        <v>3630907</v>
      </c>
      <c r="E182" s="10">
        <v>20</v>
      </c>
      <c r="F182" s="9">
        <v>1</v>
      </c>
      <c r="G182" s="9"/>
      <c r="I182" s="22" t="str">
        <f t="shared" si="45"/>
        <v>·</v>
      </c>
      <c r="J182" s="23" t="str">
        <f t="shared" si="46"/>
        <v>·</v>
      </c>
      <c r="K182" s="23" t="str">
        <f t="shared" si="47"/>
        <v>·</v>
      </c>
      <c r="L182" s="23" t="str">
        <f t="shared" si="48"/>
        <v>·</v>
      </c>
      <c r="M182" s="24"/>
      <c r="N182" s="23" t="str">
        <f t="shared" si="49"/>
        <v>·</v>
      </c>
      <c r="O182" s="25"/>
      <c r="P182" s="26"/>
      <c r="Q182" s="26"/>
      <c r="R182" s="26"/>
      <c r="S182" s="40"/>
      <c r="T182" s="41"/>
      <c r="U182" s="41"/>
      <c r="V182" s="41"/>
      <c r="W182" s="41"/>
      <c r="X182" s="41"/>
      <c r="Y182" s="42"/>
      <c r="Z182" s="50"/>
      <c r="AA182" s="50"/>
      <c r="AC182" s="22" t="str">
        <f t="shared" si="50"/>
        <v>·</v>
      </c>
      <c r="AD182" s="23" t="str">
        <f t="shared" si="51"/>
        <v>·</v>
      </c>
      <c r="AE182" s="23" t="str">
        <f t="shared" si="52"/>
        <v>·</v>
      </c>
      <c r="AF182" s="23" t="str">
        <f t="shared" si="53"/>
        <v>·</v>
      </c>
      <c r="AG182" s="24"/>
      <c r="AH182" s="23" t="str">
        <f t="shared" si="54"/>
        <v>·</v>
      </c>
      <c r="AI182" s="25"/>
      <c r="AJ182" s="26"/>
      <c r="AK182" s="26"/>
      <c r="AL182" s="26"/>
      <c r="AM182" s="40"/>
      <c r="AN182" s="41"/>
      <c r="AO182" s="41"/>
      <c r="AP182" s="41"/>
      <c r="AQ182" s="41"/>
      <c r="AR182" s="41"/>
      <c r="AS182" s="42"/>
      <c r="AT182" s="50"/>
      <c r="AU182" s="50"/>
      <c r="AW182" s="55" t="e">
        <f t="shared" si="55"/>
        <v>#DIV/0!</v>
      </c>
      <c r="AX182" s="55"/>
      <c r="AZ182" s="56"/>
      <c r="BA182" s="56"/>
      <c r="BB182" s="56"/>
      <c r="BC182" s="56"/>
      <c r="BD182" s="56"/>
      <c r="BE182" s="62"/>
      <c r="BG182" s="56"/>
      <c r="BH182" s="56"/>
      <c r="BI182" s="56"/>
      <c r="BJ182" s="56"/>
      <c r="BK182" s="56"/>
      <c r="BL182" s="62"/>
      <c r="BN182">
        <f t="shared" si="56"/>
        <v>0</v>
      </c>
      <c r="BO182">
        <f t="shared" si="57"/>
        <v>0</v>
      </c>
      <c r="BP182">
        <f t="shared" si="58"/>
        <v>0</v>
      </c>
      <c r="BQ182">
        <f t="shared" si="59"/>
        <v>0</v>
      </c>
      <c r="BR182">
        <f t="shared" si="60"/>
        <v>0</v>
      </c>
      <c r="BS182">
        <f t="shared" si="61"/>
        <v>0</v>
      </c>
      <c r="BT182">
        <f t="shared" si="62"/>
        <v>0</v>
      </c>
      <c r="BU182">
        <f t="shared" si="63"/>
        <v>0</v>
      </c>
      <c r="BV182">
        <f t="shared" si="64"/>
        <v>0</v>
      </c>
      <c r="BW182">
        <f t="shared" si="65"/>
        <v>0</v>
      </c>
      <c r="BX182">
        <f t="shared" si="66"/>
        <v>0</v>
      </c>
    </row>
    <row r="183" spans="1:76" outlineLevel="1" x14ac:dyDescent="0.15">
      <c r="A183" s="5"/>
      <c r="B183" s="5" t="s">
        <v>146</v>
      </c>
      <c r="C183" s="6" t="s">
        <v>258</v>
      </c>
      <c r="D183" s="5">
        <v>3630907</v>
      </c>
      <c r="E183" s="7">
        <v>20</v>
      </c>
      <c r="F183" s="6">
        <v>1</v>
      </c>
      <c r="G183" s="6"/>
      <c r="I183" s="17" t="str">
        <f t="shared" si="45"/>
        <v>·</v>
      </c>
      <c r="J183" s="18" t="str">
        <f t="shared" si="46"/>
        <v>·</v>
      </c>
      <c r="K183" s="18" t="str">
        <f t="shared" si="47"/>
        <v>·</v>
      </c>
      <c r="L183" s="18" t="str">
        <f t="shared" si="48"/>
        <v>·</v>
      </c>
      <c r="M183" s="19"/>
      <c r="N183" s="18" t="str">
        <f t="shared" si="49"/>
        <v>·</v>
      </c>
      <c r="O183" s="20"/>
      <c r="P183" s="21"/>
      <c r="Q183" s="21"/>
      <c r="R183" s="21"/>
      <c r="S183" s="37"/>
      <c r="T183" s="38"/>
      <c r="U183" s="38"/>
      <c r="V183" s="38"/>
      <c r="W183" s="38"/>
      <c r="X183" s="38"/>
      <c r="Y183" s="39"/>
      <c r="Z183" s="49"/>
      <c r="AA183" s="49"/>
      <c r="AC183" s="17" t="str">
        <f t="shared" si="50"/>
        <v>·</v>
      </c>
      <c r="AD183" s="18" t="str">
        <f t="shared" si="51"/>
        <v>·</v>
      </c>
      <c r="AE183" s="18" t="str">
        <f t="shared" si="52"/>
        <v>·</v>
      </c>
      <c r="AF183" s="18" t="str">
        <f t="shared" si="53"/>
        <v>·</v>
      </c>
      <c r="AG183" s="19"/>
      <c r="AH183" s="18" t="str">
        <f t="shared" si="54"/>
        <v>·</v>
      </c>
      <c r="AI183" s="20"/>
      <c r="AJ183" s="21"/>
      <c r="AK183" s="21"/>
      <c r="AL183" s="21"/>
      <c r="AM183" s="37"/>
      <c r="AN183" s="38"/>
      <c r="AO183" s="38"/>
      <c r="AP183" s="38"/>
      <c r="AQ183" s="38"/>
      <c r="AR183" s="38"/>
      <c r="AS183" s="39"/>
      <c r="AT183" s="49"/>
      <c r="AU183" s="49"/>
      <c r="AW183" s="53" t="e">
        <f t="shared" si="55"/>
        <v>#DIV/0!</v>
      </c>
      <c r="AX183" s="53"/>
      <c r="AZ183" s="54"/>
      <c r="BA183" s="54"/>
      <c r="BB183" s="54"/>
      <c r="BC183" s="54"/>
      <c r="BD183" s="54"/>
      <c r="BE183" s="61"/>
      <c r="BG183" s="54"/>
      <c r="BH183" s="54"/>
      <c r="BI183" s="54"/>
      <c r="BJ183" s="54"/>
      <c r="BK183" s="54"/>
      <c r="BL183" s="61"/>
      <c r="BN183">
        <f t="shared" si="56"/>
        <v>0</v>
      </c>
      <c r="BO183">
        <f t="shared" si="57"/>
        <v>0</v>
      </c>
      <c r="BP183">
        <f t="shared" si="58"/>
        <v>0</v>
      </c>
      <c r="BQ183">
        <f t="shared" si="59"/>
        <v>0</v>
      </c>
      <c r="BR183">
        <f t="shared" si="60"/>
        <v>0</v>
      </c>
      <c r="BS183">
        <f t="shared" si="61"/>
        <v>0</v>
      </c>
      <c r="BT183">
        <f t="shared" si="62"/>
        <v>0</v>
      </c>
      <c r="BU183">
        <f t="shared" si="63"/>
        <v>0</v>
      </c>
      <c r="BV183">
        <f t="shared" si="64"/>
        <v>0</v>
      </c>
      <c r="BW183">
        <f t="shared" si="65"/>
        <v>0</v>
      </c>
      <c r="BX183">
        <f t="shared" si="66"/>
        <v>0</v>
      </c>
    </row>
    <row r="184" spans="1:76" outlineLevel="1" x14ac:dyDescent="0.15">
      <c r="A184" s="8"/>
      <c r="B184" s="14" t="s">
        <v>146</v>
      </c>
      <c r="C184" s="15" t="s">
        <v>259</v>
      </c>
      <c r="D184" s="14">
        <v>3630907</v>
      </c>
      <c r="E184" s="16">
        <v>20</v>
      </c>
      <c r="F184" s="15">
        <v>1</v>
      </c>
      <c r="G184" s="15"/>
      <c r="I184" s="32" t="str">
        <f t="shared" si="45"/>
        <v>·</v>
      </c>
      <c r="J184" s="33" t="str">
        <f t="shared" si="46"/>
        <v>·</v>
      </c>
      <c r="K184" s="33" t="str">
        <f t="shared" si="47"/>
        <v>·</v>
      </c>
      <c r="L184" s="33" t="str">
        <f t="shared" si="48"/>
        <v>·</v>
      </c>
      <c r="M184" s="34"/>
      <c r="N184" s="33" t="str">
        <f t="shared" si="49"/>
        <v>·</v>
      </c>
      <c r="O184" s="35"/>
      <c r="P184" s="36"/>
      <c r="Q184" s="36"/>
      <c r="R184" s="36"/>
      <c r="S184" s="46"/>
      <c r="T184" s="47"/>
      <c r="U184" s="47"/>
      <c r="V184" s="47"/>
      <c r="W184" s="47"/>
      <c r="X184" s="47"/>
      <c r="Y184" s="48"/>
      <c r="Z184" s="52"/>
      <c r="AA184" s="52"/>
      <c r="AC184" s="32" t="str">
        <f t="shared" si="50"/>
        <v>·</v>
      </c>
      <c r="AD184" s="33" t="str">
        <f t="shared" si="51"/>
        <v>·</v>
      </c>
      <c r="AE184" s="33" t="str">
        <f t="shared" si="52"/>
        <v>·</v>
      </c>
      <c r="AF184" s="33" t="str">
        <f t="shared" si="53"/>
        <v>·</v>
      </c>
      <c r="AG184" s="34"/>
      <c r="AH184" s="33" t="str">
        <f t="shared" si="54"/>
        <v>·</v>
      </c>
      <c r="AI184" s="35"/>
      <c r="AJ184" s="36"/>
      <c r="AK184" s="36"/>
      <c r="AL184" s="36"/>
      <c r="AM184" s="46"/>
      <c r="AN184" s="47"/>
      <c r="AO184" s="47"/>
      <c r="AP184" s="47"/>
      <c r="AQ184" s="47"/>
      <c r="AR184" s="47"/>
      <c r="AS184" s="48"/>
      <c r="AT184" s="52"/>
      <c r="AU184" s="52"/>
      <c r="AW184" s="59" t="e">
        <f t="shared" si="55"/>
        <v>#DIV/0!</v>
      </c>
      <c r="AX184" s="59"/>
      <c r="AZ184" s="60"/>
      <c r="BA184" s="60"/>
      <c r="BB184" s="60"/>
      <c r="BC184" s="60"/>
      <c r="BD184" s="60"/>
      <c r="BE184" s="64"/>
      <c r="BG184" s="60"/>
      <c r="BH184" s="60"/>
      <c r="BI184" s="60"/>
      <c r="BJ184" s="60"/>
      <c r="BK184" s="60"/>
      <c r="BL184" s="64"/>
      <c r="BN184">
        <f t="shared" si="56"/>
        <v>0</v>
      </c>
      <c r="BO184">
        <f t="shared" si="57"/>
        <v>0</v>
      </c>
      <c r="BP184">
        <f t="shared" si="58"/>
        <v>0</v>
      </c>
      <c r="BQ184">
        <f t="shared" si="59"/>
        <v>0</v>
      </c>
      <c r="BR184">
        <f t="shared" si="60"/>
        <v>0</v>
      </c>
      <c r="BS184">
        <f t="shared" si="61"/>
        <v>0</v>
      </c>
      <c r="BT184">
        <f t="shared" si="62"/>
        <v>0</v>
      </c>
      <c r="BU184">
        <f t="shared" si="63"/>
        <v>0</v>
      </c>
      <c r="BV184">
        <f t="shared" si="64"/>
        <v>0</v>
      </c>
      <c r="BW184">
        <f t="shared" si="65"/>
        <v>0</v>
      </c>
      <c r="BX184">
        <f t="shared" si="66"/>
        <v>0</v>
      </c>
    </row>
    <row r="185" spans="1:76" x14ac:dyDescent="0.15">
      <c r="A185" s="5"/>
      <c r="B185" s="5" t="s">
        <v>149</v>
      </c>
      <c r="C185" s="6" t="s">
        <v>254</v>
      </c>
      <c r="D185" s="5">
        <v>14025709</v>
      </c>
      <c r="E185" s="7">
        <v>20</v>
      </c>
      <c r="F185" s="6">
        <v>1</v>
      </c>
      <c r="G185" s="6"/>
      <c r="I185" s="17" t="str">
        <f t="shared" si="45"/>
        <v>·</v>
      </c>
      <c r="J185" s="18" t="str">
        <f t="shared" si="46"/>
        <v>·</v>
      </c>
      <c r="K185" s="18" t="str">
        <f t="shared" si="47"/>
        <v>·</v>
      </c>
      <c r="L185" s="18" t="str">
        <f t="shared" si="48"/>
        <v>·</v>
      </c>
      <c r="M185" s="19"/>
      <c r="N185" s="18" t="str">
        <f t="shared" si="49"/>
        <v>·</v>
      </c>
      <c r="O185" s="20"/>
      <c r="P185" s="21"/>
      <c r="Q185" s="21"/>
      <c r="R185" s="21"/>
      <c r="S185" s="37"/>
      <c r="T185" s="38"/>
      <c r="U185" s="38"/>
      <c r="V185" s="38"/>
      <c r="W185" s="38"/>
      <c r="X185" s="38"/>
      <c r="Y185" s="39"/>
      <c r="Z185" s="49"/>
      <c r="AA185" s="49"/>
      <c r="AC185" s="17" t="str">
        <f t="shared" si="50"/>
        <v>·</v>
      </c>
      <c r="AD185" s="18" t="str">
        <f t="shared" si="51"/>
        <v>·</v>
      </c>
      <c r="AE185" s="18" t="str">
        <f t="shared" si="52"/>
        <v>·</v>
      </c>
      <c r="AF185" s="18" t="str">
        <f t="shared" si="53"/>
        <v>·</v>
      </c>
      <c r="AG185" s="19"/>
      <c r="AH185" s="18" t="str">
        <f t="shared" si="54"/>
        <v>·</v>
      </c>
      <c r="AI185" s="20"/>
      <c r="AJ185" s="21"/>
      <c r="AK185" s="21"/>
      <c r="AL185" s="21"/>
      <c r="AM185" s="37"/>
      <c r="AN185" s="38"/>
      <c r="AO185" s="38"/>
      <c r="AP185" s="38"/>
      <c r="AQ185" s="38"/>
      <c r="AR185" s="38"/>
      <c r="AS185" s="39"/>
      <c r="AT185" s="49"/>
      <c r="AU185" s="49"/>
      <c r="AW185" s="53" t="e">
        <f t="shared" si="55"/>
        <v>#DIV/0!</v>
      </c>
      <c r="AX185" s="53" t="e">
        <f t="array" ref="AX185">AVERAGE(AK185:AK190/AJ185:AJ190)-AVERAGE(Q185:Q190/P185:P190)</f>
        <v>#DIV/0!</v>
      </c>
      <c r="AZ185" s="54" t="str">
        <f>IF(OR(ISBLANK(Q185:Q190),ISBLANK(AK185:AK190),ISBLANK(T185:T190),ISBLANK(AN185:AN190)),"·",bdRateExtend(Q185:Q190,T185:T190,AK185:AK190,AN185:AN190))</f>
        <v>·</v>
      </c>
      <c r="BA185" s="54" t="str">
        <f>IF(OR(ISBLANK(Q185:Q190),ISBLANK(AK185:AK190),ISBLANK(U185:U190),ISBLANK(AO185:AO190)),"·",bdRateExtend(Q185:Q190,U185:U190,AK185:AK190,AO185:AO190))</f>
        <v>·</v>
      </c>
      <c r="BB185" s="54" t="str">
        <f>IF(OR(ISBLANK(R185:R190),ISBLANK(AL185:AL190),ISBLANK(V185:V190),ISBLANK(AP185:AP190)),"·",bdRateExtend(R185:R190,V185:V190,AL185:AL190,AP185:AP190))</f>
        <v>·</v>
      </c>
      <c r="BC185" s="54" t="str">
        <f>IF(OR(ISBLANK(R185:R190),ISBLANK(AL185:AL190),ISBLANK(W185:W190),ISBLANK(AQ185:AQ190)),"·",bdRateExtend(R185:R190,W185:W190,AL185:AL190,AQ185:AQ190))</f>
        <v>·</v>
      </c>
      <c r="BD185" s="54" t="str">
        <f>IF(OR(ISBLANK(R185:R190),ISBLANK(AL185:AL190),ISBLANK(X185:X190),ISBLANK(AR185:AR190)),"·",bdRateExtend(R185:R190,X185:X190,AL185:AL190,AR185:AR190))</f>
        <v>·</v>
      </c>
      <c r="BE185" s="61"/>
      <c r="BG185" s="54" t="str">
        <f>IF(OR(ISBLANK(P185:P190),ISBLANK(AJ185:AJ190),ISBLANK(T185:T190),ISBLANK(AN185:AN190)),"·",bdRateExtend(P185:P190,T185:T190,AJ185:AJ190,AN185:AN190))</f>
        <v>·</v>
      </c>
      <c r="BH185" s="54" t="str">
        <f>IF(OR(ISBLANK(P185:P190),ISBLANK(AJ185:AJ190),ISBLANK(U185:U190),ISBLANK(AO185:AO190)),"·",bdRateExtend(P185:P190,U185:U190,AJ185:AJ190,AO185:AO190))</f>
        <v>·</v>
      </c>
      <c r="BI185" s="54" t="str">
        <f>IF(OR(ISBLANK(P185:P190),ISBLANK(AJ185:AJ190),ISBLANK(V185:V190),ISBLANK(AP185:AP190)),"·",bdRateExtend(P185:P190,V185:V190,AJ185:AJ190,AP185:AP190))</f>
        <v>·</v>
      </c>
      <c r="BJ185" s="54" t="str">
        <f>IF(OR(ISBLANK(P185:P190),ISBLANK(AJ185:AJ190),ISBLANK(W185:W190),ISBLANK(AQ185:AQ190)),"·",bdRateExtend(P185:P190,W185:W190,AJ185:AJ190,AQ185:AQ190))</f>
        <v>·</v>
      </c>
      <c r="BK185" s="54" t="str">
        <f>IF(OR(ISBLANK(P185:P190),ISBLANK(AJ185:AJ190),ISBLANK(X185:X190),ISBLANK(AR185:AR190)),"·",bdRateExtend(P185:P190,X185:X190,AJ185:AJ190,AR185:AR190))</f>
        <v>·</v>
      </c>
      <c r="BL185" s="61"/>
      <c r="BN185">
        <f t="shared" si="56"/>
        <v>0</v>
      </c>
      <c r="BO185">
        <f t="shared" si="57"/>
        <v>0</v>
      </c>
      <c r="BP185">
        <f t="shared" si="58"/>
        <v>0</v>
      </c>
      <c r="BQ185">
        <f t="shared" si="59"/>
        <v>0</v>
      </c>
      <c r="BR185">
        <f t="shared" si="60"/>
        <v>0</v>
      </c>
      <c r="BS185">
        <f t="shared" si="61"/>
        <v>0</v>
      </c>
      <c r="BT185">
        <f t="shared" si="62"/>
        <v>0</v>
      </c>
      <c r="BU185">
        <f t="shared" si="63"/>
        <v>0</v>
      </c>
      <c r="BV185">
        <f t="shared" si="64"/>
        <v>0</v>
      </c>
      <c r="BW185">
        <f t="shared" si="65"/>
        <v>0</v>
      </c>
      <c r="BX185">
        <f t="shared" si="66"/>
        <v>0</v>
      </c>
    </row>
    <row r="186" spans="1:76" outlineLevel="1" x14ac:dyDescent="0.15">
      <c r="A186" s="8"/>
      <c r="B186" s="8" t="s">
        <v>149</v>
      </c>
      <c r="C186" s="9" t="s">
        <v>255</v>
      </c>
      <c r="D186" s="8">
        <v>14025709</v>
      </c>
      <c r="E186" s="10">
        <v>20</v>
      </c>
      <c r="F186" s="9">
        <v>1</v>
      </c>
      <c r="G186" s="9"/>
      <c r="I186" s="22" t="str">
        <f t="shared" si="45"/>
        <v>·</v>
      </c>
      <c r="J186" s="23" t="str">
        <f t="shared" si="46"/>
        <v>·</v>
      </c>
      <c r="K186" s="23" t="str">
        <f t="shared" si="47"/>
        <v>·</v>
      </c>
      <c r="L186" s="23" t="str">
        <f t="shared" si="48"/>
        <v>·</v>
      </c>
      <c r="M186" s="24"/>
      <c r="N186" s="23" t="str">
        <f t="shared" si="49"/>
        <v>·</v>
      </c>
      <c r="O186" s="25"/>
      <c r="P186" s="26"/>
      <c r="Q186" s="26"/>
      <c r="R186" s="26"/>
      <c r="S186" s="40"/>
      <c r="T186" s="41"/>
      <c r="U186" s="41"/>
      <c r="V186" s="41"/>
      <c r="W186" s="41"/>
      <c r="X186" s="41"/>
      <c r="Y186" s="42"/>
      <c r="Z186" s="50"/>
      <c r="AA186" s="50"/>
      <c r="AC186" s="22" t="str">
        <f t="shared" si="50"/>
        <v>·</v>
      </c>
      <c r="AD186" s="23" t="str">
        <f t="shared" si="51"/>
        <v>·</v>
      </c>
      <c r="AE186" s="23" t="str">
        <f t="shared" si="52"/>
        <v>·</v>
      </c>
      <c r="AF186" s="23" t="str">
        <f t="shared" si="53"/>
        <v>·</v>
      </c>
      <c r="AG186" s="24"/>
      <c r="AH186" s="23" t="str">
        <f t="shared" si="54"/>
        <v>·</v>
      </c>
      <c r="AI186" s="25"/>
      <c r="AJ186" s="26"/>
      <c r="AK186" s="26"/>
      <c r="AL186" s="26"/>
      <c r="AM186" s="40"/>
      <c r="AN186" s="41"/>
      <c r="AO186" s="41"/>
      <c r="AP186" s="41"/>
      <c r="AQ186" s="41"/>
      <c r="AR186" s="41"/>
      <c r="AS186" s="42"/>
      <c r="AT186" s="50"/>
      <c r="AU186" s="50"/>
      <c r="AW186" s="55" t="e">
        <f t="shared" si="55"/>
        <v>#DIV/0!</v>
      </c>
      <c r="AX186" s="55"/>
      <c r="AZ186" s="56"/>
      <c r="BA186" s="56"/>
      <c r="BB186" s="56"/>
      <c r="BC186" s="56"/>
      <c r="BD186" s="56"/>
      <c r="BE186" s="62"/>
      <c r="BG186" s="56"/>
      <c r="BH186" s="56"/>
      <c r="BI186" s="56"/>
      <c r="BJ186" s="56"/>
      <c r="BK186" s="56"/>
      <c r="BL186" s="62"/>
      <c r="BN186">
        <f t="shared" si="56"/>
        <v>0</v>
      </c>
      <c r="BO186">
        <f t="shared" si="57"/>
        <v>0</v>
      </c>
      <c r="BP186">
        <f t="shared" si="58"/>
        <v>0</v>
      </c>
      <c r="BQ186">
        <f t="shared" si="59"/>
        <v>0</v>
      </c>
      <c r="BR186">
        <f t="shared" si="60"/>
        <v>0</v>
      </c>
      <c r="BS186">
        <f t="shared" si="61"/>
        <v>0</v>
      </c>
      <c r="BT186">
        <f t="shared" si="62"/>
        <v>0</v>
      </c>
      <c r="BU186">
        <f t="shared" si="63"/>
        <v>0</v>
      </c>
      <c r="BV186">
        <f t="shared" si="64"/>
        <v>0</v>
      </c>
      <c r="BW186">
        <f t="shared" si="65"/>
        <v>0</v>
      </c>
      <c r="BX186">
        <f t="shared" si="66"/>
        <v>0</v>
      </c>
    </row>
    <row r="187" spans="1:76" outlineLevel="1" x14ac:dyDescent="0.15">
      <c r="A187" s="5"/>
      <c r="B187" s="5" t="s">
        <v>149</v>
      </c>
      <c r="C187" s="6" t="s">
        <v>256</v>
      </c>
      <c r="D187" s="5">
        <v>14025709</v>
      </c>
      <c r="E187" s="7">
        <v>20</v>
      </c>
      <c r="F187" s="6">
        <v>1</v>
      </c>
      <c r="G187" s="6"/>
      <c r="I187" s="17" t="str">
        <f t="shared" si="45"/>
        <v>·</v>
      </c>
      <c r="J187" s="18" t="str">
        <f t="shared" si="46"/>
        <v>·</v>
      </c>
      <c r="K187" s="18" t="str">
        <f t="shared" si="47"/>
        <v>·</v>
      </c>
      <c r="L187" s="18" t="str">
        <f t="shared" si="48"/>
        <v>·</v>
      </c>
      <c r="M187" s="19"/>
      <c r="N187" s="18" t="str">
        <f t="shared" si="49"/>
        <v>·</v>
      </c>
      <c r="O187" s="20"/>
      <c r="P187" s="21"/>
      <c r="Q187" s="21"/>
      <c r="R187" s="21"/>
      <c r="S187" s="37"/>
      <c r="T187" s="38"/>
      <c r="U187" s="38"/>
      <c r="V187" s="38"/>
      <c r="W187" s="38"/>
      <c r="X187" s="38"/>
      <c r="Y187" s="39"/>
      <c r="Z187" s="49"/>
      <c r="AA187" s="49"/>
      <c r="AC187" s="17" t="str">
        <f t="shared" si="50"/>
        <v>·</v>
      </c>
      <c r="AD187" s="18" t="str">
        <f t="shared" si="51"/>
        <v>·</v>
      </c>
      <c r="AE187" s="18" t="str">
        <f t="shared" si="52"/>
        <v>·</v>
      </c>
      <c r="AF187" s="18" t="str">
        <f t="shared" si="53"/>
        <v>·</v>
      </c>
      <c r="AG187" s="19"/>
      <c r="AH187" s="18" t="str">
        <f t="shared" si="54"/>
        <v>·</v>
      </c>
      <c r="AI187" s="20"/>
      <c r="AJ187" s="21"/>
      <c r="AK187" s="21"/>
      <c r="AL187" s="21"/>
      <c r="AM187" s="37"/>
      <c r="AN187" s="38"/>
      <c r="AO187" s="38"/>
      <c r="AP187" s="38"/>
      <c r="AQ187" s="38"/>
      <c r="AR187" s="38"/>
      <c r="AS187" s="39"/>
      <c r="AT187" s="49"/>
      <c r="AU187" s="49"/>
      <c r="AW187" s="53" t="e">
        <f t="shared" si="55"/>
        <v>#DIV/0!</v>
      </c>
      <c r="AX187" s="53"/>
      <c r="AZ187" s="54"/>
      <c r="BA187" s="54"/>
      <c r="BB187" s="54"/>
      <c r="BC187" s="54"/>
      <c r="BD187" s="54"/>
      <c r="BE187" s="61"/>
      <c r="BG187" s="54"/>
      <c r="BH187" s="54"/>
      <c r="BI187" s="54"/>
      <c r="BJ187" s="54"/>
      <c r="BK187" s="54"/>
      <c r="BL187" s="61"/>
      <c r="BN187">
        <f t="shared" si="56"/>
        <v>0</v>
      </c>
      <c r="BO187">
        <f t="shared" si="57"/>
        <v>0</v>
      </c>
      <c r="BP187">
        <f t="shared" si="58"/>
        <v>0</v>
      </c>
      <c r="BQ187">
        <f t="shared" si="59"/>
        <v>0</v>
      </c>
      <c r="BR187">
        <f t="shared" si="60"/>
        <v>0</v>
      </c>
      <c r="BS187">
        <f t="shared" si="61"/>
        <v>0</v>
      </c>
      <c r="BT187">
        <f t="shared" si="62"/>
        <v>0</v>
      </c>
      <c r="BU187">
        <f t="shared" si="63"/>
        <v>0</v>
      </c>
      <c r="BV187">
        <f t="shared" si="64"/>
        <v>0</v>
      </c>
      <c r="BW187">
        <f t="shared" si="65"/>
        <v>0</v>
      </c>
      <c r="BX187">
        <f t="shared" si="66"/>
        <v>0</v>
      </c>
    </row>
    <row r="188" spans="1:76" outlineLevel="1" x14ac:dyDescent="0.15">
      <c r="A188" s="8"/>
      <c r="B188" s="8" t="s">
        <v>149</v>
      </c>
      <c r="C188" s="9" t="s">
        <v>257</v>
      </c>
      <c r="D188" s="8">
        <v>14025709</v>
      </c>
      <c r="E188" s="10">
        <v>20</v>
      </c>
      <c r="F188" s="9">
        <v>1</v>
      </c>
      <c r="G188" s="9"/>
      <c r="I188" s="22" t="str">
        <f t="shared" si="45"/>
        <v>·</v>
      </c>
      <c r="J188" s="23" t="str">
        <f t="shared" si="46"/>
        <v>·</v>
      </c>
      <c r="K188" s="23" t="str">
        <f t="shared" si="47"/>
        <v>·</v>
      </c>
      <c r="L188" s="23" t="str">
        <f t="shared" si="48"/>
        <v>·</v>
      </c>
      <c r="M188" s="24"/>
      <c r="N188" s="23" t="str">
        <f t="shared" si="49"/>
        <v>·</v>
      </c>
      <c r="O188" s="25"/>
      <c r="P188" s="26"/>
      <c r="Q188" s="26"/>
      <c r="R188" s="26"/>
      <c r="S188" s="40"/>
      <c r="T188" s="41"/>
      <c r="U188" s="41"/>
      <c r="V188" s="41"/>
      <c r="W188" s="41"/>
      <c r="X188" s="41"/>
      <c r="Y188" s="42"/>
      <c r="Z188" s="50"/>
      <c r="AA188" s="50"/>
      <c r="AC188" s="22" t="str">
        <f t="shared" si="50"/>
        <v>·</v>
      </c>
      <c r="AD188" s="23" t="str">
        <f t="shared" si="51"/>
        <v>·</v>
      </c>
      <c r="AE188" s="23" t="str">
        <f t="shared" si="52"/>
        <v>·</v>
      </c>
      <c r="AF188" s="23" t="str">
        <f t="shared" si="53"/>
        <v>·</v>
      </c>
      <c r="AG188" s="24"/>
      <c r="AH188" s="23" t="str">
        <f t="shared" si="54"/>
        <v>·</v>
      </c>
      <c r="AI188" s="25"/>
      <c r="AJ188" s="26"/>
      <c r="AK188" s="26"/>
      <c r="AL188" s="26"/>
      <c r="AM188" s="40"/>
      <c r="AN188" s="41"/>
      <c r="AO188" s="41"/>
      <c r="AP188" s="41"/>
      <c r="AQ188" s="41"/>
      <c r="AR188" s="41"/>
      <c r="AS188" s="42"/>
      <c r="AT188" s="50"/>
      <c r="AU188" s="50"/>
      <c r="AW188" s="55" t="e">
        <f t="shared" si="55"/>
        <v>#DIV/0!</v>
      </c>
      <c r="AX188" s="55"/>
      <c r="AZ188" s="56"/>
      <c r="BA188" s="56"/>
      <c r="BB188" s="56"/>
      <c r="BC188" s="56"/>
      <c r="BD188" s="56"/>
      <c r="BE188" s="62"/>
      <c r="BG188" s="56"/>
      <c r="BH188" s="56"/>
      <c r="BI188" s="56"/>
      <c r="BJ188" s="56"/>
      <c r="BK188" s="56"/>
      <c r="BL188" s="62"/>
      <c r="BN188">
        <f t="shared" si="56"/>
        <v>0</v>
      </c>
      <c r="BO188">
        <f t="shared" si="57"/>
        <v>0</v>
      </c>
      <c r="BP188">
        <f t="shared" si="58"/>
        <v>0</v>
      </c>
      <c r="BQ188">
        <f t="shared" si="59"/>
        <v>0</v>
      </c>
      <c r="BR188">
        <f t="shared" si="60"/>
        <v>0</v>
      </c>
      <c r="BS188">
        <f t="shared" si="61"/>
        <v>0</v>
      </c>
      <c r="BT188">
        <f t="shared" si="62"/>
        <v>0</v>
      </c>
      <c r="BU188">
        <f t="shared" si="63"/>
        <v>0</v>
      </c>
      <c r="BV188">
        <f t="shared" si="64"/>
        <v>0</v>
      </c>
      <c r="BW188">
        <f t="shared" si="65"/>
        <v>0</v>
      </c>
      <c r="BX188">
        <f t="shared" si="66"/>
        <v>0</v>
      </c>
    </row>
    <row r="189" spans="1:76" outlineLevel="1" x14ac:dyDescent="0.15">
      <c r="A189" s="5"/>
      <c r="B189" s="5" t="s">
        <v>149</v>
      </c>
      <c r="C189" s="6" t="s">
        <v>258</v>
      </c>
      <c r="D189" s="5">
        <v>14025709</v>
      </c>
      <c r="E189" s="7">
        <v>20</v>
      </c>
      <c r="F189" s="6">
        <v>1</v>
      </c>
      <c r="G189" s="6"/>
      <c r="I189" s="17" t="str">
        <f t="shared" si="45"/>
        <v>·</v>
      </c>
      <c r="J189" s="18" t="str">
        <f t="shared" si="46"/>
        <v>·</v>
      </c>
      <c r="K189" s="18" t="str">
        <f t="shared" si="47"/>
        <v>·</v>
      </c>
      <c r="L189" s="18" t="str">
        <f t="shared" si="48"/>
        <v>·</v>
      </c>
      <c r="M189" s="19"/>
      <c r="N189" s="18" t="str">
        <f t="shared" si="49"/>
        <v>·</v>
      </c>
      <c r="O189" s="20"/>
      <c r="P189" s="21"/>
      <c r="Q189" s="21"/>
      <c r="R189" s="21"/>
      <c r="S189" s="37"/>
      <c r="T189" s="38"/>
      <c r="U189" s="38"/>
      <c r="V189" s="38"/>
      <c r="W189" s="38"/>
      <c r="X189" s="38"/>
      <c r="Y189" s="39"/>
      <c r="Z189" s="49"/>
      <c r="AA189" s="49"/>
      <c r="AC189" s="17" t="str">
        <f t="shared" si="50"/>
        <v>·</v>
      </c>
      <c r="AD189" s="18" t="str">
        <f t="shared" si="51"/>
        <v>·</v>
      </c>
      <c r="AE189" s="18" t="str">
        <f t="shared" si="52"/>
        <v>·</v>
      </c>
      <c r="AF189" s="18" t="str">
        <f t="shared" si="53"/>
        <v>·</v>
      </c>
      <c r="AG189" s="19"/>
      <c r="AH189" s="18" t="str">
        <f t="shared" si="54"/>
        <v>·</v>
      </c>
      <c r="AI189" s="20"/>
      <c r="AJ189" s="21"/>
      <c r="AK189" s="21"/>
      <c r="AL189" s="21"/>
      <c r="AM189" s="37"/>
      <c r="AN189" s="38"/>
      <c r="AO189" s="38"/>
      <c r="AP189" s="38"/>
      <c r="AQ189" s="38"/>
      <c r="AR189" s="38"/>
      <c r="AS189" s="39"/>
      <c r="AT189" s="49"/>
      <c r="AU189" s="49"/>
      <c r="AW189" s="53" t="e">
        <f t="shared" si="55"/>
        <v>#DIV/0!</v>
      </c>
      <c r="AX189" s="53"/>
      <c r="AZ189" s="54"/>
      <c r="BA189" s="54"/>
      <c r="BB189" s="54"/>
      <c r="BC189" s="54"/>
      <c r="BD189" s="54"/>
      <c r="BE189" s="61"/>
      <c r="BG189" s="54"/>
      <c r="BH189" s="54"/>
      <c r="BI189" s="54"/>
      <c r="BJ189" s="54"/>
      <c r="BK189" s="54"/>
      <c r="BL189" s="61"/>
      <c r="BN189">
        <f t="shared" si="56"/>
        <v>0</v>
      </c>
      <c r="BO189">
        <f t="shared" si="57"/>
        <v>0</v>
      </c>
      <c r="BP189">
        <f t="shared" si="58"/>
        <v>0</v>
      </c>
      <c r="BQ189">
        <f t="shared" si="59"/>
        <v>0</v>
      </c>
      <c r="BR189">
        <f t="shared" si="60"/>
        <v>0</v>
      </c>
      <c r="BS189">
        <f t="shared" si="61"/>
        <v>0</v>
      </c>
      <c r="BT189">
        <f t="shared" si="62"/>
        <v>0</v>
      </c>
      <c r="BU189">
        <f t="shared" si="63"/>
        <v>0</v>
      </c>
      <c r="BV189">
        <f t="shared" si="64"/>
        <v>0</v>
      </c>
      <c r="BW189">
        <f t="shared" si="65"/>
        <v>0</v>
      </c>
      <c r="BX189">
        <f t="shared" si="66"/>
        <v>0</v>
      </c>
    </row>
    <row r="190" spans="1:76" outlineLevel="1" x14ac:dyDescent="0.15">
      <c r="A190" s="8"/>
      <c r="B190" s="14" t="s">
        <v>149</v>
      </c>
      <c r="C190" s="15" t="s">
        <v>259</v>
      </c>
      <c r="D190" s="14">
        <v>14025709</v>
      </c>
      <c r="E190" s="16">
        <v>20</v>
      </c>
      <c r="F190" s="15">
        <v>1</v>
      </c>
      <c r="G190" s="15"/>
      <c r="I190" s="32" t="str">
        <f t="shared" si="45"/>
        <v>·</v>
      </c>
      <c r="J190" s="33" t="str">
        <f t="shared" si="46"/>
        <v>·</v>
      </c>
      <c r="K190" s="33" t="str">
        <f t="shared" si="47"/>
        <v>·</v>
      </c>
      <c r="L190" s="33" t="str">
        <f t="shared" si="48"/>
        <v>·</v>
      </c>
      <c r="M190" s="34"/>
      <c r="N190" s="33" t="str">
        <f t="shared" si="49"/>
        <v>·</v>
      </c>
      <c r="O190" s="35"/>
      <c r="P190" s="36"/>
      <c r="Q190" s="36"/>
      <c r="R190" s="36"/>
      <c r="S190" s="46"/>
      <c r="T190" s="47"/>
      <c r="U190" s="47"/>
      <c r="V190" s="47"/>
      <c r="W190" s="47"/>
      <c r="X190" s="47"/>
      <c r="Y190" s="48"/>
      <c r="Z190" s="52"/>
      <c r="AA190" s="52"/>
      <c r="AC190" s="32" t="str">
        <f t="shared" si="50"/>
        <v>·</v>
      </c>
      <c r="AD190" s="33" t="str">
        <f t="shared" si="51"/>
        <v>·</v>
      </c>
      <c r="AE190" s="33" t="str">
        <f t="shared" si="52"/>
        <v>·</v>
      </c>
      <c r="AF190" s="33" t="str">
        <f t="shared" si="53"/>
        <v>·</v>
      </c>
      <c r="AG190" s="34"/>
      <c r="AH190" s="33" t="str">
        <f t="shared" si="54"/>
        <v>·</v>
      </c>
      <c r="AI190" s="35"/>
      <c r="AJ190" s="36"/>
      <c r="AK190" s="36"/>
      <c r="AL190" s="36"/>
      <c r="AM190" s="46"/>
      <c r="AN190" s="47"/>
      <c r="AO190" s="47"/>
      <c r="AP190" s="47"/>
      <c r="AQ190" s="47"/>
      <c r="AR190" s="47"/>
      <c r="AS190" s="48"/>
      <c r="AT190" s="52"/>
      <c r="AU190" s="52"/>
      <c r="AW190" s="59" t="e">
        <f t="shared" si="55"/>
        <v>#DIV/0!</v>
      </c>
      <c r="AX190" s="59"/>
      <c r="AZ190" s="60"/>
      <c r="BA190" s="60"/>
      <c r="BB190" s="60"/>
      <c r="BC190" s="60"/>
      <c r="BD190" s="60"/>
      <c r="BE190" s="64"/>
      <c r="BG190" s="60"/>
      <c r="BH190" s="60"/>
      <c r="BI190" s="60"/>
      <c r="BJ190" s="60"/>
      <c r="BK190" s="60"/>
      <c r="BL190" s="64"/>
      <c r="BN190">
        <f t="shared" si="56"/>
        <v>0</v>
      </c>
      <c r="BO190">
        <f t="shared" si="57"/>
        <v>0</v>
      </c>
      <c r="BP190">
        <f t="shared" si="58"/>
        <v>0</v>
      </c>
      <c r="BQ190">
        <f t="shared" si="59"/>
        <v>0</v>
      </c>
      <c r="BR190">
        <f t="shared" si="60"/>
        <v>0</v>
      </c>
      <c r="BS190">
        <f t="shared" si="61"/>
        <v>0</v>
      </c>
      <c r="BT190">
        <f t="shared" si="62"/>
        <v>0</v>
      </c>
      <c r="BU190">
        <f t="shared" si="63"/>
        <v>0</v>
      </c>
      <c r="BV190">
        <f t="shared" si="64"/>
        <v>0</v>
      </c>
      <c r="BW190">
        <f t="shared" si="65"/>
        <v>0</v>
      </c>
      <c r="BX190">
        <f t="shared" si="66"/>
        <v>0</v>
      </c>
    </row>
    <row r="191" spans="1:76" x14ac:dyDescent="0.15">
      <c r="A191" s="5"/>
      <c r="B191" s="5" t="s">
        <v>152</v>
      </c>
      <c r="C191" s="6" t="s">
        <v>254</v>
      </c>
      <c r="D191" s="5">
        <v>5001077</v>
      </c>
      <c r="E191" s="7">
        <v>20</v>
      </c>
      <c r="F191" s="6">
        <v>1</v>
      </c>
      <c r="G191" s="6"/>
      <c r="I191" s="17" t="str">
        <f t="shared" si="45"/>
        <v>·</v>
      </c>
      <c r="J191" s="18" t="str">
        <f t="shared" si="46"/>
        <v>·</v>
      </c>
      <c r="K191" s="18" t="str">
        <f t="shared" si="47"/>
        <v>·</v>
      </c>
      <c r="L191" s="18" t="str">
        <f t="shared" si="48"/>
        <v>·</v>
      </c>
      <c r="M191" s="19"/>
      <c r="N191" s="18" t="str">
        <f t="shared" si="49"/>
        <v>·</v>
      </c>
      <c r="O191" s="20"/>
      <c r="P191" s="21"/>
      <c r="Q191" s="21"/>
      <c r="R191" s="21"/>
      <c r="S191" s="37"/>
      <c r="T191" s="38"/>
      <c r="U191" s="38"/>
      <c r="V191" s="38"/>
      <c r="W191" s="38"/>
      <c r="X191" s="38"/>
      <c r="Y191" s="39"/>
      <c r="Z191" s="49"/>
      <c r="AA191" s="49"/>
      <c r="AC191" s="17" t="str">
        <f t="shared" si="50"/>
        <v>·</v>
      </c>
      <c r="AD191" s="18" t="str">
        <f t="shared" si="51"/>
        <v>·</v>
      </c>
      <c r="AE191" s="18" t="str">
        <f t="shared" si="52"/>
        <v>·</v>
      </c>
      <c r="AF191" s="18" t="str">
        <f t="shared" si="53"/>
        <v>·</v>
      </c>
      <c r="AG191" s="19"/>
      <c r="AH191" s="18" t="str">
        <f t="shared" si="54"/>
        <v>·</v>
      </c>
      <c r="AI191" s="20"/>
      <c r="AJ191" s="21"/>
      <c r="AK191" s="21"/>
      <c r="AL191" s="21"/>
      <c r="AM191" s="37"/>
      <c r="AN191" s="38"/>
      <c r="AO191" s="38"/>
      <c r="AP191" s="38"/>
      <c r="AQ191" s="38"/>
      <c r="AR191" s="38"/>
      <c r="AS191" s="39"/>
      <c r="AT191" s="49"/>
      <c r="AU191" s="49"/>
      <c r="AW191" s="53" t="e">
        <f t="shared" si="55"/>
        <v>#DIV/0!</v>
      </c>
      <c r="AX191" s="53" t="e">
        <f t="array" ref="AX191">AVERAGE(AK191:AK196/AJ191:AJ196)-AVERAGE(Q191:Q196/P191:P196)</f>
        <v>#DIV/0!</v>
      </c>
      <c r="AZ191" s="54" t="str">
        <f>IF(OR(ISBLANK(Q191:Q196),ISBLANK(AK191:AK196),ISBLANK(T191:T196),ISBLANK(AN191:AN196)),"·",bdRateExtend(Q191:Q196,T191:T196,AK191:AK196,AN191:AN196))</f>
        <v>·</v>
      </c>
      <c r="BA191" s="54" t="str">
        <f>IF(OR(ISBLANK(Q191:Q196),ISBLANK(AK191:AK196),ISBLANK(U191:U196),ISBLANK(AO191:AO196)),"·",bdRateExtend(Q191:Q196,U191:U196,AK191:AK196,AO191:AO196))</f>
        <v>·</v>
      </c>
      <c r="BB191" s="54" t="str">
        <f>IF(OR(ISBLANK(R191:R196),ISBLANK(AL191:AL196),ISBLANK(V191:V196),ISBLANK(AP191:AP196)),"·",bdRateExtend(R191:R196,V191:V196,AL191:AL196,AP191:AP196))</f>
        <v>·</v>
      </c>
      <c r="BC191" s="54" t="str">
        <f>IF(OR(ISBLANK(R191:R196),ISBLANK(AL191:AL196),ISBLANK(W191:W196),ISBLANK(AQ191:AQ196)),"·",bdRateExtend(R191:R196,W191:W196,AL191:AL196,AQ191:AQ196))</f>
        <v>·</v>
      </c>
      <c r="BD191" s="54" t="str">
        <f>IF(OR(ISBLANK(R191:R196),ISBLANK(AL191:AL196),ISBLANK(X191:X196),ISBLANK(AR191:AR196)),"·",bdRateExtend(R191:R196,X191:X196,AL191:AL196,AR191:AR196))</f>
        <v>·</v>
      </c>
      <c r="BE191" s="61"/>
      <c r="BG191" s="54" t="str">
        <f>IF(OR(ISBLANK(P191:P196),ISBLANK(AJ191:AJ196),ISBLANK(T191:T196),ISBLANK(AN191:AN196)),"·",bdRateExtend(P191:P196,T191:T196,AJ191:AJ196,AN191:AN196))</f>
        <v>·</v>
      </c>
      <c r="BH191" s="54" t="str">
        <f>IF(OR(ISBLANK(P191:P196),ISBLANK(AJ191:AJ196),ISBLANK(U191:U196),ISBLANK(AO191:AO196)),"·",bdRateExtend(P191:P196,U191:U196,AJ191:AJ196,AO191:AO196))</f>
        <v>·</v>
      </c>
      <c r="BI191" s="54" t="str">
        <f>IF(OR(ISBLANK(P191:P196),ISBLANK(AJ191:AJ196),ISBLANK(V191:V196),ISBLANK(AP191:AP196)),"·",bdRateExtend(P191:P196,V191:V196,AJ191:AJ196,AP191:AP196))</f>
        <v>·</v>
      </c>
      <c r="BJ191" s="54" t="str">
        <f>IF(OR(ISBLANK(P191:P196),ISBLANK(AJ191:AJ196),ISBLANK(W191:W196),ISBLANK(AQ191:AQ196)),"·",bdRateExtend(P191:P196,W191:W196,AJ191:AJ196,AQ191:AQ196))</f>
        <v>·</v>
      </c>
      <c r="BK191" s="54" t="str">
        <f>IF(OR(ISBLANK(P191:P196),ISBLANK(AJ191:AJ196),ISBLANK(X191:X196),ISBLANK(AR191:AR196)),"·",bdRateExtend(P191:P196,X191:X196,AJ191:AJ196,AR191:AR196))</f>
        <v>·</v>
      </c>
      <c r="BL191" s="61"/>
      <c r="BN191">
        <f t="shared" si="56"/>
        <v>0</v>
      </c>
      <c r="BO191">
        <f t="shared" si="57"/>
        <v>0</v>
      </c>
      <c r="BP191">
        <f t="shared" si="58"/>
        <v>0</v>
      </c>
      <c r="BQ191">
        <f t="shared" si="59"/>
        <v>0</v>
      </c>
      <c r="BR191">
        <f t="shared" si="60"/>
        <v>0</v>
      </c>
      <c r="BS191">
        <f t="shared" si="61"/>
        <v>0</v>
      </c>
      <c r="BT191">
        <f t="shared" si="62"/>
        <v>0</v>
      </c>
      <c r="BU191">
        <f t="shared" si="63"/>
        <v>0</v>
      </c>
      <c r="BV191">
        <f t="shared" si="64"/>
        <v>0</v>
      </c>
      <c r="BW191">
        <f t="shared" si="65"/>
        <v>0</v>
      </c>
      <c r="BX191">
        <f t="shared" si="66"/>
        <v>0</v>
      </c>
    </row>
    <row r="192" spans="1:76" outlineLevel="1" x14ac:dyDescent="0.15">
      <c r="A192" s="8"/>
      <c r="B192" s="8" t="s">
        <v>152</v>
      </c>
      <c r="C192" s="9" t="s">
        <v>255</v>
      </c>
      <c r="D192" s="8">
        <v>5001077</v>
      </c>
      <c r="E192" s="10">
        <v>20</v>
      </c>
      <c r="F192" s="9">
        <v>1</v>
      </c>
      <c r="G192" s="9"/>
      <c r="I192" s="22" t="str">
        <f t="shared" si="45"/>
        <v>·</v>
      </c>
      <c r="J192" s="23" t="str">
        <f t="shared" si="46"/>
        <v>·</v>
      </c>
      <c r="K192" s="23" t="str">
        <f t="shared" si="47"/>
        <v>·</v>
      </c>
      <c r="L192" s="23" t="str">
        <f t="shared" si="48"/>
        <v>·</v>
      </c>
      <c r="M192" s="24"/>
      <c r="N192" s="23" t="str">
        <f t="shared" si="49"/>
        <v>·</v>
      </c>
      <c r="O192" s="25"/>
      <c r="P192" s="26"/>
      <c r="Q192" s="26"/>
      <c r="R192" s="26"/>
      <c r="S192" s="40"/>
      <c r="T192" s="41"/>
      <c r="U192" s="41"/>
      <c r="V192" s="41"/>
      <c r="W192" s="41"/>
      <c r="X192" s="41"/>
      <c r="Y192" s="42"/>
      <c r="Z192" s="50"/>
      <c r="AA192" s="50"/>
      <c r="AC192" s="22" t="str">
        <f t="shared" si="50"/>
        <v>·</v>
      </c>
      <c r="AD192" s="23" t="str">
        <f t="shared" si="51"/>
        <v>·</v>
      </c>
      <c r="AE192" s="23" t="str">
        <f t="shared" si="52"/>
        <v>·</v>
      </c>
      <c r="AF192" s="23" t="str">
        <f t="shared" si="53"/>
        <v>·</v>
      </c>
      <c r="AG192" s="24"/>
      <c r="AH192" s="23" t="str">
        <f t="shared" si="54"/>
        <v>·</v>
      </c>
      <c r="AI192" s="25"/>
      <c r="AJ192" s="26"/>
      <c r="AK192" s="26"/>
      <c r="AL192" s="26"/>
      <c r="AM192" s="40"/>
      <c r="AN192" s="41"/>
      <c r="AO192" s="41"/>
      <c r="AP192" s="41"/>
      <c r="AQ192" s="41"/>
      <c r="AR192" s="41"/>
      <c r="AS192" s="42"/>
      <c r="AT192" s="50"/>
      <c r="AU192" s="50"/>
      <c r="AW192" s="55" t="e">
        <f t="shared" si="55"/>
        <v>#DIV/0!</v>
      </c>
      <c r="AX192" s="55"/>
      <c r="AZ192" s="56"/>
      <c r="BA192" s="56"/>
      <c r="BB192" s="56"/>
      <c r="BC192" s="56"/>
      <c r="BD192" s="56"/>
      <c r="BE192" s="62"/>
      <c r="BG192" s="56"/>
      <c r="BH192" s="56"/>
      <c r="BI192" s="56"/>
      <c r="BJ192" s="56"/>
      <c r="BK192" s="56"/>
      <c r="BL192" s="62"/>
      <c r="BN192">
        <f t="shared" si="56"/>
        <v>0</v>
      </c>
      <c r="BO192">
        <f t="shared" si="57"/>
        <v>0</v>
      </c>
      <c r="BP192">
        <f t="shared" si="58"/>
        <v>0</v>
      </c>
      <c r="BQ192">
        <f t="shared" si="59"/>
        <v>0</v>
      </c>
      <c r="BR192">
        <f t="shared" si="60"/>
        <v>0</v>
      </c>
      <c r="BS192">
        <f t="shared" si="61"/>
        <v>0</v>
      </c>
      <c r="BT192">
        <f t="shared" si="62"/>
        <v>0</v>
      </c>
      <c r="BU192">
        <f t="shared" si="63"/>
        <v>0</v>
      </c>
      <c r="BV192">
        <f t="shared" si="64"/>
        <v>0</v>
      </c>
      <c r="BW192">
        <f t="shared" si="65"/>
        <v>0</v>
      </c>
      <c r="BX192">
        <f t="shared" si="66"/>
        <v>0</v>
      </c>
    </row>
    <row r="193" spans="1:76" outlineLevel="1" x14ac:dyDescent="0.15">
      <c r="A193" s="5"/>
      <c r="B193" s="5" t="s">
        <v>152</v>
      </c>
      <c r="C193" s="6" t="s">
        <v>256</v>
      </c>
      <c r="D193" s="5">
        <v>5001077</v>
      </c>
      <c r="E193" s="7">
        <v>20</v>
      </c>
      <c r="F193" s="6">
        <v>1</v>
      </c>
      <c r="G193" s="6"/>
      <c r="I193" s="17" t="str">
        <f t="shared" si="45"/>
        <v>·</v>
      </c>
      <c r="J193" s="18" t="str">
        <f t="shared" si="46"/>
        <v>·</v>
      </c>
      <c r="K193" s="18" t="str">
        <f t="shared" si="47"/>
        <v>·</v>
      </c>
      <c r="L193" s="18" t="str">
        <f t="shared" si="48"/>
        <v>·</v>
      </c>
      <c r="M193" s="19"/>
      <c r="N193" s="18" t="str">
        <f t="shared" si="49"/>
        <v>·</v>
      </c>
      <c r="O193" s="20"/>
      <c r="P193" s="21"/>
      <c r="Q193" s="21"/>
      <c r="R193" s="21"/>
      <c r="S193" s="37"/>
      <c r="T193" s="38"/>
      <c r="U193" s="38"/>
      <c r="V193" s="38"/>
      <c r="W193" s="38"/>
      <c r="X193" s="38"/>
      <c r="Y193" s="39"/>
      <c r="Z193" s="49"/>
      <c r="AA193" s="49"/>
      <c r="AC193" s="17" t="str">
        <f t="shared" si="50"/>
        <v>·</v>
      </c>
      <c r="AD193" s="18" t="str">
        <f t="shared" si="51"/>
        <v>·</v>
      </c>
      <c r="AE193" s="18" t="str">
        <f t="shared" si="52"/>
        <v>·</v>
      </c>
      <c r="AF193" s="18" t="str">
        <f t="shared" si="53"/>
        <v>·</v>
      </c>
      <c r="AG193" s="19"/>
      <c r="AH193" s="18" t="str">
        <f t="shared" si="54"/>
        <v>·</v>
      </c>
      <c r="AI193" s="20"/>
      <c r="AJ193" s="21"/>
      <c r="AK193" s="21"/>
      <c r="AL193" s="21"/>
      <c r="AM193" s="37"/>
      <c r="AN193" s="38"/>
      <c r="AO193" s="38"/>
      <c r="AP193" s="38"/>
      <c r="AQ193" s="38"/>
      <c r="AR193" s="38"/>
      <c r="AS193" s="39"/>
      <c r="AT193" s="49"/>
      <c r="AU193" s="49"/>
      <c r="AW193" s="53" t="e">
        <f t="shared" si="55"/>
        <v>#DIV/0!</v>
      </c>
      <c r="AX193" s="53"/>
      <c r="AZ193" s="54"/>
      <c r="BA193" s="54"/>
      <c r="BB193" s="54"/>
      <c r="BC193" s="54"/>
      <c r="BD193" s="54"/>
      <c r="BE193" s="61"/>
      <c r="BG193" s="54"/>
      <c r="BH193" s="54"/>
      <c r="BI193" s="54"/>
      <c r="BJ193" s="54"/>
      <c r="BK193" s="54"/>
      <c r="BL193" s="61"/>
      <c r="BN193">
        <f t="shared" si="56"/>
        <v>0</v>
      </c>
      <c r="BO193">
        <f t="shared" si="57"/>
        <v>0</v>
      </c>
      <c r="BP193">
        <f t="shared" si="58"/>
        <v>0</v>
      </c>
      <c r="BQ193">
        <f t="shared" si="59"/>
        <v>0</v>
      </c>
      <c r="BR193">
        <f t="shared" si="60"/>
        <v>0</v>
      </c>
      <c r="BS193">
        <f t="shared" si="61"/>
        <v>0</v>
      </c>
      <c r="BT193">
        <f t="shared" si="62"/>
        <v>0</v>
      </c>
      <c r="BU193">
        <f t="shared" si="63"/>
        <v>0</v>
      </c>
      <c r="BV193">
        <f t="shared" si="64"/>
        <v>0</v>
      </c>
      <c r="BW193">
        <f t="shared" si="65"/>
        <v>0</v>
      </c>
      <c r="BX193">
        <f t="shared" si="66"/>
        <v>0</v>
      </c>
    </row>
    <row r="194" spans="1:76" outlineLevel="1" x14ac:dyDescent="0.15">
      <c r="A194" s="8"/>
      <c r="B194" s="8" t="s">
        <v>152</v>
      </c>
      <c r="C194" s="9" t="s">
        <v>257</v>
      </c>
      <c r="D194" s="8">
        <v>5001077</v>
      </c>
      <c r="E194" s="10">
        <v>20</v>
      </c>
      <c r="F194" s="9">
        <v>1</v>
      </c>
      <c r="G194" s="9"/>
      <c r="I194" s="22" t="str">
        <f t="shared" si="45"/>
        <v>·</v>
      </c>
      <c r="J194" s="23" t="str">
        <f t="shared" si="46"/>
        <v>·</v>
      </c>
      <c r="K194" s="23" t="str">
        <f t="shared" si="47"/>
        <v>·</v>
      </c>
      <c r="L194" s="23" t="str">
        <f t="shared" si="48"/>
        <v>·</v>
      </c>
      <c r="M194" s="24"/>
      <c r="N194" s="23" t="str">
        <f t="shared" si="49"/>
        <v>·</v>
      </c>
      <c r="O194" s="25"/>
      <c r="P194" s="26"/>
      <c r="Q194" s="26"/>
      <c r="R194" s="26"/>
      <c r="S194" s="40"/>
      <c r="T194" s="41"/>
      <c r="U194" s="41"/>
      <c r="V194" s="41"/>
      <c r="W194" s="41"/>
      <c r="X194" s="41"/>
      <c r="Y194" s="42"/>
      <c r="Z194" s="50"/>
      <c r="AA194" s="50"/>
      <c r="AC194" s="22" t="str">
        <f t="shared" si="50"/>
        <v>·</v>
      </c>
      <c r="AD194" s="23" t="str">
        <f t="shared" si="51"/>
        <v>·</v>
      </c>
      <c r="AE194" s="23" t="str">
        <f t="shared" si="52"/>
        <v>·</v>
      </c>
      <c r="AF194" s="23" t="str">
        <f t="shared" si="53"/>
        <v>·</v>
      </c>
      <c r="AG194" s="24"/>
      <c r="AH194" s="23" t="str">
        <f t="shared" si="54"/>
        <v>·</v>
      </c>
      <c r="AI194" s="25"/>
      <c r="AJ194" s="26"/>
      <c r="AK194" s="26"/>
      <c r="AL194" s="26"/>
      <c r="AM194" s="40"/>
      <c r="AN194" s="41"/>
      <c r="AO194" s="41"/>
      <c r="AP194" s="41"/>
      <c r="AQ194" s="41"/>
      <c r="AR194" s="41"/>
      <c r="AS194" s="42"/>
      <c r="AT194" s="50"/>
      <c r="AU194" s="50"/>
      <c r="AW194" s="55" t="e">
        <f t="shared" si="55"/>
        <v>#DIV/0!</v>
      </c>
      <c r="AX194" s="55"/>
      <c r="AZ194" s="56"/>
      <c r="BA194" s="56"/>
      <c r="BB194" s="56"/>
      <c r="BC194" s="56"/>
      <c r="BD194" s="56"/>
      <c r="BE194" s="62"/>
      <c r="BG194" s="56"/>
      <c r="BH194" s="56"/>
      <c r="BI194" s="56"/>
      <c r="BJ194" s="56"/>
      <c r="BK194" s="56"/>
      <c r="BL194" s="62"/>
      <c r="BN194">
        <f t="shared" si="56"/>
        <v>0</v>
      </c>
      <c r="BO194">
        <f t="shared" si="57"/>
        <v>0</v>
      </c>
      <c r="BP194">
        <f t="shared" si="58"/>
        <v>0</v>
      </c>
      <c r="BQ194">
        <f t="shared" si="59"/>
        <v>0</v>
      </c>
      <c r="BR194">
        <f t="shared" si="60"/>
        <v>0</v>
      </c>
      <c r="BS194">
        <f t="shared" si="61"/>
        <v>0</v>
      </c>
      <c r="BT194">
        <f t="shared" si="62"/>
        <v>0</v>
      </c>
      <c r="BU194">
        <f t="shared" si="63"/>
        <v>0</v>
      </c>
      <c r="BV194">
        <f t="shared" si="64"/>
        <v>0</v>
      </c>
      <c r="BW194">
        <f t="shared" si="65"/>
        <v>0</v>
      </c>
      <c r="BX194">
        <f t="shared" si="66"/>
        <v>0</v>
      </c>
    </row>
    <row r="195" spans="1:76" outlineLevel="1" x14ac:dyDescent="0.15">
      <c r="A195" s="5"/>
      <c r="B195" s="5" t="s">
        <v>152</v>
      </c>
      <c r="C195" s="6" t="s">
        <v>258</v>
      </c>
      <c r="D195" s="5">
        <v>5001077</v>
      </c>
      <c r="E195" s="7">
        <v>20</v>
      </c>
      <c r="F195" s="6">
        <v>1</v>
      </c>
      <c r="G195" s="6"/>
      <c r="I195" s="17" t="str">
        <f t="shared" si="45"/>
        <v>·</v>
      </c>
      <c r="J195" s="18" t="str">
        <f t="shared" si="46"/>
        <v>·</v>
      </c>
      <c r="K195" s="18" t="str">
        <f t="shared" si="47"/>
        <v>·</v>
      </c>
      <c r="L195" s="18" t="str">
        <f t="shared" si="48"/>
        <v>·</v>
      </c>
      <c r="M195" s="19"/>
      <c r="N195" s="18" t="str">
        <f t="shared" si="49"/>
        <v>·</v>
      </c>
      <c r="O195" s="20"/>
      <c r="P195" s="21"/>
      <c r="Q195" s="21"/>
      <c r="R195" s="21"/>
      <c r="S195" s="37"/>
      <c r="T195" s="38"/>
      <c r="U195" s="38"/>
      <c r="V195" s="38"/>
      <c r="W195" s="38"/>
      <c r="X195" s="38"/>
      <c r="Y195" s="39"/>
      <c r="Z195" s="49"/>
      <c r="AA195" s="49"/>
      <c r="AC195" s="17" t="str">
        <f t="shared" si="50"/>
        <v>·</v>
      </c>
      <c r="AD195" s="18" t="str">
        <f t="shared" si="51"/>
        <v>·</v>
      </c>
      <c r="AE195" s="18" t="str">
        <f t="shared" si="52"/>
        <v>·</v>
      </c>
      <c r="AF195" s="18" t="str">
        <f t="shared" si="53"/>
        <v>·</v>
      </c>
      <c r="AG195" s="19"/>
      <c r="AH195" s="18" t="str">
        <f t="shared" si="54"/>
        <v>·</v>
      </c>
      <c r="AI195" s="20"/>
      <c r="AJ195" s="21"/>
      <c r="AK195" s="21"/>
      <c r="AL195" s="21"/>
      <c r="AM195" s="37"/>
      <c r="AN195" s="38"/>
      <c r="AO195" s="38"/>
      <c r="AP195" s="38"/>
      <c r="AQ195" s="38"/>
      <c r="AR195" s="38"/>
      <c r="AS195" s="39"/>
      <c r="AT195" s="49"/>
      <c r="AU195" s="49"/>
      <c r="AW195" s="53" t="e">
        <f t="shared" si="55"/>
        <v>#DIV/0!</v>
      </c>
      <c r="AX195" s="53"/>
      <c r="AZ195" s="54"/>
      <c r="BA195" s="54"/>
      <c r="BB195" s="54"/>
      <c r="BC195" s="54"/>
      <c r="BD195" s="54"/>
      <c r="BE195" s="61"/>
      <c r="BG195" s="54"/>
      <c r="BH195" s="54"/>
      <c r="BI195" s="54"/>
      <c r="BJ195" s="54"/>
      <c r="BK195" s="54"/>
      <c r="BL195" s="61"/>
      <c r="BN195">
        <f t="shared" si="56"/>
        <v>0</v>
      </c>
      <c r="BO195">
        <f t="shared" si="57"/>
        <v>0</v>
      </c>
      <c r="BP195">
        <f t="shared" si="58"/>
        <v>0</v>
      </c>
      <c r="BQ195">
        <f t="shared" si="59"/>
        <v>0</v>
      </c>
      <c r="BR195">
        <f t="shared" si="60"/>
        <v>0</v>
      </c>
      <c r="BS195">
        <f t="shared" si="61"/>
        <v>0</v>
      </c>
      <c r="BT195">
        <f t="shared" si="62"/>
        <v>0</v>
      </c>
      <c r="BU195">
        <f t="shared" si="63"/>
        <v>0</v>
      </c>
      <c r="BV195">
        <f t="shared" si="64"/>
        <v>0</v>
      </c>
      <c r="BW195">
        <f t="shared" si="65"/>
        <v>0</v>
      </c>
      <c r="BX195">
        <f t="shared" si="66"/>
        <v>0</v>
      </c>
    </row>
    <row r="196" spans="1:76" outlineLevel="1" x14ac:dyDescent="0.15">
      <c r="A196" s="8"/>
      <c r="B196" s="14" t="s">
        <v>152</v>
      </c>
      <c r="C196" s="15" t="s">
        <v>259</v>
      </c>
      <c r="D196" s="14">
        <v>5001077</v>
      </c>
      <c r="E196" s="16">
        <v>20</v>
      </c>
      <c r="F196" s="15">
        <v>1</v>
      </c>
      <c r="G196" s="15"/>
      <c r="I196" s="32" t="str">
        <f t="shared" si="45"/>
        <v>·</v>
      </c>
      <c r="J196" s="33" t="str">
        <f t="shared" si="46"/>
        <v>·</v>
      </c>
      <c r="K196" s="33" t="str">
        <f t="shared" si="47"/>
        <v>·</v>
      </c>
      <c r="L196" s="33" t="str">
        <f t="shared" si="48"/>
        <v>·</v>
      </c>
      <c r="M196" s="34"/>
      <c r="N196" s="33" t="str">
        <f t="shared" si="49"/>
        <v>·</v>
      </c>
      <c r="O196" s="35"/>
      <c r="P196" s="36"/>
      <c r="Q196" s="36"/>
      <c r="R196" s="36"/>
      <c r="S196" s="46"/>
      <c r="T196" s="47"/>
      <c r="U196" s="47"/>
      <c r="V196" s="47"/>
      <c r="W196" s="47"/>
      <c r="X196" s="47"/>
      <c r="Y196" s="48"/>
      <c r="Z196" s="52"/>
      <c r="AA196" s="52"/>
      <c r="AC196" s="32" t="str">
        <f t="shared" si="50"/>
        <v>·</v>
      </c>
      <c r="AD196" s="33" t="str">
        <f t="shared" si="51"/>
        <v>·</v>
      </c>
      <c r="AE196" s="33" t="str">
        <f t="shared" si="52"/>
        <v>·</v>
      </c>
      <c r="AF196" s="33" t="str">
        <f t="shared" si="53"/>
        <v>·</v>
      </c>
      <c r="AG196" s="34"/>
      <c r="AH196" s="33" t="str">
        <f t="shared" si="54"/>
        <v>·</v>
      </c>
      <c r="AI196" s="35"/>
      <c r="AJ196" s="36"/>
      <c r="AK196" s="36"/>
      <c r="AL196" s="36"/>
      <c r="AM196" s="46"/>
      <c r="AN196" s="47"/>
      <c r="AO196" s="47"/>
      <c r="AP196" s="47"/>
      <c r="AQ196" s="47"/>
      <c r="AR196" s="47"/>
      <c r="AS196" s="48"/>
      <c r="AT196" s="52"/>
      <c r="AU196" s="52"/>
      <c r="AW196" s="59" t="e">
        <f t="shared" si="55"/>
        <v>#DIV/0!</v>
      </c>
      <c r="AX196" s="59"/>
      <c r="AZ196" s="60"/>
      <c r="BA196" s="60"/>
      <c r="BB196" s="60"/>
      <c r="BC196" s="60"/>
      <c r="BD196" s="60"/>
      <c r="BE196" s="64"/>
      <c r="BG196" s="60"/>
      <c r="BH196" s="60"/>
      <c r="BI196" s="60"/>
      <c r="BJ196" s="60"/>
      <c r="BK196" s="60"/>
      <c r="BL196" s="64"/>
      <c r="BN196">
        <f t="shared" si="56"/>
        <v>0</v>
      </c>
      <c r="BO196">
        <f t="shared" si="57"/>
        <v>0</v>
      </c>
      <c r="BP196">
        <f t="shared" si="58"/>
        <v>0</v>
      </c>
      <c r="BQ196">
        <f t="shared" si="59"/>
        <v>0</v>
      </c>
      <c r="BR196">
        <f t="shared" si="60"/>
        <v>0</v>
      </c>
      <c r="BS196">
        <f t="shared" si="61"/>
        <v>0</v>
      </c>
      <c r="BT196">
        <f t="shared" si="62"/>
        <v>0</v>
      </c>
      <c r="BU196">
        <f t="shared" si="63"/>
        <v>0</v>
      </c>
      <c r="BV196">
        <f t="shared" si="64"/>
        <v>0</v>
      </c>
      <c r="BW196">
        <f t="shared" si="65"/>
        <v>0</v>
      </c>
      <c r="BX196">
        <f t="shared" si="66"/>
        <v>0</v>
      </c>
    </row>
    <row r="197" spans="1:76" x14ac:dyDescent="0.15">
      <c r="A197" s="5"/>
      <c r="B197" s="5" t="s">
        <v>154</v>
      </c>
      <c r="C197" s="6" t="s">
        <v>254</v>
      </c>
      <c r="D197" s="5">
        <v>71948094</v>
      </c>
      <c r="E197" s="7">
        <v>14</v>
      </c>
      <c r="F197" s="6">
        <v>1</v>
      </c>
      <c r="G197" s="6"/>
      <c r="I197" s="17" t="str">
        <f t="shared" ref="I197:I260" si="67">IF(OR(ISBLANK(P197),ISBLANK(G197)),"·",P197*G197/F197/1000000)</f>
        <v>·</v>
      </c>
      <c r="J197" s="18" t="str">
        <f t="shared" ref="J197:J260" si="68">IF(ISBLANK(P197),"·",P197/D197)</f>
        <v>·</v>
      </c>
      <c r="K197" s="18" t="str">
        <f t="shared" ref="K197:K260" si="69">IF(Q197="","·",Q197/D197)</f>
        <v>·</v>
      </c>
      <c r="L197" s="18" t="str">
        <f t="shared" ref="L197:L260" si="70">IF(ISBLANK(R197),"·",R197/D197)</f>
        <v>·</v>
      </c>
      <c r="M197" s="19"/>
      <c r="N197" s="18" t="str">
        <f t="shared" ref="N197:N260" si="71">IF(ISBLANK(P197),"·",P197/O197)</f>
        <v>·</v>
      </c>
      <c r="O197" s="20"/>
      <c r="P197" s="21"/>
      <c r="Q197" s="21"/>
      <c r="R197" s="21"/>
      <c r="S197" s="37"/>
      <c r="T197" s="38"/>
      <c r="U197" s="38"/>
      <c r="V197" s="38"/>
      <c r="W197" s="38"/>
      <c r="X197" s="38"/>
      <c r="Y197" s="39"/>
      <c r="Z197" s="49"/>
      <c r="AA197" s="49"/>
      <c r="AC197" s="17" t="str">
        <f t="shared" ref="AC197:AC260" si="72">IF(OR(ISBLANK(AJ197),ISBLANK(G197)),"·",AJ197*G197/F197/1000000)</f>
        <v>·</v>
      </c>
      <c r="AD197" s="18" t="str">
        <f t="shared" ref="AD197:AD260" si="73">IF(ISBLANK(AJ197),"·",AJ197/D197)</f>
        <v>·</v>
      </c>
      <c r="AE197" s="18" t="str">
        <f t="shared" ref="AE197:AE260" si="74">IF(AK197="","·",AK197/D197)</f>
        <v>·</v>
      </c>
      <c r="AF197" s="18" t="str">
        <f t="shared" ref="AF197:AF260" si="75">IF(ISBLANK(AL197),"·",AL197/D197)</f>
        <v>·</v>
      </c>
      <c r="AG197" s="19"/>
      <c r="AH197" s="18" t="str">
        <f t="shared" ref="AH197:AH260" si="76">IF(ISBLANK(AJ197),"·",AJ197/AI197)</f>
        <v>·</v>
      </c>
      <c r="AI197" s="20"/>
      <c r="AJ197" s="21"/>
      <c r="AK197" s="21"/>
      <c r="AL197" s="21"/>
      <c r="AM197" s="37"/>
      <c r="AN197" s="38"/>
      <c r="AO197" s="38"/>
      <c r="AP197" s="38"/>
      <c r="AQ197" s="38"/>
      <c r="AR197" s="38"/>
      <c r="AS197" s="39"/>
      <c r="AT197" s="49"/>
      <c r="AU197" s="49"/>
      <c r="AW197" s="53" t="e">
        <f t="shared" ref="AW197:AW260" si="77">(AK197/AJ197)-(Q197/P197)</f>
        <v>#DIV/0!</v>
      </c>
      <c r="AX197" s="53" t="e">
        <f t="array" ref="AX197">AVERAGE(AK197:AK202/AJ197:AJ202)-AVERAGE(Q197:Q202/P197:P202)</f>
        <v>#DIV/0!</v>
      </c>
      <c r="AZ197" s="54" t="str">
        <f>IF(OR(ISBLANK(Q197:Q202),ISBLANK(AK197:AK202),ISBLANK(T197:T202),ISBLANK(AN197:AN202)),"·",bdRateExtend(Q197:Q202,T197:T202,AK197:AK202,AN197:AN202))</f>
        <v>·</v>
      </c>
      <c r="BA197" s="54" t="str">
        <f>IF(OR(ISBLANK(Q197:Q202),ISBLANK(AK197:AK202),ISBLANK(U197:U202),ISBLANK(AO197:AO202)),"·",bdRateExtend(Q197:Q202,U197:U202,AK197:AK202,AO197:AO202))</f>
        <v>·</v>
      </c>
      <c r="BB197" s="54" t="str">
        <f>IF(OR(ISBLANK(R197:R202),ISBLANK(AL197:AL202),ISBLANK(V197:V202),ISBLANK(AP197:AP202)),"·",bdRateExtend(R197:R202,V197:V202,AL197:AL202,AP197:AP202))</f>
        <v>·</v>
      </c>
      <c r="BC197" s="54" t="str">
        <f>IF(OR(ISBLANK(R197:R202),ISBLANK(AL197:AL202),ISBLANK(W197:W202),ISBLANK(AQ197:AQ202)),"·",bdRateExtend(R197:R202,W197:W202,AL197:AL202,AQ197:AQ202))</f>
        <v>·</v>
      </c>
      <c r="BD197" s="54" t="str">
        <f>IF(OR(ISBLANK(R197:R202),ISBLANK(AL197:AL202),ISBLANK(X197:X202),ISBLANK(AR197:AR202)),"·",bdRateExtend(R197:R202,X197:X202,AL197:AL202,AR197:AR202))</f>
        <v>·</v>
      </c>
      <c r="BE197" s="61"/>
      <c r="BG197" s="54" t="str">
        <f>IF(OR(ISBLANK(P197:P202),ISBLANK(AJ197:AJ202),ISBLANK(T197:T202),ISBLANK(AN197:AN202)),"·",bdRateExtend(P197:P202,T197:T202,AJ197:AJ202,AN197:AN202))</f>
        <v>·</v>
      </c>
      <c r="BH197" s="54" t="str">
        <f>IF(OR(ISBLANK(P197:P202),ISBLANK(AJ197:AJ202),ISBLANK(U197:U202),ISBLANK(AO197:AO202)),"·",bdRateExtend(P197:P202,U197:U202,AJ197:AJ202,AO197:AO202))</f>
        <v>·</v>
      </c>
      <c r="BI197" s="54" t="str">
        <f>IF(OR(ISBLANK(P197:P202),ISBLANK(AJ197:AJ202),ISBLANK(V197:V202),ISBLANK(AP197:AP202)),"·",bdRateExtend(P197:P202,V197:V202,AJ197:AJ202,AP197:AP202))</f>
        <v>·</v>
      </c>
      <c r="BJ197" s="54" t="str">
        <f>IF(OR(ISBLANK(P197:P202),ISBLANK(AJ197:AJ202),ISBLANK(W197:W202),ISBLANK(AQ197:AQ202)),"·",bdRateExtend(P197:P202,W197:W202,AJ197:AJ202,AQ197:AQ202))</f>
        <v>·</v>
      </c>
      <c r="BK197" s="54" t="str">
        <f>IF(OR(ISBLANK(P197:P202),ISBLANK(AJ197:AJ202),ISBLANK(X197:X202),ISBLANK(AR197:AR202)),"·",bdRateExtend(P197:P202,X197:X202,AJ197:AJ202,AR197:AR202))</f>
        <v>·</v>
      </c>
      <c r="BL197" s="61"/>
      <c r="BN197">
        <f t="shared" si="56"/>
        <v>0</v>
      </c>
      <c r="BO197">
        <f t="shared" si="57"/>
        <v>0</v>
      </c>
      <c r="BP197">
        <f t="shared" si="58"/>
        <v>0</v>
      </c>
      <c r="BQ197">
        <f t="shared" si="59"/>
        <v>0</v>
      </c>
      <c r="BR197">
        <f t="shared" si="60"/>
        <v>0</v>
      </c>
      <c r="BS197">
        <f t="shared" si="61"/>
        <v>0</v>
      </c>
      <c r="BT197">
        <f t="shared" si="62"/>
        <v>0</v>
      </c>
      <c r="BU197">
        <f t="shared" si="63"/>
        <v>0</v>
      </c>
      <c r="BV197">
        <f t="shared" si="64"/>
        <v>0</v>
      </c>
      <c r="BW197">
        <f t="shared" si="65"/>
        <v>0</v>
      </c>
      <c r="BX197">
        <f t="shared" si="66"/>
        <v>0</v>
      </c>
    </row>
    <row r="198" spans="1:76" outlineLevel="1" x14ac:dyDescent="0.15">
      <c r="A198" s="8"/>
      <c r="B198" s="8" t="s">
        <v>154</v>
      </c>
      <c r="C198" s="9" t="s">
        <v>255</v>
      </c>
      <c r="D198" s="8">
        <v>71948094</v>
      </c>
      <c r="E198" s="10">
        <v>14</v>
      </c>
      <c r="F198" s="9">
        <v>1</v>
      </c>
      <c r="G198" s="9"/>
      <c r="I198" s="22" t="str">
        <f t="shared" si="67"/>
        <v>·</v>
      </c>
      <c r="J198" s="23" t="str">
        <f t="shared" si="68"/>
        <v>·</v>
      </c>
      <c r="K198" s="23" t="str">
        <f t="shared" si="69"/>
        <v>·</v>
      </c>
      <c r="L198" s="23" t="str">
        <f t="shared" si="70"/>
        <v>·</v>
      </c>
      <c r="M198" s="24"/>
      <c r="N198" s="23" t="str">
        <f t="shared" si="71"/>
        <v>·</v>
      </c>
      <c r="O198" s="25"/>
      <c r="P198" s="26"/>
      <c r="Q198" s="26"/>
      <c r="R198" s="26"/>
      <c r="S198" s="40"/>
      <c r="T198" s="41"/>
      <c r="U198" s="41"/>
      <c r="V198" s="41"/>
      <c r="W198" s="41"/>
      <c r="X198" s="41"/>
      <c r="Y198" s="42"/>
      <c r="Z198" s="50"/>
      <c r="AA198" s="50"/>
      <c r="AC198" s="22" t="str">
        <f t="shared" si="72"/>
        <v>·</v>
      </c>
      <c r="AD198" s="23" t="str">
        <f t="shared" si="73"/>
        <v>·</v>
      </c>
      <c r="AE198" s="23" t="str">
        <f t="shared" si="74"/>
        <v>·</v>
      </c>
      <c r="AF198" s="23" t="str">
        <f t="shared" si="75"/>
        <v>·</v>
      </c>
      <c r="AG198" s="24"/>
      <c r="AH198" s="23" t="str">
        <f t="shared" si="76"/>
        <v>·</v>
      </c>
      <c r="AI198" s="25"/>
      <c r="AJ198" s="26"/>
      <c r="AK198" s="26"/>
      <c r="AL198" s="26"/>
      <c r="AM198" s="40"/>
      <c r="AN198" s="41"/>
      <c r="AO198" s="41"/>
      <c r="AP198" s="41"/>
      <c r="AQ198" s="41"/>
      <c r="AR198" s="41"/>
      <c r="AS198" s="42"/>
      <c r="AT198" s="50"/>
      <c r="AU198" s="50"/>
      <c r="AW198" s="55" t="e">
        <f t="shared" si="77"/>
        <v>#DIV/0!</v>
      </c>
      <c r="AX198" s="55"/>
      <c r="AZ198" s="56"/>
      <c r="BA198" s="56"/>
      <c r="BB198" s="56"/>
      <c r="BC198" s="56"/>
      <c r="BD198" s="56"/>
      <c r="BE198" s="62"/>
      <c r="BG198" s="56"/>
      <c r="BH198" s="56"/>
      <c r="BI198" s="56"/>
      <c r="BJ198" s="56"/>
      <c r="BK198" s="56"/>
      <c r="BL198" s="62"/>
      <c r="BN198">
        <f t="shared" ref="BN198:BN261" si="78">AI198-O198</f>
        <v>0</v>
      </c>
      <c r="BO198">
        <f t="shared" ref="BO198:BO261" si="79">AJ198-P198</f>
        <v>0</v>
      </c>
      <c r="BP198">
        <f t="shared" ref="BP198:BP261" si="80">AK198-Q198</f>
        <v>0</v>
      </c>
      <c r="BQ198">
        <f t="shared" ref="BQ198:BQ261" si="81">AL198-R198</f>
        <v>0</v>
      </c>
      <c r="BR198">
        <f t="shared" ref="BR198:BR261" si="82">AM198-S198</f>
        <v>0</v>
      </c>
      <c r="BS198">
        <f t="shared" ref="BS198:BS261" si="83">AN198-T198</f>
        <v>0</v>
      </c>
      <c r="BT198">
        <f t="shared" ref="BT198:BT261" si="84">AO198-U198</f>
        <v>0</v>
      </c>
      <c r="BU198">
        <f t="shared" ref="BU198:BU261" si="85">AP198-V198</f>
        <v>0</v>
      </c>
      <c r="BV198">
        <f t="shared" ref="BV198:BV261" si="86">AQ198-W198</f>
        <v>0</v>
      </c>
      <c r="BW198">
        <f t="shared" ref="BW198:BW261" si="87">AR198-X198</f>
        <v>0</v>
      </c>
      <c r="BX198">
        <f t="shared" ref="BX198:BX261" si="88">AS198-Y198</f>
        <v>0</v>
      </c>
    </row>
    <row r="199" spans="1:76" outlineLevel="1" x14ac:dyDescent="0.15">
      <c r="A199" s="5"/>
      <c r="B199" s="5" t="s">
        <v>154</v>
      </c>
      <c r="C199" s="6" t="s">
        <v>256</v>
      </c>
      <c r="D199" s="5">
        <v>71948094</v>
      </c>
      <c r="E199" s="7">
        <v>14</v>
      </c>
      <c r="F199" s="6">
        <v>1</v>
      </c>
      <c r="G199" s="6"/>
      <c r="I199" s="17" t="str">
        <f t="shared" si="67"/>
        <v>·</v>
      </c>
      <c r="J199" s="18" t="str">
        <f t="shared" si="68"/>
        <v>·</v>
      </c>
      <c r="K199" s="18" t="str">
        <f t="shared" si="69"/>
        <v>·</v>
      </c>
      <c r="L199" s="18" t="str">
        <f t="shared" si="70"/>
        <v>·</v>
      </c>
      <c r="M199" s="19"/>
      <c r="N199" s="18" t="str">
        <f t="shared" si="71"/>
        <v>·</v>
      </c>
      <c r="O199" s="20"/>
      <c r="P199" s="21"/>
      <c r="Q199" s="21"/>
      <c r="R199" s="21"/>
      <c r="S199" s="37"/>
      <c r="T199" s="38"/>
      <c r="U199" s="38"/>
      <c r="V199" s="38"/>
      <c r="W199" s="38"/>
      <c r="X199" s="38"/>
      <c r="Y199" s="39"/>
      <c r="Z199" s="49"/>
      <c r="AA199" s="49"/>
      <c r="AC199" s="17" t="str">
        <f t="shared" si="72"/>
        <v>·</v>
      </c>
      <c r="AD199" s="18" t="str">
        <f t="shared" si="73"/>
        <v>·</v>
      </c>
      <c r="AE199" s="18" t="str">
        <f t="shared" si="74"/>
        <v>·</v>
      </c>
      <c r="AF199" s="18" t="str">
        <f t="shared" si="75"/>
        <v>·</v>
      </c>
      <c r="AG199" s="19"/>
      <c r="AH199" s="18" t="str">
        <f t="shared" si="76"/>
        <v>·</v>
      </c>
      <c r="AI199" s="20"/>
      <c r="AJ199" s="21"/>
      <c r="AK199" s="21"/>
      <c r="AL199" s="21"/>
      <c r="AM199" s="37"/>
      <c r="AN199" s="38"/>
      <c r="AO199" s="38"/>
      <c r="AP199" s="38"/>
      <c r="AQ199" s="38"/>
      <c r="AR199" s="38"/>
      <c r="AS199" s="39"/>
      <c r="AT199" s="49"/>
      <c r="AU199" s="49"/>
      <c r="AW199" s="53" t="e">
        <f t="shared" si="77"/>
        <v>#DIV/0!</v>
      </c>
      <c r="AX199" s="53"/>
      <c r="AZ199" s="54"/>
      <c r="BA199" s="54"/>
      <c r="BB199" s="54"/>
      <c r="BC199" s="54"/>
      <c r="BD199" s="54"/>
      <c r="BE199" s="61"/>
      <c r="BG199" s="54"/>
      <c r="BH199" s="54"/>
      <c r="BI199" s="54"/>
      <c r="BJ199" s="54"/>
      <c r="BK199" s="54"/>
      <c r="BL199" s="61"/>
      <c r="BN199">
        <f t="shared" si="78"/>
        <v>0</v>
      </c>
      <c r="BO199">
        <f t="shared" si="79"/>
        <v>0</v>
      </c>
      <c r="BP199">
        <f t="shared" si="80"/>
        <v>0</v>
      </c>
      <c r="BQ199">
        <f t="shared" si="81"/>
        <v>0</v>
      </c>
      <c r="BR199">
        <f t="shared" si="82"/>
        <v>0</v>
      </c>
      <c r="BS199">
        <f t="shared" si="83"/>
        <v>0</v>
      </c>
      <c r="BT199">
        <f t="shared" si="84"/>
        <v>0</v>
      </c>
      <c r="BU199">
        <f t="shared" si="85"/>
        <v>0</v>
      </c>
      <c r="BV199">
        <f t="shared" si="86"/>
        <v>0</v>
      </c>
      <c r="BW199">
        <f t="shared" si="87"/>
        <v>0</v>
      </c>
      <c r="BX199">
        <f t="shared" si="88"/>
        <v>0</v>
      </c>
    </row>
    <row r="200" spans="1:76" outlineLevel="1" x14ac:dyDescent="0.15">
      <c r="A200" s="8"/>
      <c r="B200" s="8" t="s">
        <v>154</v>
      </c>
      <c r="C200" s="9" t="s">
        <v>257</v>
      </c>
      <c r="D200" s="8">
        <v>71948094</v>
      </c>
      <c r="E200" s="10">
        <v>14</v>
      </c>
      <c r="F200" s="9">
        <v>1</v>
      </c>
      <c r="G200" s="9"/>
      <c r="I200" s="22" t="str">
        <f t="shared" si="67"/>
        <v>·</v>
      </c>
      <c r="J200" s="23" t="str">
        <f t="shared" si="68"/>
        <v>·</v>
      </c>
      <c r="K200" s="23" t="str">
        <f t="shared" si="69"/>
        <v>·</v>
      </c>
      <c r="L200" s="23" t="str">
        <f t="shared" si="70"/>
        <v>·</v>
      </c>
      <c r="M200" s="24"/>
      <c r="N200" s="23" t="str">
        <f t="shared" si="71"/>
        <v>·</v>
      </c>
      <c r="O200" s="25"/>
      <c r="P200" s="26"/>
      <c r="Q200" s="26"/>
      <c r="R200" s="26"/>
      <c r="S200" s="40"/>
      <c r="T200" s="41"/>
      <c r="U200" s="41"/>
      <c r="V200" s="41"/>
      <c r="W200" s="41"/>
      <c r="X200" s="41"/>
      <c r="Y200" s="42"/>
      <c r="Z200" s="50"/>
      <c r="AA200" s="50"/>
      <c r="AC200" s="22" t="str">
        <f t="shared" si="72"/>
        <v>·</v>
      </c>
      <c r="AD200" s="23" t="str">
        <f t="shared" si="73"/>
        <v>·</v>
      </c>
      <c r="AE200" s="23" t="str">
        <f t="shared" si="74"/>
        <v>·</v>
      </c>
      <c r="AF200" s="23" t="str">
        <f t="shared" si="75"/>
        <v>·</v>
      </c>
      <c r="AG200" s="24"/>
      <c r="AH200" s="23" t="str">
        <f t="shared" si="76"/>
        <v>·</v>
      </c>
      <c r="AI200" s="25"/>
      <c r="AJ200" s="26"/>
      <c r="AK200" s="26"/>
      <c r="AL200" s="26"/>
      <c r="AM200" s="40"/>
      <c r="AN200" s="41"/>
      <c r="AO200" s="41"/>
      <c r="AP200" s="41"/>
      <c r="AQ200" s="41"/>
      <c r="AR200" s="41"/>
      <c r="AS200" s="42"/>
      <c r="AT200" s="50"/>
      <c r="AU200" s="50"/>
      <c r="AW200" s="55" t="e">
        <f t="shared" si="77"/>
        <v>#DIV/0!</v>
      </c>
      <c r="AX200" s="55"/>
      <c r="AZ200" s="56"/>
      <c r="BA200" s="56"/>
      <c r="BB200" s="56"/>
      <c r="BC200" s="56"/>
      <c r="BD200" s="56"/>
      <c r="BE200" s="62"/>
      <c r="BG200" s="56"/>
      <c r="BH200" s="56"/>
      <c r="BI200" s="56"/>
      <c r="BJ200" s="56"/>
      <c r="BK200" s="56"/>
      <c r="BL200" s="62"/>
      <c r="BN200">
        <f t="shared" si="78"/>
        <v>0</v>
      </c>
      <c r="BO200">
        <f t="shared" si="79"/>
        <v>0</v>
      </c>
      <c r="BP200">
        <f t="shared" si="80"/>
        <v>0</v>
      </c>
      <c r="BQ200">
        <f t="shared" si="81"/>
        <v>0</v>
      </c>
      <c r="BR200">
        <f t="shared" si="82"/>
        <v>0</v>
      </c>
      <c r="BS200">
        <f t="shared" si="83"/>
        <v>0</v>
      </c>
      <c r="BT200">
        <f t="shared" si="84"/>
        <v>0</v>
      </c>
      <c r="BU200">
        <f t="shared" si="85"/>
        <v>0</v>
      </c>
      <c r="BV200">
        <f t="shared" si="86"/>
        <v>0</v>
      </c>
      <c r="BW200">
        <f t="shared" si="87"/>
        <v>0</v>
      </c>
      <c r="BX200">
        <f t="shared" si="88"/>
        <v>0</v>
      </c>
    </row>
    <row r="201" spans="1:76" outlineLevel="1" x14ac:dyDescent="0.15">
      <c r="A201" s="5"/>
      <c r="B201" s="5" t="s">
        <v>154</v>
      </c>
      <c r="C201" s="6" t="s">
        <v>258</v>
      </c>
      <c r="D201" s="5">
        <v>71948094</v>
      </c>
      <c r="E201" s="7">
        <v>14</v>
      </c>
      <c r="F201" s="6">
        <v>1</v>
      </c>
      <c r="G201" s="6"/>
      <c r="I201" s="17" t="str">
        <f t="shared" si="67"/>
        <v>·</v>
      </c>
      <c r="J201" s="18" t="str">
        <f t="shared" si="68"/>
        <v>·</v>
      </c>
      <c r="K201" s="18" t="str">
        <f t="shared" si="69"/>
        <v>·</v>
      </c>
      <c r="L201" s="18" t="str">
        <f t="shared" si="70"/>
        <v>·</v>
      </c>
      <c r="M201" s="19"/>
      <c r="N201" s="18" t="str">
        <f t="shared" si="71"/>
        <v>·</v>
      </c>
      <c r="O201" s="20"/>
      <c r="P201" s="21"/>
      <c r="Q201" s="21"/>
      <c r="R201" s="21"/>
      <c r="S201" s="37"/>
      <c r="T201" s="38"/>
      <c r="U201" s="38"/>
      <c r="V201" s="38"/>
      <c r="W201" s="38"/>
      <c r="X201" s="38"/>
      <c r="Y201" s="39"/>
      <c r="Z201" s="49"/>
      <c r="AA201" s="49"/>
      <c r="AC201" s="17" t="str">
        <f t="shared" si="72"/>
        <v>·</v>
      </c>
      <c r="AD201" s="18" t="str">
        <f t="shared" si="73"/>
        <v>·</v>
      </c>
      <c r="AE201" s="18" t="str">
        <f t="shared" si="74"/>
        <v>·</v>
      </c>
      <c r="AF201" s="18" t="str">
        <f t="shared" si="75"/>
        <v>·</v>
      </c>
      <c r="AG201" s="19"/>
      <c r="AH201" s="18" t="str">
        <f t="shared" si="76"/>
        <v>·</v>
      </c>
      <c r="AI201" s="20"/>
      <c r="AJ201" s="21"/>
      <c r="AK201" s="21"/>
      <c r="AL201" s="21"/>
      <c r="AM201" s="37"/>
      <c r="AN201" s="38"/>
      <c r="AO201" s="38"/>
      <c r="AP201" s="38"/>
      <c r="AQ201" s="38"/>
      <c r="AR201" s="38"/>
      <c r="AS201" s="39"/>
      <c r="AT201" s="49"/>
      <c r="AU201" s="49"/>
      <c r="AW201" s="53" t="e">
        <f t="shared" si="77"/>
        <v>#DIV/0!</v>
      </c>
      <c r="AX201" s="53"/>
      <c r="AZ201" s="54"/>
      <c r="BA201" s="54"/>
      <c r="BB201" s="54"/>
      <c r="BC201" s="54"/>
      <c r="BD201" s="54"/>
      <c r="BE201" s="61"/>
      <c r="BG201" s="54"/>
      <c r="BH201" s="54"/>
      <c r="BI201" s="54"/>
      <c r="BJ201" s="54"/>
      <c r="BK201" s="54"/>
      <c r="BL201" s="61"/>
      <c r="BN201">
        <f t="shared" si="78"/>
        <v>0</v>
      </c>
      <c r="BO201">
        <f t="shared" si="79"/>
        <v>0</v>
      </c>
      <c r="BP201">
        <f t="shared" si="80"/>
        <v>0</v>
      </c>
      <c r="BQ201">
        <f t="shared" si="81"/>
        <v>0</v>
      </c>
      <c r="BR201">
        <f t="shared" si="82"/>
        <v>0</v>
      </c>
      <c r="BS201">
        <f t="shared" si="83"/>
        <v>0</v>
      </c>
      <c r="BT201">
        <f t="shared" si="84"/>
        <v>0</v>
      </c>
      <c r="BU201">
        <f t="shared" si="85"/>
        <v>0</v>
      </c>
      <c r="BV201">
        <f t="shared" si="86"/>
        <v>0</v>
      </c>
      <c r="BW201">
        <f t="shared" si="87"/>
        <v>0</v>
      </c>
      <c r="BX201">
        <f t="shared" si="88"/>
        <v>0</v>
      </c>
    </row>
    <row r="202" spans="1:76" outlineLevel="1" x14ac:dyDescent="0.15">
      <c r="A202" s="8"/>
      <c r="B202" s="14" t="s">
        <v>154</v>
      </c>
      <c r="C202" s="15" t="s">
        <v>259</v>
      </c>
      <c r="D202" s="14">
        <v>71948094</v>
      </c>
      <c r="E202" s="16">
        <v>14</v>
      </c>
      <c r="F202" s="15">
        <v>1</v>
      </c>
      <c r="G202" s="15"/>
      <c r="I202" s="32" t="str">
        <f t="shared" si="67"/>
        <v>·</v>
      </c>
      <c r="J202" s="33" t="str">
        <f t="shared" si="68"/>
        <v>·</v>
      </c>
      <c r="K202" s="33" t="str">
        <f t="shared" si="69"/>
        <v>·</v>
      </c>
      <c r="L202" s="33" t="str">
        <f t="shared" si="70"/>
        <v>·</v>
      </c>
      <c r="M202" s="34"/>
      <c r="N202" s="33" t="str">
        <f t="shared" si="71"/>
        <v>·</v>
      </c>
      <c r="O202" s="35"/>
      <c r="P202" s="36"/>
      <c r="Q202" s="36"/>
      <c r="R202" s="36"/>
      <c r="S202" s="46"/>
      <c r="T202" s="47"/>
      <c r="U202" s="47"/>
      <c r="V202" s="47"/>
      <c r="W202" s="47"/>
      <c r="X202" s="47"/>
      <c r="Y202" s="48"/>
      <c r="Z202" s="52"/>
      <c r="AA202" s="52"/>
      <c r="AC202" s="32" t="str">
        <f t="shared" si="72"/>
        <v>·</v>
      </c>
      <c r="AD202" s="33" t="str">
        <f t="shared" si="73"/>
        <v>·</v>
      </c>
      <c r="AE202" s="33" t="str">
        <f t="shared" si="74"/>
        <v>·</v>
      </c>
      <c r="AF202" s="33" t="str">
        <f t="shared" si="75"/>
        <v>·</v>
      </c>
      <c r="AG202" s="34"/>
      <c r="AH202" s="33" t="str">
        <f t="shared" si="76"/>
        <v>·</v>
      </c>
      <c r="AI202" s="35"/>
      <c r="AJ202" s="36"/>
      <c r="AK202" s="36"/>
      <c r="AL202" s="36"/>
      <c r="AM202" s="46"/>
      <c r="AN202" s="47"/>
      <c r="AO202" s="47"/>
      <c r="AP202" s="47"/>
      <c r="AQ202" s="47"/>
      <c r="AR202" s="47"/>
      <c r="AS202" s="48"/>
      <c r="AT202" s="52"/>
      <c r="AU202" s="52"/>
      <c r="AW202" s="59" t="e">
        <f t="shared" si="77"/>
        <v>#DIV/0!</v>
      </c>
      <c r="AX202" s="59"/>
      <c r="AZ202" s="60"/>
      <c r="BA202" s="60"/>
      <c r="BB202" s="60"/>
      <c r="BC202" s="60"/>
      <c r="BD202" s="60"/>
      <c r="BE202" s="64"/>
      <c r="BG202" s="60"/>
      <c r="BH202" s="60"/>
      <c r="BI202" s="60"/>
      <c r="BJ202" s="60"/>
      <c r="BK202" s="60"/>
      <c r="BL202" s="64"/>
      <c r="BN202">
        <f t="shared" si="78"/>
        <v>0</v>
      </c>
      <c r="BO202">
        <f t="shared" si="79"/>
        <v>0</v>
      </c>
      <c r="BP202">
        <f t="shared" si="80"/>
        <v>0</v>
      </c>
      <c r="BQ202">
        <f t="shared" si="81"/>
        <v>0</v>
      </c>
      <c r="BR202">
        <f t="shared" si="82"/>
        <v>0</v>
      </c>
      <c r="BS202">
        <f t="shared" si="83"/>
        <v>0</v>
      </c>
      <c r="BT202">
        <f t="shared" si="84"/>
        <v>0</v>
      </c>
      <c r="BU202">
        <f t="shared" si="85"/>
        <v>0</v>
      </c>
      <c r="BV202">
        <f t="shared" si="86"/>
        <v>0</v>
      </c>
      <c r="BW202">
        <f t="shared" si="87"/>
        <v>0</v>
      </c>
      <c r="BX202">
        <f t="shared" si="88"/>
        <v>0</v>
      </c>
    </row>
    <row r="203" spans="1:76" x14ac:dyDescent="0.15">
      <c r="A203" s="5"/>
      <c r="B203" s="5" t="s">
        <v>156</v>
      </c>
      <c r="C203" s="6" t="s">
        <v>254</v>
      </c>
      <c r="D203" s="5">
        <v>72145549</v>
      </c>
      <c r="E203" s="7">
        <v>20</v>
      </c>
      <c r="F203" s="6">
        <v>1</v>
      </c>
      <c r="G203" s="6"/>
      <c r="I203" s="17" t="str">
        <f t="shared" si="67"/>
        <v>·</v>
      </c>
      <c r="J203" s="18" t="str">
        <f t="shared" si="68"/>
        <v>·</v>
      </c>
      <c r="K203" s="18" t="str">
        <f t="shared" si="69"/>
        <v>·</v>
      </c>
      <c r="L203" s="18" t="str">
        <f t="shared" si="70"/>
        <v>·</v>
      </c>
      <c r="M203" s="19"/>
      <c r="N203" s="18" t="str">
        <f t="shared" si="71"/>
        <v>·</v>
      </c>
      <c r="O203" s="20"/>
      <c r="P203" s="21"/>
      <c r="Q203" s="21"/>
      <c r="R203" s="21"/>
      <c r="S203" s="37"/>
      <c r="T203" s="38"/>
      <c r="U203" s="38"/>
      <c r="V203" s="38"/>
      <c r="W203" s="38"/>
      <c r="X203" s="38"/>
      <c r="Y203" s="39"/>
      <c r="Z203" s="49"/>
      <c r="AA203" s="49"/>
      <c r="AC203" s="17" t="str">
        <f t="shared" si="72"/>
        <v>·</v>
      </c>
      <c r="AD203" s="18" t="str">
        <f t="shared" si="73"/>
        <v>·</v>
      </c>
      <c r="AE203" s="18" t="str">
        <f t="shared" si="74"/>
        <v>·</v>
      </c>
      <c r="AF203" s="18" t="str">
        <f t="shared" si="75"/>
        <v>·</v>
      </c>
      <c r="AG203" s="19"/>
      <c r="AH203" s="18" t="str">
        <f t="shared" si="76"/>
        <v>·</v>
      </c>
      <c r="AI203" s="20"/>
      <c r="AJ203" s="21"/>
      <c r="AK203" s="21"/>
      <c r="AL203" s="21"/>
      <c r="AM203" s="37"/>
      <c r="AN203" s="38"/>
      <c r="AO203" s="38"/>
      <c r="AP203" s="38"/>
      <c r="AQ203" s="38"/>
      <c r="AR203" s="38"/>
      <c r="AS203" s="39"/>
      <c r="AT203" s="49"/>
      <c r="AU203" s="49"/>
      <c r="AW203" s="53" t="e">
        <f t="shared" si="77"/>
        <v>#DIV/0!</v>
      </c>
      <c r="AX203" s="53" t="e">
        <f t="array" ref="AX203">AVERAGE(AK203:AK208/AJ203:AJ208)-AVERAGE(Q203:Q208/P203:P208)</f>
        <v>#DIV/0!</v>
      </c>
      <c r="AZ203" s="54" t="str">
        <f>IF(OR(ISBLANK(Q203:Q208),ISBLANK(AK203:AK208),ISBLANK(T203:T208),ISBLANK(AN203:AN208)),"·",bdRateExtend(Q203:Q208,T203:T208,AK203:AK208,AN203:AN208))</f>
        <v>·</v>
      </c>
      <c r="BA203" s="54" t="str">
        <f>IF(OR(ISBLANK(Q203:Q208),ISBLANK(AK203:AK208),ISBLANK(U203:U208),ISBLANK(AO203:AO208)),"·",bdRateExtend(Q203:Q208,U203:U208,AK203:AK208,AO203:AO208))</f>
        <v>·</v>
      </c>
      <c r="BB203" s="54" t="str">
        <f>IF(OR(ISBLANK(R203:R208),ISBLANK(AL203:AL208),ISBLANK(V203:V208),ISBLANK(AP203:AP208)),"·",bdRateExtend(R203:R208,V203:V208,AL203:AL208,AP203:AP208))</f>
        <v>·</v>
      </c>
      <c r="BC203" s="54" t="str">
        <f>IF(OR(ISBLANK(R203:R208),ISBLANK(AL203:AL208),ISBLANK(W203:W208),ISBLANK(AQ203:AQ208)),"·",bdRateExtend(R203:R208,W203:W208,AL203:AL208,AQ203:AQ208))</f>
        <v>·</v>
      </c>
      <c r="BD203" s="54" t="str">
        <f>IF(OR(ISBLANK(R203:R208),ISBLANK(AL203:AL208),ISBLANK(X203:X208),ISBLANK(AR203:AR208)),"·",bdRateExtend(R203:R208,X203:X208,AL203:AL208,AR203:AR208))</f>
        <v>·</v>
      </c>
      <c r="BE203" s="61"/>
      <c r="BG203" s="54" t="str">
        <f>IF(OR(ISBLANK(P203:P208),ISBLANK(AJ203:AJ208),ISBLANK(T203:T208),ISBLANK(AN203:AN208)),"·",bdRateExtend(P203:P208,T203:T208,AJ203:AJ208,AN203:AN208))</f>
        <v>·</v>
      </c>
      <c r="BH203" s="54" t="str">
        <f>IF(OR(ISBLANK(P203:P208),ISBLANK(AJ203:AJ208),ISBLANK(U203:U208),ISBLANK(AO203:AO208)),"·",bdRateExtend(P203:P208,U203:U208,AJ203:AJ208,AO203:AO208))</f>
        <v>·</v>
      </c>
      <c r="BI203" s="54" t="str">
        <f>IF(OR(ISBLANK(P203:P208),ISBLANK(AJ203:AJ208),ISBLANK(V203:V208),ISBLANK(AP203:AP208)),"·",bdRateExtend(P203:P208,V203:V208,AJ203:AJ208,AP203:AP208))</f>
        <v>·</v>
      </c>
      <c r="BJ203" s="54" t="str">
        <f>IF(OR(ISBLANK(P203:P208),ISBLANK(AJ203:AJ208),ISBLANK(W203:W208),ISBLANK(AQ203:AQ208)),"·",bdRateExtend(P203:P208,W203:W208,AJ203:AJ208,AQ203:AQ208))</f>
        <v>·</v>
      </c>
      <c r="BK203" s="54" t="str">
        <f>IF(OR(ISBLANK(P203:P208),ISBLANK(AJ203:AJ208),ISBLANK(X203:X208),ISBLANK(AR203:AR208)),"·",bdRateExtend(P203:P208,X203:X208,AJ203:AJ208,AR203:AR208))</f>
        <v>·</v>
      </c>
      <c r="BL203" s="61"/>
      <c r="BN203">
        <f t="shared" si="78"/>
        <v>0</v>
      </c>
      <c r="BO203">
        <f t="shared" si="79"/>
        <v>0</v>
      </c>
      <c r="BP203">
        <f t="shared" si="80"/>
        <v>0</v>
      </c>
      <c r="BQ203">
        <f t="shared" si="81"/>
        <v>0</v>
      </c>
      <c r="BR203">
        <f t="shared" si="82"/>
        <v>0</v>
      </c>
      <c r="BS203">
        <f t="shared" si="83"/>
        <v>0</v>
      </c>
      <c r="BT203">
        <f t="shared" si="84"/>
        <v>0</v>
      </c>
      <c r="BU203">
        <f t="shared" si="85"/>
        <v>0</v>
      </c>
      <c r="BV203">
        <f t="shared" si="86"/>
        <v>0</v>
      </c>
      <c r="BW203">
        <f t="shared" si="87"/>
        <v>0</v>
      </c>
      <c r="BX203">
        <f t="shared" si="88"/>
        <v>0</v>
      </c>
    </row>
    <row r="204" spans="1:76" outlineLevel="1" x14ac:dyDescent="0.15">
      <c r="A204" s="8"/>
      <c r="B204" s="8" t="s">
        <v>156</v>
      </c>
      <c r="C204" s="9" t="s">
        <v>255</v>
      </c>
      <c r="D204" s="8">
        <v>72145549</v>
      </c>
      <c r="E204" s="10">
        <v>20</v>
      </c>
      <c r="F204" s="9">
        <v>1</v>
      </c>
      <c r="G204" s="9"/>
      <c r="I204" s="22" t="str">
        <f t="shared" si="67"/>
        <v>·</v>
      </c>
      <c r="J204" s="23" t="str">
        <f t="shared" si="68"/>
        <v>·</v>
      </c>
      <c r="K204" s="23" t="str">
        <f t="shared" si="69"/>
        <v>·</v>
      </c>
      <c r="L204" s="23" t="str">
        <f t="shared" si="70"/>
        <v>·</v>
      </c>
      <c r="M204" s="24"/>
      <c r="N204" s="23" t="str">
        <f t="shared" si="71"/>
        <v>·</v>
      </c>
      <c r="O204" s="25"/>
      <c r="P204" s="26"/>
      <c r="Q204" s="26"/>
      <c r="R204" s="26"/>
      <c r="S204" s="40"/>
      <c r="T204" s="41"/>
      <c r="U204" s="41"/>
      <c r="V204" s="41"/>
      <c r="W204" s="41"/>
      <c r="X204" s="41"/>
      <c r="Y204" s="42"/>
      <c r="Z204" s="50"/>
      <c r="AA204" s="50"/>
      <c r="AC204" s="22" t="str">
        <f t="shared" si="72"/>
        <v>·</v>
      </c>
      <c r="AD204" s="23" t="str">
        <f t="shared" si="73"/>
        <v>·</v>
      </c>
      <c r="AE204" s="23" t="str">
        <f t="shared" si="74"/>
        <v>·</v>
      </c>
      <c r="AF204" s="23" t="str">
        <f t="shared" si="75"/>
        <v>·</v>
      </c>
      <c r="AG204" s="24"/>
      <c r="AH204" s="23" t="str">
        <f t="shared" si="76"/>
        <v>·</v>
      </c>
      <c r="AI204" s="25"/>
      <c r="AJ204" s="26"/>
      <c r="AK204" s="26"/>
      <c r="AL204" s="26"/>
      <c r="AM204" s="40"/>
      <c r="AN204" s="41"/>
      <c r="AO204" s="41"/>
      <c r="AP204" s="41"/>
      <c r="AQ204" s="41"/>
      <c r="AR204" s="41"/>
      <c r="AS204" s="42"/>
      <c r="AT204" s="50"/>
      <c r="AU204" s="50"/>
      <c r="AW204" s="55" t="e">
        <f t="shared" si="77"/>
        <v>#DIV/0!</v>
      </c>
      <c r="AX204" s="55"/>
      <c r="AZ204" s="56"/>
      <c r="BA204" s="56"/>
      <c r="BB204" s="56"/>
      <c r="BC204" s="56"/>
      <c r="BD204" s="56"/>
      <c r="BE204" s="62"/>
      <c r="BG204" s="56"/>
      <c r="BH204" s="56"/>
      <c r="BI204" s="56"/>
      <c r="BJ204" s="56"/>
      <c r="BK204" s="56"/>
      <c r="BL204" s="62"/>
      <c r="BN204">
        <f t="shared" si="78"/>
        <v>0</v>
      </c>
      <c r="BO204">
        <f t="shared" si="79"/>
        <v>0</v>
      </c>
      <c r="BP204">
        <f t="shared" si="80"/>
        <v>0</v>
      </c>
      <c r="BQ204">
        <f t="shared" si="81"/>
        <v>0</v>
      </c>
      <c r="BR204">
        <f t="shared" si="82"/>
        <v>0</v>
      </c>
      <c r="BS204">
        <f t="shared" si="83"/>
        <v>0</v>
      </c>
      <c r="BT204">
        <f t="shared" si="84"/>
        <v>0</v>
      </c>
      <c r="BU204">
        <f t="shared" si="85"/>
        <v>0</v>
      </c>
      <c r="BV204">
        <f t="shared" si="86"/>
        <v>0</v>
      </c>
      <c r="BW204">
        <f t="shared" si="87"/>
        <v>0</v>
      </c>
      <c r="BX204">
        <f t="shared" si="88"/>
        <v>0</v>
      </c>
    </row>
    <row r="205" spans="1:76" outlineLevel="1" x14ac:dyDescent="0.15">
      <c r="A205" s="5"/>
      <c r="B205" s="5" t="s">
        <v>156</v>
      </c>
      <c r="C205" s="6" t="s">
        <v>256</v>
      </c>
      <c r="D205" s="5">
        <v>72145549</v>
      </c>
      <c r="E205" s="7">
        <v>20</v>
      </c>
      <c r="F205" s="6">
        <v>1</v>
      </c>
      <c r="G205" s="6"/>
      <c r="I205" s="17" t="str">
        <f t="shared" si="67"/>
        <v>·</v>
      </c>
      <c r="J205" s="18" t="str">
        <f t="shared" si="68"/>
        <v>·</v>
      </c>
      <c r="K205" s="18" t="str">
        <f t="shared" si="69"/>
        <v>·</v>
      </c>
      <c r="L205" s="18" t="str">
        <f t="shared" si="70"/>
        <v>·</v>
      </c>
      <c r="M205" s="19"/>
      <c r="N205" s="18" t="str">
        <f t="shared" si="71"/>
        <v>·</v>
      </c>
      <c r="O205" s="20"/>
      <c r="P205" s="21"/>
      <c r="Q205" s="21"/>
      <c r="R205" s="21"/>
      <c r="S205" s="37"/>
      <c r="T205" s="38"/>
      <c r="U205" s="38"/>
      <c r="V205" s="38"/>
      <c r="W205" s="38"/>
      <c r="X205" s="38"/>
      <c r="Y205" s="39"/>
      <c r="Z205" s="49"/>
      <c r="AA205" s="49"/>
      <c r="AC205" s="17" t="str">
        <f t="shared" si="72"/>
        <v>·</v>
      </c>
      <c r="AD205" s="18" t="str">
        <f t="shared" si="73"/>
        <v>·</v>
      </c>
      <c r="AE205" s="18" t="str">
        <f t="shared" si="74"/>
        <v>·</v>
      </c>
      <c r="AF205" s="18" t="str">
        <f t="shared" si="75"/>
        <v>·</v>
      </c>
      <c r="AG205" s="19"/>
      <c r="AH205" s="18" t="str">
        <f t="shared" si="76"/>
        <v>·</v>
      </c>
      <c r="AI205" s="20"/>
      <c r="AJ205" s="21"/>
      <c r="AK205" s="21"/>
      <c r="AL205" s="21"/>
      <c r="AM205" s="37"/>
      <c r="AN205" s="38"/>
      <c r="AO205" s="38"/>
      <c r="AP205" s="38"/>
      <c r="AQ205" s="38"/>
      <c r="AR205" s="38"/>
      <c r="AS205" s="39"/>
      <c r="AT205" s="49"/>
      <c r="AU205" s="49"/>
      <c r="AW205" s="53" t="e">
        <f t="shared" si="77"/>
        <v>#DIV/0!</v>
      </c>
      <c r="AX205" s="53"/>
      <c r="AZ205" s="54"/>
      <c r="BA205" s="54"/>
      <c r="BB205" s="54"/>
      <c r="BC205" s="54"/>
      <c r="BD205" s="54"/>
      <c r="BE205" s="61"/>
      <c r="BG205" s="54"/>
      <c r="BH205" s="54"/>
      <c r="BI205" s="54"/>
      <c r="BJ205" s="54"/>
      <c r="BK205" s="54"/>
      <c r="BL205" s="61"/>
      <c r="BN205">
        <f t="shared" si="78"/>
        <v>0</v>
      </c>
      <c r="BO205">
        <f t="shared" si="79"/>
        <v>0</v>
      </c>
      <c r="BP205">
        <f t="shared" si="80"/>
        <v>0</v>
      </c>
      <c r="BQ205">
        <f t="shared" si="81"/>
        <v>0</v>
      </c>
      <c r="BR205">
        <f t="shared" si="82"/>
        <v>0</v>
      </c>
      <c r="BS205">
        <f t="shared" si="83"/>
        <v>0</v>
      </c>
      <c r="BT205">
        <f t="shared" si="84"/>
        <v>0</v>
      </c>
      <c r="BU205">
        <f t="shared" si="85"/>
        <v>0</v>
      </c>
      <c r="BV205">
        <f t="shared" si="86"/>
        <v>0</v>
      </c>
      <c r="BW205">
        <f t="shared" si="87"/>
        <v>0</v>
      </c>
      <c r="BX205">
        <f t="shared" si="88"/>
        <v>0</v>
      </c>
    </row>
    <row r="206" spans="1:76" outlineLevel="1" x14ac:dyDescent="0.15">
      <c r="A206" s="8"/>
      <c r="B206" s="8" t="s">
        <v>156</v>
      </c>
      <c r="C206" s="9" t="s">
        <v>257</v>
      </c>
      <c r="D206" s="8">
        <v>72145549</v>
      </c>
      <c r="E206" s="10">
        <v>20</v>
      </c>
      <c r="F206" s="9">
        <v>1</v>
      </c>
      <c r="G206" s="9"/>
      <c r="I206" s="22" t="str">
        <f t="shared" si="67"/>
        <v>·</v>
      </c>
      <c r="J206" s="23" t="str">
        <f t="shared" si="68"/>
        <v>·</v>
      </c>
      <c r="K206" s="23" t="str">
        <f t="shared" si="69"/>
        <v>·</v>
      </c>
      <c r="L206" s="23" t="str">
        <f t="shared" si="70"/>
        <v>·</v>
      </c>
      <c r="M206" s="24"/>
      <c r="N206" s="23" t="str">
        <f t="shared" si="71"/>
        <v>·</v>
      </c>
      <c r="O206" s="25"/>
      <c r="P206" s="26"/>
      <c r="Q206" s="26"/>
      <c r="R206" s="26"/>
      <c r="S206" s="40"/>
      <c r="T206" s="41"/>
      <c r="U206" s="41"/>
      <c r="V206" s="41"/>
      <c r="W206" s="41"/>
      <c r="X206" s="41"/>
      <c r="Y206" s="42"/>
      <c r="Z206" s="50"/>
      <c r="AA206" s="50"/>
      <c r="AC206" s="22" t="str">
        <f t="shared" si="72"/>
        <v>·</v>
      </c>
      <c r="AD206" s="23" t="str">
        <f t="shared" si="73"/>
        <v>·</v>
      </c>
      <c r="AE206" s="23" t="str">
        <f t="shared" si="74"/>
        <v>·</v>
      </c>
      <c r="AF206" s="23" t="str">
        <f t="shared" si="75"/>
        <v>·</v>
      </c>
      <c r="AG206" s="24"/>
      <c r="AH206" s="23" t="str">
        <f t="shared" si="76"/>
        <v>·</v>
      </c>
      <c r="AI206" s="25"/>
      <c r="AJ206" s="26"/>
      <c r="AK206" s="26"/>
      <c r="AL206" s="26"/>
      <c r="AM206" s="40"/>
      <c r="AN206" s="41"/>
      <c r="AO206" s="41"/>
      <c r="AP206" s="41"/>
      <c r="AQ206" s="41"/>
      <c r="AR206" s="41"/>
      <c r="AS206" s="42"/>
      <c r="AT206" s="50"/>
      <c r="AU206" s="50"/>
      <c r="AW206" s="55" t="e">
        <f t="shared" si="77"/>
        <v>#DIV/0!</v>
      </c>
      <c r="AX206" s="55"/>
      <c r="AZ206" s="56"/>
      <c r="BA206" s="56"/>
      <c r="BB206" s="56"/>
      <c r="BC206" s="56"/>
      <c r="BD206" s="56"/>
      <c r="BE206" s="62"/>
      <c r="BG206" s="56"/>
      <c r="BH206" s="56"/>
      <c r="BI206" s="56"/>
      <c r="BJ206" s="56"/>
      <c r="BK206" s="56"/>
      <c r="BL206" s="62"/>
      <c r="BN206">
        <f t="shared" si="78"/>
        <v>0</v>
      </c>
      <c r="BO206">
        <f t="shared" si="79"/>
        <v>0</v>
      </c>
      <c r="BP206">
        <f t="shared" si="80"/>
        <v>0</v>
      </c>
      <c r="BQ206">
        <f t="shared" si="81"/>
        <v>0</v>
      </c>
      <c r="BR206">
        <f t="shared" si="82"/>
        <v>0</v>
      </c>
      <c r="BS206">
        <f t="shared" si="83"/>
        <v>0</v>
      </c>
      <c r="BT206">
        <f t="shared" si="84"/>
        <v>0</v>
      </c>
      <c r="BU206">
        <f t="shared" si="85"/>
        <v>0</v>
      </c>
      <c r="BV206">
        <f t="shared" si="86"/>
        <v>0</v>
      </c>
      <c r="BW206">
        <f t="shared" si="87"/>
        <v>0</v>
      </c>
      <c r="BX206">
        <f t="shared" si="88"/>
        <v>0</v>
      </c>
    </row>
    <row r="207" spans="1:76" outlineLevel="1" x14ac:dyDescent="0.15">
      <c r="A207" s="5"/>
      <c r="B207" s="5" t="s">
        <v>156</v>
      </c>
      <c r="C207" s="6" t="s">
        <v>258</v>
      </c>
      <c r="D207" s="5">
        <v>72145549</v>
      </c>
      <c r="E207" s="7">
        <v>20</v>
      </c>
      <c r="F207" s="6">
        <v>1</v>
      </c>
      <c r="G207" s="6"/>
      <c r="I207" s="17" t="str">
        <f t="shared" si="67"/>
        <v>·</v>
      </c>
      <c r="J207" s="18" t="str">
        <f t="shared" si="68"/>
        <v>·</v>
      </c>
      <c r="K207" s="18" t="str">
        <f t="shared" si="69"/>
        <v>·</v>
      </c>
      <c r="L207" s="18" t="str">
        <f t="shared" si="70"/>
        <v>·</v>
      </c>
      <c r="M207" s="19"/>
      <c r="N207" s="18" t="str">
        <f t="shared" si="71"/>
        <v>·</v>
      </c>
      <c r="O207" s="20"/>
      <c r="P207" s="21"/>
      <c r="Q207" s="21"/>
      <c r="R207" s="21"/>
      <c r="S207" s="37"/>
      <c r="T207" s="38"/>
      <c r="U207" s="38"/>
      <c r="V207" s="38"/>
      <c r="W207" s="38"/>
      <c r="X207" s="38"/>
      <c r="Y207" s="39"/>
      <c r="Z207" s="49"/>
      <c r="AA207" s="49"/>
      <c r="AC207" s="17" t="str">
        <f t="shared" si="72"/>
        <v>·</v>
      </c>
      <c r="AD207" s="18" t="str">
        <f t="shared" si="73"/>
        <v>·</v>
      </c>
      <c r="AE207" s="18" t="str">
        <f t="shared" si="74"/>
        <v>·</v>
      </c>
      <c r="AF207" s="18" t="str">
        <f t="shared" si="75"/>
        <v>·</v>
      </c>
      <c r="AG207" s="19"/>
      <c r="AH207" s="18" t="str">
        <f t="shared" si="76"/>
        <v>·</v>
      </c>
      <c r="AI207" s="20"/>
      <c r="AJ207" s="21"/>
      <c r="AK207" s="21"/>
      <c r="AL207" s="21"/>
      <c r="AM207" s="37"/>
      <c r="AN207" s="38"/>
      <c r="AO207" s="38"/>
      <c r="AP207" s="38"/>
      <c r="AQ207" s="38"/>
      <c r="AR207" s="38"/>
      <c r="AS207" s="39"/>
      <c r="AT207" s="49"/>
      <c r="AU207" s="49"/>
      <c r="AW207" s="53" t="e">
        <f t="shared" si="77"/>
        <v>#DIV/0!</v>
      </c>
      <c r="AX207" s="53"/>
      <c r="AZ207" s="54"/>
      <c r="BA207" s="54"/>
      <c r="BB207" s="54"/>
      <c r="BC207" s="54"/>
      <c r="BD207" s="54"/>
      <c r="BE207" s="61"/>
      <c r="BG207" s="54"/>
      <c r="BH207" s="54"/>
      <c r="BI207" s="54"/>
      <c r="BJ207" s="54"/>
      <c r="BK207" s="54"/>
      <c r="BL207" s="61"/>
      <c r="BN207">
        <f t="shared" si="78"/>
        <v>0</v>
      </c>
      <c r="BO207">
        <f t="shared" si="79"/>
        <v>0</v>
      </c>
      <c r="BP207">
        <f t="shared" si="80"/>
        <v>0</v>
      </c>
      <c r="BQ207">
        <f t="shared" si="81"/>
        <v>0</v>
      </c>
      <c r="BR207">
        <f t="shared" si="82"/>
        <v>0</v>
      </c>
      <c r="BS207">
        <f t="shared" si="83"/>
        <v>0</v>
      </c>
      <c r="BT207">
        <f t="shared" si="84"/>
        <v>0</v>
      </c>
      <c r="BU207">
        <f t="shared" si="85"/>
        <v>0</v>
      </c>
      <c r="BV207">
        <f t="shared" si="86"/>
        <v>0</v>
      </c>
      <c r="BW207">
        <f t="shared" si="87"/>
        <v>0</v>
      </c>
      <c r="BX207">
        <f t="shared" si="88"/>
        <v>0</v>
      </c>
    </row>
    <row r="208" spans="1:76" outlineLevel="1" x14ac:dyDescent="0.15">
      <c r="A208" s="8"/>
      <c r="B208" s="14" t="s">
        <v>156</v>
      </c>
      <c r="C208" s="15" t="s">
        <v>259</v>
      </c>
      <c r="D208" s="14">
        <v>72145549</v>
      </c>
      <c r="E208" s="16">
        <v>20</v>
      </c>
      <c r="F208" s="15">
        <v>1</v>
      </c>
      <c r="G208" s="15"/>
      <c r="I208" s="32" t="str">
        <f t="shared" si="67"/>
        <v>·</v>
      </c>
      <c r="J208" s="33" t="str">
        <f t="shared" si="68"/>
        <v>·</v>
      </c>
      <c r="K208" s="33" t="str">
        <f t="shared" si="69"/>
        <v>·</v>
      </c>
      <c r="L208" s="33" t="str">
        <f t="shared" si="70"/>
        <v>·</v>
      </c>
      <c r="M208" s="34"/>
      <c r="N208" s="33" t="str">
        <f t="shared" si="71"/>
        <v>·</v>
      </c>
      <c r="O208" s="35"/>
      <c r="P208" s="36"/>
      <c r="Q208" s="36"/>
      <c r="R208" s="36"/>
      <c r="S208" s="46"/>
      <c r="T208" s="47"/>
      <c r="U208" s="47"/>
      <c r="V208" s="47"/>
      <c r="W208" s="47"/>
      <c r="X208" s="47"/>
      <c r="Y208" s="48"/>
      <c r="Z208" s="52"/>
      <c r="AA208" s="52"/>
      <c r="AC208" s="32" t="str">
        <f t="shared" si="72"/>
        <v>·</v>
      </c>
      <c r="AD208" s="33" t="str">
        <f t="shared" si="73"/>
        <v>·</v>
      </c>
      <c r="AE208" s="33" t="str">
        <f t="shared" si="74"/>
        <v>·</v>
      </c>
      <c r="AF208" s="33" t="str">
        <f t="shared" si="75"/>
        <v>·</v>
      </c>
      <c r="AG208" s="34"/>
      <c r="AH208" s="33" t="str">
        <f t="shared" si="76"/>
        <v>·</v>
      </c>
      <c r="AI208" s="35"/>
      <c r="AJ208" s="36"/>
      <c r="AK208" s="36"/>
      <c r="AL208" s="36"/>
      <c r="AM208" s="46"/>
      <c r="AN208" s="47"/>
      <c r="AO208" s="47"/>
      <c r="AP208" s="47"/>
      <c r="AQ208" s="47"/>
      <c r="AR208" s="47"/>
      <c r="AS208" s="48"/>
      <c r="AT208" s="52"/>
      <c r="AU208" s="52"/>
      <c r="AW208" s="59" t="e">
        <f t="shared" si="77"/>
        <v>#DIV/0!</v>
      </c>
      <c r="AX208" s="59"/>
      <c r="AZ208" s="60"/>
      <c r="BA208" s="60"/>
      <c r="BB208" s="60"/>
      <c r="BC208" s="60"/>
      <c r="BD208" s="60"/>
      <c r="BE208" s="64"/>
      <c r="BG208" s="60"/>
      <c r="BH208" s="60"/>
      <c r="BI208" s="60"/>
      <c r="BJ208" s="60"/>
      <c r="BK208" s="60"/>
      <c r="BL208" s="64"/>
      <c r="BN208">
        <f t="shared" si="78"/>
        <v>0</v>
      </c>
      <c r="BO208">
        <f t="shared" si="79"/>
        <v>0</v>
      </c>
      <c r="BP208">
        <f t="shared" si="80"/>
        <v>0</v>
      </c>
      <c r="BQ208">
        <f t="shared" si="81"/>
        <v>0</v>
      </c>
      <c r="BR208">
        <f t="shared" si="82"/>
        <v>0</v>
      </c>
      <c r="BS208">
        <f t="shared" si="83"/>
        <v>0</v>
      </c>
      <c r="BT208">
        <f t="shared" si="84"/>
        <v>0</v>
      </c>
      <c r="BU208">
        <f t="shared" si="85"/>
        <v>0</v>
      </c>
      <c r="BV208">
        <f t="shared" si="86"/>
        <v>0</v>
      </c>
      <c r="BW208">
        <f t="shared" si="87"/>
        <v>0</v>
      </c>
      <c r="BX208">
        <f t="shared" si="88"/>
        <v>0</v>
      </c>
    </row>
    <row r="209" spans="1:76" x14ac:dyDescent="0.15">
      <c r="A209" s="5"/>
      <c r="B209" s="5" t="s">
        <v>159</v>
      </c>
      <c r="C209" s="6" t="s">
        <v>254</v>
      </c>
      <c r="D209" s="5">
        <v>4187594</v>
      </c>
      <c r="E209" s="7">
        <v>14</v>
      </c>
      <c r="F209" s="6">
        <v>1</v>
      </c>
      <c r="G209" s="6"/>
      <c r="I209" s="17" t="str">
        <f t="shared" si="67"/>
        <v>·</v>
      </c>
      <c r="J209" s="18" t="str">
        <f t="shared" si="68"/>
        <v>·</v>
      </c>
      <c r="K209" s="18" t="str">
        <f t="shared" si="69"/>
        <v>·</v>
      </c>
      <c r="L209" s="18" t="str">
        <f t="shared" si="70"/>
        <v>·</v>
      </c>
      <c r="M209" s="19"/>
      <c r="N209" s="18" t="str">
        <f t="shared" si="71"/>
        <v>·</v>
      </c>
      <c r="O209" s="20"/>
      <c r="P209" s="21"/>
      <c r="Q209" s="21"/>
      <c r="R209" s="21"/>
      <c r="S209" s="37"/>
      <c r="T209" s="38"/>
      <c r="U209" s="38"/>
      <c r="V209" s="38"/>
      <c r="W209" s="38"/>
      <c r="X209" s="38"/>
      <c r="Y209" s="39"/>
      <c r="Z209" s="49"/>
      <c r="AA209" s="49"/>
      <c r="AC209" s="17" t="str">
        <f t="shared" si="72"/>
        <v>·</v>
      </c>
      <c r="AD209" s="18" t="str">
        <f t="shared" si="73"/>
        <v>·</v>
      </c>
      <c r="AE209" s="18" t="str">
        <f t="shared" si="74"/>
        <v>·</v>
      </c>
      <c r="AF209" s="18" t="str">
        <f t="shared" si="75"/>
        <v>·</v>
      </c>
      <c r="AG209" s="19"/>
      <c r="AH209" s="18" t="str">
        <f t="shared" si="76"/>
        <v>·</v>
      </c>
      <c r="AI209" s="20"/>
      <c r="AJ209" s="21"/>
      <c r="AK209" s="21"/>
      <c r="AL209" s="21"/>
      <c r="AM209" s="37"/>
      <c r="AN209" s="38"/>
      <c r="AO209" s="38"/>
      <c r="AP209" s="38"/>
      <c r="AQ209" s="38"/>
      <c r="AR209" s="38"/>
      <c r="AS209" s="39"/>
      <c r="AT209" s="49"/>
      <c r="AU209" s="49"/>
      <c r="AW209" s="53" t="e">
        <f t="shared" si="77"/>
        <v>#DIV/0!</v>
      </c>
      <c r="AX209" s="53" t="e">
        <f t="array" ref="AX209">AVERAGE(AK209:AK214/AJ209:AJ214)-AVERAGE(Q209:Q214/P209:P214)</f>
        <v>#DIV/0!</v>
      </c>
      <c r="AZ209" s="54" t="str">
        <f>IF(OR(ISBLANK(Q209:Q214),ISBLANK(AK209:AK214),ISBLANK(T209:T214),ISBLANK(AN209:AN214)),"·",bdRateExtend(Q209:Q214,T209:T214,AK209:AK214,AN209:AN214))</f>
        <v>·</v>
      </c>
      <c r="BA209" s="54" t="str">
        <f>IF(OR(ISBLANK(Q209:Q214),ISBLANK(AK209:AK214),ISBLANK(U209:U214),ISBLANK(AO209:AO214)),"·",bdRateExtend(Q209:Q214,U209:U214,AK209:AK214,AO209:AO214))</f>
        <v>·</v>
      </c>
      <c r="BB209" s="54" t="str">
        <f>IF(OR(ISBLANK(R209:R214),ISBLANK(AL209:AL214),ISBLANK(V209:V214),ISBLANK(AP209:AP214)),"·",bdRateExtend(R209:R214,V209:V214,AL209:AL214,AP209:AP214))</f>
        <v>·</v>
      </c>
      <c r="BC209" s="54" t="str">
        <f>IF(OR(ISBLANK(R209:R214),ISBLANK(AL209:AL214),ISBLANK(W209:W214),ISBLANK(AQ209:AQ214)),"·",bdRateExtend(R209:R214,W209:W214,AL209:AL214,AQ209:AQ214))</f>
        <v>·</v>
      </c>
      <c r="BD209" s="54" t="str">
        <f>IF(OR(ISBLANK(R209:R214),ISBLANK(AL209:AL214),ISBLANK(X209:X214),ISBLANK(AR209:AR214)),"·",bdRateExtend(R209:R214,X209:X214,AL209:AL214,AR209:AR214))</f>
        <v>·</v>
      </c>
      <c r="BE209" s="61"/>
      <c r="BG209" s="54" t="str">
        <f>IF(OR(ISBLANK(P209:P214),ISBLANK(AJ209:AJ214),ISBLANK(T209:T214),ISBLANK(AN209:AN214)),"·",bdRateExtend(P209:P214,T209:T214,AJ209:AJ214,AN209:AN214))</f>
        <v>·</v>
      </c>
      <c r="BH209" s="54" t="str">
        <f>IF(OR(ISBLANK(P209:P214),ISBLANK(AJ209:AJ214),ISBLANK(U209:U214),ISBLANK(AO209:AO214)),"·",bdRateExtend(P209:P214,U209:U214,AJ209:AJ214,AO209:AO214))</f>
        <v>·</v>
      </c>
      <c r="BI209" s="54" t="str">
        <f>IF(OR(ISBLANK(P209:P214),ISBLANK(AJ209:AJ214),ISBLANK(V209:V214),ISBLANK(AP209:AP214)),"·",bdRateExtend(P209:P214,V209:V214,AJ209:AJ214,AP209:AP214))</f>
        <v>·</v>
      </c>
      <c r="BJ209" s="54" t="str">
        <f>IF(OR(ISBLANK(P209:P214),ISBLANK(AJ209:AJ214),ISBLANK(W209:W214),ISBLANK(AQ209:AQ214)),"·",bdRateExtend(P209:P214,W209:W214,AJ209:AJ214,AQ209:AQ214))</f>
        <v>·</v>
      </c>
      <c r="BK209" s="54" t="str">
        <f>IF(OR(ISBLANK(P209:P214),ISBLANK(AJ209:AJ214),ISBLANK(X209:X214),ISBLANK(AR209:AR214)),"·",bdRateExtend(P209:P214,X209:X214,AJ209:AJ214,AR209:AR214))</f>
        <v>·</v>
      </c>
      <c r="BL209" s="61"/>
      <c r="BN209">
        <f t="shared" si="78"/>
        <v>0</v>
      </c>
      <c r="BO209">
        <f t="shared" si="79"/>
        <v>0</v>
      </c>
      <c r="BP209">
        <f t="shared" si="80"/>
        <v>0</v>
      </c>
      <c r="BQ209">
        <f t="shared" si="81"/>
        <v>0</v>
      </c>
      <c r="BR209">
        <f t="shared" si="82"/>
        <v>0</v>
      </c>
      <c r="BS209">
        <f t="shared" si="83"/>
        <v>0</v>
      </c>
      <c r="BT209">
        <f t="shared" si="84"/>
        <v>0</v>
      </c>
      <c r="BU209">
        <f t="shared" si="85"/>
        <v>0</v>
      </c>
      <c r="BV209">
        <f t="shared" si="86"/>
        <v>0</v>
      </c>
      <c r="BW209">
        <f t="shared" si="87"/>
        <v>0</v>
      </c>
      <c r="BX209">
        <f t="shared" si="88"/>
        <v>0</v>
      </c>
    </row>
    <row r="210" spans="1:76" outlineLevel="1" x14ac:dyDescent="0.15">
      <c r="A210" s="8"/>
      <c r="B210" s="8" t="s">
        <v>159</v>
      </c>
      <c r="C210" s="9" t="s">
        <v>255</v>
      </c>
      <c r="D210" s="8">
        <v>4187594</v>
      </c>
      <c r="E210" s="10">
        <v>14</v>
      </c>
      <c r="F210" s="9">
        <v>1</v>
      </c>
      <c r="G210" s="9"/>
      <c r="I210" s="22" t="str">
        <f t="shared" si="67"/>
        <v>·</v>
      </c>
      <c r="J210" s="23" t="str">
        <f t="shared" si="68"/>
        <v>·</v>
      </c>
      <c r="K210" s="23" t="str">
        <f t="shared" si="69"/>
        <v>·</v>
      </c>
      <c r="L210" s="23" t="str">
        <f t="shared" si="70"/>
        <v>·</v>
      </c>
      <c r="M210" s="24"/>
      <c r="N210" s="23" t="str">
        <f t="shared" si="71"/>
        <v>·</v>
      </c>
      <c r="O210" s="25"/>
      <c r="P210" s="26"/>
      <c r="Q210" s="26"/>
      <c r="R210" s="26"/>
      <c r="S210" s="40"/>
      <c r="T210" s="41"/>
      <c r="U210" s="41"/>
      <c r="V210" s="41"/>
      <c r="W210" s="41"/>
      <c r="X210" s="41"/>
      <c r="Y210" s="42"/>
      <c r="Z210" s="50"/>
      <c r="AA210" s="50"/>
      <c r="AC210" s="22" t="str">
        <f t="shared" si="72"/>
        <v>·</v>
      </c>
      <c r="AD210" s="23" t="str">
        <f t="shared" si="73"/>
        <v>·</v>
      </c>
      <c r="AE210" s="23" t="str">
        <f t="shared" si="74"/>
        <v>·</v>
      </c>
      <c r="AF210" s="23" t="str">
        <f t="shared" si="75"/>
        <v>·</v>
      </c>
      <c r="AG210" s="24"/>
      <c r="AH210" s="23" t="str">
        <f t="shared" si="76"/>
        <v>·</v>
      </c>
      <c r="AI210" s="25"/>
      <c r="AJ210" s="26"/>
      <c r="AK210" s="26"/>
      <c r="AL210" s="26"/>
      <c r="AM210" s="40"/>
      <c r="AN210" s="41"/>
      <c r="AO210" s="41"/>
      <c r="AP210" s="41"/>
      <c r="AQ210" s="41"/>
      <c r="AR210" s="41"/>
      <c r="AS210" s="42"/>
      <c r="AT210" s="50"/>
      <c r="AU210" s="50"/>
      <c r="AW210" s="55" t="e">
        <f t="shared" si="77"/>
        <v>#DIV/0!</v>
      </c>
      <c r="AX210" s="55"/>
      <c r="AZ210" s="56"/>
      <c r="BA210" s="56"/>
      <c r="BB210" s="56"/>
      <c r="BC210" s="56"/>
      <c r="BD210" s="56"/>
      <c r="BE210" s="62"/>
      <c r="BG210" s="56"/>
      <c r="BH210" s="56"/>
      <c r="BI210" s="56"/>
      <c r="BJ210" s="56"/>
      <c r="BK210" s="56"/>
      <c r="BL210" s="62"/>
      <c r="BN210">
        <f t="shared" si="78"/>
        <v>0</v>
      </c>
      <c r="BO210">
        <f t="shared" si="79"/>
        <v>0</v>
      </c>
      <c r="BP210">
        <f t="shared" si="80"/>
        <v>0</v>
      </c>
      <c r="BQ210">
        <f t="shared" si="81"/>
        <v>0</v>
      </c>
      <c r="BR210">
        <f t="shared" si="82"/>
        <v>0</v>
      </c>
      <c r="BS210">
        <f t="shared" si="83"/>
        <v>0</v>
      </c>
      <c r="BT210">
        <f t="shared" si="84"/>
        <v>0</v>
      </c>
      <c r="BU210">
        <f t="shared" si="85"/>
        <v>0</v>
      </c>
      <c r="BV210">
        <f t="shared" si="86"/>
        <v>0</v>
      </c>
      <c r="BW210">
        <f t="shared" si="87"/>
        <v>0</v>
      </c>
      <c r="BX210">
        <f t="shared" si="88"/>
        <v>0</v>
      </c>
    </row>
    <row r="211" spans="1:76" outlineLevel="1" x14ac:dyDescent="0.15">
      <c r="A211" s="5"/>
      <c r="B211" s="5" t="s">
        <v>159</v>
      </c>
      <c r="C211" s="6" t="s">
        <v>256</v>
      </c>
      <c r="D211" s="5">
        <v>4187594</v>
      </c>
      <c r="E211" s="7">
        <v>14</v>
      </c>
      <c r="F211" s="6">
        <v>1</v>
      </c>
      <c r="G211" s="6"/>
      <c r="I211" s="17" t="str">
        <f t="shared" si="67"/>
        <v>·</v>
      </c>
      <c r="J211" s="18" t="str">
        <f t="shared" si="68"/>
        <v>·</v>
      </c>
      <c r="K211" s="18" t="str">
        <f t="shared" si="69"/>
        <v>·</v>
      </c>
      <c r="L211" s="18" t="str">
        <f t="shared" si="70"/>
        <v>·</v>
      </c>
      <c r="M211" s="19"/>
      <c r="N211" s="18" t="str">
        <f t="shared" si="71"/>
        <v>·</v>
      </c>
      <c r="O211" s="20"/>
      <c r="P211" s="21"/>
      <c r="Q211" s="21"/>
      <c r="R211" s="21"/>
      <c r="S211" s="37"/>
      <c r="T211" s="38"/>
      <c r="U211" s="38"/>
      <c r="V211" s="38"/>
      <c r="W211" s="38"/>
      <c r="X211" s="38"/>
      <c r="Y211" s="39"/>
      <c r="Z211" s="49"/>
      <c r="AA211" s="49"/>
      <c r="AC211" s="17" t="str">
        <f t="shared" si="72"/>
        <v>·</v>
      </c>
      <c r="AD211" s="18" t="str">
        <f t="shared" si="73"/>
        <v>·</v>
      </c>
      <c r="AE211" s="18" t="str">
        <f t="shared" si="74"/>
        <v>·</v>
      </c>
      <c r="AF211" s="18" t="str">
        <f t="shared" si="75"/>
        <v>·</v>
      </c>
      <c r="AG211" s="19"/>
      <c r="AH211" s="18" t="str">
        <f t="shared" si="76"/>
        <v>·</v>
      </c>
      <c r="AI211" s="20"/>
      <c r="AJ211" s="21"/>
      <c r="AK211" s="21"/>
      <c r="AL211" s="21"/>
      <c r="AM211" s="37"/>
      <c r="AN211" s="38"/>
      <c r="AO211" s="38"/>
      <c r="AP211" s="38"/>
      <c r="AQ211" s="38"/>
      <c r="AR211" s="38"/>
      <c r="AS211" s="39"/>
      <c r="AT211" s="49"/>
      <c r="AU211" s="49"/>
      <c r="AW211" s="53" t="e">
        <f t="shared" si="77"/>
        <v>#DIV/0!</v>
      </c>
      <c r="AX211" s="53"/>
      <c r="AZ211" s="54"/>
      <c r="BA211" s="54"/>
      <c r="BB211" s="54"/>
      <c r="BC211" s="54"/>
      <c r="BD211" s="54"/>
      <c r="BE211" s="61"/>
      <c r="BG211" s="54"/>
      <c r="BH211" s="54"/>
      <c r="BI211" s="54"/>
      <c r="BJ211" s="54"/>
      <c r="BK211" s="54"/>
      <c r="BL211" s="61"/>
      <c r="BN211">
        <f t="shared" si="78"/>
        <v>0</v>
      </c>
      <c r="BO211">
        <f t="shared" si="79"/>
        <v>0</v>
      </c>
      <c r="BP211">
        <f t="shared" si="80"/>
        <v>0</v>
      </c>
      <c r="BQ211">
        <f t="shared" si="81"/>
        <v>0</v>
      </c>
      <c r="BR211">
        <f t="shared" si="82"/>
        <v>0</v>
      </c>
      <c r="BS211">
        <f t="shared" si="83"/>
        <v>0</v>
      </c>
      <c r="BT211">
        <f t="shared" si="84"/>
        <v>0</v>
      </c>
      <c r="BU211">
        <f t="shared" si="85"/>
        <v>0</v>
      </c>
      <c r="BV211">
        <f t="shared" si="86"/>
        <v>0</v>
      </c>
      <c r="BW211">
        <f t="shared" si="87"/>
        <v>0</v>
      </c>
      <c r="BX211">
        <f t="shared" si="88"/>
        <v>0</v>
      </c>
    </row>
    <row r="212" spans="1:76" outlineLevel="1" x14ac:dyDescent="0.15">
      <c r="A212" s="8"/>
      <c r="B212" s="8" t="s">
        <v>159</v>
      </c>
      <c r="C212" s="9" t="s">
        <v>257</v>
      </c>
      <c r="D212" s="8">
        <v>4187594</v>
      </c>
      <c r="E212" s="10">
        <v>14</v>
      </c>
      <c r="F212" s="9">
        <v>1</v>
      </c>
      <c r="G212" s="9"/>
      <c r="I212" s="22" t="str">
        <f t="shared" si="67"/>
        <v>·</v>
      </c>
      <c r="J212" s="23" t="str">
        <f t="shared" si="68"/>
        <v>·</v>
      </c>
      <c r="K212" s="23" t="str">
        <f t="shared" si="69"/>
        <v>·</v>
      </c>
      <c r="L212" s="23" t="str">
        <f t="shared" si="70"/>
        <v>·</v>
      </c>
      <c r="M212" s="24"/>
      <c r="N212" s="23" t="str">
        <f t="shared" si="71"/>
        <v>·</v>
      </c>
      <c r="O212" s="25"/>
      <c r="P212" s="26"/>
      <c r="Q212" s="26"/>
      <c r="R212" s="26"/>
      <c r="S212" s="40"/>
      <c r="T212" s="41"/>
      <c r="U212" s="41"/>
      <c r="V212" s="41"/>
      <c r="W212" s="41"/>
      <c r="X212" s="41"/>
      <c r="Y212" s="42"/>
      <c r="Z212" s="50"/>
      <c r="AA212" s="50"/>
      <c r="AC212" s="22" t="str">
        <f t="shared" si="72"/>
        <v>·</v>
      </c>
      <c r="AD212" s="23" t="str">
        <f t="shared" si="73"/>
        <v>·</v>
      </c>
      <c r="AE212" s="23" t="str">
        <f t="shared" si="74"/>
        <v>·</v>
      </c>
      <c r="AF212" s="23" t="str">
        <f t="shared" si="75"/>
        <v>·</v>
      </c>
      <c r="AG212" s="24"/>
      <c r="AH212" s="23" t="str">
        <f t="shared" si="76"/>
        <v>·</v>
      </c>
      <c r="AI212" s="25"/>
      <c r="AJ212" s="26"/>
      <c r="AK212" s="26"/>
      <c r="AL212" s="26"/>
      <c r="AM212" s="40"/>
      <c r="AN212" s="41"/>
      <c r="AO212" s="41"/>
      <c r="AP212" s="41"/>
      <c r="AQ212" s="41"/>
      <c r="AR212" s="41"/>
      <c r="AS212" s="42"/>
      <c r="AT212" s="50"/>
      <c r="AU212" s="50"/>
      <c r="AW212" s="55" t="e">
        <f t="shared" si="77"/>
        <v>#DIV/0!</v>
      </c>
      <c r="AX212" s="55"/>
      <c r="AZ212" s="56"/>
      <c r="BA212" s="56"/>
      <c r="BB212" s="56"/>
      <c r="BC212" s="56"/>
      <c r="BD212" s="56"/>
      <c r="BE212" s="62"/>
      <c r="BG212" s="56"/>
      <c r="BH212" s="56"/>
      <c r="BI212" s="56"/>
      <c r="BJ212" s="56"/>
      <c r="BK212" s="56"/>
      <c r="BL212" s="62"/>
      <c r="BN212">
        <f t="shared" si="78"/>
        <v>0</v>
      </c>
      <c r="BO212">
        <f t="shared" si="79"/>
        <v>0</v>
      </c>
      <c r="BP212">
        <f t="shared" si="80"/>
        <v>0</v>
      </c>
      <c r="BQ212">
        <f t="shared" si="81"/>
        <v>0</v>
      </c>
      <c r="BR212">
        <f t="shared" si="82"/>
        <v>0</v>
      </c>
      <c r="BS212">
        <f t="shared" si="83"/>
        <v>0</v>
      </c>
      <c r="BT212">
        <f t="shared" si="84"/>
        <v>0</v>
      </c>
      <c r="BU212">
        <f t="shared" si="85"/>
        <v>0</v>
      </c>
      <c r="BV212">
        <f t="shared" si="86"/>
        <v>0</v>
      </c>
      <c r="BW212">
        <f t="shared" si="87"/>
        <v>0</v>
      </c>
      <c r="BX212">
        <f t="shared" si="88"/>
        <v>0</v>
      </c>
    </row>
    <row r="213" spans="1:76" outlineLevel="1" x14ac:dyDescent="0.15">
      <c r="A213" s="5"/>
      <c r="B213" s="5" t="s">
        <v>159</v>
      </c>
      <c r="C213" s="6" t="s">
        <v>258</v>
      </c>
      <c r="D213" s="5">
        <v>4187594</v>
      </c>
      <c r="E213" s="7">
        <v>14</v>
      </c>
      <c r="F213" s="6">
        <v>1</v>
      </c>
      <c r="G213" s="6"/>
      <c r="I213" s="17" t="str">
        <f t="shared" si="67"/>
        <v>·</v>
      </c>
      <c r="J213" s="18" t="str">
        <f t="shared" si="68"/>
        <v>·</v>
      </c>
      <c r="K213" s="18" t="str">
        <f t="shared" si="69"/>
        <v>·</v>
      </c>
      <c r="L213" s="18" t="str">
        <f t="shared" si="70"/>
        <v>·</v>
      </c>
      <c r="M213" s="19"/>
      <c r="N213" s="18" t="str">
        <f t="shared" si="71"/>
        <v>·</v>
      </c>
      <c r="O213" s="20"/>
      <c r="P213" s="21"/>
      <c r="Q213" s="21"/>
      <c r="R213" s="21"/>
      <c r="S213" s="37"/>
      <c r="T213" s="38"/>
      <c r="U213" s="38"/>
      <c r="V213" s="38"/>
      <c r="W213" s="38"/>
      <c r="X213" s="38"/>
      <c r="Y213" s="39"/>
      <c r="Z213" s="49"/>
      <c r="AA213" s="49"/>
      <c r="AC213" s="17" t="str">
        <f t="shared" si="72"/>
        <v>·</v>
      </c>
      <c r="AD213" s="18" t="str">
        <f t="shared" si="73"/>
        <v>·</v>
      </c>
      <c r="AE213" s="18" t="str">
        <f t="shared" si="74"/>
        <v>·</v>
      </c>
      <c r="AF213" s="18" t="str">
        <f t="shared" si="75"/>
        <v>·</v>
      </c>
      <c r="AG213" s="19"/>
      <c r="AH213" s="18" t="str">
        <f t="shared" si="76"/>
        <v>·</v>
      </c>
      <c r="AI213" s="20"/>
      <c r="AJ213" s="21"/>
      <c r="AK213" s="21"/>
      <c r="AL213" s="21"/>
      <c r="AM213" s="37"/>
      <c r="AN213" s="38"/>
      <c r="AO213" s="38"/>
      <c r="AP213" s="38"/>
      <c r="AQ213" s="38"/>
      <c r="AR213" s="38"/>
      <c r="AS213" s="39"/>
      <c r="AT213" s="49"/>
      <c r="AU213" s="49"/>
      <c r="AW213" s="53" t="e">
        <f t="shared" si="77"/>
        <v>#DIV/0!</v>
      </c>
      <c r="AX213" s="53"/>
      <c r="AZ213" s="54"/>
      <c r="BA213" s="54"/>
      <c r="BB213" s="54"/>
      <c r="BC213" s="54"/>
      <c r="BD213" s="54"/>
      <c r="BE213" s="61"/>
      <c r="BG213" s="54"/>
      <c r="BH213" s="54"/>
      <c r="BI213" s="54"/>
      <c r="BJ213" s="54"/>
      <c r="BK213" s="54"/>
      <c r="BL213" s="61"/>
      <c r="BN213">
        <f t="shared" si="78"/>
        <v>0</v>
      </c>
      <c r="BO213">
        <f t="shared" si="79"/>
        <v>0</v>
      </c>
      <c r="BP213">
        <f t="shared" si="80"/>
        <v>0</v>
      </c>
      <c r="BQ213">
        <f t="shared" si="81"/>
        <v>0</v>
      </c>
      <c r="BR213">
        <f t="shared" si="82"/>
        <v>0</v>
      </c>
      <c r="BS213">
        <f t="shared" si="83"/>
        <v>0</v>
      </c>
      <c r="BT213">
        <f t="shared" si="84"/>
        <v>0</v>
      </c>
      <c r="BU213">
        <f t="shared" si="85"/>
        <v>0</v>
      </c>
      <c r="BV213">
        <f t="shared" si="86"/>
        <v>0</v>
      </c>
      <c r="BW213">
        <f t="shared" si="87"/>
        <v>0</v>
      </c>
      <c r="BX213">
        <f t="shared" si="88"/>
        <v>0</v>
      </c>
    </row>
    <row r="214" spans="1:76" outlineLevel="1" x14ac:dyDescent="0.15">
      <c r="A214" s="8"/>
      <c r="B214" s="14" t="s">
        <v>159</v>
      </c>
      <c r="C214" s="15" t="s">
        <v>259</v>
      </c>
      <c r="D214" s="14">
        <v>4187594</v>
      </c>
      <c r="E214" s="16">
        <v>14</v>
      </c>
      <c r="F214" s="15">
        <v>1</v>
      </c>
      <c r="G214" s="15"/>
      <c r="I214" s="32" t="str">
        <f t="shared" si="67"/>
        <v>·</v>
      </c>
      <c r="J214" s="33" t="str">
        <f t="shared" si="68"/>
        <v>·</v>
      </c>
      <c r="K214" s="33" t="str">
        <f t="shared" si="69"/>
        <v>·</v>
      </c>
      <c r="L214" s="33" t="str">
        <f t="shared" si="70"/>
        <v>·</v>
      </c>
      <c r="M214" s="34"/>
      <c r="N214" s="33" t="str">
        <f t="shared" si="71"/>
        <v>·</v>
      </c>
      <c r="O214" s="35"/>
      <c r="P214" s="36"/>
      <c r="Q214" s="36"/>
      <c r="R214" s="36"/>
      <c r="S214" s="46"/>
      <c r="T214" s="47"/>
      <c r="U214" s="47"/>
      <c r="V214" s="47"/>
      <c r="W214" s="47"/>
      <c r="X214" s="47"/>
      <c r="Y214" s="48"/>
      <c r="Z214" s="52"/>
      <c r="AA214" s="52"/>
      <c r="AC214" s="32" t="str">
        <f t="shared" si="72"/>
        <v>·</v>
      </c>
      <c r="AD214" s="33" t="str">
        <f t="shared" si="73"/>
        <v>·</v>
      </c>
      <c r="AE214" s="33" t="str">
        <f t="shared" si="74"/>
        <v>·</v>
      </c>
      <c r="AF214" s="33" t="str">
        <f t="shared" si="75"/>
        <v>·</v>
      </c>
      <c r="AG214" s="34"/>
      <c r="AH214" s="33" t="str">
        <f t="shared" si="76"/>
        <v>·</v>
      </c>
      <c r="AI214" s="35"/>
      <c r="AJ214" s="36"/>
      <c r="AK214" s="36"/>
      <c r="AL214" s="36"/>
      <c r="AM214" s="46"/>
      <c r="AN214" s="47"/>
      <c r="AO214" s="47"/>
      <c r="AP214" s="47"/>
      <c r="AQ214" s="47"/>
      <c r="AR214" s="47"/>
      <c r="AS214" s="48"/>
      <c r="AT214" s="52"/>
      <c r="AU214" s="52"/>
      <c r="AW214" s="59" t="e">
        <f t="shared" si="77"/>
        <v>#DIV/0!</v>
      </c>
      <c r="AX214" s="59"/>
      <c r="AZ214" s="60"/>
      <c r="BA214" s="60"/>
      <c r="BB214" s="60"/>
      <c r="BC214" s="60"/>
      <c r="BD214" s="60"/>
      <c r="BE214" s="64"/>
      <c r="BG214" s="60"/>
      <c r="BH214" s="60"/>
      <c r="BI214" s="60"/>
      <c r="BJ214" s="60"/>
      <c r="BK214" s="60"/>
      <c r="BL214" s="64"/>
      <c r="BN214">
        <f t="shared" si="78"/>
        <v>0</v>
      </c>
      <c r="BO214">
        <f t="shared" si="79"/>
        <v>0</v>
      </c>
      <c r="BP214">
        <f t="shared" si="80"/>
        <v>0</v>
      </c>
      <c r="BQ214">
        <f t="shared" si="81"/>
        <v>0</v>
      </c>
      <c r="BR214">
        <f t="shared" si="82"/>
        <v>0</v>
      </c>
      <c r="BS214">
        <f t="shared" si="83"/>
        <v>0</v>
      </c>
      <c r="BT214">
        <f t="shared" si="84"/>
        <v>0</v>
      </c>
      <c r="BU214">
        <f t="shared" si="85"/>
        <v>0</v>
      </c>
      <c r="BV214">
        <f t="shared" si="86"/>
        <v>0</v>
      </c>
      <c r="BW214">
        <f t="shared" si="87"/>
        <v>0</v>
      </c>
      <c r="BX214">
        <f t="shared" si="88"/>
        <v>0</v>
      </c>
    </row>
    <row r="215" spans="1:76" x14ac:dyDescent="0.15">
      <c r="A215" s="5"/>
      <c r="B215" s="5" t="s">
        <v>161</v>
      </c>
      <c r="C215" s="6" t="s">
        <v>254</v>
      </c>
      <c r="D215" s="5">
        <v>4203962</v>
      </c>
      <c r="E215" s="7">
        <v>20</v>
      </c>
      <c r="F215" s="6">
        <v>1</v>
      </c>
      <c r="G215" s="6"/>
      <c r="I215" s="17" t="str">
        <f t="shared" si="67"/>
        <v>·</v>
      </c>
      <c r="J215" s="18" t="str">
        <f t="shared" si="68"/>
        <v>·</v>
      </c>
      <c r="K215" s="18" t="str">
        <f t="shared" si="69"/>
        <v>·</v>
      </c>
      <c r="L215" s="18" t="str">
        <f t="shared" si="70"/>
        <v>·</v>
      </c>
      <c r="M215" s="19"/>
      <c r="N215" s="18" t="str">
        <f t="shared" si="71"/>
        <v>·</v>
      </c>
      <c r="O215" s="20"/>
      <c r="P215" s="21"/>
      <c r="Q215" s="21"/>
      <c r="R215" s="21"/>
      <c r="S215" s="37"/>
      <c r="T215" s="38"/>
      <c r="U215" s="38"/>
      <c r="V215" s="38"/>
      <c r="W215" s="38"/>
      <c r="X215" s="38"/>
      <c r="Y215" s="39"/>
      <c r="Z215" s="49"/>
      <c r="AA215" s="49"/>
      <c r="AC215" s="17" t="str">
        <f t="shared" si="72"/>
        <v>·</v>
      </c>
      <c r="AD215" s="18" t="str">
        <f t="shared" si="73"/>
        <v>·</v>
      </c>
      <c r="AE215" s="18" t="str">
        <f t="shared" si="74"/>
        <v>·</v>
      </c>
      <c r="AF215" s="18" t="str">
        <f t="shared" si="75"/>
        <v>·</v>
      </c>
      <c r="AG215" s="19"/>
      <c r="AH215" s="18" t="str">
        <f t="shared" si="76"/>
        <v>·</v>
      </c>
      <c r="AI215" s="20"/>
      <c r="AJ215" s="21"/>
      <c r="AK215" s="21"/>
      <c r="AL215" s="21"/>
      <c r="AM215" s="37"/>
      <c r="AN215" s="38"/>
      <c r="AO215" s="38"/>
      <c r="AP215" s="38"/>
      <c r="AQ215" s="38"/>
      <c r="AR215" s="38"/>
      <c r="AS215" s="39"/>
      <c r="AT215" s="49"/>
      <c r="AU215" s="49"/>
      <c r="AW215" s="53" t="e">
        <f t="shared" si="77"/>
        <v>#DIV/0!</v>
      </c>
      <c r="AX215" s="53" t="e">
        <f t="array" ref="AX215">AVERAGE(AK215:AK220/AJ215:AJ220)-AVERAGE(Q215:Q220/P215:P220)</f>
        <v>#DIV/0!</v>
      </c>
      <c r="AZ215" s="54" t="str">
        <f>IF(OR(ISBLANK(Q215:Q220),ISBLANK(AK215:AK220),ISBLANK(T215:T220),ISBLANK(AN215:AN220)),"·",bdRateExtend(Q215:Q220,T215:T220,AK215:AK220,AN215:AN220))</f>
        <v>·</v>
      </c>
      <c r="BA215" s="54" t="str">
        <f>IF(OR(ISBLANK(Q215:Q220),ISBLANK(AK215:AK220),ISBLANK(U215:U220),ISBLANK(AO215:AO220)),"·",bdRateExtend(Q215:Q220,U215:U220,AK215:AK220,AO215:AO220))</f>
        <v>·</v>
      </c>
      <c r="BB215" s="54" t="str">
        <f>IF(OR(ISBLANK(R215:R220),ISBLANK(AL215:AL220),ISBLANK(V215:V220),ISBLANK(AP215:AP220)),"·",bdRateExtend(R215:R220,V215:V220,AL215:AL220,AP215:AP220))</f>
        <v>·</v>
      </c>
      <c r="BC215" s="54" t="str">
        <f>IF(OR(ISBLANK(R215:R220),ISBLANK(AL215:AL220),ISBLANK(W215:W220),ISBLANK(AQ215:AQ220)),"·",bdRateExtend(R215:R220,W215:W220,AL215:AL220,AQ215:AQ220))</f>
        <v>·</v>
      </c>
      <c r="BD215" s="54" t="str">
        <f>IF(OR(ISBLANK(R215:R220),ISBLANK(AL215:AL220),ISBLANK(X215:X220),ISBLANK(AR215:AR220)),"·",bdRateExtend(R215:R220,X215:X220,AL215:AL220,AR215:AR220))</f>
        <v>·</v>
      </c>
      <c r="BE215" s="61"/>
      <c r="BG215" s="54" t="str">
        <f>IF(OR(ISBLANK(P215:P220),ISBLANK(AJ215:AJ220),ISBLANK(T215:T220),ISBLANK(AN215:AN220)),"·",bdRateExtend(P215:P220,T215:T220,AJ215:AJ220,AN215:AN220))</f>
        <v>·</v>
      </c>
      <c r="BH215" s="54" t="str">
        <f>IF(OR(ISBLANK(P215:P220),ISBLANK(AJ215:AJ220),ISBLANK(U215:U220),ISBLANK(AO215:AO220)),"·",bdRateExtend(P215:P220,U215:U220,AJ215:AJ220,AO215:AO220))</f>
        <v>·</v>
      </c>
      <c r="BI215" s="54" t="str">
        <f>IF(OR(ISBLANK(P215:P220),ISBLANK(AJ215:AJ220),ISBLANK(V215:V220),ISBLANK(AP215:AP220)),"·",bdRateExtend(P215:P220,V215:V220,AJ215:AJ220,AP215:AP220))</f>
        <v>·</v>
      </c>
      <c r="BJ215" s="54" t="str">
        <f>IF(OR(ISBLANK(P215:P220),ISBLANK(AJ215:AJ220),ISBLANK(W215:W220),ISBLANK(AQ215:AQ220)),"·",bdRateExtend(P215:P220,W215:W220,AJ215:AJ220,AQ215:AQ220))</f>
        <v>·</v>
      </c>
      <c r="BK215" s="54" t="str">
        <f>IF(OR(ISBLANK(P215:P220),ISBLANK(AJ215:AJ220),ISBLANK(X215:X220),ISBLANK(AR215:AR220)),"·",bdRateExtend(P215:P220,X215:X220,AJ215:AJ220,AR215:AR220))</f>
        <v>·</v>
      </c>
      <c r="BL215" s="61"/>
      <c r="BN215">
        <f t="shared" si="78"/>
        <v>0</v>
      </c>
      <c r="BO215">
        <f t="shared" si="79"/>
        <v>0</v>
      </c>
      <c r="BP215">
        <f t="shared" si="80"/>
        <v>0</v>
      </c>
      <c r="BQ215">
        <f t="shared" si="81"/>
        <v>0</v>
      </c>
      <c r="BR215">
        <f t="shared" si="82"/>
        <v>0</v>
      </c>
      <c r="BS215">
        <f t="shared" si="83"/>
        <v>0</v>
      </c>
      <c r="BT215">
        <f t="shared" si="84"/>
        <v>0</v>
      </c>
      <c r="BU215">
        <f t="shared" si="85"/>
        <v>0</v>
      </c>
      <c r="BV215">
        <f t="shared" si="86"/>
        <v>0</v>
      </c>
      <c r="BW215">
        <f t="shared" si="87"/>
        <v>0</v>
      </c>
      <c r="BX215">
        <f t="shared" si="88"/>
        <v>0</v>
      </c>
    </row>
    <row r="216" spans="1:76" outlineLevel="1" x14ac:dyDescent="0.15">
      <c r="A216" s="8"/>
      <c r="B216" s="8" t="s">
        <v>161</v>
      </c>
      <c r="C216" s="9" t="s">
        <v>255</v>
      </c>
      <c r="D216" s="8">
        <v>4203962</v>
      </c>
      <c r="E216" s="10">
        <v>20</v>
      </c>
      <c r="F216" s="9">
        <v>1</v>
      </c>
      <c r="G216" s="9"/>
      <c r="I216" s="22" t="str">
        <f t="shared" si="67"/>
        <v>·</v>
      </c>
      <c r="J216" s="23" t="str">
        <f t="shared" si="68"/>
        <v>·</v>
      </c>
      <c r="K216" s="23" t="str">
        <f t="shared" si="69"/>
        <v>·</v>
      </c>
      <c r="L216" s="23" t="str">
        <f t="shared" si="70"/>
        <v>·</v>
      </c>
      <c r="M216" s="24"/>
      <c r="N216" s="23" t="str">
        <f t="shared" si="71"/>
        <v>·</v>
      </c>
      <c r="O216" s="25"/>
      <c r="P216" s="26"/>
      <c r="Q216" s="26"/>
      <c r="R216" s="26"/>
      <c r="S216" s="40"/>
      <c r="T216" s="41"/>
      <c r="U216" s="41"/>
      <c r="V216" s="41"/>
      <c r="W216" s="41"/>
      <c r="X216" s="41"/>
      <c r="Y216" s="42"/>
      <c r="Z216" s="50"/>
      <c r="AA216" s="50"/>
      <c r="AC216" s="22" t="str">
        <f t="shared" si="72"/>
        <v>·</v>
      </c>
      <c r="AD216" s="23" t="str">
        <f t="shared" si="73"/>
        <v>·</v>
      </c>
      <c r="AE216" s="23" t="str">
        <f t="shared" si="74"/>
        <v>·</v>
      </c>
      <c r="AF216" s="23" t="str">
        <f t="shared" si="75"/>
        <v>·</v>
      </c>
      <c r="AG216" s="24"/>
      <c r="AH216" s="23" t="str">
        <f t="shared" si="76"/>
        <v>·</v>
      </c>
      <c r="AI216" s="25"/>
      <c r="AJ216" s="26"/>
      <c r="AK216" s="26"/>
      <c r="AL216" s="26"/>
      <c r="AM216" s="40"/>
      <c r="AN216" s="41"/>
      <c r="AO216" s="41"/>
      <c r="AP216" s="41"/>
      <c r="AQ216" s="41"/>
      <c r="AR216" s="41"/>
      <c r="AS216" s="42"/>
      <c r="AT216" s="50"/>
      <c r="AU216" s="50"/>
      <c r="AW216" s="55" t="e">
        <f t="shared" si="77"/>
        <v>#DIV/0!</v>
      </c>
      <c r="AX216" s="55"/>
      <c r="AZ216" s="56"/>
      <c r="BA216" s="56"/>
      <c r="BB216" s="56"/>
      <c r="BC216" s="56"/>
      <c r="BD216" s="56"/>
      <c r="BE216" s="62"/>
      <c r="BG216" s="56"/>
      <c r="BH216" s="56"/>
      <c r="BI216" s="56"/>
      <c r="BJ216" s="56"/>
      <c r="BK216" s="56"/>
      <c r="BL216" s="62"/>
      <c r="BN216">
        <f t="shared" si="78"/>
        <v>0</v>
      </c>
      <c r="BO216">
        <f t="shared" si="79"/>
        <v>0</v>
      </c>
      <c r="BP216">
        <f t="shared" si="80"/>
        <v>0</v>
      </c>
      <c r="BQ216">
        <f t="shared" si="81"/>
        <v>0</v>
      </c>
      <c r="BR216">
        <f t="shared" si="82"/>
        <v>0</v>
      </c>
      <c r="BS216">
        <f t="shared" si="83"/>
        <v>0</v>
      </c>
      <c r="BT216">
        <f t="shared" si="84"/>
        <v>0</v>
      </c>
      <c r="BU216">
        <f t="shared" si="85"/>
        <v>0</v>
      </c>
      <c r="BV216">
        <f t="shared" si="86"/>
        <v>0</v>
      </c>
      <c r="BW216">
        <f t="shared" si="87"/>
        <v>0</v>
      </c>
      <c r="BX216">
        <f t="shared" si="88"/>
        <v>0</v>
      </c>
    </row>
    <row r="217" spans="1:76" outlineLevel="1" x14ac:dyDescent="0.15">
      <c r="A217" s="5"/>
      <c r="B217" s="5" t="s">
        <v>161</v>
      </c>
      <c r="C217" s="6" t="s">
        <v>256</v>
      </c>
      <c r="D217" s="5">
        <v>4203962</v>
      </c>
      <c r="E217" s="7">
        <v>20</v>
      </c>
      <c r="F217" s="6">
        <v>1</v>
      </c>
      <c r="G217" s="6"/>
      <c r="I217" s="17" t="str">
        <f t="shared" si="67"/>
        <v>·</v>
      </c>
      <c r="J217" s="18" t="str">
        <f t="shared" si="68"/>
        <v>·</v>
      </c>
      <c r="K217" s="18" t="str">
        <f t="shared" si="69"/>
        <v>·</v>
      </c>
      <c r="L217" s="18" t="str">
        <f t="shared" si="70"/>
        <v>·</v>
      </c>
      <c r="M217" s="19"/>
      <c r="N217" s="18" t="str">
        <f t="shared" si="71"/>
        <v>·</v>
      </c>
      <c r="O217" s="20"/>
      <c r="P217" s="21"/>
      <c r="Q217" s="21"/>
      <c r="R217" s="21"/>
      <c r="S217" s="37"/>
      <c r="T217" s="38"/>
      <c r="U217" s="38"/>
      <c r="V217" s="38"/>
      <c r="W217" s="38"/>
      <c r="X217" s="38"/>
      <c r="Y217" s="39"/>
      <c r="Z217" s="49"/>
      <c r="AA217" s="49"/>
      <c r="AC217" s="17" t="str">
        <f t="shared" si="72"/>
        <v>·</v>
      </c>
      <c r="AD217" s="18" t="str">
        <f t="shared" si="73"/>
        <v>·</v>
      </c>
      <c r="AE217" s="18" t="str">
        <f t="shared" si="74"/>
        <v>·</v>
      </c>
      <c r="AF217" s="18" t="str">
        <f t="shared" si="75"/>
        <v>·</v>
      </c>
      <c r="AG217" s="19"/>
      <c r="AH217" s="18" t="str">
        <f t="shared" si="76"/>
        <v>·</v>
      </c>
      <c r="AI217" s="20"/>
      <c r="AJ217" s="21"/>
      <c r="AK217" s="21"/>
      <c r="AL217" s="21"/>
      <c r="AM217" s="37"/>
      <c r="AN217" s="38"/>
      <c r="AO217" s="38"/>
      <c r="AP217" s="38"/>
      <c r="AQ217" s="38"/>
      <c r="AR217" s="38"/>
      <c r="AS217" s="39"/>
      <c r="AT217" s="49"/>
      <c r="AU217" s="49"/>
      <c r="AW217" s="53" t="e">
        <f t="shared" si="77"/>
        <v>#DIV/0!</v>
      </c>
      <c r="AX217" s="53"/>
      <c r="AZ217" s="54"/>
      <c r="BA217" s="54"/>
      <c r="BB217" s="54"/>
      <c r="BC217" s="54"/>
      <c r="BD217" s="54"/>
      <c r="BE217" s="61"/>
      <c r="BG217" s="54"/>
      <c r="BH217" s="54"/>
      <c r="BI217" s="54"/>
      <c r="BJ217" s="54"/>
      <c r="BK217" s="54"/>
      <c r="BL217" s="61"/>
      <c r="BN217">
        <f t="shared" si="78"/>
        <v>0</v>
      </c>
      <c r="BO217">
        <f t="shared" si="79"/>
        <v>0</v>
      </c>
      <c r="BP217">
        <f t="shared" si="80"/>
        <v>0</v>
      </c>
      <c r="BQ217">
        <f t="shared" si="81"/>
        <v>0</v>
      </c>
      <c r="BR217">
        <f t="shared" si="82"/>
        <v>0</v>
      </c>
      <c r="BS217">
        <f t="shared" si="83"/>
        <v>0</v>
      </c>
      <c r="BT217">
        <f t="shared" si="84"/>
        <v>0</v>
      </c>
      <c r="BU217">
        <f t="shared" si="85"/>
        <v>0</v>
      </c>
      <c r="BV217">
        <f t="shared" si="86"/>
        <v>0</v>
      </c>
      <c r="BW217">
        <f t="shared" si="87"/>
        <v>0</v>
      </c>
      <c r="BX217">
        <f t="shared" si="88"/>
        <v>0</v>
      </c>
    </row>
    <row r="218" spans="1:76" outlineLevel="1" x14ac:dyDescent="0.15">
      <c r="A218" s="8"/>
      <c r="B218" s="8" t="s">
        <v>161</v>
      </c>
      <c r="C218" s="9" t="s">
        <v>257</v>
      </c>
      <c r="D218" s="8">
        <v>4203962</v>
      </c>
      <c r="E218" s="10">
        <v>20</v>
      </c>
      <c r="F218" s="9">
        <v>1</v>
      </c>
      <c r="G218" s="9"/>
      <c r="I218" s="22" t="str">
        <f t="shared" si="67"/>
        <v>·</v>
      </c>
      <c r="J218" s="23" t="str">
        <f t="shared" si="68"/>
        <v>·</v>
      </c>
      <c r="K218" s="23" t="str">
        <f t="shared" si="69"/>
        <v>·</v>
      </c>
      <c r="L218" s="23" t="str">
        <f t="shared" si="70"/>
        <v>·</v>
      </c>
      <c r="M218" s="24"/>
      <c r="N218" s="23" t="str">
        <f t="shared" si="71"/>
        <v>·</v>
      </c>
      <c r="O218" s="25"/>
      <c r="P218" s="26"/>
      <c r="Q218" s="26"/>
      <c r="R218" s="26"/>
      <c r="S218" s="40"/>
      <c r="T218" s="41"/>
      <c r="U218" s="41"/>
      <c r="V218" s="41"/>
      <c r="W218" s="41"/>
      <c r="X218" s="41"/>
      <c r="Y218" s="42"/>
      <c r="Z218" s="50"/>
      <c r="AA218" s="50"/>
      <c r="AC218" s="22" t="str">
        <f t="shared" si="72"/>
        <v>·</v>
      </c>
      <c r="AD218" s="23" t="str">
        <f t="shared" si="73"/>
        <v>·</v>
      </c>
      <c r="AE218" s="23" t="str">
        <f t="shared" si="74"/>
        <v>·</v>
      </c>
      <c r="AF218" s="23" t="str">
        <f t="shared" si="75"/>
        <v>·</v>
      </c>
      <c r="AG218" s="24"/>
      <c r="AH218" s="23" t="str">
        <f t="shared" si="76"/>
        <v>·</v>
      </c>
      <c r="AI218" s="25"/>
      <c r="AJ218" s="26"/>
      <c r="AK218" s="26"/>
      <c r="AL218" s="26"/>
      <c r="AM218" s="40"/>
      <c r="AN218" s="41"/>
      <c r="AO218" s="41"/>
      <c r="AP218" s="41"/>
      <c r="AQ218" s="41"/>
      <c r="AR218" s="41"/>
      <c r="AS218" s="42"/>
      <c r="AT218" s="50"/>
      <c r="AU218" s="50"/>
      <c r="AW218" s="55" t="e">
        <f t="shared" si="77"/>
        <v>#DIV/0!</v>
      </c>
      <c r="AX218" s="55"/>
      <c r="AZ218" s="56"/>
      <c r="BA218" s="56"/>
      <c r="BB218" s="56"/>
      <c r="BC218" s="56"/>
      <c r="BD218" s="56"/>
      <c r="BE218" s="62"/>
      <c r="BG218" s="56"/>
      <c r="BH218" s="56"/>
      <c r="BI218" s="56"/>
      <c r="BJ218" s="56"/>
      <c r="BK218" s="56"/>
      <c r="BL218" s="62"/>
      <c r="BN218">
        <f t="shared" si="78"/>
        <v>0</v>
      </c>
      <c r="BO218">
        <f t="shared" si="79"/>
        <v>0</v>
      </c>
      <c r="BP218">
        <f t="shared" si="80"/>
        <v>0</v>
      </c>
      <c r="BQ218">
        <f t="shared" si="81"/>
        <v>0</v>
      </c>
      <c r="BR218">
        <f t="shared" si="82"/>
        <v>0</v>
      </c>
      <c r="BS218">
        <f t="shared" si="83"/>
        <v>0</v>
      </c>
      <c r="BT218">
        <f t="shared" si="84"/>
        <v>0</v>
      </c>
      <c r="BU218">
        <f t="shared" si="85"/>
        <v>0</v>
      </c>
      <c r="BV218">
        <f t="shared" si="86"/>
        <v>0</v>
      </c>
      <c r="BW218">
        <f t="shared" si="87"/>
        <v>0</v>
      </c>
      <c r="BX218">
        <f t="shared" si="88"/>
        <v>0</v>
      </c>
    </row>
    <row r="219" spans="1:76" outlineLevel="1" x14ac:dyDescent="0.15">
      <c r="A219" s="5"/>
      <c r="B219" s="5" t="s">
        <v>161</v>
      </c>
      <c r="C219" s="6" t="s">
        <v>258</v>
      </c>
      <c r="D219" s="5">
        <v>4203962</v>
      </c>
      <c r="E219" s="7">
        <v>20</v>
      </c>
      <c r="F219" s="6">
        <v>1</v>
      </c>
      <c r="G219" s="6"/>
      <c r="I219" s="17" t="str">
        <f t="shared" si="67"/>
        <v>·</v>
      </c>
      <c r="J219" s="18" t="str">
        <f t="shared" si="68"/>
        <v>·</v>
      </c>
      <c r="K219" s="18" t="str">
        <f t="shared" si="69"/>
        <v>·</v>
      </c>
      <c r="L219" s="18" t="str">
        <f t="shared" si="70"/>
        <v>·</v>
      </c>
      <c r="M219" s="19"/>
      <c r="N219" s="18" t="str">
        <f t="shared" si="71"/>
        <v>·</v>
      </c>
      <c r="O219" s="20"/>
      <c r="P219" s="21"/>
      <c r="Q219" s="21"/>
      <c r="R219" s="21"/>
      <c r="S219" s="37"/>
      <c r="T219" s="38"/>
      <c r="U219" s="38"/>
      <c r="V219" s="38"/>
      <c r="W219" s="38"/>
      <c r="X219" s="38"/>
      <c r="Y219" s="39"/>
      <c r="Z219" s="49"/>
      <c r="AA219" s="49"/>
      <c r="AC219" s="17" t="str">
        <f t="shared" si="72"/>
        <v>·</v>
      </c>
      <c r="AD219" s="18" t="str">
        <f t="shared" si="73"/>
        <v>·</v>
      </c>
      <c r="AE219" s="18" t="str">
        <f t="shared" si="74"/>
        <v>·</v>
      </c>
      <c r="AF219" s="18" t="str">
        <f t="shared" si="75"/>
        <v>·</v>
      </c>
      <c r="AG219" s="19"/>
      <c r="AH219" s="18" t="str">
        <f t="shared" si="76"/>
        <v>·</v>
      </c>
      <c r="AI219" s="20"/>
      <c r="AJ219" s="21"/>
      <c r="AK219" s="21"/>
      <c r="AL219" s="21"/>
      <c r="AM219" s="37"/>
      <c r="AN219" s="38"/>
      <c r="AO219" s="38"/>
      <c r="AP219" s="38"/>
      <c r="AQ219" s="38"/>
      <c r="AR219" s="38"/>
      <c r="AS219" s="39"/>
      <c r="AT219" s="49"/>
      <c r="AU219" s="49"/>
      <c r="AW219" s="53" t="e">
        <f t="shared" si="77"/>
        <v>#DIV/0!</v>
      </c>
      <c r="AX219" s="53"/>
      <c r="AZ219" s="54"/>
      <c r="BA219" s="54"/>
      <c r="BB219" s="54"/>
      <c r="BC219" s="54"/>
      <c r="BD219" s="54"/>
      <c r="BE219" s="61"/>
      <c r="BG219" s="54"/>
      <c r="BH219" s="54"/>
      <c r="BI219" s="54"/>
      <c r="BJ219" s="54"/>
      <c r="BK219" s="54"/>
      <c r="BL219" s="61"/>
      <c r="BN219">
        <f t="shared" si="78"/>
        <v>0</v>
      </c>
      <c r="BO219">
        <f t="shared" si="79"/>
        <v>0</v>
      </c>
      <c r="BP219">
        <f t="shared" si="80"/>
        <v>0</v>
      </c>
      <c r="BQ219">
        <f t="shared" si="81"/>
        <v>0</v>
      </c>
      <c r="BR219">
        <f t="shared" si="82"/>
        <v>0</v>
      </c>
      <c r="BS219">
        <f t="shared" si="83"/>
        <v>0</v>
      </c>
      <c r="BT219">
        <f t="shared" si="84"/>
        <v>0</v>
      </c>
      <c r="BU219">
        <f t="shared" si="85"/>
        <v>0</v>
      </c>
      <c r="BV219">
        <f t="shared" si="86"/>
        <v>0</v>
      </c>
      <c r="BW219">
        <f t="shared" si="87"/>
        <v>0</v>
      </c>
      <c r="BX219">
        <f t="shared" si="88"/>
        <v>0</v>
      </c>
    </row>
    <row r="220" spans="1:76" outlineLevel="1" x14ac:dyDescent="0.15">
      <c r="A220" s="8"/>
      <c r="B220" s="14" t="s">
        <v>161</v>
      </c>
      <c r="C220" s="15" t="s">
        <v>259</v>
      </c>
      <c r="D220" s="14">
        <v>4203962</v>
      </c>
      <c r="E220" s="16">
        <v>20</v>
      </c>
      <c r="F220" s="15">
        <v>1</v>
      </c>
      <c r="G220" s="15"/>
      <c r="I220" s="32" t="str">
        <f t="shared" si="67"/>
        <v>·</v>
      </c>
      <c r="J220" s="33" t="str">
        <f t="shared" si="68"/>
        <v>·</v>
      </c>
      <c r="K220" s="33" t="str">
        <f t="shared" si="69"/>
        <v>·</v>
      </c>
      <c r="L220" s="33" t="str">
        <f t="shared" si="70"/>
        <v>·</v>
      </c>
      <c r="M220" s="34"/>
      <c r="N220" s="33" t="str">
        <f t="shared" si="71"/>
        <v>·</v>
      </c>
      <c r="O220" s="35"/>
      <c r="P220" s="36"/>
      <c r="Q220" s="36"/>
      <c r="R220" s="36"/>
      <c r="S220" s="46"/>
      <c r="T220" s="47"/>
      <c r="U220" s="47"/>
      <c r="V220" s="47"/>
      <c r="W220" s="47"/>
      <c r="X220" s="47"/>
      <c r="Y220" s="48"/>
      <c r="Z220" s="52"/>
      <c r="AA220" s="52"/>
      <c r="AC220" s="32" t="str">
        <f t="shared" si="72"/>
        <v>·</v>
      </c>
      <c r="AD220" s="33" t="str">
        <f t="shared" si="73"/>
        <v>·</v>
      </c>
      <c r="AE220" s="33" t="str">
        <f t="shared" si="74"/>
        <v>·</v>
      </c>
      <c r="AF220" s="33" t="str">
        <f t="shared" si="75"/>
        <v>·</v>
      </c>
      <c r="AG220" s="34"/>
      <c r="AH220" s="33" t="str">
        <f t="shared" si="76"/>
        <v>·</v>
      </c>
      <c r="AI220" s="35"/>
      <c r="AJ220" s="36"/>
      <c r="AK220" s="36"/>
      <c r="AL220" s="36"/>
      <c r="AM220" s="46"/>
      <c r="AN220" s="47"/>
      <c r="AO220" s="47"/>
      <c r="AP220" s="47"/>
      <c r="AQ220" s="47"/>
      <c r="AR220" s="47"/>
      <c r="AS220" s="48"/>
      <c r="AT220" s="52"/>
      <c r="AU220" s="52"/>
      <c r="AW220" s="59" t="e">
        <f t="shared" si="77"/>
        <v>#DIV/0!</v>
      </c>
      <c r="AX220" s="59"/>
      <c r="AZ220" s="60"/>
      <c r="BA220" s="60"/>
      <c r="BB220" s="60"/>
      <c r="BC220" s="60"/>
      <c r="BD220" s="60"/>
      <c r="BE220" s="64"/>
      <c r="BG220" s="60"/>
      <c r="BH220" s="60"/>
      <c r="BI220" s="60"/>
      <c r="BJ220" s="60"/>
      <c r="BK220" s="60"/>
      <c r="BL220" s="64"/>
      <c r="BN220">
        <f t="shared" si="78"/>
        <v>0</v>
      </c>
      <c r="BO220">
        <f t="shared" si="79"/>
        <v>0</v>
      </c>
      <c r="BP220">
        <f t="shared" si="80"/>
        <v>0</v>
      </c>
      <c r="BQ220">
        <f t="shared" si="81"/>
        <v>0</v>
      </c>
      <c r="BR220">
        <f t="shared" si="82"/>
        <v>0</v>
      </c>
      <c r="BS220">
        <f t="shared" si="83"/>
        <v>0</v>
      </c>
      <c r="BT220">
        <f t="shared" si="84"/>
        <v>0</v>
      </c>
      <c r="BU220">
        <f t="shared" si="85"/>
        <v>0</v>
      </c>
      <c r="BV220">
        <f t="shared" si="86"/>
        <v>0</v>
      </c>
      <c r="BW220">
        <f t="shared" si="87"/>
        <v>0</v>
      </c>
      <c r="BX220">
        <f t="shared" si="88"/>
        <v>0</v>
      </c>
    </row>
    <row r="221" spans="1:76" x14ac:dyDescent="0.15">
      <c r="A221" s="5"/>
      <c r="B221" s="5" t="s">
        <v>164</v>
      </c>
      <c r="C221" s="6" t="s">
        <v>254</v>
      </c>
      <c r="D221" s="5">
        <v>1010591</v>
      </c>
      <c r="E221" s="7">
        <v>20</v>
      </c>
      <c r="F221" s="6">
        <v>1</v>
      </c>
      <c r="G221" s="6"/>
      <c r="I221" s="17" t="str">
        <f t="shared" si="67"/>
        <v>·</v>
      </c>
      <c r="J221" s="18" t="str">
        <f t="shared" si="68"/>
        <v>·</v>
      </c>
      <c r="K221" s="18" t="str">
        <f t="shared" si="69"/>
        <v>·</v>
      </c>
      <c r="L221" s="18" t="str">
        <f t="shared" si="70"/>
        <v>·</v>
      </c>
      <c r="M221" s="19"/>
      <c r="N221" s="18" t="str">
        <f t="shared" si="71"/>
        <v>·</v>
      </c>
      <c r="O221" s="20"/>
      <c r="P221" s="21"/>
      <c r="Q221" s="21"/>
      <c r="R221" s="21"/>
      <c r="S221" s="37"/>
      <c r="T221" s="38"/>
      <c r="U221" s="38"/>
      <c r="V221" s="38"/>
      <c r="W221" s="38"/>
      <c r="X221" s="38"/>
      <c r="Y221" s="39"/>
      <c r="Z221" s="49"/>
      <c r="AA221" s="49"/>
      <c r="AC221" s="17" t="str">
        <f t="shared" si="72"/>
        <v>·</v>
      </c>
      <c r="AD221" s="18" t="str">
        <f t="shared" si="73"/>
        <v>·</v>
      </c>
      <c r="AE221" s="18" t="str">
        <f t="shared" si="74"/>
        <v>·</v>
      </c>
      <c r="AF221" s="18" t="str">
        <f t="shared" si="75"/>
        <v>·</v>
      </c>
      <c r="AG221" s="19"/>
      <c r="AH221" s="18" t="str">
        <f t="shared" si="76"/>
        <v>·</v>
      </c>
      <c r="AI221" s="20"/>
      <c r="AJ221" s="21"/>
      <c r="AK221" s="21"/>
      <c r="AL221" s="21"/>
      <c r="AM221" s="37"/>
      <c r="AN221" s="38"/>
      <c r="AO221" s="38"/>
      <c r="AP221" s="38"/>
      <c r="AQ221" s="38"/>
      <c r="AR221" s="38"/>
      <c r="AS221" s="39"/>
      <c r="AT221" s="49"/>
      <c r="AU221" s="49"/>
      <c r="AW221" s="53" t="e">
        <f t="shared" si="77"/>
        <v>#DIV/0!</v>
      </c>
      <c r="AX221" s="53" t="e">
        <f t="array" ref="AX221">AVERAGE(AK221:AK226/AJ221:AJ226)-AVERAGE(Q221:Q226/P221:P226)</f>
        <v>#DIV/0!</v>
      </c>
      <c r="AZ221" s="54" t="str">
        <f>IF(OR(ISBLANK(Q221:Q226),ISBLANK(AK221:AK226),ISBLANK(T221:T226),ISBLANK(AN221:AN226)),"·",bdRateExtend(Q221:Q226,T221:T226,AK221:AK226,AN221:AN226))</f>
        <v>·</v>
      </c>
      <c r="BA221" s="54" t="str">
        <f>IF(OR(ISBLANK(Q221:Q226),ISBLANK(AK221:AK226),ISBLANK(U221:U226),ISBLANK(AO221:AO226)),"·",bdRateExtend(Q221:Q226,U221:U226,AK221:AK226,AO221:AO226))</f>
        <v>·</v>
      </c>
      <c r="BB221" s="54" t="str">
        <f>IF(OR(ISBLANK(R221:R226),ISBLANK(AL221:AL226),ISBLANK(V221:V226),ISBLANK(AP221:AP226)),"·",bdRateExtend(R221:R226,V221:V226,AL221:AL226,AP221:AP226))</f>
        <v>·</v>
      </c>
      <c r="BC221" s="54" t="str">
        <f>IF(OR(ISBLANK(R221:R226),ISBLANK(AL221:AL226),ISBLANK(W221:W226),ISBLANK(AQ221:AQ226)),"·",bdRateExtend(R221:R226,W221:W226,AL221:AL226,AQ221:AQ226))</f>
        <v>·</v>
      </c>
      <c r="BD221" s="54" t="str">
        <f>IF(OR(ISBLANK(R221:R226),ISBLANK(AL221:AL226),ISBLANK(X221:X226),ISBLANK(AR221:AR226)),"·",bdRateExtend(R221:R226,X221:X226,AL221:AL226,AR221:AR226))</f>
        <v>·</v>
      </c>
      <c r="BE221" s="61"/>
      <c r="BG221" s="54" t="str">
        <f>IF(OR(ISBLANK(P221:P226),ISBLANK(AJ221:AJ226),ISBLANK(T221:T226),ISBLANK(AN221:AN226)),"·",bdRateExtend(P221:P226,T221:T226,AJ221:AJ226,AN221:AN226))</f>
        <v>·</v>
      </c>
      <c r="BH221" s="54" t="str">
        <f>IF(OR(ISBLANK(P221:P226),ISBLANK(AJ221:AJ226),ISBLANK(U221:U226),ISBLANK(AO221:AO226)),"·",bdRateExtend(P221:P226,U221:U226,AJ221:AJ226,AO221:AO226))</f>
        <v>·</v>
      </c>
      <c r="BI221" s="54" t="str">
        <f>IF(OR(ISBLANK(P221:P226),ISBLANK(AJ221:AJ226),ISBLANK(V221:V226),ISBLANK(AP221:AP226)),"·",bdRateExtend(P221:P226,V221:V226,AJ221:AJ226,AP221:AP226))</f>
        <v>·</v>
      </c>
      <c r="BJ221" s="54" t="str">
        <f>IF(OR(ISBLANK(P221:P226),ISBLANK(AJ221:AJ226),ISBLANK(W221:W226),ISBLANK(AQ221:AQ226)),"·",bdRateExtend(P221:P226,W221:W226,AJ221:AJ226,AQ221:AQ226))</f>
        <v>·</v>
      </c>
      <c r="BK221" s="54" t="str">
        <f>IF(OR(ISBLANK(P221:P226),ISBLANK(AJ221:AJ226),ISBLANK(X221:X226),ISBLANK(AR221:AR226)),"·",bdRateExtend(P221:P226,X221:X226,AJ221:AJ226,AR221:AR226))</f>
        <v>·</v>
      </c>
      <c r="BL221" s="61"/>
      <c r="BN221">
        <f t="shared" si="78"/>
        <v>0</v>
      </c>
      <c r="BO221">
        <f t="shared" si="79"/>
        <v>0</v>
      </c>
      <c r="BP221">
        <f t="shared" si="80"/>
        <v>0</v>
      </c>
      <c r="BQ221">
        <f t="shared" si="81"/>
        <v>0</v>
      </c>
      <c r="BR221">
        <f t="shared" si="82"/>
        <v>0</v>
      </c>
      <c r="BS221">
        <f t="shared" si="83"/>
        <v>0</v>
      </c>
      <c r="BT221">
        <f t="shared" si="84"/>
        <v>0</v>
      </c>
      <c r="BU221">
        <f t="shared" si="85"/>
        <v>0</v>
      </c>
      <c r="BV221">
        <f t="shared" si="86"/>
        <v>0</v>
      </c>
      <c r="BW221">
        <f t="shared" si="87"/>
        <v>0</v>
      </c>
      <c r="BX221">
        <f t="shared" si="88"/>
        <v>0</v>
      </c>
    </row>
    <row r="222" spans="1:76" outlineLevel="1" x14ac:dyDescent="0.15">
      <c r="A222" s="8"/>
      <c r="B222" s="8" t="s">
        <v>164</v>
      </c>
      <c r="C222" s="9" t="s">
        <v>255</v>
      </c>
      <c r="D222" s="8">
        <v>1010591</v>
      </c>
      <c r="E222" s="10">
        <v>20</v>
      </c>
      <c r="F222" s="9">
        <v>1</v>
      </c>
      <c r="G222" s="9"/>
      <c r="I222" s="22" t="str">
        <f t="shared" si="67"/>
        <v>·</v>
      </c>
      <c r="J222" s="23" t="str">
        <f t="shared" si="68"/>
        <v>·</v>
      </c>
      <c r="K222" s="23" t="str">
        <f t="shared" si="69"/>
        <v>·</v>
      </c>
      <c r="L222" s="23" t="str">
        <f t="shared" si="70"/>
        <v>·</v>
      </c>
      <c r="M222" s="24"/>
      <c r="N222" s="23" t="str">
        <f t="shared" si="71"/>
        <v>·</v>
      </c>
      <c r="O222" s="25"/>
      <c r="P222" s="26"/>
      <c r="Q222" s="26"/>
      <c r="R222" s="26"/>
      <c r="S222" s="40"/>
      <c r="T222" s="41"/>
      <c r="U222" s="41"/>
      <c r="V222" s="41"/>
      <c r="W222" s="41"/>
      <c r="X222" s="41"/>
      <c r="Y222" s="42"/>
      <c r="Z222" s="50"/>
      <c r="AA222" s="50"/>
      <c r="AC222" s="22" t="str">
        <f t="shared" si="72"/>
        <v>·</v>
      </c>
      <c r="AD222" s="23" t="str">
        <f t="shared" si="73"/>
        <v>·</v>
      </c>
      <c r="AE222" s="23" t="str">
        <f t="shared" si="74"/>
        <v>·</v>
      </c>
      <c r="AF222" s="23" t="str">
        <f t="shared" si="75"/>
        <v>·</v>
      </c>
      <c r="AG222" s="24"/>
      <c r="AH222" s="23" t="str">
        <f t="shared" si="76"/>
        <v>·</v>
      </c>
      <c r="AI222" s="25"/>
      <c r="AJ222" s="26"/>
      <c r="AK222" s="26"/>
      <c r="AL222" s="26"/>
      <c r="AM222" s="40"/>
      <c r="AN222" s="41"/>
      <c r="AO222" s="41"/>
      <c r="AP222" s="41"/>
      <c r="AQ222" s="41"/>
      <c r="AR222" s="41"/>
      <c r="AS222" s="42"/>
      <c r="AT222" s="50"/>
      <c r="AU222" s="50"/>
      <c r="AW222" s="55" t="e">
        <f t="shared" si="77"/>
        <v>#DIV/0!</v>
      </c>
      <c r="AX222" s="55"/>
      <c r="AZ222" s="56"/>
      <c r="BA222" s="56"/>
      <c r="BB222" s="56"/>
      <c r="BC222" s="56"/>
      <c r="BD222" s="56"/>
      <c r="BE222" s="62"/>
      <c r="BG222" s="56"/>
      <c r="BH222" s="56"/>
      <c r="BI222" s="56"/>
      <c r="BJ222" s="56"/>
      <c r="BK222" s="56"/>
      <c r="BL222" s="62"/>
      <c r="BN222">
        <f t="shared" si="78"/>
        <v>0</v>
      </c>
      <c r="BO222">
        <f t="shared" si="79"/>
        <v>0</v>
      </c>
      <c r="BP222">
        <f t="shared" si="80"/>
        <v>0</v>
      </c>
      <c r="BQ222">
        <f t="shared" si="81"/>
        <v>0</v>
      </c>
      <c r="BR222">
        <f t="shared" si="82"/>
        <v>0</v>
      </c>
      <c r="BS222">
        <f t="shared" si="83"/>
        <v>0</v>
      </c>
      <c r="BT222">
        <f t="shared" si="84"/>
        <v>0</v>
      </c>
      <c r="BU222">
        <f t="shared" si="85"/>
        <v>0</v>
      </c>
      <c r="BV222">
        <f t="shared" si="86"/>
        <v>0</v>
      </c>
      <c r="BW222">
        <f t="shared" si="87"/>
        <v>0</v>
      </c>
      <c r="BX222">
        <f t="shared" si="88"/>
        <v>0</v>
      </c>
    </row>
    <row r="223" spans="1:76" outlineLevel="1" x14ac:dyDescent="0.15">
      <c r="A223" s="5"/>
      <c r="B223" s="5" t="s">
        <v>164</v>
      </c>
      <c r="C223" s="6" t="s">
        <v>256</v>
      </c>
      <c r="D223" s="5">
        <v>1010591</v>
      </c>
      <c r="E223" s="7">
        <v>20</v>
      </c>
      <c r="F223" s="6">
        <v>1</v>
      </c>
      <c r="G223" s="6"/>
      <c r="I223" s="17" t="str">
        <f t="shared" si="67"/>
        <v>·</v>
      </c>
      <c r="J223" s="18" t="str">
        <f t="shared" si="68"/>
        <v>·</v>
      </c>
      <c r="K223" s="18" t="str">
        <f t="shared" si="69"/>
        <v>·</v>
      </c>
      <c r="L223" s="18" t="str">
        <f t="shared" si="70"/>
        <v>·</v>
      </c>
      <c r="M223" s="19"/>
      <c r="N223" s="18" t="str">
        <f t="shared" si="71"/>
        <v>·</v>
      </c>
      <c r="O223" s="20"/>
      <c r="P223" s="21"/>
      <c r="Q223" s="21"/>
      <c r="R223" s="21"/>
      <c r="S223" s="37"/>
      <c r="T223" s="38"/>
      <c r="U223" s="38"/>
      <c r="V223" s="38"/>
      <c r="W223" s="38"/>
      <c r="X223" s="38"/>
      <c r="Y223" s="39"/>
      <c r="Z223" s="49"/>
      <c r="AA223" s="49"/>
      <c r="AC223" s="17" t="str">
        <f t="shared" si="72"/>
        <v>·</v>
      </c>
      <c r="AD223" s="18" t="str">
        <f t="shared" si="73"/>
        <v>·</v>
      </c>
      <c r="AE223" s="18" t="str">
        <f t="shared" si="74"/>
        <v>·</v>
      </c>
      <c r="AF223" s="18" t="str">
        <f t="shared" si="75"/>
        <v>·</v>
      </c>
      <c r="AG223" s="19"/>
      <c r="AH223" s="18" t="str">
        <f t="shared" si="76"/>
        <v>·</v>
      </c>
      <c r="AI223" s="20"/>
      <c r="AJ223" s="21"/>
      <c r="AK223" s="21"/>
      <c r="AL223" s="21"/>
      <c r="AM223" s="37"/>
      <c r="AN223" s="38"/>
      <c r="AO223" s="38"/>
      <c r="AP223" s="38"/>
      <c r="AQ223" s="38"/>
      <c r="AR223" s="38"/>
      <c r="AS223" s="39"/>
      <c r="AT223" s="49"/>
      <c r="AU223" s="49"/>
      <c r="AW223" s="53" t="e">
        <f t="shared" si="77"/>
        <v>#DIV/0!</v>
      </c>
      <c r="AX223" s="53"/>
      <c r="AZ223" s="54"/>
      <c r="BA223" s="54"/>
      <c r="BB223" s="54"/>
      <c r="BC223" s="54"/>
      <c r="BD223" s="54"/>
      <c r="BE223" s="61"/>
      <c r="BG223" s="54"/>
      <c r="BH223" s="54"/>
      <c r="BI223" s="54"/>
      <c r="BJ223" s="54"/>
      <c r="BK223" s="54"/>
      <c r="BL223" s="61"/>
      <c r="BN223">
        <f t="shared" si="78"/>
        <v>0</v>
      </c>
      <c r="BO223">
        <f t="shared" si="79"/>
        <v>0</v>
      </c>
      <c r="BP223">
        <f t="shared" si="80"/>
        <v>0</v>
      </c>
      <c r="BQ223">
        <f t="shared" si="81"/>
        <v>0</v>
      </c>
      <c r="BR223">
        <f t="shared" si="82"/>
        <v>0</v>
      </c>
      <c r="BS223">
        <f t="shared" si="83"/>
        <v>0</v>
      </c>
      <c r="BT223">
        <f t="shared" si="84"/>
        <v>0</v>
      </c>
      <c r="BU223">
        <f t="shared" si="85"/>
        <v>0</v>
      </c>
      <c r="BV223">
        <f t="shared" si="86"/>
        <v>0</v>
      </c>
      <c r="BW223">
        <f t="shared" si="87"/>
        <v>0</v>
      </c>
      <c r="BX223">
        <f t="shared" si="88"/>
        <v>0</v>
      </c>
    </row>
    <row r="224" spans="1:76" outlineLevel="1" x14ac:dyDescent="0.15">
      <c r="A224" s="8"/>
      <c r="B224" s="8" t="s">
        <v>164</v>
      </c>
      <c r="C224" s="9" t="s">
        <v>257</v>
      </c>
      <c r="D224" s="8">
        <v>1010591</v>
      </c>
      <c r="E224" s="10">
        <v>20</v>
      </c>
      <c r="F224" s="9">
        <v>1</v>
      </c>
      <c r="G224" s="9"/>
      <c r="I224" s="22" t="str">
        <f t="shared" si="67"/>
        <v>·</v>
      </c>
      <c r="J224" s="23" t="str">
        <f t="shared" si="68"/>
        <v>·</v>
      </c>
      <c r="K224" s="23" t="str">
        <f t="shared" si="69"/>
        <v>·</v>
      </c>
      <c r="L224" s="23" t="str">
        <f t="shared" si="70"/>
        <v>·</v>
      </c>
      <c r="M224" s="24"/>
      <c r="N224" s="23" t="str">
        <f t="shared" si="71"/>
        <v>·</v>
      </c>
      <c r="O224" s="25"/>
      <c r="P224" s="26"/>
      <c r="Q224" s="26"/>
      <c r="R224" s="26"/>
      <c r="S224" s="40"/>
      <c r="T224" s="41"/>
      <c r="U224" s="41"/>
      <c r="V224" s="41"/>
      <c r="W224" s="41"/>
      <c r="X224" s="41"/>
      <c r="Y224" s="42"/>
      <c r="Z224" s="50"/>
      <c r="AA224" s="50"/>
      <c r="AC224" s="22" t="str">
        <f t="shared" si="72"/>
        <v>·</v>
      </c>
      <c r="AD224" s="23" t="str">
        <f t="shared" si="73"/>
        <v>·</v>
      </c>
      <c r="AE224" s="23" t="str">
        <f t="shared" si="74"/>
        <v>·</v>
      </c>
      <c r="AF224" s="23" t="str">
        <f t="shared" si="75"/>
        <v>·</v>
      </c>
      <c r="AG224" s="24"/>
      <c r="AH224" s="23" t="str">
        <f t="shared" si="76"/>
        <v>·</v>
      </c>
      <c r="AI224" s="25"/>
      <c r="AJ224" s="26"/>
      <c r="AK224" s="26"/>
      <c r="AL224" s="26"/>
      <c r="AM224" s="40"/>
      <c r="AN224" s="41"/>
      <c r="AO224" s="41"/>
      <c r="AP224" s="41"/>
      <c r="AQ224" s="41"/>
      <c r="AR224" s="41"/>
      <c r="AS224" s="42"/>
      <c r="AT224" s="50"/>
      <c r="AU224" s="50"/>
      <c r="AW224" s="55" t="e">
        <f t="shared" si="77"/>
        <v>#DIV/0!</v>
      </c>
      <c r="AX224" s="55"/>
      <c r="AZ224" s="56"/>
      <c r="BA224" s="56"/>
      <c r="BB224" s="56"/>
      <c r="BC224" s="56"/>
      <c r="BD224" s="56"/>
      <c r="BE224" s="62"/>
      <c r="BG224" s="56"/>
      <c r="BH224" s="56"/>
      <c r="BI224" s="56"/>
      <c r="BJ224" s="56"/>
      <c r="BK224" s="56"/>
      <c r="BL224" s="62"/>
      <c r="BN224">
        <f t="shared" si="78"/>
        <v>0</v>
      </c>
      <c r="BO224">
        <f t="shared" si="79"/>
        <v>0</v>
      </c>
      <c r="BP224">
        <f t="shared" si="80"/>
        <v>0</v>
      </c>
      <c r="BQ224">
        <f t="shared" si="81"/>
        <v>0</v>
      </c>
      <c r="BR224">
        <f t="shared" si="82"/>
        <v>0</v>
      </c>
      <c r="BS224">
        <f t="shared" si="83"/>
        <v>0</v>
      </c>
      <c r="BT224">
        <f t="shared" si="84"/>
        <v>0</v>
      </c>
      <c r="BU224">
        <f t="shared" si="85"/>
        <v>0</v>
      </c>
      <c r="BV224">
        <f t="shared" si="86"/>
        <v>0</v>
      </c>
      <c r="BW224">
        <f t="shared" si="87"/>
        <v>0</v>
      </c>
      <c r="BX224">
        <f t="shared" si="88"/>
        <v>0</v>
      </c>
    </row>
    <row r="225" spans="1:76" outlineLevel="1" x14ac:dyDescent="0.15">
      <c r="A225" s="5"/>
      <c r="B225" s="5" t="s">
        <v>164</v>
      </c>
      <c r="C225" s="6" t="s">
        <v>258</v>
      </c>
      <c r="D225" s="5">
        <v>1010591</v>
      </c>
      <c r="E225" s="7">
        <v>20</v>
      </c>
      <c r="F225" s="6">
        <v>1</v>
      </c>
      <c r="G225" s="6"/>
      <c r="I225" s="17" t="str">
        <f t="shared" si="67"/>
        <v>·</v>
      </c>
      <c r="J225" s="18" t="str">
        <f t="shared" si="68"/>
        <v>·</v>
      </c>
      <c r="K225" s="18" t="str">
        <f t="shared" si="69"/>
        <v>·</v>
      </c>
      <c r="L225" s="18" t="str">
        <f t="shared" si="70"/>
        <v>·</v>
      </c>
      <c r="M225" s="19"/>
      <c r="N225" s="18" t="str">
        <f t="shared" si="71"/>
        <v>·</v>
      </c>
      <c r="O225" s="20"/>
      <c r="P225" s="21"/>
      <c r="Q225" s="21"/>
      <c r="R225" s="21"/>
      <c r="S225" s="37"/>
      <c r="T225" s="38"/>
      <c r="U225" s="38"/>
      <c r="V225" s="38"/>
      <c r="W225" s="38"/>
      <c r="X225" s="38"/>
      <c r="Y225" s="39"/>
      <c r="Z225" s="49"/>
      <c r="AA225" s="49"/>
      <c r="AC225" s="17" t="str">
        <f t="shared" si="72"/>
        <v>·</v>
      </c>
      <c r="AD225" s="18" t="str">
        <f t="shared" si="73"/>
        <v>·</v>
      </c>
      <c r="AE225" s="18" t="str">
        <f t="shared" si="74"/>
        <v>·</v>
      </c>
      <c r="AF225" s="18" t="str">
        <f t="shared" si="75"/>
        <v>·</v>
      </c>
      <c r="AG225" s="19"/>
      <c r="AH225" s="18" t="str">
        <f t="shared" si="76"/>
        <v>·</v>
      </c>
      <c r="AI225" s="20"/>
      <c r="AJ225" s="21"/>
      <c r="AK225" s="21"/>
      <c r="AL225" s="21"/>
      <c r="AM225" s="37"/>
      <c r="AN225" s="38"/>
      <c r="AO225" s="38"/>
      <c r="AP225" s="38"/>
      <c r="AQ225" s="38"/>
      <c r="AR225" s="38"/>
      <c r="AS225" s="39"/>
      <c r="AT225" s="49"/>
      <c r="AU225" s="49"/>
      <c r="AW225" s="53" t="e">
        <f t="shared" si="77"/>
        <v>#DIV/0!</v>
      </c>
      <c r="AX225" s="53"/>
      <c r="AZ225" s="54"/>
      <c r="BA225" s="54"/>
      <c r="BB225" s="54"/>
      <c r="BC225" s="54"/>
      <c r="BD225" s="54"/>
      <c r="BE225" s="61"/>
      <c r="BG225" s="54"/>
      <c r="BH225" s="54"/>
      <c r="BI225" s="54"/>
      <c r="BJ225" s="54"/>
      <c r="BK225" s="54"/>
      <c r="BL225" s="61"/>
      <c r="BN225">
        <f t="shared" si="78"/>
        <v>0</v>
      </c>
      <c r="BO225">
        <f t="shared" si="79"/>
        <v>0</v>
      </c>
      <c r="BP225">
        <f t="shared" si="80"/>
        <v>0</v>
      </c>
      <c r="BQ225">
        <f t="shared" si="81"/>
        <v>0</v>
      </c>
      <c r="BR225">
        <f t="shared" si="82"/>
        <v>0</v>
      </c>
      <c r="BS225">
        <f t="shared" si="83"/>
        <v>0</v>
      </c>
      <c r="BT225">
        <f t="shared" si="84"/>
        <v>0</v>
      </c>
      <c r="BU225">
        <f t="shared" si="85"/>
        <v>0</v>
      </c>
      <c r="BV225">
        <f t="shared" si="86"/>
        <v>0</v>
      </c>
      <c r="BW225">
        <f t="shared" si="87"/>
        <v>0</v>
      </c>
      <c r="BX225">
        <f t="shared" si="88"/>
        <v>0</v>
      </c>
    </row>
    <row r="226" spans="1:76" outlineLevel="1" x14ac:dyDescent="0.15">
      <c r="A226" s="8"/>
      <c r="B226" s="14" t="s">
        <v>164</v>
      </c>
      <c r="C226" s="15" t="s">
        <v>259</v>
      </c>
      <c r="D226" s="14">
        <v>1010591</v>
      </c>
      <c r="E226" s="16">
        <v>20</v>
      </c>
      <c r="F226" s="15">
        <v>1</v>
      </c>
      <c r="G226" s="15"/>
      <c r="I226" s="32" t="str">
        <f t="shared" si="67"/>
        <v>·</v>
      </c>
      <c r="J226" s="33" t="str">
        <f t="shared" si="68"/>
        <v>·</v>
      </c>
      <c r="K226" s="33" t="str">
        <f t="shared" si="69"/>
        <v>·</v>
      </c>
      <c r="L226" s="33" t="str">
        <f t="shared" si="70"/>
        <v>·</v>
      </c>
      <c r="M226" s="34"/>
      <c r="N226" s="33" t="str">
        <f t="shared" si="71"/>
        <v>·</v>
      </c>
      <c r="O226" s="35"/>
      <c r="P226" s="36"/>
      <c r="Q226" s="36"/>
      <c r="R226" s="36"/>
      <c r="S226" s="46"/>
      <c r="T226" s="47"/>
      <c r="U226" s="47"/>
      <c r="V226" s="47"/>
      <c r="W226" s="47"/>
      <c r="X226" s="47"/>
      <c r="Y226" s="48"/>
      <c r="Z226" s="52"/>
      <c r="AA226" s="52"/>
      <c r="AC226" s="32" t="str">
        <f t="shared" si="72"/>
        <v>·</v>
      </c>
      <c r="AD226" s="33" t="str">
        <f t="shared" si="73"/>
        <v>·</v>
      </c>
      <c r="AE226" s="33" t="str">
        <f t="shared" si="74"/>
        <v>·</v>
      </c>
      <c r="AF226" s="33" t="str">
        <f t="shared" si="75"/>
        <v>·</v>
      </c>
      <c r="AG226" s="34"/>
      <c r="AH226" s="33" t="str">
        <f t="shared" si="76"/>
        <v>·</v>
      </c>
      <c r="AI226" s="35"/>
      <c r="AJ226" s="36"/>
      <c r="AK226" s="36"/>
      <c r="AL226" s="36"/>
      <c r="AM226" s="46"/>
      <c r="AN226" s="47"/>
      <c r="AO226" s="47"/>
      <c r="AP226" s="47"/>
      <c r="AQ226" s="47"/>
      <c r="AR226" s="47"/>
      <c r="AS226" s="48"/>
      <c r="AT226" s="52"/>
      <c r="AU226" s="52"/>
      <c r="AW226" s="59" t="e">
        <f t="shared" si="77"/>
        <v>#DIV/0!</v>
      </c>
      <c r="AX226" s="59"/>
      <c r="AZ226" s="60"/>
      <c r="BA226" s="60"/>
      <c r="BB226" s="60"/>
      <c r="BC226" s="60"/>
      <c r="BD226" s="60"/>
      <c r="BE226" s="64"/>
      <c r="BG226" s="60"/>
      <c r="BH226" s="60"/>
      <c r="BI226" s="60"/>
      <c r="BJ226" s="60"/>
      <c r="BK226" s="60"/>
      <c r="BL226" s="64"/>
      <c r="BN226">
        <f t="shared" si="78"/>
        <v>0</v>
      </c>
      <c r="BO226">
        <f t="shared" si="79"/>
        <v>0</v>
      </c>
      <c r="BP226">
        <f t="shared" si="80"/>
        <v>0</v>
      </c>
      <c r="BQ226">
        <f t="shared" si="81"/>
        <v>0</v>
      </c>
      <c r="BR226">
        <f t="shared" si="82"/>
        <v>0</v>
      </c>
      <c r="BS226">
        <f t="shared" si="83"/>
        <v>0</v>
      </c>
      <c r="BT226">
        <f t="shared" si="84"/>
        <v>0</v>
      </c>
      <c r="BU226">
        <f t="shared" si="85"/>
        <v>0</v>
      </c>
      <c r="BV226">
        <f t="shared" si="86"/>
        <v>0</v>
      </c>
      <c r="BW226">
        <f t="shared" si="87"/>
        <v>0</v>
      </c>
      <c r="BX226">
        <f t="shared" si="88"/>
        <v>0</v>
      </c>
    </row>
    <row r="227" spans="1:76" x14ac:dyDescent="0.15">
      <c r="A227" s="5"/>
      <c r="B227" s="5" t="s">
        <v>165</v>
      </c>
      <c r="C227" s="6" t="s">
        <v>254</v>
      </c>
      <c r="D227" s="5">
        <v>47062002</v>
      </c>
      <c r="E227" s="7">
        <v>16</v>
      </c>
      <c r="F227" s="6">
        <v>1</v>
      </c>
      <c r="G227" s="6"/>
      <c r="I227" s="17" t="str">
        <f t="shared" si="67"/>
        <v>·</v>
      </c>
      <c r="J227" s="18" t="str">
        <f t="shared" si="68"/>
        <v>·</v>
      </c>
      <c r="K227" s="18" t="str">
        <f t="shared" si="69"/>
        <v>·</v>
      </c>
      <c r="L227" s="18" t="str">
        <f t="shared" si="70"/>
        <v>·</v>
      </c>
      <c r="M227" s="19"/>
      <c r="N227" s="18" t="str">
        <f t="shared" si="71"/>
        <v>·</v>
      </c>
      <c r="O227" s="20"/>
      <c r="P227" s="21"/>
      <c r="Q227" s="21"/>
      <c r="R227" s="21"/>
      <c r="S227" s="37"/>
      <c r="T227" s="38"/>
      <c r="U227" s="38"/>
      <c r="V227" s="38"/>
      <c r="W227" s="38"/>
      <c r="X227" s="38"/>
      <c r="Y227" s="39"/>
      <c r="Z227" s="49"/>
      <c r="AA227" s="49"/>
      <c r="AC227" s="17" t="str">
        <f t="shared" si="72"/>
        <v>·</v>
      </c>
      <c r="AD227" s="18" t="str">
        <f t="shared" si="73"/>
        <v>·</v>
      </c>
      <c r="AE227" s="18" t="str">
        <f t="shared" si="74"/>
        <v>·</v>
      </c>
      <c r="AF227" s="18" t="str">
        <f t="shared" si="75"/>
        <v>·</v>
      </c>
      <c r="AG227" s="19"/>
      <c r="AH227" s="18" t="str">
        <f t="shared" si="76"/>
        <v>·</v>
      </c>
      <c r="AI227" s="20"/>
      <c r="AJ227" s="21"/>
      <c r="AK227" s="21"/>
      <c r="AL227" s="21"/>
      <c r="AM227" s="37"/>
      <c r="AN227" s="38"/>
      <c r="AO227" s="38"/>
      <c r="AP227" s="38"/>
      <c r="AQ227" s="38"/>
      <c r="AR227" s="38"/>
      <c r="AS227" s="39"/>
      <c r="AT227" s="49"/>
      <c r="AU227" s="49"/>
      <c r="AW227" s="53" t="e">
        <f t="shared" si="77"/>
        <v>#DIV/0!</v>
      </c>
      <c r="AX227" s="53" t="e">
        <f t="array" ref="AX227">AVERAGE(AK227:AK232/AJ227:AJ232)-AVERAGE(Q227:Q232/P227:P232)</f>
        <v>#DIV/0!</v>
      </c>
      <c r="AZ227" s="54" t="str">
        <f>IF(OR(ISBLANK(Q227:Q232),ISBLANK(AK227:AK232),ISBLANK(T227:T232),ISBLANK(AN227:AN232)),"·",bdRateExtend(Q227:Q232,T227:T232,AK227:AK232,AN227:AN232))</f>
        <v>·</v>
      </c>
      <c r="BA227" s="54" t="str">
        <f>IF(OR(ISBLANK(Q227:Q232),ISBLANK(AK227:AK232),ISBLANK(U227:U232),ISBLANK(AO227:AO232)),"·",bdRateExtend(Q227:Q232,U227:U232,AK227:AK232,AO227:AO232))</f>
        <v>·</v>
      </c>
      <c r="BB227" s="54" t="str">
        <f>IF(OR(ISBLANK(R227:R232),ISBLANK(AL227:AL232),ISBLANK(V227:V232),ISBLANK(AP227:AP232)),"·",bdRateExtend(R227:R232,V227:V232,AL227:AL232,AP227:AP232))</f>
        <v>·</v>
      </c>
      <c r="BC227" s="54" t="str">
        <f>IF(OR(ISBLANK(R227:R232),ISBLANK(AL227:AL232),ISBLANK(W227:W232),ISBLANK(AQ227:AQ232)),"·",bdRateExtend(R227:R232,W227:W232,AL227:AL232,AQ227:AQ232))</f>
        <v>·</v>
      </c>
      <c r="BD227" s="54" t="str">
        <f>IF(OR(ISBLANK(R227:R232),ISBLANK(AL227:AL232),ISBLANK(X227:X232),ISBLANK(AR227:AR232)),"·",bdRateExtend(R227:R232,X227:X232,AL227:AL232,AR227:AR232))</f>
        <v>·</v>
      </c>
      <c r="BE227" s="61"/>
      <c r="BG227" s="54" t="str">
        <f>IF(OR(ISBLANK(P227:P232),ISBLANK(AJ227:AJ232),ISBLANK(T227:T232),ISBLANK(AN227:AN232)),"·",bdRateExtend(P227:P232,T227:T232,AJ227:AJ232,AN227:AN232))</f>
        <v>·</v>
      </c>
      <c r="BH227" s="54" t="str">
        <f>IF(OR(ISBLANK(P227:P232),ISBLANK(AJ227:AJ232),ISBLANK(U227:U232),ISBLANK(AO227:AO232)),"·",bdRateExtend(P227:P232,U227:U232,AJ227:AJ232,AO227:AO232))</f>
        <v>·</v>
      </c>
      <c r="BI227" s="54" t="str">
        <f>IF(OR(ISBLANK(P227:P232),ISBLANK(AJ227:AJ232),ISBLANK(V227:V232),ISBLANK(AP227:AP232)),"·",bdRateExtend(P227:P232,V227:V232,AJ227:AJ232,AP227:AP232))</f>
        <v>·</v>
      </c>
      <c r="BJ227" s="54" t="str">
        <f>IF(OR(ISBLANK(P227:P232),ISBLANK(AJ227:AJ232),ISBLANK(W227:W232),ISBLANK(AQ227:AQ232)),"·",bdRateExtend(P227:P232,W227:W232,AJ227:AJ232,AQ227:AQ232))</f>
        <v>·</v>
      </c>
      <c r="BK227" s="54" t="str">
        <f>IF(OR(ISBLANK(P227:P232),ISBLANK(AJ227:AJ232),ISBLANK(X227:X232),ISBLANK(AR227:AR232)),"·",bdRateExtend(P227:P232,X227:X232,AJ227:AJ232,AR227:AR232))</f>
        <v>·</v>
      </c>
      <c r="BL227" s="61"/>
      <c r="BN227">
        <f t="shared" si="78"/>
        <v>0</v>
      </c>
      <c r="BO227">
        <f t="shared" si="79"/>
        <v>0</v>
      </c>
      <c r="BP227">
        <f t="shared" si="80"/>
        <v>0</v>
      </c>
      <c r="BQ227">
        <f t="shared" si="81"/>
        <v>0</v>
      </c>
      <c r="BR227">
        <f t="shared" si="82"/>
        <v>0</v>
      </c>
      <c r="BS227">
        <f t="shared" si="83"/>
        <v>0</v>
      </c>
      <c r="BT227">
        <f t="shared" si="84"/>
        <v>0</v>
      </c>
      <c r="BU227">
        <f t="shared" si="85"/>
        <v>0</v>
      </c>
      <c r="BV227">
        <f t="shared" si="86"/>
        <v>0</v>
      </c>
      <c r="BW227">
        <f t="shared" si="87"/>
        <v>0</v>
      </c>
      <c r="BX227">
        <f t="shared" si="88"/>
        <v>0</v>
      </c>
    </row>
    <row r="228" spans="1:76" outlineLevel="1" x14ac:dyDescent="0.15">
      <c r="A228" s="8"/>
      <c r="B228" s="8" t="s">
        <v>165</v>
      </c>
      <c r="C228" s="9" t="s">
        <v>255</v>
      </c>
      <c r="D228" s="8">
        <v>47062002</v>
      </c>
      <c r="E228" s="10">
        <v>16</v>
      </c>
      <c r="F228" s="9">
        <v>1</v>
      </c>
      <c r="G228" s="9"/>
      <c r="I228" s="22" t="str">
        <f t="shared" si="67"/>
        <v>·</v>
      </c>
      <c r="J228" s="23" t="str">
        <f t="shared" si="68"/>
        <v>·</v>
      </c>
      <c r="K228" s="23" t="str">
        <f t="shared" si="69"/>
        <v>·</v>
      </c>
      <c r="L228" s="23" t="str">
        <f t="shared" si="70"/>
        <v>·</v>
      </c>
      <c r="M228" s="24"/>
      <c r="N228" s="23" t="str">
        <f t="shared" si="71"/>
        <v>·</v>
      </c>
      <c r="O228" s="25"/>
      <c r="P228" s="26"/>
      <c r="Q228" s="26"/>
      <c r="R228" s="26"/>
      <c r="S228" s="40"/>
      <c r="T228" s="41"/>
      <c r="U228" s="41"/>
      <c r="V228" s="41"/>
      <c r="W228" s="41"/>
      <c r="X228" s="41"/>
      <c r="Y228" s="42"/>
      <c r="Z228" s="50"/>
      <c r="AA228" s="50"/>
      <c r="AC228" s="22" t="str">
        <f t="shared" si="72"/>
        <v>·</v>
      </c>
      <c r="AD228" s="23" t="str">
        <f t="shared" si="73"/>
        <v>·</v>
      </c>
      <c r="AE228" s="23" t="str">
        <f t="shared" si="74"/>
        <v>·</v>
      </c>
      <c r="AF228" s="23" t="str">
        <f t="shared" si="75"/>
        <v>·</v>
      </c>
      <c r="AG228" s="24"/>
      <c r="AH228" s="23" t="str">
        <f t="shared" si="76"/>
        <v>·</v>
      </c>
      <c r="AI228" s="25"/>
      <c r="AJ228" s="26"/>
      <c r="AK228" s="26"/>
      <c r="AL228" s="26"/>
      <c r="AM228" s="40"/>
      <c r="AN228" s="41"/>
      <c r="AO228" s="41"/>
      <c r="AP228" s="41"/>
      <c r="AQ228" s="41"/>
      <c r="AR228" s="41"/>
      <c r="AS228" s="42"/>
      <c r="AT228" s="50"/>
      <c r="AU228" s="50"/>
      <c r="AW228" s="55" t="e">
        <f t="shared" si="77"/>
        <v>#DIV/0!</v>
      </c>
      <c r="AX228" s="55"/>
      <c r="AZ228" s="56"/>
      <c r="BA228" s="56"/>
      <c r="BB228" s="56"/>
      <c r="BC228" s="56"/>
      <c r="BD228" s="56"/>
      <c r="BE228" s="62"/>
      <c r="BG228" s="56"/>
      <c r="BH228" s="56"/>
      <c r="BI228" s="56"/>
      <c r="BJ228" s="56"/>
      <c r="BK228" s="56"/>
      <c r="BL228" s="62"/>
      <c r="BN228">
        <f t="shared" si="78"/>
        <v>0</v>
      </c>
      <c r="BO228">
        <f t="shared" si="79"/>
        <v>0</v>
      </c>
      <c r="BP228">
        <f t="shared" si="80"/>
        <v>0</v>
      </c>
      <c r="BQ228">
        <f t="shared" si="81"/>
        <v>0</v>
      </c>
      <c r="BR228">
        <f t="shared" si="82"/>
        <v>0</v>
      </c>
      <c r="BS228">
        <f t="shared" si="83"/>
        <v>0</v>
      </c>
      <c r="BT228">
        <f t="shared" si="84"/>
        <v>0</v>
      </c>
      <c r="BU228">
        <f t="shared" si="85"/>
        <v>0</v>
      </c>
      <c r="BV228">
        <f t="shared" si="86"/>
        <v>0</v>
      </c>
      <c r="BW228">
        <f t="shared" si="87"/>
        <v>0</v>
      </c>
      <c r="BX228">
        <f t="shared" si="88"/>
        <v>0</v>
      </c>
    </row>
    <row r="229" spans="1:76" outlineLevel="1" x14ac:dyDescent="0.15">
      <c r="A229" s="5"/>
      <c r="B229" s="5" t="s">
        <v>165</v>
      </c>
      <c r="C229" s="6" t="s">
        <v>256</v>
      </c>
      <c r="D229" s="5">
        <v>47062002</v>
      </c>
      <c r="E229" s="7">
        <v>16</v>
      </c>
      <c r="F229" s="6">
        <v>1</v>
      </c>
      <c r="G229" s="6"/>
      <c r="I229" s="17" t="str">
        <f t="shared" si="67"/>
        <v>·</v>
      </c>
      <c r="J229" s="18" t="str">
        <f t="shared" si="68"/>
        <v>·</v>
      </c>
      <c r="K229" s="18" t="str">
        <f t="shared" si="69"/>
        <v>·</v>
      </c>
      <c r="L229" s="18" t="str">
        <f t="shared" si="70"/>
        <v>·</v>
      </c>
      <c r="M229" s="19"/>
      <c r="N229" s="18" t="str">
        <f t="shared" si="71"/>
        <v>·</v>
      </c>
      <c r="O229" s="20"/>
      <c r="P229" s="21"/>
      <c r="Q229" s="21"/>
      <c r="R229" s="21"/>
      <c r="S229" s="37"/>
      <c r="T229" s="38"/>
      <c r="U229" s="38"/>
      <c r="V229" s="38"/>
      <c r="W229" s="38"/>
      <c r="X229" s="38"/>
      <c r="Y229" s="39"/>
      <c r="Z229" s="49"/>
      <c r="AA229" s="49"/>
      <c r="AC229" s="17" t="str">
        <f t="shared" si="72"/>
        <v>·</v>
      </c>
      <c r="AD229" s="18" t="str">
        <f t="shared" si="73"/>
        <v>·</v>
      </c>
      <c r="AE229" s="18" t="str">
        <f t="shared" si="74"/>
        <v>·</v>
      </c>
      <c r="AF229" s="18" t="str">
        <f t="shared" si="75"/>
        <v>·</v>
      </c>
      <c r="AG229" s="19"/>
      <c r="AH229" s="18" t="str">
        <f t="shared" si="76"/>
        <v>·</v>
      </c>
      <c r="AI229" s="20"/>
      <c r="AJ229" s="21"/>
      <c r="AK229" s="21"/>
      <c r="AL229" s="21"/>
      <c r="AM229" s="37"/>
      <c r="AN229" s="38"/>
      <c r="AO229" s="38"/>
      <c r="AP229" s="38"/>
      <c r="AQ229" s="38"/>
      <c r="AR229" s="38"/>
      <c r="AS229" s="39"/>
      <c r="AT229" s="49"/>
      <c r="AU229" s="49"/>
      <c r="AW229" s="53" t="e">
        <f t="shared" si="77"/>
        <v>#DIV/0!</v>
      </c>
      <c r="AX229" s="53"/>
      <c r="AZ229" s="54"/>
      <c r="BA229" s="54"/>
      <c r="BB229" s="54"/>
      <c r="BC229" s="54"/>
      <c r="BD229" s="54"/>
      <c r="BE229" s="61"/>
      <c r="BG229" s="54"/>
      <c r="BH229" s="54"/>
      <c r="BI229" s="54"/>
      <c r="BJ229" s="54"/>
      <c r="BK229" s="54"/>
      <c r="BL229" s="61"/>
      <c r="BN229">
        <f t="shared" si="78"/>
        <v>0</v>
      </c>
      <c r="BO229">
        <f t="shared" si="79"/>
        <v>0</v>
      </c>
      <c r="BP229">
        <f t="shared" si="80"/>
        <v>0</v>
      </c>
      <c r="BQ229">
        <f t="shared" si="81"/>
        <v>0</v>
      </c>
      <c r="BR229">
        <f t="shared" si="82"/>
        <v>0</v>
      </c>
      <c r="BS229">
        <f t="shared" si="83"/>
        <v>0</v>
      </c>
      <c r="BT229">
        <f t="shared" si="84"/>
        <v>0</v>
      </c>
      <c r="BU229">
        <f t="shared" si="85"/>
        <v>0</v>
      </c>
      <c r="BV229">
        <f t="shared" si="86"/>
        <v>0</v>
      </c>
      <c r="BW229">
        <f t="shared" si="87"/>
        <v>0</v>
      </c>
      <c r="BX229">
        <f t="shared" si="88"/>
        <v>0</v>
      </c>
    </row>
    <row r="230" spans="1:76" outlineLevel="1" x14ac:dyDescent="0.15">
      <c r="A230" s="8"/>
      <c r="B230" s="8" t="s">
        <v>165</v>
      </c>
      <c r="C230" s="9" t="s">
        <v>257</v>
      </c>
      <c r="D230" s="8">
        <v>47062002</v>
      </c>
      <c r="E230" s="10">
        <v>16</v>
      </c>
      <c r="F230" s="9">
        <v>1</v>
      </c>
      <c r="G230" s="9"/>
      <c r="I230" s="22" t="str">
        <f t="shared" si="67"/>
        <v>·</v>
      </c>
      <c r="J230" s="23" t="str">
        <f t="shared" si="68"/>
        <v>·</v>
      </c>
      <c r="K230" s="23" t="str">
        <f t="shared" si="69"/>
        <v>·</v>
      </c>
      <c r="L230" s="23" t="str">
        <f t="shared" si="70"/>
        <v>·</v>
      </c>
      <c r="M230" s="24"/>
      <c r="N230" s="23" t="str">
        <f t="shared" si="71"/>
        <v>·</v>
      </c>
      <c r="O230" s="25"/>
      <c r="P230" s="26"/>
      <c r="Q230" s="26"/>
      <c r="R230" s="26"/>
      <c r="S230" s="40"/>
      <c r="T230" s="41"/>
      <c r="U230" s="41"/>
      <c r="V230" s="41"/>
      <c r="W230" s="41"/>
      <c r="X230" s="41"/>
      <c r="Y230" s="42"/>
      <c r="Z230" s="50"/>
      <c r="AA230" s="50"/>
      <c r="AC230" s="22" t="str">
        <f t="shared" si="72"/>
        <v>·</v>
      </c>
      <c r="AD230" s="23" t="str">
        <f t="shared" si="73"/>
        <v>·</v>
      </c>
      <c r="AE230" s="23" t="str">
        <f t="shared" si="74"/>
        <v>·</v>
      </c>
      <c r="AF230" s="23" t="str">
        <f t="shared" si="75"/>
        <v>·</v>
      </c>
      <c r="AG230" s="24"/>
      <c r="AH230" s="23" t="str">
        <f t="shared" si="76"/>
        <v>·</v>
      </c>
      <c r="AI230" s="25"/>
      <c r="AJ230" s="26"/>
      <c r="AK230" s="26"/>
      <c r="AL230" s="26"/>
      <c r="AM230" s="40"/>
      <c r="AN230" s="41"/>
      <c r="AO230" s="41"/>
      <c r="AP230" s="41"/>
      <c r="AQ230" s="41"/>
      <c r="AR230" s="41"/>
      <c r="AS230" s="42"/>
      <c r="AT230" s="50"/>
      <c r="AU230" s="50"/>
      <c r="AW230" s="55" t="e">
        <f t="shared" si="77"/>
        <v>#DIV/0!</v>
      </c>
      <c r="AX230" s="55"/>
      <c r="AZ230" s="56"/>
      <c r="BA230" s="56"/>
      <c r="BB230" s="56"/>
      <c r="BC230" s="56"/>
      <c r="BD230" s="56"/>
      <c r="BE230" s="62"/>
      <c r="BG230" s="56"/>
      <c r="BH230" s="56"/>
      <c r="BI230" s="56"/>
      <c r="BJ230" s="56"/>
      <c r="BK230" s="56"/>
      <c r="BL230" s="62"/>
      <c r="BN230">
        <f t="shared" si="78"/>
        <v>0</v>
      </c>
      <c r="BO230">
        <f t="shared" si="79"/>
        <v>0</v>
      </c>
      <c r="BP230">
        <f t="shared" si="80"/>
        <v>0</v>
      </c>
      <c r="BQ230">
        <f t="shared" si="81"/>
        <v>0</v>
      </c>
      <c r="BR230">
        <f t="shared" si="82"/>
        <v>0</v>
      </c>
      <c r="BS230">
        <f t="shared" si="83"/>
        <v>0</v>
      </c>
      <c r="BT230">
        <f t="shared" si="84"/>
        <v>0</v>
      </c>
      <c r="BU230">
        <f t="shared" si="85"/>
        <v>0</v>
      </c>
      <c r="BV230">
        <f t="shared" si="86"/>
        <v>0</v>
      </c>
      <c r="BW230">
        <f t="shared" si="87"/>
        <v>0</v>
      </c>
      <c r="BX230">
        <f t="shared" si="88"/>
        <v>0</v>
      </c>
    </row>
    <row r="231" spans="1:76" outlineLevel="1" x14ac:dyDescent="0.15">
      <c r="A231" s="5"/>
      <c r="B231" s="5" t="s">
        <v>165</v>
      </c>
      <c r="C231" s="6" t="s">
        <v>258</v>
      </c>
      <c r="D231" s="5">
        <v>47062002</v>
      </c>
      <c r="E231" s="7">
        <v>16</v>
      </c>
      <c r="F231" s="6">
        <v>1</v>
      </c>
      <c r="G231" s="6"/>
      <c r="I231" s="17" t="str">
        <f t="shared" si="67"/>
        <v>·</v>
      </c>
      <c r="J231" s="18" t="str">
        <f t="shared" si="68"/>
        <v>·</v>
      </c>
      <c r="K231" s="18" t="str">
        <f t="shared" si="69"/>
        <v>·</v>
      </c>
      <c r="L231" s="18" t="str">
        <f t="shared" si="70"/>
        <v>·</v>
      </c>
      <c r="M231" s="19"/>
      <c r="N231" s="18" t="str">
        <f t="shared" si="71"/>
        <v>·</v>
      </c>
      <c r="O231" s="20"/>
      <c r="P231" s="21"/>
      <c r="Q231" s="21"/>
      <c r="R231" s="21"/>
      <c r="S231" s="37"/>
      <c r="T231" s="38"/>
      <c r="U231" s="38"/>
      <c r="V231" s="38"/>
      <c r="W231" s="38"/>
      <c r="X231" s="38"/>
      <c r="Y231" s="39"/>
      <c r="Z231" s="49"/>
      <c r="AA231" s="49"/>
      <c r="AC231" s="17" t="str">
        <f t="shared" si="72"/>
        <v>·</v>
      </c>
      <c r="AD231" s="18" t="str">
        <f t="shared" si="73"/>
        <v>·</v>
      </c>
      <c r="AE231" s="18" t="str">
        <f t="shared" si="74"/>
        <v>·</v>
      </c>
      <c r="AF231" s="18" t="str">
        <f t="shared" si="75"/>
        <v>·</v>
      </c>
      <c r="AG231" s="19"/>
      <c r="AH231" s="18" t="str">
        <f t="shared" si="76"/>
        <v>·</v>
      </c>
      <c r="AI231" s="20"/>
      <c r="AJ231" s="21"/>
      <c r="AK231" s="21"/>
      <c r="AL231" s="21"/>
      <c r="AM231" s="37"/>
      <c r="AN231" s="38"/>
      <c r="AO231" s="38"/>
      <c r="AP231" s="38"/>
      <c r="AQ231" s="38"/>
      <c r="AR231" s="38"/>
      <c r="AS231" s="39"/>
      <c r="AT231" s="49"/>
      <c r="AU231" s="49"/>
      <c r="AW231" s="53" t="e">
        <f t="shared" si="77"/>
        <v>#DIV/0!</v>
      </c>
      <c r="AX231" s="53"/>
      <c r="AZ231" s="54"/>
      <c r="BA231" s="54"/>
      <c r="BB231" s="54"/>
      <c r="BC231" s="54"/>
      <c r="BD231" s="54"/>
      <c r="BE231" s="61"/>
      <c r="BG231" s="54"/>
      <c r="BH231" s="54"/>
      <c r="BI231" s="54"/>
      <c r="BJ231" s="54"/>
      <c r="BK231" s="54"/>
      <c r="BL231" s="61"/>
      <c r="BN231">
        <f t="shared" si="78"/>
        <v>0</v>
      </c>
      <c r="BO231">
        <f t="shared" si="79"/>
        <v>0</v>
      </c>
      <c r="BP231">
        <f t="shared" si="80"/>
        <v>0</v>
      </c>
      <c r="BQ231">
        <f t="shared" si="81"/>
        <v>0</v>
      </c>
      <c r="BR231">
        <f t="shared" si="82"/>
        <v>0</v>
      </c>
      <c r="BS231">
        <f t="shared" si="83"/>
        <v>0</v>
      </c>
      <c r="BT231">
        <f t="shared" si="84"/>
        <v>0</v>
      </c>
      <c r="BU231">
        <f t="shared" si="85"/>
        <v>0</v>
      </c>
      <c r="BV231">
        <f t="shared" si="86"/>
        <v>0</v>
      </c>
      <c r="BW231">
        <f t="shared" si="87"/>
        <v>0</v>
      </c>
      <c r="BX231">
        <f t="shared" si="88"/>
        <v>0</v>
      </c>
    </row>
    <row r="232" spans="1:76" outlineLevel="1" x14ac:dyDescent="0.15">
      <c r="A232" s="8"/>
      <c r="B232" s="14" t="s">
        <v>165</v>
      </c>
      <c r="C232" s="15" t="s">
        <v>259</v>
      </c>
      <c r="D232" s="14">
        <v>47062002</v>
      </c>
      <c r="E232" s="16">
        <v>16</v>
      </c>
      <c r="F232" s="15">
        <v>1</v>
      </c>
      <c r="G232" s="15"/>
      <c r="I232" s="32" t="str">
        <f t="shared" si="67"/>
        <v>·</v>
      </c>
      <c r="J232" s="33" t="str">
        <f t="shared" si="68"/>
        <v>·</v>
      </c>
      <c r="K232" s="33" t="str">
        <f t="shared" si="69"/>
        <v>·</v>
      </c>
      <c r="L232" s="33" t="str">
        <f t="shared" si="70"/>
        <v>·</v>
      </c>
      <c r="M232" s="34"/>
      <c r="N232" s="33" t="str">
        <f t="shared" si="71"/>
        <v>·</v>
      </c>
      <c r="O232" s="35"/>
      <c r="P232" s="36"/>
      <c r="Q232" s="36"/>
      <c r="R232" s="36"/>
      <c r="S232" s="46"/>
      <c r="T232" s="47"/>
      <c r="U232" s="47"/>
      <c r="V232" s="47"/>
      <c r="W232" s="47"/>
      <c r="X232" s="47"/>
      <c r="Y232" s="48"/>
      <c r="Z232" s="52"/>
      <c r="AA232" s="52"/>
      <c r="AC232" s="32" t="str">
        <f t="shared" si="72"/>
        <v>·</v>
      </c>
      <c r="AD232" s="33" t="str">
        <f t="shared" si="73"/>
        <v>·</v>
      </c>
      <c r="AE232" s="33" t="str">
        <f t="shared" si="74"/>
        <v>·</v>
      </c>
      <c r="AF232" s="33" t="str">
        <f t="shared" si="75"/>
        <v>·</v>
      </c>
      <c r="AG232" s="34"/>
      <c r="AH232" s="33" t="str">
        <f t="shared" si="76"/>
        <v>·</v>
      </c>
      <c r="AI232" s="35"/>
      <c r="AJ232" s="36"/>
      <c r="AK232" s="36"/>
      <c r="AL232" s="36"/>
      <c r="AM232" s="46"/>
      <c r="AN232" s="47"/>
      <c r="AO232" s="47"/>
      <c r="AP232" s="47"/>
      <c r="AQ232" s="47"/>
      <c r="AR232" s="47"/>
      <c r="AS232" s="48"/>
      <c r="AT232" s="52"/>
      <c r="AU232" s="52"/>
      <c r="AW232" s="59" t="e">
        <f t="shared" si="77"/>
        <v>#DIV/0!</v>
      </c>
      <c r="AX232" s="59"/>
      <c r="AZ232" s="60"/>
      <c r="BA232" s="60"/>
      <c r="BB232" s="60"/>
      <c r="BC232" s="60"/>
      <c r="BD232" s="60"/>
      <c r="BE232" s="64"/>
      <c r="BG232" s="60"/>
      <c r="BH232" s="60"/>
      <c r="BI232" s="60"/>
      <c r="BJ232" s="60"/>
      <c r="BK232" s="60"/>
      <c r="BL232" s="64"/>
      <c r="BN232">
        <f t="shared" si="78"/>
        <v>0</v>
      </c>
      <c r="BO232">
        <f t="shared" si="79"/>
        <v>0</v>
      </c>
      <c r="BP232">
        <f t="shared" si="80"/>
        <v>0</v>
      </c>
      <c r="BQ232">
        <f t="shared" si="81"/>
        <v>0</v>
      </c>
      <c r="BR232">
        <f t="shared" si="82"/>
        <v>0</v>
      </c>
      <c r="BS232">
        <f t="shared" si="83"/>
        <v>0</v>
      </c>
      <c r="BT232">
        <f t="shared" si="84"/>
        <v>0</v>
      </c>
      <c r="BU232">
        <f t="shared" si="85"/>
        <v>0</v>
      </c>
      <c r="BV232">
        <f t="shared" si="86"/>
        <v>0</v>
      </c>
      <c r="BW232">
        <f t="shared" si="87"/>
        <v>0</v>
      </c>
      <c r="BX232">
        <f t="shared" si="88"/>
        <v>0</v>
      </c>
    </row>
    <row r="233" spans="1:76" x14ac:dyDescent="0.15">
      <c r="A233" s="5"/>
      <c r="B233" s="5" t="s">
        <v>166</v>
      </c>
      <c r="C233" s="6" t="s">
        <v>254</v>
      </c>
      <c r="D233" s="5">
        <v>47062018</v>
      </c>
      <c r="E233" s="7">
        <v>20</v>
      </c>
      <c r="F233" s="6">
        <v>1</v>
      </c>
      <c r="G233" s="6"/>
      <c r="I233" s="17" t="str">
        <f t="shared" si="67"/>
        <v>·</v>
      </c>
      <c r="J233" s="18" t="str">
        <f t="shared" si="68"/>
        <v>·</v>
      </c>
      <c r="K233" s="18" t="str">
        <f t="shared" si="69"/>
        <v>·</v>
      </c>
      <c r="L233" s="18" t="str">
        <f t="shared" si="70"/>
        <v>·</v>
      </c>
      <c r="M233" s="19"/>
      <c r="N233" s="18" t="str">
        <f t="shared" si="71"/>
        <v>·</v>
      </c>
      <c r="O233" s="20"/>
      <c r="P233" s="21"/>
      <c r="Q233" s="21"/>
      <c r="R233" s="21"/>
      <c r="S233" s="37"/>
      <c r="T233" s="38"/>
      <c r="U233" s="38"/>
      <c r="V233" s="38"/>
      <c r="W233" s="38"/>
      <c r="X233" s="38"/>
      <c r="Y233" s="39"/>
      <c r="Z233" s="49"/>
      <c r="AA233" s="49"/>
      <c r="AC233" s="17" t="str">
        <f t="shared" si="72"/>
        <v>·</v>
      </c>
      <c r="AD233" s="18" t="str">
        <f t="shared" si="73"/>
        <v>·</v>
      </c>
      <c r="AE233" s="18" t="str">
        <f t="shared" si="74"/>
        <v>·</v>
      </c>
      <c r="AF233" s="18" t="str">
        <f t="shared" si="75"/>
        <v>·</v>
      </c>
      <c r="AG233" s="19"/>
      <c r="AH233" s="18" t="str">
        <f t="shared" si="76"/>
        <v>·</v>
      </c>
      <c r="AI233" s="20"/>
      <c r="AJ233" s="21"/>
      <c r="AK233" s="21"/>
      <c r="AL233" s="21"/>
      <c r="AM233" s="37"/>
      <c r="AN233" s="38"/>
      <c r="AO233" s="38"/>
      <c r="AP233" s="38"/>
      <c r="AQ233" s="38"/>
      <c r="AR233" s="38"/>
      <c r="AS233" s="39"/>
      <c r="AT233" s="49"/>
      <c r="AU233" s="49"/>
      <c r="AW233" s="53" t="e">
        <f t="shared" si="77"/>
        <v>#DIV/0!</v>
      </c>
      <c r="AX233" s="53" t="e">
        <f t="array" ref="AX233">AVERAGE(AK233:AK238/AJ233:AJ238)-AVERAGE(Q233:Q238/P233:P238)</f>
        <v>#DIV/0!</v>
      </c>
      <c r="AZ233" s="54" t="str">
        <f>IF(OR(ISBLANK(Q233:Q238),ISBLANK(AK233:AK238),ISBLANK(T233:T238),ISBLANK(AN233:AN238)),"·",bdRateExtend(Q233:Q238,T233:T238,AK233:AK238,AN233:AN238))</f>
        <v>·</v>
      </c>
      <c r="BA233" s="54" t="str">
        <f>IF(OR(ISBLANK(Q233:Q238),ISBLANK(AK233:AK238),ISBLANK(U233:U238),ISBLANK(AO233:AO238)),"·",bdRateExtend(Q233:Q238,U233:U238,AK233:AK238,AO233:AO238))</f>
        <v>·</v>
      </c>
      <c r="BB233" s="54" t="str">
        <f>IF(OR(ISBLANK(R233:R238),ISBLANK(AL233:AL238),ISBLANK(V233:V238),ISBLANK(AP233:AP238)),"·",bdRateExtend(R233:R238,V233:V238,AL233:AL238,AP233:AP238))</f>
        <v>·</v>
      </c>
      <c r="BC233" s="54" t="str">
        <f>IF(OR(ISBLANK(R233:R238),ISBLANK(AL233:AL238),ISBLANK(W233:W238),ISBLANK(AQ233:AQ238)),"·",bdRateExtend(R233:R238,W233:W238,AL233:AL238,AQ233:AQ238))</f>
        <v>·</v>
      </c>
      <c r="BD233" s="54" t="str">
        <f>IF(OR(ISBLANK(R233:R238),ISBLANK(AL233:AL238),ISBLANK(X233:X238),ISBLANK(AR233:AR238)),"·",bdRateExtend(R233:R238,X233:X238,AL233:AL238,AR233:AR238))</f>
        <v>·</v>
      </c>
      <c r="BE233" s="61"/>
      <c r="BG233" s="54" t="str">
        <f>IF(OR(ISBLANK(P233:P238),ISBLANK(AJ233:AJ238),ISBLANK(T233:T238),ISBLANK(AN233:AN238)),"·",bdRateExtend(P233:P238,T233:T238,AJ233:AJ238,AN233:AN238))</f>
        <v>·</v>
      </c>
      <c r="BH233" s="54" t="str">
        <f>IF(OR(ISBLANK(P233:P238),ISBLANK(AJ233:AJ238),ISBLANK(U233:U238),ISBLANK(AO233:AO238)),"·",bdRateExtend(P233:P238,U233:U238,AJ233:AJ238,AO233:AO238))</f>
        <v>·</v>
      </c>
      <c r="BI233" s="54" t="str">
        <f>IF(OR(ISBLANK(P233:P238),ISBLANK(AJ233:AJ238),ISBLANK(V233:V238),ISBLANK(AP233:AP238)),"·",bdRateExtend(P233:P238,V233:V238,AJ233:AJ238,AP233:AP238))</f>
        <v>·</v>
      </c>
      <c r="BJ233" s="54" t="str">
        <f>IF(OR(ISBLANK(P233:P238),ISBLANK(AJ233:AJ238),ISBLANK(W233:W238),ISBLANK(AQ233:AQ238)),"·",bdRateExtend(P233:P238,W233:W238,AJ233:AJ238,AQ233:AQ238))</f>
        <v>·</v>
      </c>
      <c r="BK233" s="54" t="str">
        <f>IF(OR(ISBLANK(P233:P238),ISBLANK(AJ233:AJ238),ISBLANK(X233:X238),ISBLANK(AR233:AR238)),"·",bdRateExtend(P233:P238,X233:X238,AJ233:AJ238,AR233:AR238))</f>
        <v>·</v>
      </c>
      <c r="BL233" s="61"/>
      <c r="BN233">
        <f t="shared" si="78"/>
        <v>0</v>
      </c>
      <c r="BO233">
        <f t="shared" si="79"/>
        <v>0</v>
      </c>
      <c r="BP233">
        <f t="shared" si="80"/>
        <v>0</v>
      </c>
      <c r="BQ233">
        <f t="shared" si="81"/>
        <v>0</v>
      </c>
      <c r="BR233">
        <f t="shared" si="82"/>
        <v>0</v>
      </c>
      <c r="BS233">
        <f t="shared" si="83"/>
        <v>0</v>
      </c>
      <c r="BT233">
        <f t="shared" si="84"/>
        <v>0</v>
      </c>
      <c r="BU233">
        <f t="shared" si="85"/>
        <v>0</v>
      </c>
      <c r="BV233">
        <f t="shared" si="86"/>
        <v>0</v>
      </c>
      <c r="BW233">
        <f t="shared" si="87"/>
        <v>0</v>
      </c>
      <c r="BX233">
        <f t="shared" si="88"/>
        <v>0</v>
      </c>
    </row>
    <row r="234" spans="1:76" outlineLevel="1" x14ac:dyDescent="0.15">
      <c r="A234" s="8"/>
      <c r="B234" s="8" t="s">
        <v>166</v>
      </c>
      <c r="C234" s="9" t="s">
        <v>255</v>
      </c>
      <c r="D234" s="8">
        <v>47062018</v>
      </c>
      <c r="E234" s="10">
        <v>20</v>
      </c>
      <c r="F234" s="9">
        <v>1</v>
      </c>
      <c r="G234" s="9"/>
      <c r="I234" s="22" t="str">
        <f t="shared" si="67"/>
        <v>·</v>
      </c>
      <c r="J234" s="23" t="str">
        <f t="shared" si="68"/>
        <v>·</v>
      </c>
      <c r="K234" s="23" t="str">
        <f t="shared" si="69"/>
        <v>·</v>
      </c>
      <c r="L234" s="23" t="str">
        <f t="shared" si="70"/>
        <v>·</v>
      </c>
      <c r="M234" s="24"/>
      <c r="N234" s="23" t="str">
        <f t="shared" si="71"/>
        <v>·</v>
      </c>
      <c r="O234" s="25"/>
      <c r="P234" s="26"/>
      <c r="Q234" s="26"/>
      <c r="R234" s="26"/>
      <c r="S234" s="40"/>
      <c r="T234" s="41"/>
      <c r="U234" s="41"/>
      <c r="V234" s="41"/>
      <c r="W234" s="41"/>
      <c r="X234" s="41"/>
      <c r="Y234" s="42"/>
      <c r="Z234" s="50"/>
      <c r="AA234" s="50"/>
      <c r="AC234" s="22" t="str">
        <f t="shared" si="72"/>
        <v>·</v>
      </c>
      <c r="AD234" s="23" t="str">
        <f t="shared" si="73"/>
        <v>·</v>
      </c>
      <c r="AE234" s="23" t="str">
        <f t="shared" si="74"/>
        <v>·</v>
      </c>
      <c r="AF234" s="23" t="str">
        <f t="shared" si="75"/>
        <v>·</v>
      </c>
      <c r="AG234" s="24"/>
      <c r="AH234" s="23" t="str">
        <f t="shared" si="76"/>
        <v>·</v>
      </c>
      <c r="AI234" s="25"/>
      <c r="AJ234" s="26"/>
      <c r="AK234" s="26"/>
      <c r="AL234" s="26"/>
      <c r="AM234" s="40"/>
      <c r="AN234" s="41"/>
      <c r="AO234" s="41"/>
      <c r="AP234" s="41"/>
      <c r="AQ234" s="41"/>
      <c r="AR234" s="41"/>
      <c r="AS234" s="42"/>
      <c r="AT234" s="50"/>
      <c r="AU234" s="50"/>
      <c r="AW234" s="55" t="e">
        <f t="shared" si="77"/>
        <v>#DIV/0!</v>
      </c>
      <c r="AX234" s="55"/>
      <c r="AZ234" s="56"/>
      <c r="BA234" s="56"/>
      <c r="BB234" s="56"/>
      <c r="BC234" s="56"/>
      <c r="BD234" s="56"/>
      <c r="BE234" s="62"/>
      <c r="BG234" s="56"/>
      <c r="BH234" s="56"/>
      <c r="BI234" s="56"/>
      <c r="BJ234" s="56"/>
      <c r="BK234" s="56"/>
      <c r="BL234" s="62"/>
      <c r="BN234">
        <f t="shared" si="78"/>
        <v>0</v>
      </c>
      <c r="BO234">
        <f t="shared" si="79"/>
        <v>0</v>
      </c>
      <c r="BP234">
        <f t="shared" si="80"/>
        <v>0</v>
      </c>
      <c r="BQ234">
        <f t="shared" si="81"/>
        <v>0</v>
      </c>
      <c r="BR234">
        <f t="shared" si="82"/>
        <v>0</v>
      </c>
      <c r="BS234">
        <f t="shared" si="83"/>
        <v>0</v>
      </c>
      <c r="BT234">
        <f t="shared" si="84"/>
        <v>0</v>
      </c>
      <c r="BU234">
        <f t="shared" si="85"/>
        <v>0</v>
      </c>
      <c r="BV234">
        <f t="shared" si="86"/>
        <v>0</v>
      </c>
      <c r="BW234">
        <f t="shared" si="87"/>
        <v>0</v>
      </c>
      <c r="BX234">
        <f t="shared" si="88"/>
        <v>0</v>
      </c>
    </row>
    <row r="235" spans="1:76" outlineLevel="1" x14ac:dyDescent="0.15">
      <c r="A235" s="5"/>
      <c r="B235" s="5" t="s">
        <v>166</v>
      </c>
      <c r="C235" s="6" t="s">
        <v>256</v>
      </c>
      <c r="D235" s="5">
        <v>47062018</v>
      </c>
      <c r="E235" s="7">
        <v>20</v>
      </c>
      <c r="F235" s="6">
        <v>1</v>
      </c>
      <c r="G235" s="6"/>
      <c r="I235" s="17" t="str">
        <f t="shared" si="67"/>
        <v>·</v>
      </c>
      <c r="J235" s="18" t="str">
        <f t="shared" si="68"/>
        <v>·</v>
      </c>
      <c r="K235" s="18" t="str">
        <f t="shared" si="69"/>
        <v>·</v>
      </c>
      <c r="L235" s="18" t="str">
        <f t="shared" si="70"/>
        <v>·</v>
      </c>
      <c r="M235" s="19"/>
      <c r="N235" s="18" t="str">
        <f t="shared" si="71"/>
        <v>·</v>
      </c>
      <c r="O235" s="20"/>
      <c r="P235" s="21"/>
      <c r="Q235" s="21"/>
      <c r="R235" s="21"/>
      <c r="S235" s="37"/>
      <c r="T235" s="38"/>
      <c r="U235" s="38"/>
      <c r="V235" s="38"/>
      <c r="W235" s="38"/>
      <c r="X235" s="38"/>
      <c r="Y235" s="39"/>
      <c r="Z235" s="49"/>
      <c r="AA235" s="49"/>
      <c r="AC235" s="17" t="str">
        <f t="shared" si="72"/>
        <v>·</v>
      </c>
      <c r="AD235" s="18" t="str">
        <f t="shared" si="73"/>
        <v>·</v>
      </c>
      <c r="AE235" s="18" t="str">
        <f t="shared" si="74"/>
        <v>·</v>
      </c>
      <c r="AF235" s="18" t="str">
        <f t="shared" si="75"/>
        <v>·</v>
      </c>
      <c r="AG235" s="19"/>
      <c r="AH235" s="18" t="str">
        <f t="shared" si="76"/>
        <v>·</v>
      </c>
      <c r="AI235" s="20"/>
      <c r="AJ235" s="21"/>
      <c r="AK235" s="21"/>
      <c r="AL235" s="21"/>
      <c r="AM235" s="37"/>
      <c r="AN235" s="38"/>
      <c r="AO235" s="38"/>
      <c r="AP235" s="38"/>
      <c r="AQ235" s="38"/>
      <c r="AR235" s="38"/>
      <c r="AS235" s="39"/>
      <c r="AT235" s="49"/>
      <c r="AU235" s="49"/>
      <c r="AW235" s="53" t="e">
        <f t="shared" si="77"/>
        <v>#DIV/0!</v>
      </c>
      <c r="AX235" s="53"/>
      <c r="AZ235" s="54"/>
      <c r="BA235" s="54"/>
      <c r="BB235" s="54"/>
      <c r="BC235" s="54"/>
      <c r="BD235" s="54"/>
      <c r="BE235" s="61"/>
      <c r="BG235" s="54"/>
      <c r="BH235" s="54"/>
      <c r="BI235" s="54"/>
      <c r="BJ235" s="54"/>
      <c r="BK235" s="54"/>
      <c r="BL235" s="61"/>
      <c r="BN235">
        <f t="shared" si="78"/>
        <v>0</v>
      </c>
      <c r="BO235">
        <f t="shared" si="79"/>
        <v>0</v>
      </c>
      <c r="BP235">
        <f t="shared" si="80"/>
        <v>0</v>
      </c>
      <c r="BQ235">
        <f t="shared" si="81"/>
        <v>0</v>
      </c>
      <c r="BR235">
        <f t="shared" si="82"/>
        <v>0</v>
      </c>
      <c r="BS235">
        <f t="shared" si="83"/>
        <v>0</v>
      </c>
      <c r="BT235">
        <f t="shared" si="84"/>
        <v>0</v>
      </c>
      <c r="BU235">
        <f t="shared" si="85"/>
        <v>0</v>
      </c>
      <c r="BV235">
        <f t="shared" si="86"/>
        <v>0</v>
      </c>
      <c r="BW235">
        <f t="shared" si="87"/>
        <v>0</v>
      </c>
      <c r="BX235">
        <f t="shared" si="88"/>
        <v>0</v>
      </c>
    </row>
    <row r="236" spans="1:76" outlineLevel="1" x14ac:dyDescent="0.15">
      <c r="A236" s="8"/>
      <c r="B236" s="8" t="s">
        <v>166</v>
      </c>
      <c r="C236" s="9" t="s">
        <v>257</v>
      </c>
      <c r="D236" s="8">
        <v>47062018</v>
      </c>
      <c r="E236" s="10">
        <v>20</v>
      </c>
      <c r="F236" s="9">
        <v>1</v>
      </c>
      <c r="G236" s="9"/>
      <c r="I236" s="22" t="str">
        <f t="shared" si="67"/>
        <v>·</v>
      </c>
      <c r="J236" s="23" t="str">
        <f t="shared" si="68"/>
        <v>·</v>
      </c>
      <c r="K236" s="23" t="str">
        <f t="shared" si="69"/>
        <v>·</v>
      </c>
      <c r="L236" s="23" t="str">
        <f t="shared" si="70"/>
        <v>·</v>
      </c>
      <c r="M236" s="24"/>
      <c r="N236" s="23" t="str">
        <f t="shared" si="71"/>
        <v>·</v>
      </c>
      <c r="O236" s="25"/>
      <c r="P236" s="26"/>
      <c r="Q236" s="26"/>
      <c r="R236" s="26"/>
      <c r="S236" s="40"/>
      <c r="T236" s="41"/>
      <c r="U236" s="41"/>
      <c r="V236" s="41"/>
      <c r="W236" s="41"/>
      <c r="X236" s="41"/>
      <c r="Y236" s="42"/>
      <c r="Z236" s="50"/>
      <c r="AA236" s="50"/>
      <c r="AC236" s="22" t="str">
        <f t="shared" si="72"/>
        <v>·</v>
      </c>
      <c r="AD236" s="23" t="str">
        <f t="shared" si="73"/>
        <v>·</v>
      </c>
      <c r="AE236" s="23" t="str">
        <f t="shared" si="74"/>
        <v>·</v>
      </c>
      <c r="AF236" s="23" t="str">
        <f t="shared" si="75"/>
        <v>·</v>
      </c>
      <c r="AG236" s="24"/>
      <c r="AH236" s="23" t="str">
        <f t="shared" si="76"/>
        <v>·</v>
      </c>
      <c r="AI236" s="25"/>
      <c r="AJ236" s="26"/>
      <c r="AK236" s="26"/>
      <c r="AL236" s="26"/>
      <c r="AM236" s="40"/>
      <c r="AN236" s="41"/>
      <c r="AO236" s="41"/>
      <c r="AP236" s="41"/>
      <c r="AQ236" s="41"/>
      <c r="AR236" s="41"/>
      <c r="AS236" s="42"/>
      <c r="AT236" s="50"/>
      <c r="AU236" s="50"/>
      <c r="AW236" s="55" t="e">
        <f t="shared" si="77"/>
        <v>#DIV/0!</v>
      </c>
      <c r="AX236" s="55"/>
      <c r="AZ236" s="56"/>
      <c r="BA236" s="56"/>
      <c r="BB236" s="56"/>
      <c r="BC236" s="56"/>
      <c r="BD236" s="56"/>
      <c r="BE236" s="62"/>
      <c r="BG236" s="56"/>
      <c r="BH236" s="56"/>
      <c r="BI236" s="56"/>
      <c r="BJ236" s="56"/>
      <c r="BK236" s="56"/>
      <c r="BL236" s="62"/>
      <c r="BN236">
        <f t="shared" si="78"/>
        <v>0</v>
      </c>
      <c r="BO236">
        <f t="shared" si="79"/>
        <v>0</v>
      </c>
      <c r="BP236">
        <f t="shared" si="80"/>
        <v>0</v>
      </c>
      <c r="BQ236">
        <f t="shared" si="81"/>
        <v>0</v>
      </c>
      <c r="BR236">
        <f t="shared" si="82"/>
        <v>0</v>
      </c>
      <c r="BS236">
        <f t="shared" si="83"/>
        <v>0</v>
      </c>
      <c r="BT236">
        <f t="shared" si="84"/>
        <v>0</v>
      </c>
      <c r="BU236">
        <f t="shared" si="85"/>
        <v>0</v>
      </c>
      <c r="BV236">
        <f t="shared" si="86"/>
        <v>0</v>
      </c>
      <c r="BW236">
        <f t="shared" si="87"/>
        <v>0</v>
      </c>
      <c r="BX236">
        <f t="shared" si="88"/>
        <v>0</v>
      </c>
    </row>
    <row r="237" spans="1:76" outlineLevel="1" x14ac:dyDescent="0.15">
      <c r="A237" s="5"/>
      <c r="B237" s="5" t="s">
        <v>166</v>
      </c>
      <c r="C237" s="6" t="s">
        <v>258</v>
      </c>
      <c r="D237" s="5">
        <v>47062018</v>
      </c>
      <c r="E237" s="7">
        <v>20</v>
      </c>
      <c r="F237" s="6">
        <v>1</v>
      </c>
      <c r="G237" s="6"/>
      <c r="I237" s="17" t="str">
        <f t="shared" si="67"/>
        <v>·</v>
      </c>
      <c r="J237" s="18" t="str">
        <f t="shared" si="68"/>
        <v>·</v>
      </c>
      <c r="K237" s="18" t="str">
        <f t="shared" si="69"/>
        <v>·</v>
      </c>
      <c r="L237" s="18" t="str">
        <f t="shared" si="70"/>
        <v>·</v>
      </c>
      <c r="M237" s="19"/>
      <c r="N237" s="18" t="str">
        <f t="shared" si="71"/>
        <v>·</v>
      </c>
      <c r="O237" s="20"/>
      <c r="P237" s="21"/>
      <c r="Q237" s="21"/>
      <c r="R237" s="21"/>
      <c r="S237" s="37"/>
      <c r="T237" s="38"/>
      <c r="U237" s="38"/>
      <c r="V237" s="38"/>
      <c r="W237" s="38"/>
      <c r="X237" s="38"/>
      <c r="Y237" s="39"/>
      <c r="Z237" s="49"/>
      <c r="AA237" s="49"/>
      <c r="AC237" s="17" t="str">
        <f t="shared" si="72"/>
        <v>·</v>
      </c>
      <c r="AD237" s="18" t="str">
        <f t="shared" si="73"/>
        <v>·</v>
      </c>
      <c r="AE237" s="18" t="str">
        <f t="shared" si="74"/>
        <v>·</v>
      </c>
      <c r="AF237" s="18" t="str">
        <f t="shared" si="75"/>
        <v>·</v>
      </c>
      <c r="AG237" s="19"/>
      <c r="AH237" s="18" t="str">
        <f t="shared" si="76"/>
        <v>·</v>
      </c>
      <c r="AI237" s="20"/>
      <c r="AJ237" s="21"/>
      <c r="AK237" s="21"/>
      <c r="AL237" s="21"/>
      <c r="AM237" s="37"/>
      <c r="AN237" s="38"/>
      <c r="AO237" s="38"/>
      <c r="AP237" s="38"/>
      <c r="AQ237" s="38"/>
      <c r="AR237" s="38"/>
      <c r="AS237" s="39"/>
      <c r="AT237" s="49"/>
      <c r="AU237" s="49"/>
      <c r="AW237" s="53" t="e">
        <f t="shared" si="77"/>
        <v>#DIV/0!</v>
      </c>
      <c r="AX237" s="53"/>
      <c r="AZ237" s="54"/>
      <c r="BA237" s="54"/>
      <c r="BB237" s="54"/>
      <c r="BC237" s="54"/>
      <c r="BD237" s="54"/>
      <c r="BE237" s="61"/>
      <c r="BG237" s="54"/>
      <c r="BH237" s="54"/>
      <c r="BI237" s="54"/>
      <c r="BJ237" s="54"/>
      <c r="BK237" s="54"/>
      <c r="BL237" s="61"/>
      <c r="BN237">
        <f t="shared" si="78"/>
        <v>0</v>
      </c>
      <c r="BO237">
        <f t="shared" si="79"/>
        <v>0</v>
      </c>
      <c r="BP237">
        <f t="shared" si="80"/>
        <v>0</v>
      </c>
      <c r="BQ237">
        <f t="shared" si="81"/>
        <v>0</v>
      </c>
      <c r="BR237">
        <f t="shared" si="82"/>
        <v>0</v>
      </c>
      <c r="BS237">
        <f t="shared" si="83"/>
        <v>0</v>
      </c>
      <c r="BT237">
        <f t="shared" si="84"/>
        <v>0</v>
      </c>
      <c r="BU237">
        <f t="shared" si="85"/>
        <v>0</v>
      </c>
      <c r="BV237">
        <f t="shared" si="86"/>
        <v>0</v>
      </c>
      <c r="BW237">
        <f t="shared" si="87"/>
        <v>0</v>
      </c>
      <c r="BX237">
        <f t="shared" si="88"/>
        <v>0</v>
      </c>
    </row>
    <row r="238" spans="1:76" outlineLevel="1" x14ac:dyDescent="0.15">
      <c r="A238" s="8"/>
      <c r="B238" s="14" t="s">
        <v>166</v>
      </c>
      <c r="C238" s="15" t="s">
        <v>259</v>
      </c>
      <c r="D238" s="14">
        <v>47062018</v>
      </c>
      <c r="E238" s="16">
        <v>20</v>
      </c>
      <c r="F238" s="15">
        <v>1</v>
      </c>
      <c r="G238" s="15"/>
      <c r="I238" s="32" t="str">
        <f t="shared" si="67"/>
        <v>·</v>
      </c>
      <c r="J238" s="33" t="str">
        <f t="shared" si="68"/>
        <v>·</v>
      </c>
      <c r="K238" s="33" t="str">
        <f t="shared" si="69"/>
        <v>·</v>
      </c>
      <c r="L238" s="33" t="str">
        <f t="shared" si="70"/>
        <v>·</v>
      </c>
      <c r="M238" s="34"/>
      <c r="N238" s="33" t="str">
        <f t="shared" si="71"/>
        <v>·</v>
      </c>
      <c r="O238" s="35"/>
      <c r="P238" s="36"/>
      <c r="Q238" s="36"/>
      <c r="R238" s="36"/>
      <c r="S238" s="46"/>
      <c r="T238" s="47"/>
      <c r="U238" s="47"/>
      <c r="V238" s="47"/>
      <c r="W238" s="47"/>
      <c r="X238" s="47"/>
      <c r="Y238" s="48"/>
      <c r="Z238" s="52"/>
      <c r="AA238" s="52"/>
      <c r="AC238" s="32" t="str">
        <f t="shared" si="72"/>
        <v>·</v>
      </c>
      <c r="AD238" s="33" t="str">
        <f t="shared" si="73"/>
        <v>·</v>
      </c>
      <c r="AE238" s="33" t="str">
        <f t="shared" si="74"/>
        <v>·</v>
      </c>
      <c r="AF238" s="33" t="str">
        <f t="shared" si="75"/>
        <v>·</v>
      </c>
      <c r="AG238" s="34"/>
      <c r="AH238" s="33" t="str">
        <f t="shared" si="76"/>
        <v>·</v>
      </c>
      <c r="AI238" s="35"/>
      <c r="AJ238" s="36"/>
      <c r="AK238" s="36"/>
      <c r="AL238" s="36"/>
      <c r="AM238" s="46"/>
      <c r="AN238" s="47"/>
      <c r="AO238" s="47"/>
      <c r="AP238" s="47"/>
      <c r="AQ238" s="47"/>
      <c r="AR238" s="47"/>
      <c r="AS238" s="48"/>
      <c r="AT238" s="52"/>
      <c r="AU238" s="52"/>
      <c r="AW238" s="59" t="e">
        <f t="shared" si="77"/>
        <v>#DIV/0!</v>
      </c>
      <c r="AX238" s="59"/>
      <c r="AZ238" s="60"/>
      <c r="BA238" s="60"/>
      <c r="BB238" s="60"/>
      <c r="BC238" s="60"/>
      <c r="BD238" s="60"/>
      <c r="BE238" s="64"/>
      <c r="BG238" s="60"/>
      <c r="BH238" s="60"/>
      <c r="BI238" s="60"/>
      <c r="BJ238" s="60"/>
      <c r="BK238" s="60"/>
      <c r="BL238" s="64"/>
      <c r="BN238">
        <f t="shared" si="78"/>
        <v>0</v>
      </c>
      <c r="BO238">
        <f t="shared" si="79"/>
        <v>0</v>
      </c>
      <c r="BP238">
        <f t="shared" si="80"/>
        <v>0</v>
      </c>
      <c r="BQ238">
        <f t="shared" si="81"/>
        <v>0</v>
      </c>
      <c r="BR238">
        <f t="shared" si="82"/>
        <v>0</v>
      </c>
      <c r="BS238">
        <f t="shared" si="83"/>
        <v>0</v>
      </c>
      <c r="BT238">
        <f t="shared" si="84"/>
        <v>0</v>
      </c>
      <c r="BU238">
        <f t="shared" si="85"/>
        <v>0</v>
      </c>
      <c r="BV238">
        <f t="shared" si="86"/>
        <v>0</v>
      </c>
      <c r="BW238">
        <f t="shared" si="87"/>
        <v>0</v>
      </c>
      <c r="BX238">
        <f t="shared" si="88"/>
        <v>0</v>
      </c>
    </row>
    <row r="239" spans="1:76" x14ac:dyDescent="0.15">
      <c r="A239" s="5"/>
      <c r="B239" s="5" t="s">
        <v>167</v>
      </c>
      <c r="C239" s="6" t="s">
        <v>254</v>
      </c>
      <c r="D239" s="5">
        <v>43399204</v>
      </c>
      <c r="E239" s="7">
        <v>16</v>
      </c>
      <c r="F239" s="6">
        <v>1</v>
      </c>
      <c r="G239" s="6"/>
      <c r="I239" s="17" t="str">
        <f t="shared" si="67"/>
        <v>·</v>
      </c>
      <c r="J239" s="18" t="str">
        <f t="shared" si="68"/>
        <v>·</v>
      </c>
      <c r="K239" s="18" t="str">
        <f t="shared" si="69"/>
        <v>·</v>
      </c>
      <c r="L239" s="18" t="str">
        <f t="shared" si="70"/>
        <v>·</v>
      </c>
      <c r="M239" s="19"/>
      <c r="N239" s="18" t="str">
        <f t="shared" si="71"/>
        <v>·</v>
      </c>
      <c r="O239" s="20"/>
      <c r="P239" s="21"/>
      <c r="Q239" s="21"/>
      <c r="R239" s="21"/>
      <c r="S239" s="37"/>
      <c r="T239" s="38"/>
      <c r="U239" s="38"/>
      <c r="V239" s="38"/>
      <c r="W239" s="38"/>
      <c r="X239" s="38"/>
      <c r="Y239" s="39"/>
      <c r="Z239" s="49"/>
      <c r="AA239" s="49"/>
      <c r="AC239" s="17" t="str">
        <f t="shared" si="72"/>
        <v>·</v>
      </c>
      <c r="AD239" s="18" t="str">
        <f t="shared" si="73"/>
        <v>·</v>
      </c>
      <c r="AE239" s="18" t="str">
        <f t="shared" si="74"/>
        <v>·</v>
      </c>
      <c r="AF239" s="18" t="str">
        <f t="shared" si="75"/>
        <v>·</v>
      </c>
      <c r="AG239" s="19"/>
      <c r="AH239" s="18" t="str">
        <f t="shared" si="76"/>
        <v>·</v>
      </c>
      <c r="AI239" s="20"/>
      <c r="AJ239" s="21"/>
      <c r="AK239" s="21"/>
      <c r="AL239" s="21"/>
      <c r="AM239" s="37"/>
      <c r="AN239" s="38"/>
      <c r="AO239" s="38"/>
      <c r="AP239" s="38"/>
      <c r="AQ239" s="38"/>
      <c r="AR239" s="38"/>
      <c r="AS239" s="39"/>
      <c r="AT239" s="49"/>
      <c r="AU239" s="49"/>
      <c r="AW239" s="53" t="e">
        <f t="shared" si="77"/>
        <v>#DIV/0!</v>
      </c>
      <c r="AX239" s="53" t="e">
        <f t="array" ref="AX239">AVERAGE(AK239:AK244/AJ239:AJ244)-AVERAGE(Q239:Q244/P239:P244)</f>
        <v>#DIV/0!</v>
      </c>
      <c r="AZ239" s="54" t="str">
        <f>IF(OR(ISBLANK(Q239:Q244),ISBLANK(AK239:AK244),ISBLANK(T239:T244),ISBLANK(AN239:AN244)),"·",bdRateExtend(Q239:Q244,T239:T244,AK239:AK244,AN239:AN244))</f>
        <v>·</v>
      </c>
      <c r="BA239" s="54" t="str">
        <f>IF(OR(ISBLANK(Q239:Q244),ISBLANK(AK239:AK244),ISBLANK(U239:U244),ISBLANK(AO239:AO244)),"·",bdRateExtend(Q239:Q244,U239:U244,AK239:AK244,AO239:AO244))</f>
        <v>·</v>
      </c>
      <c r="BB239" s="54" t="str">
        <f>IF(OR(ISBLANK(R239:R244),ISBLANK(AL239:AL244),ISBLANK(V239:V244),ISBLANK(AP239:AP244)),"·",bdRateExtend(R239:R244,V239:V244,AL239:AL244,AP239:AP244))</f>
        <v>·</v>
      </c>
      <c r="BC239" s="54" t="str">
        <f>IF(OR(ISBLANK(R239:R244),ISBLANK(AL239:AL244),ISBLANK(W239:W244),ISBLANK(AQ239:AQ244)),"·",bdRateExtend(R239:R244,W239:W244,AL239:AL244,AQ239:AQ244))</f>
        <v>·</v>
      </c>
      <c r="BD239" s="54" t="str">
        <f>IF(OR(ISBLANK(R239:R244),ISBLANK(AL239:AL244),ISBLANK(X239:X244),ISBLANK(AR239:AR244)),"·",bdRateExtend(R239:R244,X239:X244,AL239:AL244,AR239:AR244))</f>
        <v>·</v>
      </c>
      <c r="BE239" s="61"/>
      <c r="BG239" s="54" t="str">
        <f>IF(OR(ISBLANK(P239:P244),ISBLANK(AJ239:AJ244),ISBLANK(T239:T244),ISBLANK(AN239:AN244)),"·",bdRateExtend(P239:P244,T239:T244,AJ239:AJ244,AN239:AN244))</f>
        <v>·</v>
      </c>
      <c r="BH239" s="54" t="str">
        <f>IF(OR(ISBLANK(P239:P244),ISBLANK(AJ239:AJ244),ISBLANK(U239:U244),ISBLANK(AO239:AO244)),"·",bdRateExtend(P239:P244,U239:U244,AJ239:AJ244,AO239:AO244))</f>
        <v>·</v>
      </c>
      <c r="BI239" s="54" t="str">
        <f>IF(OR(ISBLANK(P239:P244),ISBLANK(AJ239:AJ244),ISBLANK(V239:V244),ISBLANK(AP239:AP244)),"·",bdRateExtend(P239:P244,V239:V244,AJ239:AJ244,AP239:AP244))</f>
        <v>·</v>
      </c>
      <c r="BJ239" s="54" t="str">
        <f>IF(OR(ISBLANK(P239:P244),ISBLANK(AJ239:AJ244),ISBLANK(W239:W244),ISBLANK(AQ239:AQ244)),"·",bdRateExtend(P239:P244,W239:W244,AJ239:AJ244,AQ239:AQ244))</f>
        <v>·</v>
      </c>
      <c r="BK239" s="54" t="str">
        <f>IF(OR(ISBLANK(P239:P244),ISBLANK(AJ239:AJ244),ISBLANK(X239:X244),ISBLANK(AR239:AR244)),"·",bdRateExtend(P239:P244,X239:X244,AJ239:AJ244,AR239:AR244))</f>
        <v>·</v>
      </c>
      <c r="BL239" s="61"/>
      <c r="BN239">
        <f t="shared" si="78"/>
        <v>0</v>
      </c>
      <c r="BO239">
        <f t="shared" si="79"/>
        <v>0</v>
      </c>
      <c r="BP239">
        <f t="shared" si="80"/>
        <v>0</v>
      </c>
      <c r="BQ239">
        <f t="shared" si="81"/>
        <v>0</v>
      </c>
      <c r="BR239">
        <f t="shared" si="82"/>
        <v>0</v>
      </c>
      <c r="BS239">
        <f t="shared" si="83"/>
        <v>0</v>
      </c>
      <c r="BT239">
        <f t="shared" si="84"/>
        <v>0</v>
      </c>
      <c r="BU239">
        <f t="shared" si="85"/>
        <v>0</v>
      </c>
      <c r="BV239">
        <f t="shared" si="86"/>
        <v>0</v>
      </c>
      <c r="BW239">
        <f t="shared" si="87"/>
        <v>0</v>
      </c>
      <c r="BX239">
        <f t="shared" si="88"/>
        <v>0</v>
      </c>
    </row>
    <row r="240" spans="1:76" outlineLevel="1" x14ac:dyDescent="0.15">
      <c r="A240" s="8"/>
      <c r="B240" s="8" t="s">
        <v>167</v>
      </c>
      <c r="C240" s="9" t="s">
        <v>255</v>
      </c>
      <c r="D240" s="8">
        <v>43399204</v>
      </c>
      <c r="E240" s="10">
        <v>16</v>
      </c>
      <c r="F240" s="9">
        <v>1</v>
      </c>
      <c r="G240" s="9"/>
      <c r="I240" s="22" t="str">
        <f t="shared" si="67"/>
        <v>·</v>
      </c>
      <c r="J240" s="23" t="str">
        <f t="shared" si="68"/>
        <v>·</v>
      </c>
      <c r="K240" s="23" t="str">
        <f t="shared" si="69"/>
        <v>·</v>
      </c>
      <c r="L240" s="23" t="str">
        <f t="shared" si="70"/>
        <v>·</v>
      </c>
      <c r="M240" s="24"/>
      <c r="N240" s="23" t="str">
        <f t="shared" si="71"/>
        <v>·</v>
      </c>
      <c r="O240" s="25"/>
      <c r="P240" s="26"/>
      <c r="Q240" s="26"/>
      <c r="R240" s="26"/>
      <c r="S240" s="40"/>
      <c r="T240" s="41"/>
      <c r="U240" s="41"/>
      <c r="V240" s="41"/>
      <c r="W240" s="41"/>
      <c r="X240" s="41"/>
      <c r="Y240" s="42"/>
      <c r="Z240" s="50"/>
      <c r="AA240" s="50"/>
      <c r="AC240" s="22" t="str">
        <f t="shared" si="72"/>
        <v>·</v>
      </c>
      <c r="AD240" s="23" t="str">
        <f t="shared" si="73"/>
        <v>·</v>
      </c>
      <c r="AE240" s="23" t="str">
        <f t="shared" si="74"/>
        <v>·</v>
      </c>
      <c r="AF240" s="23" t="str">
        <f t="shared" si="75"/>
        <v>·</v>
      </c>
      <c r="AG240" s="24"/>
      <c r="AH240" s="23" t="str">
        <f t="shared" si="76"/>
        <v>·</v>
      </c>
      <c r="AI240" s="25"/>
      <c r="AJ240" s="26"/>
      <c r="AK240" s="26"/>
      <c r="AL240" s="26"/>
      <c r="AM240" s="40"/>
      <c r="AN240" s="41"/>
      <c r="AO240" s="41"/>
      <c r="AP240" s="41"/>
      <c r="AQ240" s="41"/>
      <c r="AR240" s="41"/>
      <c r="AS240" s="42"/>
      <c r="AT240" s="50"/>
      <c r="AU240" s="50"/>
      <c r="AW240" s="55" t="e">
        <f t="shared" si="77"/>
        <v>#DIV/0!</v>
      </c>
      <c r="AX240" s="55"/>
      <c r="AZ240" s="56"/>
      <c r="BA240" s="56"/>
      <c r="BB240" s="56"/>
      <c r="BC240" s="56"/>
      <c r="BD240" s="56"/>
      <c r="BE240" s="62"/>
      <c r="BG240" s="56"/>
      <c r="BH240" s="56"/>
      <c r="BI240" s="56"/>
      <c r="BJ240" s="56"/>
      <c r="BK240" s="56"/>
      <c r="BL240" s="62"/>
      <c r="BN240">
        <f t="shared" si="78"/>
        <v>0</v>
      </c>
      <c r="BO240">
        <f t="shared" si="79"/>
        <v>0</v>
      </c>
      <c r="BP240">
        <f t="shared" si="80"/>
        <v>0</v>
      </c>
      <c r="BQ240">
        <f t="shared" si="81"/>
        <v>0</v>
      </c>
      <c r="BR240">
        <f t="shared" si="82"/>
        <v>0</v>
      </c>
      <c r="BS240">
        <f t="shared" si="83"/>
        <v>0</v>
      </c>
      <c r="BT240">
        <f t="shared" si="84"/>
        <v>0</v>
      </c>
      <c r="BU240">
        <f t="shared" si="85"/>
        <v>0</v>
      </c>
      <c r="BV240">
        <f t="shared" si="86"/>
        <v>0</v>
      </c>
      <c r="BW240">
        <f t="shared" si="87"/>
        <v>0</v>
      </c>
      <c r="BX240">
        <f t="shared" si="88"/>
        <v>0</v>
      </c>
    </row>
    <row r="241" spans="1:76" outlineLevel="1" x14ac:dyDescent="0.15">
      <c r="A241" s="5"/>
      <c r="B241" s="5" t="s">
        <v>167</v>
      </c>
      <c r="C241" s="6" t="s">
        <v>256</v>
      </c>
      <c r="D241" s="5">
        <v>43399204</v>
      </c>
      <c r="E241" s="7">
        <v>16</v>
      </c>
      <c r="F241" s="6">
        <v>1</v>
      </c>
      <c r="G241" s="6"/>
      <c r="I241" s="17" t="str">
        <f t="shared" si="67"/>
        <v>·</v>
      </c>
      <c r="J241" s="18" t="str">
        <f t="shared" si="68"/>
        <v>·</v>
      </c>
      <c r="K241" s="18" t="str">
        <f t="shared" si="69"/>
        <v>·</v>
      </c>
      <c r="L241" s="18" t="str">
        <f t="shared" si="70"/>
        <v>·</v>
      </c>
      <c r="M241" s="19"/>
      <c r="N241" s="18" t="str">
        <f t="shared" si="71"/>
        <v>·</v>
      </c>
      <c r="O241" s="20"/>
      <c r="P241" s="21"/>
      <c r="Q241" s="21"/>
      <c r="R241" s="21"/>
      <c r="S241" s="37"/>
      <c r="T241" s="38"/>
      <c r="U241" s="38"/>
      <c r="V241" s="38"/>
      <c r="W241" s="38"/>
      <c r="X241" s="38"/>
      <c r="Y241" s="39"/>
      <c r="Z241" s="49"/>
      <c r="AA241" s="49"/>
      <c r="AC241" s="17" t="str">
        <f t="shared" si="72"/>
        <v>·</v>
      </c>
      <c r="AD241" s="18" t="str">
        <f t="shared" si="73"/>
        <v>·</v>
      </c>
      <c r="AE241" s="18" t="str">
        <f t="shared" si="74"/>
        <v>·</v>
      </c>
      <c r="AF241" s="18" t="str">
        <f t="shared" si="75"/>
        <v>·</v>
      </c>
      <c r="AG241" s="19"/>
      <c r="AH241" s="18" t="str">
        <f t="shared" si="76"/>
        <v>·</v>
      </c>
      <c r="AI241" s="20"/>
      <c r="AJ241" s="21"/>
      <c r="AK241" s="21"/>
      <c r="AL241" s="21"/>
      <c r="AM241" s="37"/>
      <c r="AN241" s="38"/>
      <c r="AO241" s="38"/>
      <c r="AP241" s="38"/>
      <c r="AQ241" s="38"/>
      <c r="AR241" s="38"/>
      <c r="AS241" s="39"/>
      <c r="AT241" s="49"/>
      <c r="AU241" s="49"/>
      <c r="AW241" s="53" t="e">
        <f t="shared" si="77"/>
        <v>#DIV/0!</v>
      </c>
      <c r="AX241" s="53"/>
      <c r="AZ241" s="54"/>
      <c r="BA241" s="54"/>
      <c r="BB241" s="54"/>
      <c r="BC241" s="54"/>
      <c r="BD241" s="54"/>
      <c r="BE241" s="61"/>
      <c r="BG241" s="54"/>
      <c r="BH241" s="54"/>
      <c r="BI241" s="54"/>
      <c r="BJ241" s="54"/>
      <c r="BK241" s="54"/>
      <c r="BL241" s="61"/>
      <c r="BN241">
        <f t="shared" si="78"/>
        <v>0</v>
      </c>
      <c r="BO241">
        <f t="shared" si="79"/>
        <v>0</v>
      </c>
      <c r="BP241">
        <f t="shared" si="80"/>
        <v>0</v>
      </c>
      <c r="BQ241">
        <f t="shared" si="81"/>
        <v>0</v>
      </c>
      <c r="BR241">
        <f t="shared" si="82"/>
        <v>0</v>
      </c>
      <c r="BS241">
        <f t="shared" si="83"/>
        <v>0</v>
      </c>
      <c r="BT241">
        <f t="shared" si="84"/>
        <v>0</v>
      </c>
      <c r="BU241">
        <f t="shared" si="85"/>
        <v>0</v>
      </c>
      <c r="BV241">
        <f t="shared" si="86"/>
        <v>0</v>
      </c>
      <c r="BW241">
        <f t="shared" si="87"/>
        <v>0</v>
      </c>
      <c r="BX241">
        <f t="shared" si="88"/>
        <v>0</v>
      </c>
    </row>
    <row r="242" spans="1:76" outlineLevel="1" x14ac:dyDescent="0.15">
      <c r="A242" s="8"/>
      <c r="B242" s="8" t="s">
        <v>167</v>
      </c>
      <c r="C242" s="9" t="s">
        <v>257</v>
      </c>
      <c r="D242" s="8">
        <v>43399204</v>
      </c>
      <c r="E242" s="10">
        <v>16</v>
      </c>
      <c r="F242" s="9">
        <v>1</v>
      </c>
      <c r="G242" s="9"/>
      <c r="I242" s="22" t="str">
        <f t="shared" si="67"/>
        <v>·</v>
      </c>
      <c r="J242" s="23" t="str">
        <f t="shared" si="68"/>
        <v>·</v>
      </c>
      <c r="K242" s="23" t="str">
        <f t="shared" si="69"/>
        <v>·</v>
      </c>
      <c r="L242" s="23" t="str">
        <f t="shared" si="70"/>
        <v>·</v>
      </c>
      <c r="M242" s="24"/>
      <c r="N242" s="23" t="str">
        <f t="shared" si="71"/>
        <v>·</v>
      </c>
      <c r="O242" s="25"/>
      <c r="P242" s="26"/>
      <c r="Q242" s="26"/>
      <c r="R242" s="26"/>
      <c r="S242" s="40"/>
      <c r="T242" s="41"/>
      <c r="U242" s="41"/>
      <c r="V242" s="41"/>
      <c r="W242" s="41"/>
      <c r="X242" s="41"/>
      <c r="Y242" s="42"/>
      <c r="Z242" s="50"/>
      <c r="AA242" s="50"/>
      <c r="AC242" s="22" t="str">
        <f t="shared" si="72"/>
        <v>·</v>
      </c>
      <c r="AD242" s="23" t="str">
        <f t="shared" si="73"/>
        <v>·</v>
      </c>
      <c r="AE242" s="23" t="str">
        <f t="shared" si="74"/>
        <v>·</v>
      </c>
      <c r="AF242" s="23" t="str">
        <f t="shared" si="75"/>
        <v>·</v>
      </c>
      <c r="AG242" s="24"/>
      <c r="AH242" s="23" t="str">
        <f t="shared" si="76"/>
        <v>·</v>
      </c>
      <c r="AI242" s="25"/>
      <c r="AJ242" s="26"/>
      <c r="AK242" s="26"/>
      <c r="AL242" s="26"/>
      <c r="AM242" s="40"/>
      <c r="AN242" s="41"/>
      <c r="AO242" s="41"/>
      <c r="AP242" s="41"/>
      <c r="AQ242" s="41"/>
      <c r="AR242" s="41"/>
      <c r="AS242" s="42"/>
      <c r="AT242" s="50"/>
      <c r="AU242" s="50"/>
      <c r="AW242" s="55" t="e">
        <f t="shared" si="77"/>
        <v>#DIV/0!</v>
      </c>
      <c r="AX242" s="55"/>
      <c r="AZ242" s="56"/>
      <c r="BA242" s="56"/>
      <c r="BB242" s="56"/>
      <c r="BC242" s="56"/>
      <c r="BD242" s="56"/>
      <c r="BE242" s="62"/>
      <c r="BG242" s="56"/>
      <c r="BH242" s="56"/>
      <c r="BI242" s="56"/>
      <c r="BJ242" s="56"/>
      <c r="BK242" s="56"/>
      <c r="BL242" s="62"/>
      <c r="BN242">
        <f t="shared" si="78"/>
        <v>0</v>
      </c>
      <c r="BO242">
        <f t="shared" si="79"/>
        <v>0</v>
      </c>
      <c r="BP242">
        <f t="shared" si="80"/>
        <v>0</v>
      </c>
      <c r="BQ242">
        <f t="shared" si="81"/>
        <v>0</v>
      </c>
      <c r="BR242">
        <f t="shared" si="82"/>
        <v>0</v>
      </c>
      <c r="BS242">
        <f t="shared" si="83"/>
        <v>0</v>
      </c>
      <c r="BT242">
        <f t="shared" si="84"/>
        <v>0</v>
      </c>
      <c r="BU242">
        <f t="shared" si="85"/>
        <v>0</v>
      </c>
      <c r="BV242">
        <f t="shared" si="86"/>
        <v>0</v>
      </c>
      <c r="BW242">
        <f t="shared" si="87"/>
        <v>0</v>
      </c>
      <c r="BX242">
        <f t="shared" si="88"/>
        <v>0</v>
      </c>
    </row>
    <row r="243" spans="1:76" outlineLevel="1" x14ac:dyDescent="0.15">
      <c r="A243" s="5"/>
      <c r="B243" s="5" t="s">
        <v>167</v>
      </c>
      <c r="C243" s="6" t="s">
        <v>258</v>
      </c>
      <c r="D243" s="5">
        <v>43399204</v>
      </c>
      <c r="E243" s="7">
        <v>16</v>
      </c>
      <c r="F243" s="6">
        <v>1</v>
      </c>
      <c r="G243" s="6"/>
      <c r="I243" s="17" t="str">
        <f t="shared" si="67"/>
        <v>·</v>
      </c>
      <c r="J243" s="18" t="str">
        <f t="shared" si="68"/>
        <v>·</v>
      </c>
      <c r="K243" s="18" t="str">
        <f t="shared" si="69"/>
        <v>·</v>
      </c>
      <c r="L243" s="18" t="str">
        <f t="shared" si="70"/>
        <v>·</v>
      </c>
      <c r="M243" s="19"/>
      <c r="N243" s="18" t="str">
        <f t="shared" si="71"/>
        <v>·</v>
      </c>
      <c r="O243" s="20"/>
      <c r="P243" s="21"/>
      <c r="Q243" s="21"/>
      <c r="R243" s="21"/>
      <c r="S243" s="37"/>
      <c r="T243" s="38"/>
      <c r="U243" s="38"/>
      <c r="V243" s="38"/>
      <c r="W243" s="38"/>
      <c r="X243" s="38"/>
      <c r="Y243" s="39"/>
      <c r="Z243" s="49"/>
      <c r="AA243" s="49"/>
      <c r="AC243" s="17" t="str">
        <f t="shared" si="72"/>
        <v>·</v>
      </c>
      <c r="AD243" s="18" t="str">
        <f t="shared" si="73"/>
        <v>·</v>
      </c>
      <c r="AE243" s="18" t="str">
        <f t="shared" si="74"/>
        <v>·</v>
      </c>
      <c r="AF243" s="18" t="str">
        <f t="shared" si="75"/>
        <v>·</v>
      </c>
      <c r="AG243" s="19"/>
      <c r="AH243" s="18" t="str">
        <f t="shared" si="76"/>
        <v>·</v>
      </c>
      <c r="AI243" s="20"/>
      <c r="AJ243" s="21"/>
      <c r="AK243" s="21"/>
      <c r="AL243" s="21"/>
      <c r="AM243" s="37"/>
      <c r="AN243" s="38"/>
      <c r="AO243" s="38"/>
      <c r="AP243" s="38"/>
      <c r="AQ243" s="38"/>
      <c r="AR243" s="38"/>
      <c r="AS243" s="39"/>
      <c r="AT243" s="49"/>
      <c r="AU243" s="49"/>
      <c r="AW243" s="53" t="e">
        <f t="shared" si="77"/>
        <v>#DIV/0!</v>
      </c>
      <c r="AX243" s="53"/>
      <c r="AZ243" s="54"/>
      <c r="BA243" s="54"/>
      <c r="BB243" s="54"/>
      <c r="BC243" s="54"/>
      <c r="BD243" s="54"/>
      <c r="BE243" s="61"/>
      <c r="BG243" s="54"/>
      <c r="BH243" s="54"/>
      <c r="BI243" s="54"/>
      <c r="BJ243" s="54"/>
      <c r="BK243" s="54"/>
      <c r="BL243" s="61"/>
      <c r="BN243">
        <f t="shared" si="78"/>
        <v>0</v>
      </c>
      <c r="BO243">
        <f t="shared" si="79"/>
        <v>0</v>
      </c>
      <c r="BP243">
        <f t="shared" si="80"/>
        <v>0</v>
      </c>
      <c r="BQ243">
        <f t="shared" si="81"/>
        <v>0</v>
      </c>
      <c r="BR243">
        <f t="shared" si="82"/>
        <v>0</v>
      </c>
      <c r="BS243">
        <f t="shared" si="83"/>
        <v>0</v>
      </c>
      <c r="BT243">
        <f t="shared" si="84"/>
        <v>0</v>
      </c>
      <c r="BU243">
        <f t="shared" si="85"/>
        <v>0</v>
      </c>
      <c r="BV243">
        <f t="shared" si="86"/>
        <v>0</v>
      </c>
      <c r="BW243">
        <f t="shared" si="87"/>
        <v>0</v>
      </c>
      <c r="BX243">
        <f t="shared" si="88"/>
        <v>0</v>
      </c>
    </row>
    <row r="244" spans="1:76" outlineLevel="1" x14ac:dyDescent="0.15">
      <c r="A244" s="8"/>
      <c r="B244" s="14" t="s">
        <v>167</v>
      </c>
      <c r="C244" s="15" t="s">
        <v>259</v>
      </c>
      <c r="D244" s="14">
        <v>43399204</v>
      </c>
      <c r="E244" s="16">
        <v>16</v>
      </c>
      <c r="F244" s="15">
        <v>1</v>
      </c>
      <c r="G244" s="15"/>
      <c r="I244" s="32" t="str">
        <f t="shared" si="67"/>
        <v>·</v>
      </c>
      <c r="J244" s="33" t="str">
        <f t="shared" si="68"/>
        <v>·</v>
      </c>
      <c r="K244" s="33" t="str">
        <f t="shared" si="69"/>
        <v>·</v>
      </c>
      <c r="L244" s="33" t="str">
        <f t="shared" si="70"/>
        <v>·</v>
      </c>
      <c r="M244" s="34"/>
      <c r="N244" s="33" t="str">
        <f t="shared" si="71"/>
        <v>·</v>
      </c>
      <c r="O244" s="35"/>
      <c r="P244" s="36"/>
      <c r="Q244" s="36"/>
      <c r="R244" s="36"/>
      <c r="S244" s="46"/>
      <c r="T244" s="47"/>
      <c r="U244" s="47"/>
      <c r="V244" s="47"/>
      <c r="W244" s="47"/>
      <c r="X244" s="47"/>
      <c r="Y244" s="48"/>
      <c r="Z244" s="52"/>
      <c r="AA244" s="52"/>
      <c r="AC244" s="32" t="str">
        <f t="shared" si="72"/>
        <v>·</v>
      </c>
      <c r="AD244" s="33" t="str">
        <f t="shared" si="73"/>
        <v>·</v>
      </c>
      <c r="AE244" s="33" t="str">
        <f t="shared" si="74"/>
        <v>·</v>
      </c>
      <c r="AF244" s="33" t="str">
        <f t="shared" si="75"/>
        <v>·</v>
      </c>
      <c r="AG244" s="34"/>
      <c r="AH244" s="33" t="str">
        <f t="shared" si="76"/>
        <v>·</v>
      </c>
      <c r="AI244" s="35"/>
      <c r="AJ244" s="36"/>
      <c r="AK244" s="36"/>
      <c r="AL244" s="36"/>
      <c r="AM244" s="46"/>
      <c r="AN244" s="47"/>
      <c r="AO244" s="47"/>
      <c r="AP244" s="47"/>
      <c r="AQ244" s="47"/>
      <c r="AR244" s="47"/>
      <c r="AS244" s="48"/>
      <c r="AT244" s="52"/>
      <c r="AU244" s="52"/>
      <c r="AW244" s="59" t="e">
        <f t="shared" si="77"/>
        <v>#DIV/0!</v>
      </c>
      <c r="AX244" s="59"/>
      <c r="AZ244" s="60"/>
      <c r="BA244" s="60"/>
      <c r="BB244" s="60"/>
      <c r="BC244" s="60"/>
      <c r="BD244" s="60"/>
      <c r="BE244" s="64"/>
      <c r="BG244" s="60"/>
      <c r="BH244" s="60"/>
      <c r="BI244" s="60"/>
      <c r="BJ244" s="60"/>
      <c r="BK244" s="60"/>
      <c r="BL244" s="64"/>
      <c r="BN244">
        <f t="shared" si="78"/>
        <v>0</v>
      </c>
      <c r="BO244">
        <f t="shared" si="79"/>
        <v>0</v>
      </c>
      <c r="BP244">
        <f t="shared" si="80"/>
        <v>0</v>
      </c>
      <c r="BQ244">
        <f t="shared" si="81"/>
        <v>0</v>
      </c>
      <c r="BR244">
        <f t="shared" si="82"/>
        <v>0</v>
      </c>
      <c r="BS244">
        <f t="shared" si="83"/>
        <v>0</v>
      </c>
      <c r="BT244">
        <f t="shared" si="84"/>
        <v>0</v>
      </c>
      <c r="BU244">
        <f t="shared" si="85"/>
        <v>0</v>
      </c>
      <c r="BV244">
        <f t="shared" si="86"/>
        <v>0</v>
      </c>
      <c r="BW244">
        <f t="shared" si="87"/>
        <v>0</v>
      </c>
      <c r="BX244">
        <f t="shared" si="88"/>
        <v>0</v>
      </c>
    </row>
    <row r="245" spans="1:76" x14ac:dyDescent="0.15">
      <c r="A245" s="5"/>
      <c r="B245" s="5" t="s">
        <v>168</v>
      </c>
      <c r="C245" s="6" t="s">
        <v>254</v>
      </c>
      <c r="D245" s="5">
        <v>43399207</v>
      </c>
      <c r="E245" s="7">
        <v>20</v>
      </c>
      <c r="F245" s="6">
        <v>1</v>
      </c>
      <c r="G245" s="6"/>
      <c r="I245" s="17" t="str">
        <f t="shared" si="67"/>
        <v>·</v>
      </c>
      <c r="J245" s="18" t="str">
        <f t="shared" si="68"/>
        <v>·</v>
      </c>
      <c r="K245" s="18" t="str">
        <f t="shared" si="69"/>
        <v>·</v>
      </c>
      <c r="L245" s="18" t="str">
        <f t="shared" si="70"/>
        <v>·</v>
      </c>
      <c r="M245" s="19"/>
      <c r="N245" s="18" t="str">
        <f t="shared" si="71"/>
        <v>·</v>
      </c>
      <c r="O245" s="20"/>
      <c r="P245" s="21"/>
      <c r="Q245" s="21"/>
      <c r="R245" s="21"/>
      <c r="S245" s="37"/>
      <c r="T245" s="38"/>
      <c r="U245" s="38"/>
      <c r="V245" s="38"/>
      <c r="W245" s="38"/>
      <c r="X245" s="38"/>
      <c r="Y245" s="39"/>
      <c r="Z245" s="49"/>
      <c r="AA245" s="49"/>
      <c r="AC245" s="17" t="str">
        <f t="shared" si="72"/>
        <v>·</v>
      </c>
      <c r="AD245" s="18" t="str">
        <f t="shared" si="73"/>
        <v>·</v>
      </c>
      <c r="AE245" s="18" t="str">
        <f t="shared" si="74"/>
        <v>·</v>
      </c>
      <c r="AF245" s="18" t="str">
        <f t="shared" si="75"/>
        <v>·</v>
      </c>
      <c r="AG245" s="19"/>
      <c r="AH245" s="18" t="str">
        <f t="shared" si="76"/>
        <v>·</v>
      </c>
      <c r="AI245" s="20"/>
      <c r="AJ245" s="21"/>
      <c r="AK245" s="21"/>
      <c r="AL245" s="21"/>
      <c r="AM245" s="37"/>
      <c r="AN245" s="38"/>
      <c r="AO245" s="38"/>
      <c r="AP245" s="38"/>
      <c r="AQ245" s="38"/>
      <c r="AR245" s="38"/>
      <c r="AS245" s="39"/>
      <c r="AT245" s="49"/>
      <c r="AU245" s="49"/>
      <c r="AW245" s="53" t="e">
        <f t="shared" si="77"/>
        <v>#DIV/0!</v>
      </c>
      <c r="AX245" s="53" t="e">
        <f t="array" ref="AX245">AVERAGE(AK245:AK250/AJ245:AJ250)-AVERAGE(Q245:Q250/P245:P250)</f>
        <v>#DIV/0!</v>
      </c>
      <c r="AZ245" s="54" t="str">
        <f>IF(OR(ISBLANK(Q245:Q250),ISBLANK(AK245:AK250),ISBLANK(T245:T250),ISBLANK(AN245:AN250)),"·",bdRateExtend(Q245:Q250,T245:T250,AK245:AK250,AN245:AN250))</f>
        <v>·</v>
      </c>
      <c r="BA245" s="54" t="str">
        <f>IF(OR(ISBLANK(Q245:Q250),ISBLANK(AK245:AK250),ISBLANK(U245:U250),ISBLANK(AO245:AO250)),"·",bdRateExtend(Q245:Q250,U245:U250,AK245:AK250,AO245:AO250))</f>
        <v>·</v>
      </c>
      <c r="BB245" s="54" t="str">
        <f>IF(OR(ISBLANK(R245:R250),ISBLANK(AL245:AL250),ISBLANK(V245:V250),ISBLANK(AP245:AP250)),"·",bdRateExtend(R245:R250,V245:V250,AL245:AL250,AP245:AP250))</f>
        <v>·</v>
      </c>
      <c r="BC245" s="54" t="str">
        <f>IF(OR(ISBLANK(R245:R250),ISBLANK(AL245:AL250),ISBLANK(W245:W250),ISBLANK(AQ245:AQ250)),"·",bdRateExtend(R245:R250,W245:W250,AL245:AL250,AQ245:AQ250))</f>
        <v>·</v>
      </c>
      <c r="BD245" s="54" t="str">
        <f>IF(OR(ISBLANK(R245:R250),ISBLANK(AL245:AL250),ISBLANK(X245:X250),ISBLANK(AR245:AR250)),"·",bdRateExtend(R245:R250,X245:X250,AL245:AL250,AR245:AR250))</f>
        <v>·</v>
      </c>
      <c r="BE245" s="61"/>
      <c r="BG245" s="54" t="str">
        <f>IF(OR(ISBLANK(P245:P250),ISBLANK(AJ245:AJ250),ISBLANK(T245:T250),ISBLANK(AN245:AN250)),"·",bdRateExtend(P245:P250,T245:T250,AJ245:AJ250,AN245:AN250))</f>
        <v>·</v>
      </c>
      <c r="BH245" s="54" t="str">
        <f>IF(OR(ISBLANK(P245:P250),ISBLANK(AJ245:AJ250),ISBLANK(U245:U250),ISBLANK(AO245:AO250)),"·",bdRateExtend(P245:P250,U245:U250,AJ245:AJ250,AO245:AO250))</f>
        <v>·</v>
      </c>
      <c r="BI245" s="54" t="str">
        <f>IF(OR(ISBLANK(P245:P250),ISBLANK(AJ245:AJ250),ISBLANK(V245:V250),ISBLANK(AP245:AP250)),"·",bdRateExtend(P245:P250,V245:V250,AJ245:AJ250,AP245:AP250))</f>
        <v>·</v>
      </c>
      <c r="BJ245" s="54" t="str">
        <f>IF(OR(ISBLANK(P245:P250),ISBLANK(AJ245:AJ250),ISBLANK(W245:W250),ISBLANK(AQ245:AQ250)),"·",bdRateExtend(P245:P250,W245:W250,AJ245:AJ250,AQ245:AQ250))</f>
        <v>·</v>
      </c>
      <c r="BK245" s="54" t="str">
        <f>IF(OR(ISBLANK(P245:P250),ISBLANK(AJ245:AJ250),ISBLANK(X245:X250),ISBLANK(AR245:AR250)),"·",bdRateExtend(P245:P250,X245:X250,AJ245:AJ250,AR245:AR250))</f>
        <v>·</v>
      </c>
      <c r="BL245" s="61"/>
      <c r="BN245">
        <f t="shared" si="78"/>
        <v>0</v>
      </c>
      <c r="BO245">
        <f t="shared" si="79"/>
        <v>0</v>
      </c>
      <c r="BP245">
        <f t="shared" si="80"/>
        <v>0</v>
      </c>
      <c r="BQ245">
        <f t="shared" si="81"/>
        <v>0</v>
      </c>
      <c r="BR245">
        <f t="shared" si="82"/>
        <v>0</v>
      </c>
      <c r="BS245">
        <f t="shared" si="83"/>
        <v>0</v>
      </c>
      <c r="BT245">
        <f t="shared" si="84"/>
        <v>0</v>
      </c>
      <c r="BU245">
        <f t="shared" si="85"/>
        <v>0</v>
      </c>
      <c r="BV245">
        <f t="shared" si="86"/>
        <v>0</v>
      </c>
      <c r="BW245">
        <f t="shared" si="87"/>
        <v>0</v>
      </c>
      <c r="BX245">
        <f t="shared" si="88"/>
        <v>0</v>
      </c>
    </row>
    <row r="246" spans="1:76" outlineLevel="1" x14ac:dyDescent="0.15">
      <c r="A246" s="8"/>
      <c r="B246" s="8" t="s">
        <v>168</v>
      </c>
      <c r="C246" s="9" t="s">
        <v>255</v>
      </c>
      <c r="D246" s="8">
        <v>43399207</v>
      </c>
      <c r="E246" s="10">
        <v>20</v>
      </c>
      <c r="F246" s="9">
        <v>1</v>
      </c>
      <c r="G246" s="9"/>
      <c r="I246" s="22" t="str">
        <f t="shared" si="67"/>
        <v>·</v>
      </c>
      <c r="J246" s="23" t="str">
        <f t="shared" si="68"/>
        <v>·</v>
      </c>
      <c r="K246" s="23" t="str">
        <f t="shared" si="69"/>
        <v>·</v>
      </c>
      <c r="L246" s="23" t="str">
        <f t="shared" si="70"/>
        <v>·</v>
      </c>
      <c r="M246" s="24"/>
      <c r="N246" s="23" t="str">
        <f t="shared" si="71"/>
        <v>·</v>
      </c>
      <c r="O246" s="25"/>
      <c r="P246" s="26"/>
      <c r="Q246" s="26"/>
      <c r="R246" s="26"/>
      <c r="S246" s="40"/>
      <c r="T246" s="41"/>
      <c r="U246" s="41"/>
      <c r="V246" s="41"/>
      <c r="W246" s="41"/>
      <c r="X246" s="41"/>
      <c r="Y246" s="42"/>
      <c r="Z246" s="50"/>
      <c r="AA246" s="50"/>
      <c r="AC246" s="22" t="str">
        <f t="shared" si="72"/>
        <v>·</v>
      </c>
      <c r="AD246" s="23" t="str">
        <f t="shared" si="73"/>
        <v>·</v>
      </c>
      <c r="AE246" s="23" t="str">
        <f t="shared" si="74"/>
        <v>·</v>
      </c>
      <c r="AF246" s="23" t="str">
        <f t="shared" si="75"/>
        <v>·</v>
      </c>
      <c r="AG246" s="24"/>
      <c r="AH246" s="23" t="str">
        <f t="shared" si="76"/>
        <v>·</v>
      </c>
      <c r="AI246" s="25"/>
      <c r="AJ246" s="26"/>
      <c r="AK246" s="26"/>
      <c r="AL246" s="26"/>
      <c r="AM246" s="40"/>
      <c r="AN246" s="41"/>
      <c r="AO246" s="41"/>
      <c r="AP246" s="41"/>
      <c r="AQ246" s="41"/>
      <c r="AR246" s="41"/>
      <c r="AS246" s="42"/>
      <c r="AT246" s="50"/>
      <c r="AU246" s="50"/>
      <c r="AW246" s="55" t="e">
        <f t="shared" si="77"/>
        <v>#DIV/0!</v>
      </c>
      <c r="AX246" s="55"/>
      <c r="AZ246" s="56"/>
      <c r="BA246" s="56"/>
      <c r="BB246" s="56"/>
      <c r="BC246" s="56"/>
      <c r="BD246" s="56"/>
      <c r="BE246" s="62"/>
      <c r="BG246" s="56"/>
      <c r="BH246" s="56"/>
      <c r="BI246" s="56"/>
      <c r="BJ246" s="56"/>
      <c r="BK246" s="56"/>
      <c r="BL246" s="62"/>
      <c r="BN246">
        <f t="shared" si="78"/>
        <v>0</v>
      </c>
      <c r="BO246">
        <f t="shared" si="79"/>
        <v>0</v>
      </c>
      <c r="BP246">
        <f t="shared" si="80"/>
        <v>0</v>
      </c>
      <c r="BQ246">
        <f t="shared" si="81"/>
        <v>0</v>
      </c>
      <c r="BR246">
        <f t="shared" si="82"/>
        <v>0</v>
      </c>
      <c r="BS246">
        <f t="shared" si="83"/>
        <v>0</v>
      </c>
      <c r="BT246">
        <f t="shared" si="84"/>
        <v>0</v>
      </c>
      <c r="BU246">
        <f t="shared" si="85"/>
        <v>0</v>
      </c>
      <c r="BV246">
        <f t="shared" si="86"/>
        <v>0</v>
      </c>
      <c r="BW246">
        <f t="shared" si="87"/>
        <v>0</v>
      </c>
      <c r="BX246">
        <f t="shared" si="88"/>
        <v>0</v>
      </c>
    </row>
    <row r="247" spans="1:76" outlineLevel="1" x14ac:dyDescent="0.15">
      <c r="A247" s="5"/>
      <c r="B247" s="5" t="s">
        <v>168</v>
      </c>
      <c r="C247" s="6" t="s">
        <v>256</v>
      </c>
      <c r="D247" s="5">
        <v>43399207</v>
      </c>
      <c r="E247" s="7">
        <v>20</v>
      </c>
      <c r="F247" s="6">
        <v>1</v>
      </c>
      <c r="G247" s="6"/>
      <c r="I247" s="17" t="str">
        <f t="shared" si="67"/>
        <v>·</v>
      </c>
      <c r="J247" s="18" t="str">
        <f t="shared" si="68"/>
        <v>·</v>
      </c>
      <c r="K247" s="18" t="str">
        <f t="shared" si="69"/>
        <v>·</v>
      </c>
      <c r="L247" s="18" t="str">
        <f t="shared" si="70"/>
        <v>·</v>
      </c>
      <c r="M247" s="19"/>
      <c r="N247" s="18" t="str">
        <f t="shared" si="71"/>
        <v>·</v>
      </c>
      <c r="O247" s="20"/>
      <c r="P247" s="21"/>
      <c r="Q247" s="21"/>
      <c r="R247" s="21"/>
      <c r="S247" s="37"/>
      <c r="T247" s="38"/>
      <c r="U247" s="38"/>
      <c r="V247" s="38"/>
      <c r="W247" s="38"/>
      <c r="X247" s="38"/>
      <c r="Y247" s="39"/>
      <c r="Z247" s="49"/>
      <c r="AA247" s="49"/>
      <c r="AC247" s="17" t="str">
        <f t="shared" si="72"/>
        <v>·</v>
      </c>
      <c r="AD247" s="18" t="str">
        <f t="shared" si="73"/>
        <v>·</v>
      </c>
      <c r="AE247" s="18" t="str">
        <f t="shared" si="74"/>
        <v>·</v>
      </c>
      <c r="AF247" s="18" t="str">
        <f t="shared" si="75"/>
        <v>·</v>
      </c>
      <c r="AG247" s="19"/>
      <c r="AH247" s="18" t="str">
        <f t="shared" si="76"/>
        <v>·</v>
      </c>
      <c r="AI247" s="20"/>
      <c r="AJ247" s="21"/>
      <c r="AK247" s="21"/>
      <c r="AL247" s="21"/>
      <c r="AM247" s="37"/>
      <c r="AN247" s="38"/>
      <c r="AO247" s="38"/>
      <c r="AP247" s="38"/>
      <c r="AQ247" s="38"/>
      <c r="AR247" s="38"/>
      <c r="AS247" s="39"/>
      <c r="AT247" s="49"/>
      <c r="AU247" s="49"/>
      <c r="AW247" s="53" t="e">
        <f t="shared" si="77"/>
        <v>#DIV/0!</v>
      </c>
      <c r="AX247" s="53"/>
      <c r="AZ247" s="54"/>
      <c r="BA247" s="54"/>
      <c r="BB247" s="54"/>
      <c r="BC247" s="54"/>
      <c r="BD247" s="54"/>
      <c r="BE247" s="61"/>
      <c r="BG247" s="54"/>
      <c r="BH247" s="54"/>
      <c r="BI247" s="54"/>
      <c r="BJ247" s="54"/>
      <c r="BK247" s="54"/>
      <c r="BL247" s="61"/>
      <c r="BN247">
        <f t="shared" si="78"/>
        <v>0</v>
      </c>
      <c r="BO247">
        <f t="shared" si="79"/>
        <v>0</v>
      </c>
      <c r="BP247">
        <f t="shared" si="80"/>
        <v>0</v>
      </c>
      <c r="BQ247">
        <f t="shared" si="81"/>
        <v>0</v>
      </c>
      <c r="BR247">
        <f t="shared" si="82"/>
        <v>0</v>
      </c>
      <c r="BS247">
        <f t="shared" si="83"/>
        <v>0</v>
      </c>
      <c r="BT247">
        <f t="shared" si="84"/>
        <v>0</v>
      </c>
      <c r="BU247">
        <f t="shared" si="85"/>
        <v>0</v>
      </c>
      <c r="BV247">
        <f t="shared" si="86"/>
        <v>0</v>
      </c>
      <c r="BW247">
        <f t="shared" si="87"/>
        <v>0</v>
      </c>
      <c r="BX247">
        <f t="shared" si="88"/>
        <v>0</v>
      </c>
    </row>
    <row r="248" spans="1:76" outlineLevel="1" x14ac:dyDescent="0.15">
      <c r="A248" s="8"/>
      <c r="B248" s="8" t="s">
        <v>168</v>
      </c>
      <c r="C248" s="9" t="s">
        <v>257</v>
      </c>
      <c r="D248" s="8">
        <v>43399207</v>
      </c>
      <c r="E248" s="10">
        <v>20</v>
      </c>
      <c r="F248" s="9">
        <v>1</v>
      </c>
      <c r="G248" s="9"/>
      <c r="I248" s="22" t="str">
        <f t="shared" si="67"/>
        <v>·</v>
      </c>
      <c r="J248" s="23" t="str">
        <f t="shared" si="68"/>
        <v>·</v>
      </c>
      <c r="K248" s="23" t="str">
        <f t="shared" si="69"/>
        <v>·</v>
      </c>
      <c r="L248" s="23" t="str">
        <f t="shared" si="70"/>
        <v>·</v>
      </c>
      <c r="M248" s="24"/>
      <c r="N248" s="23" t="str">
        <f t="shared" si="71"/>
        <v>·</v>
      </c>
      <c r="O248" s="25"/>
      <c r="P248" s="26"/>
      <c r="Q248" s="26"/>
      <c r="R248" s="26"/>
      <c r="S248" s="40"/>
      <c r="T248" s="41"/>
      <c r="U248" s="41"/>
      <c r="V248" s="41"/>
      <c r="W248" s="41"/>
      <c r="X248" s="41"/>
      <c r="Y248" s="42"/>
      <c r="Z248" s="50"/>
      <c r="AA248" s="50"/>
      <c r="AC248" s="22" t="str">
        <f t="shared" si="72"/>
        <v>·</v>
      </c>
      <c r="AD248" s="23" t="str">
        <f t="shared" si="73"/>
        <v>·</v>
      </c>
      <c r="AE248" s="23" t="str">
        <f t="shared" si="74"/>
        <v>·</v>
      </c>
      <c r="AF248" s="23" t="str">
        <f t="shared" si="75"/>
        <v>·</v>
      </c>
      <c r="AG248" s="24"/>
      <c r="AH248" s="23" t="str">
        <f t="shared" si="76"/>
        <v>·</v>
      </c>
      <c r="AI248" s="25"/>
      <c r="AJ248" s="26"/>
      <c r="AK248" s="26"/>
      <c r="AL248" s="26"/>
      <c r="AM248" s="40"/>
      <c r="AN248" s="41"/>
      <c r="AO248" s="41"/>
      <c r="AP248" s="41"/>
      <c r="AQ248" s="41"/>
      <c r="AR248" s="41"/>
      <c r="AS248" s="42"/>
      <c r="AT248" s="50"/>
      <c r="AU248" s="50"/>
      <c r="AW248" s="55" t="e">
        <f t="shared" si="77"/>
        <v>#DIV/0!</v>
      </c>
      <c r="AX248" s="55"/>
      <c r="AZ248" s="56"/>
      <c r="BA248" s="56"/>
      <c r="BB248" s="56"/>
      <c r="BC248" s="56"/>
      <c r="BD248" s="56"/>
      <c r="BE248" s="62"/>
      <c r="BG248" s="56"/>
      <c r="BH248" s="56"/>
      <c r="BI248" s="56"/>
      <c r="BJ248" s="56"/>
      <c r="BK248" s="56"/>
      <c r="BL248" s="62"/>
      <c r="BN248">
        <f t="shared" si="78"/>
        <v>0</v>
      </c>
      <c r="BO248">
        <f t="shared" si="79"/>
        <v>0</v>
      </c>
      <c r="BP248">
        <f t="shared" si="80"/>
        <v>0</v>
      </c>
      <c r="BQ248">
        <f t="shared" si="81"/>
        <v>0</v>
      </c>
      <c r="BR248">
        <f t="shared" si="82"/>
        <v>0</v>
      </c>
      <c r="BS248">
        <f t="shared" si="83"/>
        <v>0</v>
      </c>
      <c r="BT248">
        <f t="shared" si="84"/>
        <v>0</v>
      </c>
      <c r="BU248">
        <f t="shared" si="85"/>
        <v>0</v>
      </c>
      <c r="BV248">
        <f t="shared" si="86"/>
        <v>0</v>
      </c>
      <c r="BW248">
        <f t="shared" si="87"/>
        <v>0</v>
      </c>
      <c r="BX248">
        <f t="shared" si="88"/>
        <v>0</v>
      </c>
    </row>
    <row r="249" spans="1:76" outlineLevel="1" x14ac:dyDescent="0.15">
      <c r="A249" s="5"/>
      <c r="B249" s="5" t="s">
        <v>168</v>
      </c>
      <c r="C249" s="6" t="s">
        <v>258</v>
      </c>
      <c r="D249" s="5">
        <v>43399207</v>
      </c>
      <c r="E249" s="7">
        <v>20</v>
      </c>
      <c r="F249" s="6">
        <v>1</v>
      </c>
      <c r="G249" s="6"/>
      <c r="I249" s="17" t="str">
        <f t="shared" si="67"/>
        <v>·</v>
      </c>
      <c r="J249" s="18" t="str">
        <f t="shared" si="68"/>
        <v>·</v>
      </c>
      <c r="K249" s="18" t="str">
        <f t="shared" si="69"/>
        <v>·</v>
      </c>
      <c r="L249" s="18" t="str">
        <f t="shared" si="70"/>
        <v>·</v>
      </c>
      <c r="M249" s="19"/>
      <c r="N249" s="18" t="str">
        <f t="shared" si="71"/>
        <v>·</v>
      </c>
      <c r="O249" s="20"/>
      <c r="P249" s="21"/>
      <c r="Q249" s="21"/>
      <c r="R249" s="21"/>
      <c r="S249" s="37"/>
      <c r="T249" s="38"/>
      <c r="U249" s="38"/>
      <c r="V249" s="38"/>
      <c r="W249" s="38"/>
      <c r="X249" s="38"/>
      <c r="Y249" s="39"/>
      <c r="Z249" s="49"/>
      <c r="AA249" s="49"/>
      <c r="AC249" s="17" t="str">
        <f t="shared" si="72"/>
        <v>·</v>
      </c>
      <c r="AD249" s="18" t="str">
        <f t="shared" si="73"/>
        <v>·</v>
      </c>
      <c r="AE249" s="18" t="str">
        <f t="shared" si="74"/>
        <v>·</v>
      </c>
      <c r="AF249" s="18" t="str">
        <f t="shared" si="75"/>
        <v>·</v>
      </c>
      <c r="AG249" s="19"/>
      <c r="AH249" s="18" t="str">
        <f t="shared" si="76"/>
        <v>·</v>
      </c>
      <c r="AI249" s="20"/>
      <c r="AJ249" s="21"/>
      <c r="AK249" s="21"/>
      <c r="AL249" s="21"/>
      <c r="AM249" s="37"/>
      <c r="AN249" s="38"/>
      <c r="AO249" s="38"/>
      <c r="AP249" s="38"/>
      <c r="AQ249" s="38"/>
      <c r="AR249" s="38"/>
      <c r="AS249" s="39"/>
      <c r="AT249" s="49"/>
      <c r="AU249" s="49"/>
      <c r="AW249" s="53" t="e">
        <f t="shared" si="77"/>
        <v>#DIV/0!</v>
      </c>
      <c r="AX249" s="53"/>
      <c r="AZ249" s="54"/>
      <c r="BA249" s="54"/>
      <c r="BB249" s="54"/>
      <c r="BC249" s="54"/>
      <c r="BD249" s="54"/>
      <c r="BE249" s="61"/>
      <c r="BG249" s="54"/>
      <c r="BH249" s="54"/>
      <c r="BI249" s="54"/>
      <c r="BJ249" s="54"/>
      <c r="BK249" s="54"/>
      <c r="BL249" s="61"/>
      <c r="BN249">
        <f t="shared" si="78"/>
        <v>0</v>
      </c>
      <c r="BO249">
        <f t="shared" si="79"/>
        <v>0</v>
      </c>
      <c r="BP249">
        <f t="shared" si="80"/>
        <v>0</v>
      </c>
      <c r="BQ249">
        <f t="shared" si="81"/>
        <v>0</v>
      </c>
      <c r="BR249">
        <f t="shared" si="82"/>
        <v>0</v>
      </c>
      <c r="BS249">
        <f t="shared" si="83"/>
        <v>0</v>
      </c>
      <c r="BT249">
        <f t="shared" si="84"/>
        <v>0</v>
      </c>
      <c r="BU249">
        <f t="shared" si="85"/>
        <v>0</v>
      </c>
      <c r="BV249">
        <f t="shared" si="86"/>
        <v>0</v>
      </c>
      <c r="BW249">
        <f t="shared" si="87"/>
        <v>0</v>
      </c>
      <c r="BX249">
        <f t="shared" si="88"/>
        <v>0</v>
      </c>
    </row>
    <row r="250" spans="1:76" outlineLevel="1" x14ac:dyDescent="0.15">
      <c r="A250" s="8"/>
      <c r="B250" s="14" t="s">
        <v>168</v>
      </c>
      <c r="C250" s="15" t="s">
        <v>259</v>
      </c>
      <c r="D250" s="14">
        <v>43399207</v>
      </c>
      <c r="E250" s="16">
        <v>20</v>
      </c>
      <c r="F250" s="15">
        <v>1</v>
      </c>
      <c r="G250" s="15"/>
      <c r="I250" s="32" t="str">
        <f t="shared" si="67"/>
        <v>·</v>
      </c>
      <c r="J250" s="33" t="str">
        <f t="shared" si="68"/>
        <v>·</v>
      </c>
      <c r="K250" s="33" t="str">
        <f t="shared" si="69"/>
        <v>·</v>
      </c>
      <c r="L250" s="33" t="str">
        <f t="shared" si="70"/>
        <v>·</v>
      </c>
      <c r="M250" s="34"/>
      <c r="N250" s="33" t="str">
        <f t="shared" si="71"/>
        <v>·</v>
      </c>
      <c r="O250" s="35"/>
      <c r="P250" s="36"/>
      <c r="Q250" s="36"/>
      <c r="R250" s="36"/>
      <c r="S250" s="46"/>
      <c r="T250" s="47"/>
      <c r="U250" s="47"/>
      <c r="V250" s="47"/>
      <c r="W250" s="47"/>
      <c r="X250" s="47"/>
      <c r="Y250" s="48"/>
      <c r="Z250" s="52"/>
      <c r="AA250" s="52"/>
      <c r="AC250" s="32" t="str">
        <f t="shared" si="72"/>
        <v>·</v>
      </c>
      <c r="AD250" s="33" t="str">
        <f t="shared" si="73"/>
        <v>·</v>
      </c>
      <c r="AE250" s="33" t="str">
        <f t="shared" si="74"/>
        <v>·</v>
      </c>
      <c r="AF250" s="33" t="str">
        <f t="shared" si="75"/>
        <v>·</v>
      </c>
      <c r="AG250" s="34"/>
      <c r="AH250" s="33" t="str">
        <f t="shared" si="76"/>
        <v>·</v>
      </c>
      <c r="AI250" s="35"/>
      <c r="AJ250" s="36"/>
      <c r="AK250" s="36"/>
      <c r="AL250" s="36"/>
      <c r="AM250" s="46"/>
      <c r="AN250" s="47"/>
      <c r="AO250" s="47"/>
      <c r="AP250" s="47"/>
      <c r="AQ250" s="47"/>
      <c r="AR250" s="47"/>
      <c r="AS250" s="48"/>
      <c r="AT250" s="52"/>
      <c r="AU250" s="52"/>
      <c r="AW250" s="59" t="e">
        <f t="shared" si="77"/>
        <v>#DIV/0!</v>
      </c>
      <c r="AX250" s="59"/>
      <c r="AZ250" s="60"/>
      <c r="BA250" s="60"/>
      <c r="BB250" s="60"/>
      <c r="BC250" s="60"/>
      <c r="BD250" s="60"/>
      <c r="BE250" s="64"/>
      <c r="BG250" s="60"/>
      <c r="BH250" s="60"/>
      <c r="BI250" s="60"/>
      <c r="BJ250" s="60"/>
      <c r="BK250" s="60"/>
      <c r="BL250" s="64"/>
      <c r="BN250">
        <f t="shared" si="78"/>
        <v>0</v>
      </c>
      <c r="BO250">
        <f t="shared" si="79"/>
        <v>0</v>
      </c>
      <c r="BP250">
        <f t="shared" si="80"/>
        <v>0</v>
      </c>
      <c r="BQ250">
        <f t="shared" si="81"/>
        <v>0</v>
      </c>
      <c r="BR250">
        <f t="shared" si="82"/>
        <v>0</v>
      </c>
      <c r="BS250">
        <f t="shared" si="83"/>
        <v>0</v>
      </c>
      <c r="BT250">
        <f t="shared" si="84"/>
        <v>0</v>
      </c>
      <c r="BU250">
        <f t="shared" si="85"/>
        <v>0</v>
      </c>
      <c r="BV250">
        <f t="shared" si="86"/>
        <v>0</v>
      </c>
      <c r="BW250">
        <f t="shared" si="87"/>
        <v>0</v>
      </c>
      <c r="BX250">
        <f t="shared" si="88"/>
        <v>0</v>
      </c>
    </row>
    <row r="251" spans="1:76" x14ac:dyDescent="0.15">
      <c r="A251" s="5"/>
      <c r="B251" s="5" t="s">
        <v>169</v>
      </c>
      <c r="C251" s="6" t="s">
        <v>254</v>
      </c>
      <c r="D251" s="5">
        <v>499660</v>
      </c>
      <c r="E251" s="7">
        <v>12</v>
      </c>
      <c r="F251" s="6">
        <v>1</v>
      </c>
      <c r="G251" s="6"/>
      <c r="I251" s="17" t="str">
        <f t="shared" si="67"/>
        <v>·</v>
      </c>
      <c r="J251" s="18" t="str">
        <f t="shared" si="68"/>
        <v>·</v>
      </c>
      <c r="K251" s="18" t="str">
        <f t="shared" si="69"/>
        <v>·</v>
      </c>
      <c r="L251" s="18" t="str">
        <f t="shared" si="70"/>
        <v>·</v>
      </c>
      <c r="M251" s="19"/>
      <c r="N251" s="18" t="str">
        <f t="shared" si="71"/>
        <v>·</v>
      </c>
      <c r="O251" s="20"/>
      <c r="P251" s="21"/>
      <c r="Q251" s="21"/>
      <c r="R251" s="21"/>
      <c r="S251" s="37"/>
      <c r="T251" s="38"/>
      <c r="U251" s="38"/>
      <c r="V251" s="38"/>
      <c r="W251" s="38"/>
      <c r="X251" s="38"/>
      <c r="Y251" s="39"/>
      <c r="Z251" s="49"/>
      <c r="AA251" s="49"/>
      <c r="AC251" s="17" t="str">
        <f t="shared" si="72"/>
        <v>·</v>
      </c>
      <c r="AD251" s="18" t="str">
        <f t="shared" si="73"/>
        <v>·</v>
      </c>
      <c r="AE251" s="18" t="str">
        <f t="shared" si="74"/>
        <v>·</v>
      </c>
      <c r="AF251" s="18" t="str">
        <f t="shared" si="75"/>
        <v>·</v>
      </c>
      <c r="AG251" s="19"/>
      <c r="AH251" s="18" t="str">
        <f t="shared" si="76"/>
        <v>·</v>
      </c>
      <c r="AI251" s="20"/>
      <c r="AJ251" s="21"/>
      <c r="AK251" s="21"/>
      <c r="AL251" s="21"/>
      <c r="AM251" s="37"/>
      <c r="AN251" s="38"/>
      <c r="AO251" s="38"/>
      <c r="AP251" s="38"/>
      <c r="AQ251" s="38"/>
      <c r="AR251" s="38"/>
      <c r="AS251" s="39"/>
      <c r="AT251" s="49"/>
      <c r="AU251" s="49"/>
      <c r="AW251" s="53" t="e">
        <f t="shared" si="77"/>
        <v>#DIV/0!</v>
      </c>
      <c r="AX251" s="53" t="e">
        <f t="array" ref="AX251">AVERAGE(AK251:AK256/AJ251:AJ256)-AVERAGE(Q251:Q256/P251:P256)</f>
        <v>#DIV/0!</v>
      </c>
      <c r="AZ251" s="54" t="str">
        <f>IF(OR(ISBLANK(Q251:Q256),ISBLANK(AK251:AK256),ISBLANK(T251:T256),ISBLANK(AN251:AN256)),"·",bdRateExtend(Q251:Q256,T251:T256,AK251:AK256,AN251:AN256))</f>
        <v>·</v>
      </c>
      <c r="BA251" s="54" t="str">
        <f>IF(OR(ISBLANK(Q251:Q256),ISBLANK(AK251:AK256),ISBLANK(U251:U256),ISBLANK(AO251:AO256)),"·",bdRateExtend(Q251:Q256,U251:U256,AK251:AK256,AO251:AO256))</f>
        <v>·</v>
      </c>
      <c r="BB251" s="54" t="str">
        <f>IF(OR(ISBLANK(R251:R256),ISBLANK(AL251:AL256),ISBLANK(V251:V256),ISBLANK(AP251:AP256)),"·",bdRateExtend(R251:R256,V251:V256,AL251:AL256,AP251:AP256))</f>
        <v>·</v>
      </c>
      <c r="BC251" s="54" t="str">
        <f>IF(OR(ISBLANK(R251:R256),ISBLANK(AL251:AL256),ISBLANK(W251:W256),ISBLANK(AQ251:AQ256)),"·",bdRateExtend(R251:R256,W251:W256,AL251:AL256,AQ251:AQ256))</f>
        <v>·</v>
      </c>
      <c r="BD251" s="54" t="str">
        <f>IF(OR(ISBLANK(R251:R256),ISBLANK(AL251:AL256),ISBLANK(X251:X256),ISBLANK(AR251:AR256)),"·",bdRateExtend(R251:R256,X251:X256,AL251:AL256,AR251:AR256))</f>
        <v>·</v>
      </c>
      <c r="BE251" s="61"/>
      <c r="BG251" s="54" t="str">
        <f>IF(OR(ISBLANK(P251:P256),ISBLANK(AJ251:AJ256),ISBLANK(T251:T256),ISBLANK(AN251:AN256)),"·",bdRateExtend(P251:P256,T251:T256,AJ251:AJ256,AN251:AN256))</f>
        <v>·</v>
      </c>
      <c r="BH251" s="54" t="str">
        <f>IF(OR(ISBLANK(P251:P256),ISBLANK(AJ251:AJ256),ISBLANK(U251:U256),ISBLANK(AO251:AO256)),"·",bdRateExtend(P251:P256,U251:U256,AJ251:AJ256,AO251:AO256))</f>
        <v>·</v>
      </c>
      <c r="BI251" s="54" t="str">
        <f>IF(OR(ISBLANK(P251:P256),ISBLANK(AJ251:AJ256),ISBLANK(V251:V256),ISBLANK(AP251:AP256)),"·",bdRateExtend(P251:P256,V251:V256,AJ251:AJ256,AP251:AP256))</f>
        <v>·</v>
      </c>
      <c r="BJ251" s="54" t="str">
        <f>IF(OR(ISBLANK(P251:P256),ISBLANK(AJ251:AJ256),ISBLANK(W251:W256),ISBLANK(AQ251:AQ256)),"·",bdRateExtend(P251:P256,W251:W256,AJ251:AJ256,AQ251:AQ256))</f>
        <v>·</v>
      </c>
      <c r="BK251" s="54" t="str">
        <f>IF(OR(ISBLANK(P251:P256),ISBLANK(AJ251:AJ256),ISBLANK(X251:X256),ISBLANK(AR251:AR256)),"·",bdRateExtend(P251:P256,X251:X256,AJ251:AJ256,AR251:AR256))</f>
        <v>·</v>
      </c>
      <c r="BL251" s="61"/>
      <c r="BN251">
        <f t="shared" si="78"/>
        <v>0</v>
      </c>
      <c r="BO251">
        <f t="shared" si="79"/>
        <v>0</v>
      </c>
      <c r="BP251">
        <f t="shared" si="80"/>
        <v>0</v>
      </c>
      <c r="BQ251">
        <f t="shared" si="81"/>
        <v>0</v>
      </c>
      <c r="BR251">
        <f t="shared" si="82"/>
        <v>0</v>
      </c>
      <c r="BS251">
        <f t="shared" si="83"/>
        <v>0</v>
      </c>
      <c r="BT251">
        <f t="shared" si="84"/>
        <v>0</v>
      </c>
      <c r="BU251">
        <f t="shared" si="85"/>
        <v>0</v>
      </c>
      <c r="BV251">
        <f t="shared" si="86"/>
        <v>0</v>
      </c>
      <c r="BW251">
        <f t="shared" si="87"/>
        <v>0</v>
      </c>
      <c r="BX251">
        <f t="shared" si="88"/>
        <v>0</v>
      </c>
    </row>
    <row r="252" spans="1:76" outlineLevel="1" x14ac:dyDescent="0.15">
      <c r="A252" s="8"/>
      <c r="B252" s="8" t="s">
        <v>169</v>
      </c>
      <c r="C252" s="9" t="s">
        <v>255</v>
      </c>
      <c r="D252" s="8">
        <v>499660</v>
      </c>
      <c r="E252" s="10">
        <v>12</v>
      </c>
      <c r="F252" s="9">
        <v>1</v>
      </c>
      <c r="G252" s="9"/>
      <c r="I252" s="22" t="str">
        <f t="shared" si="67"/>
        <v>·</v>
      </c>
      <c r="J252" s="23" t="str">
        <f t="shared" si="68"/>
        <v>·</v>
      </c>
      <c r="K252" s="23" t="str">
        <f t="shared" si="69"/>
        <v>·</v>
      </c>
      <c r="L252" s="23" t="str">
        <f t="shared" si="70"/>
        <v>·</v>
      </c>
      <c r="M252" s="24"/>
      <c r="N252" s="23" t="str">
        <f t="shared" si="71"/>
        <v>·</v>
      </c>
      <c r="O252" s="25"/>
      <c r="P252" s="26"/>
      <c r="Q252" s="26"/>
      <c r="R252" s="26"/>
      <c r="S252" s="40"/>
      <c r="T252" s="41"/>
      <c r="U252" s="41"/>
      <c r="V252" s="41"/>
      <c r="W252" s="41"/>
      <c r="X252" s="41"/>
      <c r="Y252" s="42"/>
      <c r="Z252" s="50"/>
      <c r="AA252" s="50"/>
      <c r="AC252" s="22" t="str">
        <f t="shared" si="72"/>
        <v>·</v>
      </c>
      <c r="AD252" s="23" t="str">
        <f t="shared" si="73"/>
        <v>·</v>
      </c>
      <c r="AE252" s="23" t="str">
        <f t="shared" si="74"/>
        <v>·</v>
      </c>
      <c r="AF252" s="23" t="str">
        <f t="shared" si="75"/>
        <v>·</v>
      </c>
      <c r="AG252" s="24"/>
      <c r="AH252" s="23" t="str">
        <f t="shared" si="76"/>
        <v>·</v>
      </c>
      <c r="AI252" s="25"/>
      <c r="AJ252" s="26"/>
      <c r="AK252" s="26"/>
      <c r="AL252" s="26"/>
      <c r="AM252" s="40"/>
      <c r="AN252" s="41"/>
      <c r="AO252" s="41"/>
      <c r="AP252" s="41"/>
      <c r="AQ252" s="41"/>
      <c r="AR252" s="41"/>
      <c r="AS252" s="42"/>
      <c r="AT252" s="50"/>
      <c r="AU252" s="50"/>
      <c r="AW252" s="55" t="e">
        <f t="shared" si="77"/>
        <v>#DIV/0!</v>
      </c>
      <c r="AX252" s="55"/>
      <c r="AZ252" s="56"/>
      <c r="BA252" s="56"/>
      <c r="BB252" s="56"/>
      <c r="BC252" s="56"/>
      <c r="BD252" s="56"/>
      <c r="BE252" s="62"/>
      <c r="BG252" s="56"/>
      <c r="BH252" s="56"/>
      <c r="BI252" s="56"/>
      <c r="BJ252" s="56"/>
      <c r="BK252" s="56"/>
      <c r="BL252" s="62"/>
      <c r="BN252">
        <f t="shared" si="78"/>
        <v>0</v>
      </c>
      <c r="BO252">
        <f t="shared" si="79"/>
        <v>0</v>
      </c>
      <c r="BP252">
        <f t="shared" si="80"/>
        <v>0</v>
      </c>
      <c r="BQ252">
        <f t="shared" si="81"/>
        <v>0</v>
      </c>
      <c r="BR252">
        <f t="shared" si="82"/>
        <v>0</v>
      </c>
      <c r="BS252">
        <f t="shared" si="83"/>
        <v>0</v>
      </c>
      <c r="BT252">
        <f t="shared" si="84"/>
        <v>0</v>
      </c>
      <c r="BU252">
        <f t="shared" si="85"/>
        <v>0</v>
      </c>
      <c r="BV252">
        <f t="shared" si="86"/>
        <v>0</v>
      </c>
      <c r="BW252">
        <f t="shared" si="87"/>
        <v>0</v>
      </c>
      <c r="BX252">
        <f t="shared" si="88"/>
        <v>0</v>
      </c>
    </row>
    <row r="253" spans="1:76" outlineLevel="1" x14ac:dyDescent="0.15">
      <c r="A253" s="5"/>
      <c r="B253" s="5" t="s">
        <v>169</v>
      </c>
      <c r="C253" s="6" t="s">
        <v>256</v>
      </c>
      <c r="D253" s="5">
        <v>499660</v>
      </c>
      <c r="E253" s="7">
        <v>12</v>
      </c>
      <c r="F253" s="6">
        <v>1</v>
      </c>
      <c r="G253" s="6"/>
      <c r="I253" s="17" t="str">
        <f t="shared" si="67"/>
        <v>·</v>
      </c>
      <c r="J253" s="18" t="str">
        <f t="shared" si="68"/>
        <v>·</v>
      </c>
      <c r="K253" s="18" t="str">
        <f t="shared" si="69"/>
        <v>·</v>
      </c>
      <c r="L253" s="18" t="str">
        <f t="shared" si="70"/>
        <v>·</v>
      </c>
      <c r="M253" s="19"/>
      <c r="N253" s="18" t="str">
        <f t="shared" si="71"/>
        <v>·</v>
      </c>
      <c r="O253" s="20"/>
      <c r="P253" s="21"/>
      <c r="Q253" s="21"/>
      <c r="R253" s="21"/>
      <c r="S253" s="37"/>
      <c r="T253" s="38"/>
      <c r="U253" s="38"/>
      <c r="V253" s="38"/>
      <c r="W253" s="38"/>
      <c r="X253" s="38"/>
      <c r="Y253" s="39"/>
      <c r="Z253" s="49"/>
      <c r="AA253" s="49"/>
      <c r="AC253" s="17" t="str">
        <f t="shared" si="72"/>
        <v>·</v>
      </c>
      <c r="AD253" s="18" t="str">
        <f t="shared" si="73"/>
        <v>·</v>
      </c>
      <c r="AE253" s="18" t="str">
        <f t="shared" si="74"/>
        <v>·</v>
      </c>
      <c r="AF253" s="18" t="str">
        <f t="shared" si="75"/>
        <v>·</v>
      </c>
      <c r="AG253" s="19"/>
      <c r="AH253" s="18" t="str">
        <f t="shared" si="76"/>
        <v>·</v>
      </c>
      <c r="AI253" s="20"/>
      <c r="AJ253" s="21"/>
      <c r="AK253" s="21"/>
      <c r="AL253" s="21"/>
      <c r="AM253" s="37"/>
      <c r="AN253" s="38"/>
      <c r="AO253" s="38"/>
      <c r="AP253" s="38"/>
      <c r="AQ253" s="38"/>
      <c r="AR253" s="38"/>
      <c r="AS253" s="39"/>
      <c r="AT253" s="49"/>
      <c r="AU253" s="49"/>
      <c r="AW253" s="53" t="e">
        <f t="shared" si="77"/>
        <v>#DIV/0!</v>
      </c>
      <c r="AX253" s="53"/>
      <c r="AZ253" s="54"/>
      <c r="BA253" s="54"/>
      <c r="BB253" s="54"/>
      <c r="BC253" s="54"/>
      <c r="BD253" s="54"/>
      <c r="BE253" s="61"/>
      <c r="BG253" s="54"/>
      <c r="BH253" s="54"/>
      <c r="BI253" s="54"/>
      <c r="BJ253" s="54"/>
      <c r="BK253" s="54"/>
      <c r="BL253" s="61"/>
      <c r="BN253">
        <f t="shared" si="78"/>
        <v>0</v>
      </c>
      <c r="BO253">
        <f t="shared" si="79"/>
        <v>0</v>
      </c>
      <c r="BP253">
        <f t="shared" si="80"/>
        <v>0</v>
      </c>
      <c r="BQ253">
        <f t="shared" si="81"/>
        <v>0</v>
      </c>
      <c r="BR253">
        <f t="shared" si="82"/>
        <v>0</v>
      </c>
      <c r="BS253">
        <f t="shared" si="83"/>
        <v>0</v>
      </c>
      <c r="BT253">
        <f t="shared" si="84"/>
        <v>0</v>
      </c>
      <c r="BU253">
        <f t="shared" si="85"/>
        <v>0</v>
      </c>
      <c r="BV253">
        <f t="shared" si="86"/>
        <v>0</v>
      </c>
      <c r="BW253">
        <f t="shared" si="87"/>
        <v>0</v>
      </c>
      <c r="BX253">
        <f t="shared" si="88"/>
        <v>0</v>
      </c>
    </row>
    <row r="254" spans="1:76" outlineLevel="1" x14ac:dyDescent="0.15">
      <c r="A254" s="8"/>
      <c r="B254" s="8" t="s">
        <v>169</v>
      </c>
      <c r="C254" s="9" t="s">
        <v>257</v>
      </c>
      <c r="D254" s="8">
        <v>499660</v>
      </c>
      <c r="E254" s="10">
        <v>12</v>
      </c>
      <c r="F254" s="9">
        <v>1</v>
      </c>
      <c r="G254" s="9"/>
      <c r="I254" s="22" t="str">
        <f t="shared" si="67"/>
        <v>·</v>
      </c>
      <c r="J254" s="23" t="str">
        <f t="shared" si="68"/>
        <v>·</v>
      </c>
      <c r="K254" s="23" t="str">
        <f t="shared" si="69"/>
        <v>·</v>
      </c>
      <c r="L254" s="23" t="str">
        <f t="shared" si="70"/>
        <v>·</v>
      </c>
      <c r="M254" s="24"/>
      <c r="N254" s="23" t="str">
        <f t="shared" si="71"/>
        <v>·</v>
      </c>
      <c r="O254" s="25"/>
      <c r="P254" s="26"/>
      <c r="Q254" s="26"/>
      <c r="R254" s="26"/>
      <c r="S254" s="40"/>
      <c r="T254" s="41"/>
      <c r="U254" s="41"/>
      <c r="V254" s="41"/>
      <c r="W254" s="41"/>
      <c r="X254" s="41"/>
      <c r="Y254" s="42"/>
      <c r="Z254" s="50"/>
      <c r="AA254" s="50"/>
      <c r="AC254" s="22" t="str">
        <f t="shared" si="72"/>
        <v>·</v>
      </c>
      <c r="AD254" s="23" t="str">
        <f t="shared" si="73"/>
        <v>·</v>
      </c>
      <c r="AE254" s="23" t="str">
        <f t="shared" si="74"/>
        <v>·</v>
      </c>
      <c r="AF254" s="23" t="str">
        <f t="shared" si="75"/>
        <v>·</v>
      </c>
      <c r="AG254" s="24"/>
      <c r="AH254" s="23" t="str">
        <f t="shared" si="76"/>
        <v>·</v>
      </c>
      <c r="AI254" s="25"/>
      <c r="AJ254" s="26"/>
      <c r="AK254" s="26"/>
      <c r="AL254" s="26"/>
      <c r="AM254" s="40"/>
      <c r="AN254" s="41"/>
      <c r="AO254" s="41"/>
      <c r="AP254" s="41"/>
      <c r="AQ254" s="41"/>
      <c r="AR254" s="41"/>
      <c r="AS254" s="42"/>
      <c r="AT254" s="50"/>
      <c r="AU254" s="50"/>
      <c r="AW254" s="55" t="e">
        <f t="shared" si="77"/>
        <v>#DIV/0!</v>
      </c>
      <c r="AX254" s="55"/>
      <c r="AZ254" s="56"/>
      <c r="BA254" s="56"/>
      <c r="BB254" s="56"/>
      <c r="BC254" s="56"/>
      <c r="BD254" s="56"/>
      <c r="BE254" s="62"/>
      <c r="BG254" s="56"/>
      <c r="BH254" s="56"/>
      <c r="BI254" s="56"/>
      <c r="BJ254" s="56"/>
      <c r="BK254" s="56"/>
      <c r="BL254" s="62"/>
      <c r="BN254">
        <f t="shared" si="78"/>
        <v>0</v>
      </c>
      <c r="BO254">
        <f t="shared" si="79"/>
        <v>0</v>
      </c>
      <c r="BP254">
        <f t="shared" si="80"/>
        <v>0</v>
      </c>
      <c r="BQ254">
        <f t="shared" si="81"/>
        <v>0</v>
      </c>
      <c r="BR254">
        <f t="shared" si="82"/>
        <v>0</v>
      </c>
      <c r="BS254">
        <f t="shared" si="83"/>
        <v>0</v>
      </c>
      <c r="BT254">
        <f t="shared" si="84"/>
        <v>0</v>
      </c>
      <c r="BU254">
        <f t="shared" si="85"/>
        <v>0</v>
      </c>
      <c r="BV254">
        <f t="shared" si="86"/>
        <v>0</v>
      </c>
      <c r="BW254">
        <f t="shared" si="87"/>
        <v>0</v>
      </c>
      <c r="BX254">
        <f t="shared" si="88"/>
        <v>0</v>
      </c>
    </row>
    <row r="255" spans="1:76" outlineLevel="1" x14ac:dyDescent="0.15">
      <c r="A255" s="5"/>
      <c r="B255" s="5" t="s">
        <v>169</v>
      </c>
      <c r="C255" s="6" t="s">
        <v>258</v>
      </c>
      <c r="D255" s="5">
        <v>499660</v>
      </c>
      <c r="E255" s="7">
        <v>12</v>
      </c>
      <c r="F255" s="6">
        <v>1</v>
      </c>
      <c r="G255" s="6"/>
      <c r="I255" s="17" t="str">
        <f t="shared" si="67"/>
        <v>·</v>
      </c>
      <c r="J255" s="18" t="str">
        <f t="shared" si="68"/>
        <v>·</v>
      </c>
      <c r="K255" s="18" t="str">
        <f t="shared" si="69"/>
        <v>·</v>
      </c>
      <c r="L255" s="18" t="str">
        <f t="shared" si="70"/>
        <v>·</v>
      </c>
      <c r="M255" s="19"/>
      <c r="N255" s="18" t="str">
        <f t="shared" si="71"/>
        <v>·</v>
      </c>
      <c r="O255" s="20"/>
      <c r="P255" s="21"/>
      <c r="Q255" s="21"/>
      <c r="R255" s="21"/>
      <c r="S255" s="37"/>
      <c r="T255" s="38"/>
      <c r="U255" s="38"/>
      <c r="V255" s="38"/>
      <c r="W255" s="38"/>
      <c r="X255" s="38"/>
      <c r="Y255" s="39"/>
      <c r="Z255" s="49"/>
      <c r="AA255" s="49"/>
      <c r="AC255" s="17" t="str">
        <f t="shared" si="72"/>
        <v>·</v>
      </c>
      <c r="AD255" s="18" t="str">
        <f t="shared" si="73"/>
        <v>·</v>
      </c>
      <c r="AE255" s="18" t="str">
        <f t="shared" si="74"/>
        <v>·</v>
      </c>
      <c r="AF255" s="18" t="str">
        <f t="shared" si="75"/>
        <v>·</v>
      </c>
      <c r="AG255" s="19"/>
      <c r="AH255" s="18" t="str">
        <f t="shared" si="76"/>
        <v>·</v>
      </c>
      <c r="AI255" s="20"/>
      <c r="AJ255" s="21"/>
      <c r="AK255" s="21"/>
      <c r="AL255" s="21"/>
      <c r="AM255" s="37"/>
      <c r="AN255" s="38"/>
      <c r="AO255" s="38"/>
      <c r="AP255" s="38"/>
      <c r="AQ255" s="38"/>
      <c r="AR255" s="38"/>
      <c r="AS255" s="39"/>
      <c r="AT255" s="49"/>
      <c r="AU255" s="49"/>
      <c r="AW255" s="53" t="e">
        <f t="shared" si="77"/>
        <v>#DIV/0!</v>
      </c>
      <c r="AX255" s="53"/>
      <c r="AZ255" s="54"/>
      <c r="BA255" s="54"/>
      <c r="BB255" s="54"/>
      <c r="BC255" s="54"/>
      <c r="BD255" s="54"/>
      <c r="BE255" s="61"/>
      <c r="BG255" s="54"/>
      <c r="BH255" s="54"/>
      <c r="BI255" s="54"/>
      <c r="BJ255" s="54"/>
      <c r="BK255" s="54"/>
      <c r="BL255" s="61"/>
      <c r="BN255">
        <f t="shared" si="78"/>
        <v>0</v>
      </c>
      <c r="BO255">
        <f t="shared" si="79"/>
        <v>0</v>
      </c>
      <c r="BP255">
        <f t="shared" si="80"/>
        <v>0</v>
      </c>
      <c r="BQ255">
        <f t="shared" si="81"/>
        <v>0</v>
      </c>
      <c r="BR255">
        <f t="shared" si="82"/>
        <v>0</v>
      </c>
      <c r="BS255">
        <f t="shared" si="83"/>
        <v>0</v>
      </c>
      <c r="BT255">
        <f t="shared" si="84"/>
        <v>0</v>
      </c>
      <c r="BU255">
        <f t="shared" si="85"/>
        <v>0</v>
      </c>
      <c r="BV255">
        <f t="shared" si="86"/>
        <v>0</v>
      </c>
      <c r="BW255">
        <f t="shared" si="87"/>
        <v>0</v>
      </c>
      <c r="BX255">
        <f t="shared" si="88"/>
        <v>0</v>
      </c>
    </row>
    <row r="256" spans="1:76" outlineLevel="1" x14ac:dyDescent="0.15">
      <c r="A256" s="8"/>
      <c r="B256" s="14" t="s">
        <v>169</v>
      </c>
      <c r="C256" s="15" t="s">
        <v>259</v>
      </c>
      <c r="D256" s="14">
        <v>499660</v>
      </c>
      <c r="E256" s="16">
        <v>12</v>
      </c>
      <c r="F256" s="15">
        <v>1</v>
      </c>
      <c r="G256" s="15"/>
      <c r="I256" s="32" t="str">
        <f t="shared" si="67"/>
        <v>·</v>
      </c>
      <c r="J256" s="33" t="str">
        <f t="shared" si="68"/>
        <v>·</v>
      </c>
      <c r="K256" s="33" t="str">
        <f t="shared" si="69"/>
        <v>·</v>
      </c>
      <c r="L256" s="33" t="str">
        <f t="shared" si="70"/>
        <v>·</v>
      </c>
      <c r="M256" s="34"/>
      <c r="N256" s="33" t="str">
        <f t="shared" si="71"/>
        <v>·</v>
      </c>
      <c r="O256" s="35"/>
      <c r="P256" s="36"/>
      <c r="Q256" s="36"/>
      <c r="R256" s="36"/>
      <c r="S256" s="46"/>
      <c r="T256" s="47"/>
      <c r="U256" s="47"/>
      <c r="V256" s="47"/>
      <c r="W256" s="47"/>
      <c r="X256" s="47"/>
      <c r="Y256" s="48"/>
      <c r="Z256" s="52"/>
      <c r="AA256" s="52"/>
      <c r="AC256" s="32" t="str">
        <f t="shared" si="72"/>
        <v>·</v>
      </c>
      <c r="AD256" s="33" t="str">
        <f t="shared" si="73"/>
        <v>·</v>
      </c>
      <c r="AE256" s="33" t="str">
        <f t="shared" si="74"/>
        <v>·</v>
      </c>
      <c r="AF256" s="33" t="str">
        <f t="shared" si="75"/>
        <v>·</v>
      </c>
      <c r="AG256" s="34"/>
      <c r="AH256" s="33" t="str">
        <f t="shared" si="76"/>
        <v>·</v>
      </c>
      <c r="AI256" s="35"/>
      <c r="AJ256" s="36"/>
      <c r="AK256" s="36"/>
      <c r="AL256" s="36"/>
      <c r="AM256" s="46"/>
      <c r="AN256" s="47"/>
      <c r="AO256" s="47"/>
      <c r="AP256" s="47"/>
      <c r="AQ256" s="47"/>
      <c r="AR256" s="47"/>
      <c r="AS256" s="48"/>
      <c r="AT256" s="52"/>
      <c r="AU256" s="52"/>
      <c r="AW256" s="59" t="e">
        <f t="shared" si="77"/>
        <v>#DIV/0!</v>
      </c>
      <c r="AX256" s="59"/>
      <c r="AZ256" s="60"/>
      <c r="BA256" s="60"/>
      <c r="BB256" s="60"/>
      <c r="BC256" s="60"/>
      <c r="BD256" s="60"/>
      <c r="BE256" s="64"/>
      <c r="BG256" s="60"/>
      <c r="BH256" s="60"/>
      <c r="BI256" s="60"/>
      <c r="BJ256" s="60"/>
      <c r="BK256" s="60"/>
      <c r="BL256" s="64"/>
      <c r="BN256">
        <f t="shared" si="78"/>
        <v>0</v>
      </c>
      <c r="BO256">
        <f t="shared" si="79"/>
        <v>0</v>
      </c>
      <c r="BP256">
        <f t="shared" si="80"/>
        <v>0</v>
      </c>
      <c r="BQ256">
        <f t="shared" si="81"/>
        <v>0</v>
      </c>
      <c r="BR256">
        <f t="shared" si="82"/>
        <v>0</v>
      </c>
      <c r="BS256">
        <f t="shared" si="83"/>
        <v>0</v>
      </c>
      <c r="BT256">
        <f t="shared" si="84"/>
        <v>0</v>
      </c>
      <c r="BU256">
        <f t="shared" si="85"/>
        <v>0</v>
      </c>
      <c r="BV256">
        <f t="shared" si="86"/>
        <v>0</v>
      </c>
      <c r="BW256">
        <f t="shared" si="87"/>
        <v>0</v>
      </c>
      <c r="BX256">
        <f t="shared" si="88"/>
        <v>0</v>
      </c>
    </row>
    <row r="257" spans="1:76" x14ac:dyDescent="0.15">
      <c r="A257" s="5"/>
      <c r="B257" s="5" t="s">
        <v>170</v>
      </c>
      <c r="C257" s="6" t="s">
        <v>254</v>
      </c>
      <c r="D257" s="5">
        <v>499886</v>
      </c>
      <c r="E257" s="7">
        <v>20</v>
      </c>
      <c r="F257" s="6">
        <v>1</v>
      </c>
      <c r="G257" s="6"/>
      <c r="I257" s="17" t="str">
        <f t="shared" si="67"/>
        <v>·</v>
      </c>
      <c r="J257" s="18" t="str">
        <f t="shared" si="68"/>
        <v>·</v>
      </c>
      <c r="K257" s="18" t="str">
        <f t="shared" si="69"/>
        <v>·</v>
      </c>
      <c r="L257" s="18" t="str">
        <f t="shared" si="70"/>
        <v>·</v>
      </c>
      <c r="M257" s="19"/>
      <c r="N257" s="18" t="str">
        <f t="shared" si="71"/>
        <v>·</v>
      </c>
      <c r="O257" s="20"/>
      <c r="P257" s="21"/>
      <c r="Q257" s="21"/>
      <c r="R257" s="21"/>
      <c r="S257" s="37"/>
      <c r="T257" s="38"/>
      <c r="U257" s="38"/>
      <c r="V257" s="38"/>
      <c r="W257" s="38"/>
      <c r="X257" s="38"/>
      <c r="Y257" s="39"/>
      <c r="Z257" s="49"/>
      <c r="AA257" s="49"/>
      <c r="AC257" s="17" t="str">
        <f t="shared" si="72"/>
        <v>·</v>
      </c>
      <c r="AD257" s="18" t="str">
        <f t="shared" si="73"/>
        <v>·</v>
      </c>
      <c r="AE257" s="18" t="str">
        <f t="shared" si="74"/>
        <v>·</v>
      </c>
      <c r="AF257" s="18" t="str">
        <f t="shared" si="75"/>
        <v>·</v>
      </c>
      <c r="AG257" s="19"/>
      <c r="AH257" s="18" t="str">
        <f t="shared" si="76"/>
        <v>·</v>
      </c>
      <c r="AI257" s="20"/>
      <c r="AJ257" s="21"/>
      <c r="AK257" s="21"/>
      <c r="AL257" s="21"/>
      <c r="AM257" s="37"/>
      <c r="AN257" s="38"/>
      <c r="AO257" s="38"/>
      <c r="AP257" s="38"/>
      <c r="AQ257" s="38"/>
      <c r="AR257" s="38"/>
      <c r="AS257" s="39"/>
      <c r="AT257" s="49"/>
      <c r="AU257" s="49"/>
      <c r="AW257" s="53" t="e">
        <f t="shared" si="77"/>
        <v>#DIV/0!</v>
      </c>
      <c r="AX257" s="53" t="e">
        <f t="array" ref="AX257">AVERAGE(AK257:AK262/AJ257:AJ262)-AVERAGE(Q257:Q262/P257:P262)</f>
        <v>#DIV/0!</v>
      </c>
      <c r="AZ257" s="54" t="str">
        <f>IF(OR(ISBLANK(Q257:Q262),ISBLANK(AK257:AK262),ISBLANK(T257:T262),ISBLANK(AN257:AN262)),"·",bdRateExtend(Q257:Q262,T257:T262,AK257:AK262,AN257:AN262))</f>
        <v>·</v>
      </c>
      <c r="BA257" s="54" t="str">
        <f>IF(OR(ISBLANK(Q257:Q262),ISBLANK(AK257:AK262),ISBLANK(U257:U262),ISBLANK(AO257:AO262)),"·",bdRateExtend(Q257:Q262,U257:U262,AK257:AK262,AO257:AO262))</f>
        <v>·</v>
      </c>
      <c r="BB257" s="54" t="str">
        <f>IF(OR(ISBLANK(R257:R262),ISBLANK(AL257:AL262),ISBLANK(V257:V262),ISBLANK(AP257:AP262)),"·",bdRateExtend(R257:R262,V257:V262,AL257:AL262,AP257:AP262))</f>
        <v>·</v>
      </c>
      <c r="BC257" s="54" t="str">
        <f>IF(OR(ISBLANK(R257:R262),ISBLANK(AL257:AL262),ISBLANK(W257:W262),ISBLANK(AQ257:AQ262)),"·",bdRateExtend(R257:R262,W257:W262,AL257:AL262,AQ257:AQ262))</f>
        <v>·</v>
      </c>
      <c r="BD257" s="54" t="str">
        <f>IF(OR(ISBLANK(R257:R262),ISBLANK(AL257:AL262),ISBLANK(X257:X262),ISBLANK(AR257:AR262)),"·",bdRateExtend(R257:R262,X257:X262,AL257:AL262,AR257:AR262))</f>
        <v>·</v>
      </c>
      <c r="BE257" s="61"/>
      <c r="BG257" s="54" t="str">
        <f>IF(OR(ISBLANK(P257:P262),ISBLANK(AJ257:AJ262),ISBLANK(T257:T262),ISBLANK(AN257:AN262)),"·",bdRateExtend(P257:P262,T257:T262,AJ257:AJ262,AN257:AN262))</f>
        <v>·</v>
      </c>
      <c r="BH257" s="54" t="str">
        <f>IF(OR(ISBLANK(P257:P262),ISBLANK(AJ257:AJ262),ISBLANK(U257:U262),ISBLANK(AO257:AO262)),"·",bdRateExtend(P257:P262,U257:U262,AJ257:AJ262,AO257:AO262))</f>
        <v>·</v>
      </c>
      <c r="BI257" s="54" t="str">
        <f>IF(OR(ISBLANK(P257:P262),ISBLANK(AJ257:AJ262),ISBLANK(V257:V262),ISBLANK(AP257:AP262)),"·",bdRateExtend(P257:P262,V257:V262,AJ257:AJ262,AP257:AP262))</f>
        <v>·</v>
      </c>
      <c r="BJ257" s="54" t="str">
        <f>IF(OR(ISBLANK(P257:P262),ISBLANK(AJ257:AJ262),ISBLANK(W257:W262),ISBLANK(AQ257:AQ262)),"·",bdRateExtend(P257:P262,W257:W262,AJ257:AJ262,AQ257:AQ262))</f>
        <v>·</v>
      </c>
      <c r="BK257" s="54" t="str">
        <f>IF(OR(ISBLANK(P257:P262),ISBLANK(AJ257:AJ262),ISBLANK(X257:X262),ISBLANK(AR257:AR262)),"·",bdRateExtend(P257:P262,X257:X262,AJ257:AJ262,AR257:AR262))</f>
        <v>·</v>
      </c>
      <c r="BL257" s="61"/>
      <c r="BN257">
        <f t="shared" si="78"/>
        <v>0</v>
      </c>
      <c r="BO257">
        <f t="shared" si="79"/>
        <v>0</v>
      </c>
      <c r="BP257">
        <f t="shared" si="80"/>
        <v>0</v>
      </c>
      <c r="BQ257">
        <f t="shared" si="81"/>
        <v>0</v>
      </c>
      <c r="BR257">
        <f t="shared" si="82"/>
        <v>0</v>
      </c>
      <c r="BS257">
        <f t="shared" si="83"/>
        <v>0</v>
      </c>
      <c r="BT257">
        <f t="shared" si="84"/>
        <v>0</v>
      </c>
      <c r="BU257">
        <f t="shared" si="85"/>
        <v>0</v>
      </c>
      <c r="BV257">
        <f t="shared" si="86"/>
        <v>0</v>
      </c>
      <c r="BW257">
        <f t="shared" si="87"/>
        <v>0</v>
      </c>
      <c r="BX257">
        <f t="shared" si="88"/>
        <v>0</v>
      </c>
    </row>
    <row r="258" spans="1:76" outlineLevel="1" x14ac:dyDescent="0.15">
      <c r="A258" s="8"/>
      <c r="B258" s="8" t="s">
        <v>170</v>
      </c>
      <c r="C258" s="9" t="s">
        <v>255</v>
      </c>
      <c r="D258" s="8">
        <v>499886</v>
      </c>
      <c r="E258" s="10">
        <v>20</v>
      </c>
      <c r="F258" s="9">
        <v>1</v>
      </c>
      <c r="G258" s="9"/>
      <c r="I258" s="22" t="str">
        <f t="shared" si="67"/>
        <v>·</v>
      </c>
      <c r="J258" s="23" t="str">
        <f t="shared" si="68"/>
        <v>·</v>
      </c>
      <c r="K258" s="23" t="str">
        <f t="shared" si="69"/>
        <v>·</v>
      </c>
      <c r="L258" s="23" t="str">
        <f t="shared" si="70"/>
        <v>·</v>
      </c>
      <c r="M258" s="24"/>
      <c r="N258" s="23" t="str">
        <f t="shared" si="71"/>
        <v>·</v>
      </c>
      <c r="O258" s="25"/>
      <c r="P258" s="26"/>
      <c r="Q258" s="26"/>
      <c r="R258" s="26"/>
      <c r="S258" s="40"/>
      <c r="T258" s="41"/>
      <c r="U258" s="41"/>
      <c r="V258" s="41"/>
      <c r="W258" s="41"/>
      <c r="X258" s="41"/>
      <c r="Y258" s="42"/>
      <c r="Z258" s="50"/>
      <c r="AA258" s="50"/>
      <c r="AC258" s="22" t="str">
        <f t="shared" si="72"/>
        <v>·</v>
      </c>
      <c r="AD258" s="23" t="str">
        <f t="shared" si="73"/>
        <v>·</v>
      </c>
      <c r="AE258" s="23" t="str">
        <f t="shared" si="74"/>
        <v>·</v>
      </c>
      <c r="AF258" s="23" t="str">
        <f t="shared" si="75"/>
        <v>·</v>
      </c>
      <c r="AG258" s="24"/>
      <c r="AH258" s="23" t="str">
        <f t="shared" si="76"/>
        <v>·</v>
      </c>
      <c r="AI258" s="25"/>
      <c r="AJ258" s="26"/>
      <c r="AK258" s="26"/>
      <c r="AL258" s="26"/>
      <c r="AM258" s="40"/>
      <c r="AN258" s="41"/>
      <c r="AO258" s="41"/>
      <c r="AP258" s="41"/>
      <c r="AQ258" s="41"/>
      <c r="AR258" s="41"/>
      <c r="AS258" s="42"/>
      <c r="AT258" s="50"/>
      <c r="AU258" s="50"/>
      <c r="AW258" s="55" t="e">
        <f t="shared" si="77"/>
        <v>#DIV/0!</v>
      </c>
      <c r="AX258" s="55"/>
      <c r="AZ258" s="56"/>
      <c r="BA258" s="56"/>
      <c r="BB258" s="56"/>
      <c r="BC258" s="56"/>
      <c r="BD258" s="56"/>
      <c r="BE258" s="62"/>
      <c r="BG258" s="56"/>
      <c r="BH258" s="56"/>
      <c r="BI258" s="56"/>
      <c r="BJ258" s="56"/>
      <c r="BK258" s="56"/>
      <c r="BL258" s="62"/>
      <c r="BN258">
        <f t="shared" si="78"/>
        <v>0</v>
      </c>
      <c r="BO258">
        <f t="shared" si="79"/>
        <v>0</v>
      </c>
      <c r="BP258">
        <f t="shared" si="80"/>
        <v>0</v>
      </c>
      <c r="BQ258">
        <f t="shared" si="81"/>
        <v>0</v>
      </c>
      <c r="BR258">
        <f t="shared" si="82"/>
        <v>0</v>
      </c>
      <c r="BS258">
        <f t="shared" si="83"/>
        <v>0</v>
      </c>
      <c r="BT258">
        <f t="shared" si="84"/>
        <v>0</v>
      </c>
      <c r="BU258">
        <f t="shared" si="85"/>
        <v>0</v>
      </c>
      <c r="BV258">
        <f t="shared" si="86"/>
        <v>0</v>
      </c>
      <c r="BW258">
        <f t="shared" si="87"/>
        <v>0</v>
      </c>
      <c r="BX258">
        <f t="shared" si="88"/>
        <v>0</v>
      </c>
    </row>
    <row r="259" spans="1:76" outlineLevel="1" x14ac:dyDescent="0.15">
      <c r="A259" s="5"/>
      <c r="B259" s="5" t="s">
        <v>170</v>
      </c>
      <c r="C259" s="6" t="s">
        <v>256</v>
      </c>
      <c r="D259" s="5">
        <v>499886</v>
      </c>
      <c r="E259" s="7">
        <v>20</v>
      </c>
      <c r="F259" s="6">
        <v>1</v>
      </c>
      <c r="G259" s="6"/>
      <c r="I259" s="17" t="str">
        <f t="shared" si="67"/>
        <v>·</v>
      </c>
      <c r="J259" s="18" t="str">
        <f t="shared" si="68"/>
        <v>·</v>
      </c>
      <c r="K259" s="18" t="str">
        <f t="shared" si="69"/>
        <v>·</v>
      </c>
      <c r="L259" s="18" t="str">
        <f t="shared" si="70"/>
        <v>·</v>
      </c>
      <c r="M259" s="19"/>
      <c r="N259" s="18" t="str">
        <f t="shared" si="71"/>
        <v>·</v>
      </c>
      <c r="O259" s="20"/>
      <c r="P259" s="21"/>
      <c r="Q259" s="21"/>
      <c r="R259" s="21"/>
      <c r="S259" s="37"/>
      <c r="T259" s="38"/>
      <c r="U259" s="38"/>
      <c r="V259" s="38"/>
      <c r="W259" s="38"/>
      <c r="X259" s="38"/>
      <c r="Y259" s="39"/>
      <c r="Z259" s="49"/>
      <c r="AA259" s="49"/>
      <c r="AC259" s="17" t="str">
        <f t="shared" si="72"/>
        <v>·</v>
      </c>
      <c r="AD259" s="18" t="str">
        <f t="shared" si="73"/>
        <v>·</v>
      </c>
      <c r="AE259" s="18" t="str">
        <f t="shared" si="74"/>
        <v>·</v>
      </c>
      <c r="AF259" s="18" t="str">
        <f t="shared" si="75"/>
        <v>·</v>
      </c>
      <c r="AG259" s="19"/>
      <c r="AH259" s="18" t="str">
        <f t="shared" si="76"/>
        <v>·</v>
      </c>
      <c r="AI259" s="20"/>
      <c r="AJ259" s="21"/>
      <c r="AK259" s="21"/>
      <c r="AL259" s="21"/>
      <c r="AM259" s="37"/>
      <c r="AN259" s="38"/>
      <c r="AO259" s="38"/>
      <c r="AP259" s="38"/>
      <c r="AQ259" s="38"/>
      <c r="AR259" s="38"/>
      <c r="AS259" s="39"/>
      <c r="AT259" s="49"/>
      <c r="AU259" s="49"/>
      <c r="AW259" s="53" t="e">
        <f t="shared" si="77"/>
        <v>#DIV/0!</v>
      </c>
      <c r="AX259" s="53"/>
      <c r="AZ259" s="54"/>
      <c r="BA259" s="54"/>
      <c r="BB259" s="54"/>
      <c r="BC259" s="54"/>
      <c r="BD259" s="54"/>
      <c r="BE259" s="61"/>
      <c r="BG259" s="54"/>
      <c r="BH259" s="54"/>
      <c r="BI259" s="54"/>
      <c r="BJ259" s="54"/>
      <c r="BK259" s="54"/>
      <c r="BL259" s="61"/>
      <c r="BN259">
        <f t="shared" si="78"/>
        <v>0</v>
      </c>
      <c r="BO259">
        <f t="shared" si="79"/>
        <v>0</v>
      </c>
      <c r="BP259">
        <f t="shared" si="80"/>
        <v>0</v>
      </c>
      <c r="BQ259">
        <f t="shared" si="81"/>
        <v>0</v>
      </c>
      <c r="BR259">
        <f t="shared" si="82"/>
        <v>0</v>
      </c>
      <c r="BS259">
        <f t="shared" si="83"/>
        <v>0</v>
      </c>
      <c r="BT259">
        <f t="shared" si="84"/>
        <v>0</v>
      </c>
      <c r="BU259">
        <f t="shared" si="85"/>
        <v>0</v>
      </c>
      <c r="BV259">
        <f t="shared" si="86"/>
        <v>0</v>
      </c>
      <c r="BW259">
        <f t="shared" si="87"/>
        <v>0</v>
      </c>
      <c r="BX259">
        <f t="shared" si="88"/>
        <v>0</v>
      </c>
    </row>
    <row r="260" spans="1:76" outlineLevel="1" x14ac:dyDescent="0.15">
      <c r="A260" s="8"/>
      <c r="B260" s="8" t="s">
        <v>170</v>
      </c>
      <c r="C260" s="9" t="s">
        <v>257</v>
      </c>
      <c r="D260" s="8">
        <v>499886</v>
      </c>
      <c r="E260" s="10">
        <v>20</v>
      </c>
      <c r="F260" s="9">
        <v>1</v>
      </c>
      <c r="G260" s="9"/>
      <c r="I260" s="22" t="str">
        <f t="shared" si="67"/>
        <v>·</v>
      </c>
      <c r="J260" s="23" t="str">
        <f t="shared" si="68"/>
        <v>·</v>
      </c>
      <c r="K260" s="23" t="str">
        <f t="shared" si="69"/>
        <v>·</v>
      </c>
      <c r="L260" s="23" t="str">
        <f t="shared" si="70"/>
        <v>·</v>
      </c>
      <c r="M260" s="24"/>
      <c r="N260" s="23" t="str">
        <f t="shared" si="71"/>
        <v>·</v>
      </c>
      <c r="O260" s="25"/>
      <c r="P260" s="26"/>
      <c r="Q260" s="26"/>
      <c r="R260" s="26"/>
      <c r="S260" s="40"/>
      <c r="T260" s="41"/>
      <c r="U260" s="41"/>
      <c r="V260" s="41"/>
      <c r="W260" s="41"/>
      <c r="X260" s="41"/>
      <c r="Y260" s="42"/>
      <c r="Z260" s="50"/>
      <c r="AA260" s="50"/>
      <c r="AC260" s="22" t="str">
        <f t="shared" si="72"/>
        <v>·</v>
      </c>
      <c r="AD260" s="23" t="str">
        <f t="shared" si="73"/>
        <v>·</v>
      </c>
      <c r="AE260" s="23" t="str">
        <f t="shared" si="74"/>
        <v>·</v>
      </c>
      <c r="AF260" s="23" t="str">
        <f t="shared" si="75"/>
        <v>·</v>
      </c>
      <c r="AG260" s="24"/>
      <c r="AH260" s="23" t="str">
        <f t="shared" si="76"/>
        <v>·</v>
      </c>
      <c r="AI260" s="25"/>
      <c r="AJ260" s="26"/>
      <c r="AK260" s="26"/>
      <c r="AL260" s="26"/>
      <c r="AM260" s="40"/>
      <c r="AN260" s="41"/>
      <c r="AO260" s="41"/>
      <c r="AP260" s="41"/>
      <c r="AQ260" s="41"/>
      <c r="AR260" s="41"/>
      <c r="AS260" s="42"/>
      <c r="AT260" s="50"/>
      <c r="AU260" s="50"/>
      <c r="AW260" s="55" t="e">
        <f t="shared" si="77"/>
        <v>#DIV/0!</v>
      </c>
      <c r="AX260" s="55"/>
      <c r="AZ260" s="56"/>
      <c r="BA260" s="56"/>
      <c r="BB260" s="56"/>
      <c r="BC260" s="56"/>
      <c r="BD260" s="56"/>
      <c r="BE260" s="62"/>
      <c r="BG260" s="56"/>
      <c r="BH260" s="56"/>
      <c r="BI260" s="56"/>
      <c r="BJ260" s="56"/>
      <c r="BK260" s="56"/>
      <c r="BL260" s="62"/>
      <c r="BN260">
        <f t="shared" si="78"/>
        <v>0</v>
      </c>
      <c r="BO260">
        <f t="shared" si="79"/>
        <v>0</v>
      </c>
      <c r="BP260">
        <f t="shared" si="80"/>
        <v>0</v>
      </c>
      <c r="BQ260">
        <f t="shared" si="81"/>
        <v>0</v>
      </c>
      <c r="BR260">
        <f t="shared" si="82"/>
        <v>0</v>
      </c>
      <c r="BS260">
        <f t="shared" si="83"/>
        <v>0</v>
      </c>
      <c r="BT260">
        <f t="shared" si="84"/>
        <v>0</v>
      </c>
      <c r="BU260">
        <f t="shared" si="85"/>
        <v>0</v>
      </c>
      <c r="BV260">
        <f t="shared" si="86"/>
        <v>0</v>
      </c>
      <c r="BW260">
        <f t="shared" si="87"/>
        <v>0</v>
      </c>
      <c r="BX260">
        <f t="shared" si="88"/>
        <v>0</v>
      </c>
    </row>
    <row r="261" spans="1:76" outlineLevel="1" x14ac:dyDescent="0.15">
      <c r="A261" s="5"/>
      <c r="B261" s="5" t="s">
        <v>170</v>
      </c>
      <c r="C261" s="6" t="s">
        <v>258</v>
      </c>
      <c r="D261" s="5">
        <v>499886</v>
      </c>
      <c r="E261" s="7">
        <v>20</v>
      </c>
      <c r="F261" s="6">
        <v>1</v>
      </c>
      <c r="G261" s="6"/>
      <c r="I261" s="17" t="str">
        <f t="shared" ref="I261:I324" si="89">IF(OR(ISBLANK(P261),ISBLANK(G261)),"·",P261*G261/F261/1000000)</f>
        <v>·</v>
      </c>
      <c r="J261" s="18" t="str">
        <f t="shared" ref="J261:J324" si="90">IF(ISBLANK(P261),"·",P261/D261)</f>
        <v>·</v>
      </c>
      <c r="K261" s="18" t="str">
        <f t="shared" ref="K261:K324" si="91">IF(Q261="","·",Q261/D261)</f>
        <v>·</v>
      </c>
      <c r="L261" s="18" t="str">
        <f t="shared" ref="L261:L298" si="92">IF(ISBLANK(R261),"·",R261/D261)</f>
        <v>·</v>
      </c>
      <c r="M261" s="19"/>
      <c r="N261" s="18" t="str">
        <f t="shared" ref="N261:N324" si="93">IF(ISBLANK(P261),"·",P261/O261)</f>
        <v>·</v>
      </c>
      <c r="O261" s="20"/>
      <c r="P261" s="21"/>
      <c r="Q261" s="21"/>
      <c r="R261" s="21"/>
      <c r="S261" s="37"/>
      <c r="T261" s="38"/>
      <c r="U261" s="38"/>
      <c r="V261" s="38"/>
      <c r="W261" s="38"/>
      <c r="X261" s="38"/>
      <c r="Y261" s="39"/>
      <c r="Z261" s="49"/>
      <c r="AA261" s="49"/>
      <c r="AC261" s="17" t="str">
        <f t="shared" ref="AC261:AC324" si="94">IF(OR(ISBLANK(AJ261),ISBLANK(G261)),"·",AJ261*G261/F261/1000000)</f>
        <v>·</v>
      </c>
      <c r="AD261" s="18" t="str">
        <f t="shared" ref="AD261:AD324" si="95">IF(ISBLANK(AJ261),"·",AJ261/D261)</f>
        <v>·</v>
      </c>
      <c r="AE261" s="18" t="str">
        <f t="shared" ref="AE261:AE324" si="96">IF(AK261="","·",AK261/D261)</f>
        <v>·</v>
      </c>
      <c r="AF261" s="18" t="str">
        <f t="shared" ref="AF261:AF298" si="97">IF(ISBLANK(AL261),"·",AL261/D261)</f>
        <v>·</v>
      </c>
      <c r="AG261" s="19"/>
      <c r="AH261" s="18" t="str">
        <f t="shared" ref="AH261:AH324" si="98">IF(ISBLANK(AJ261),"·",AJ261/AI261)</f>
        <v>·</v>
      </c>
      <c r="AI261" s="20"/>
      <c r="AJ261" s="21"/>
      <c r="AK261" s="21"/>
      <c r="AL261" s="21"/>
      <c r="AM261" s="37"/>
      <c r="AN261" s="38"/>
      <c r="AO261" s="38"/>
      <c r="AP261" s="38"/>
      <c r="AQ261" s="38"/>
      <c r="AR261" s="38"/>
      <c r="AS261" s="39"/>
      <c r="AT261" s="49"/>
      <c r="AU261" s="49"/>
      <c r="AW261" s="53" t="e">
        <f t="shared" ref="AW261:AW324" si="99">(AK261/AJ261)-(Q261/P261)</f>
        <v>#DIV/0!</v>
      </c>
      <c r="AX261" s="53"/>
      <c r="AZ261" s="54"/>
      <c r="BA261" s="54"/>
      <c r="BB261" s="54"/>
      <c r="BC261" s="54"/>
      <c r="BD261" s="54"/>
      <c r="BE261" s="61"/>
      <c r="BG261" s="54"/>
      <c r="BH261" s="54"/>
      <c r="BI261" s="54"/>
      <c r="BJ261" s="54"/>
      <c r="BK261" s="54"/>
      <c r="BL261" s="61"/>
      <c r="BN261">
        <f t="shared" si="78"/>
        <v>0</v>
      </c>
      <c r="BO261">
        <f t="shared" si="79"/>
        <v>0</v>
      </c>
      <c r="BP261">
        <f t="shared" si="80"/>
        <v>0</v>
      </c>
      <c r="BQ261">
        <f t="shared" si="81"/>
        <v>0</v>
      </c>
      <c r="BR261">
        <f t="shared" si="82"/>
        <v>0</v>
      </c>
      <c r="BS261">
        <f t="shared" si="83"/>
        <v>0</v>
      </c>
      <c r="BT261">
        <f t="shared" si="84"/>
        <v>0</v>
      </c>
      <c r="BU261">
        <f t="shared" si="85"/>
        <v>0</v>
      </c>
      <c r="BV261">
        <f t="shared" si="86"/>
        <v>0</v>
      </c>
      <c r="BW261">
        <f t="shared" si="87"/>
        <v>0</v>
      </c>
      <c r="BX261">
        <f t="shared" si="88"/>
        <v>0</v>
      </c>
    </row>
    <row r="262" spans="1:76" outlineLevel="1" x14ac:dyDescent="0.15">
      <c r="A262" s="8"/>
      <c r="B262" s="14" t="s">
        <v>170</v>
      </c>
      <c r="C262" s="15" t="s">
        <v>259</v>
      </c>
      <c r="D262" s="14">
        <v>499886</v>
      </c>
      <c r="E262" s="16">
        <v>20</v>
      </c>
      <c r="F262" s="15">
        <v>1</v>
      </c>
      <c r="G262" s="15"/>
      <c r="I262" s="32" t="str">
        <f t="shared" si="89"/>
        <v>·</v>
      </c>
      <c r="J262" s="33" t="str">
        <f t="shared" si="90"/>
        <v>·</v>
      </c>
      <c r="K262" s="33" t="str">
        <f t="shared" si="91"/>
        <v>·</v>
      </c>
      <c r="L262" s="33" t="str">
        <f t="shared" si="92"/>
        <v>·</v>
      </c>
      <c r="M262" s="34"/>
      <c r="N262" s="33" t="str">
        <f t="shared" si="93"/>
        <v>·</v>
      </c>
      <c r="O262" s="35"/>
      <c r="P262" s="36"/>
      <c r="Q262" s="36"/>
      <c r="R262" s="36"/>
      <c r="S262" s="46"/>
      <c r="T262" s="47"/>
      <c r="U262" s="47"/>
      <c r="V262" s="47"/>
      <c r="W262" s="47"/>
      <c r="X262" s="47"/>
      <c r="Y262" s="48"/>
      <c r="Z262" s="52"/>
      <c r="AA262" s="52"/>
      <c r="AC262" s="32" t="str">
        <f t="shared" si="94"/>
        <v>·</v>
      </c>
      <c r="AD262" s="33" t="str">
        <f t="shared" si="95"/>
        <v>·</v>
      </c>
      <c r="AE262" s="33" t="str">
        <f t="shared" si="96"/>
        <v>·</v>
      </c>
      <c r="AF262" s="33" t="str">
        <f t="shared" si="97"/>
        <v>·</v>
      </c>
      <c r="AG262" s="34"/>
      <c r="AH262" s="33" t="str">
        <f t="shared" si="98"/>
        <v>·</v>
      </c>
      <c r="AI262" s="35"/>
      <c r="AJ262" s="36"/>
      <c r="AK262" s="36"/>
      <c r="AL262" s="36"/>
      <c r="AM262" s="46"/>
      <c r="AN262" s="47"/>
      <c r="AO262" s="47"/>
      <c r="AP262" s="47"/>
      <c r="AQ262" s="47"/>
      <c r="AR262" s="47"/>
      <c r="AS262" s="48"/>
      <c r="AT262" s="52"/>
      <c r="AU262" s="52"/>
      <c r="AW262" s="59" t="e">
        <f t="shared" si="99"/>
        <v>#DIV/0!</v>
      </c>
      <c r="AX262" s="59"/>
      <c r="AZ262" s="60"/>
      <c r="BA262" s="60"/>
      <c r="BB262" s="60"/>
      <c r="BC262" s="60"/>
      <c r="BD262" s="60"/>
      <c r="BE262" s="64"/>
      <c r="BG262" s="60"/>
      <c r="BH262" s="60"/>
      <c r="BI262" s="60"/>
      <c r="BJ262" s="60"/>
      <c r="BK262" s="60"/>
      <c r="BL262" s="64"/>
      <c r="BN262">
        <f t="shared" ref="BN262:BN325" si="100">AI262-O262</f>
        <v>0</v>
      </c>
      <c r="BO262">
        <f t="shared" ref="BO262:BO325" si="101">AJ262-P262</f>
        <v>0</v>
      </c>
      <c r="BP262">
        <f t="shared" ref="BP262:BP325" si="102">AK262-Q262</f>
        <v>0</v>
      </c>
      <c r="BQ262">
        <f t="shared" ref="BQ262:BQ325" si="103">AL262-R262</f>
        <v>0</v>
      </c>
      <c r="BR262">
        <f t="shared" ref="BR262:BR325" si="104">AM262-S262</f>
        <v>0</v>
      </c>
      <c r="BS262">
        <f t="shared" ref="BS262:BS325" si="105">AN262-T262</f>
        <v>0</v>
      </c>
      <c r="BT262">
        <f t="shared" ref="BT262:BT325" si="106">AO262-U262</f>
        <v>0</v>
      </c>
      <c r="BU262">
        <f t="shared" ref="BU262:BU325" si="107">AP262-V262</f>
        <v>0</v>
      </c>
      <c r="BV262">
        <f t="shared" ref="BV262:BV325" si="108">AQ262-W262</f>
        <v>0</v>
      </c>
      <c r="BW262">
        <f t="shared" ref="BW262:BW325" si="109">AR262-X262</f>
        <v>0</v>
      </c>
      <c r="BX262">
        <f t="shared" ref="BX262:BX325" si="110">AS262-Y262</f>
        <v>0</v>
      </c>
    </row>
    <row r="263" spans="1:76" x14ac:dyDescent="0.15">
      <c r="A263" s="5"/>
      <c r="B263" s="5" t="s">
        <v>171</v>
      </c>
      <c r="C263" s="6" t="s">
        <v>254</v>
      </c>
      <c r="D263" s="5">
        <v>63787119</v>
      </c>
      <c r="E263" s="7">
        <v>15</v>
      </c>
      <c r="F263" s="6">
        <v>1</v>
      </c>
      <c r="G263" s="6"/>
      <c r="I263" s="17" t="str">
        <f t="shared" si="89"/>
        <v>·</v>
      </c>
      <c r="J263" s="18" t="str">
        <f t="shared" si="90"/>
        <v>·</v>
      </c>
      <c r="K263" s="18" t="str">
        <f t="shared" si="91"/>
        <v>·</v>
      </c>
      <c r="L263" s="18" t="str">
        <f t="shared" si="92"/>
        <v>·</v>
      </c>
      <c r="M263" s="19"/>
      <c r="N263" s="18" t="str">
        <f t="shared" si="93"/>
        <v>·</v>
      </c>
      <c r="O263" s="20"/>
      <c r="P263" s="21"/>
      <c r="Q263" s="21"/>
      <c r="R263" s="21"/>
      <c r="S263" s="37"/>
      <c r="T263" s="38"/>
      <c r="U263" s="38"/>
      <c r="V263" s="38"/>
      <c r="W263" s="38"/>
      <c r="X263" s="38"/>
      <c r="Y263" s="39"/>
      <c r="Z263" s="49"/>
      <c r="AA263" s="49"/>
      <c r="AC263" s="17" t="str">
        <f t="shared" si="94"/>
        <v>·</v>
      </c>
      <c r="AD263" s="18" t="str">
        <f t="shared" si="95"/>
        <v>·</v>
      </c>
      <c r="AE263" s="18" t="str">
        <f t="shared" si="96"/>
        <v>·</v>
      </c>
      <c r="AF263" s="18" t="str">
        <f t="shared" si="97"/>
        <v>·</v>
      </c>
      <c r="AG263" s="19"/>
      <c r="AH263" s="18" t="str">
        <f t="shared" si="98"/>
        <v>·</v>
      </c>
      <c r="AI263" s="20"/>
      <c r="AJ263" s="21"/>
      <c r="AK263" s="21"/>
      <c r="AL263" s="21"/>
      <c r="AM263" s="37"/>
      <c r="AN263" s="38"/>
      <c r="AO263" s="38"/>
      <c r="AP263" s="38"/>
      <c r="AQ263" s="38"/>
      <c r="AR263" s="38"/>
      <c r="AS263" s="39"/>
      <c r="AT263" s="49"/>
      <c r="AU263" s="49"/>
      <c r="AW263" s="53" t="e">
        <f t="shared" si="99"/>
        <v>#DIV/0!</v>
      </c>
      <c r="AX263" s="53" t="e">
        <f t="array" ref="AX263">AVERAGE(AK263:AK268/AJ263:AJ268)-AVERAGE(Q263:Q268/P263:P268)</f>
        <v>#DIV/0!</v>
      </c>
      <c r="AZ263" s="54" t="str">
        <f>IF(OR(ISBLANK(Q263:Q268),ISBLANK(AK263:AK268),ISBLANK(T263:T268),ISBLANK(AN263:AN268)),"·",bdRateExtend(Q263:Q268,T263:T268,AK263:AK268,AN263:AN268))</f>
        <v>·</v>
      </c>
      <c r="BA263" s="54" t="str">
        <f>IF(OR(ISBLANK(Q263:Q268),ISBLANK(AK263:AK268),ISBLANK(U263:U268),ISBLANK(AO263:AO268)),"·",bdRateExtend(Q263:Q268,U263:U268,AK263:AK268,AO263:AO268))</f>
        <v>·</v>
      </c>
      <c r="BB263" s="54" t="str">
        <f>IF(OR(ISBLANK(R263:R268),ISBLANK(AL263:AL268),ISBLANK(V263:V268),ISBLANK(AP263:AP268)),"·",bdRateExtend(R263:R268,V263:V268,AL263:AL268,AP263:AP268))</f>
        <v>·</v>
      </c>
      <c r="BC263" s="54" t="str">
        <f>IF(OR(ISBLANK(R263:R268),ISBLANK(AL263:AL268),ISBLANK(W263:W268),ISBLANK(AQ263:AQ268)),"·",bdRateExtend(R263:R268,W263:W268,AL263:AL268,AQ263:AQ268))</f>
        <v>·</v>
      </c>
      <c r="BD263" s="54" t="str">
        <f>IF(OR(ISBLANK(R263:R268),ISBLANK(AL263:AL268),ISBLANK(X263:X268),ISBLANK(AR263:AR268)),"·",bdRateExtend(R263:R268,X263:X268,AL263:AL268,AR263:AR268))</f>
        <v>·</v>
      </c>
      <c r="BE263" s="61"/>
      <c r="BG263" s="54" t="str">
        <f>IF(OR(ISBLANK(P263:P268),ISBLANK(AJ263:AJ268),ISBLANK(T263:T268),ISBLANK(AN263:AN268)),"·",bdRateExtend(P263:P268,T263:T268,AJ263:AJ268,AN263:AN268))</f>
        <v>·</v>
      </c>
      <c r="BH263" s="54" t="str">
        <f>IF(OR(ISBLANK(P263:P268),ISBLANK(AJ263:AJ268),ISBLANK(U263:U268),ISBLANK(AO263:AO268)),"·",bdRateExtend(P263:P268,U263:U268,AJ263:AJ268,AO263:AO268))</f>
        <v>·</v>
      </c>
      <c r="BI263" s="54" t="str">
        <f>IF(OR(ISBLANK(P263:P268),ISBLANK(AJ263:AJ268),ISBLANK(V263:V268),ISBLANK(AP263:AP268)),"·",bdRateExtend(P263:P268,V263:V268,AJ263:AJ268,AP263:AP268))</f>
        <v>·</v>
      </c>
      <c r="BJ263" s="54" t="str">
        <f>IF(OR(ISBLANK(P263:P268),ISBLANK(AJ263:AJ268),ISBLANK(W263:W268),ISBLANK(AQ263:AQ268)),"·",bdRateExtend(P263:P268,W263:W268,AJ263:AJ268,AQ263:AQ268))</f>
        <v>·</v>
      </c>
      <c r="BK263" s="54" t="str">
        <f>IF(OR(ISBLANK(P263:P268),ISBLANK(AJ263:AJ268),ISBLANK(X263:X268),ISBLANK(AR263:AR268)),"·",bdRateExtend(P263:P268,X263:X268,AJ263:AJ268,AR263:AR268))</f>
        <v>·</v>
      </c>
      <c r="BL263" s="61"/>
      <c r="BN263">
        <f t="shared" si="100"/>
        <v>0</v>
      </c>
      <c r="BO263">
        <f t="shared" si="101"/>
        <v>0</v>
      </c>
      <c r="BP263">
        <f t="shared" si="102"/>
        <v>0</v>
      </c>
      <c r="BQ263">
        <f t="shared" si="103"/>
        <v>0</v>
      </c>
      <c r="BR263">
        <f t="shared" si="104"/>
        <v>0</v>
      </c>
      <c r="BS263">
        <f t="shared" si="105"/>
        <v>0</v>
      </c>
      <c r="BT263">
        <f t="shared" si="106"/>
        <v>0</v>
      </c>
      <c r="BU263">
        <f t="shared" si="107"/>
        <v>0</v>
      </c>
      <c r="BV263">
        <f t="shared" si="108"/>
        <v>0</v>
      </c>
      <c r="BW263">
        <f t="shared" si="109"/>
        <v>0</v>
      </c>
      <c r="BX263">
        <f t="shared" si="110"/>
        <v>0</v>
      </c>
    </row>
    <row r="264" spans="1:76" outlineLevel="1" x14ac:dyDescent="0.15">
      <c r="A264" s="8"/>
      <c r="B264" s="8" t="s">
        <v>171</v>
      </c>
      <c r="C264" s="9" t="s">
        <v>255</v>
      </c>
      <c r="D264" s="8">
        <v>63787119</v>
      </c>
      <c r="E264" s="10">
        <v>15</v>
      </c>
      <c r="F264" s="9">
        <v>1</v>
      </c>
      <c r="G264" s="9"/>
      <c r="I264" s="22" t="str">
        <f t="shared" si="89"/>
        <v>·</v>
      </c>
      <c r="J264" s="23" t="str">
        <f t="shared" si="90"/>
        <v>·</v>
      </c>
      <c r="K264" s="23" t="str">
        <f t="shared" si="91"/>
        <v>·</v>
      </c>
      <c r="L264" s="23" t="str">
        <f t="shared" si="92"/>
        <v>·</v>
      </c>
      <c r="M264" s="24"/>
      <c r="N264" s="23" t="str">
        <f t="shared" si="93"/>
        <v>·</v>
      </c>
      <c r="O264" s="25"/>
      <c r="P264" s="26"/>
      <c r="Q264" s="26"/>
      <c r="R264" s="26"/>
      <c r="S264" s="40"/>
      <c r="T264" s="41"/>
      <c r="U264" s="41"/>
      <c r="V264" s="41"/>
      <c r="W264" s="41"/>
      <c r="X264" s="41"/>
      <c r="Y264" s="42"/>
      <c r="Z264" s="50"/>
      <c r="AA264" s="50"/>
      <c r="AC264" s="22" t="str">
        <f t="shared" si="94"/>
        <v>·</v>
      </c>
      <c r="AD264" s="23" t="str">
        <f t="shared" si="95"/>
        <v>·</v>
      </c>
      <c r="AE264" s="23" t="str">
        <f t="shared" si="96"/>
        <v>·</v>
      </c>
      <c r="AF264" s="23" t="str">
        <f t="shared" si="97"/>
        <v>·</v>
      </c>
      <c r="AG264" s="24"/>
      <c r="AH264" s="23" t="str">
        <f t="shared" si="98"/>
        <v>·</v>
      </c>
      <c r="AI264" s="25"/>
      <c r="AJ264" s="26"/>
      <c r="AK264" s="26"/>
      <c r="AL264" s="26"/>
      <c r="AM264" s="40"/>
      <c r="AN264" s="41"/>
      <c r="AO264" s="41"/>
      <c r="AP264" s="41"/>
      <c r="AQ264" s="41"/>
      <c r="AR264" s="41"/>
      <c r="AS264" s="42"/>
      <c r="AT264" s="50"/>
      <c r="AU264" s="50"/>
      <c r="AW264" s="55" t="e">
        <f t="shared" si="99"/>
        <v>#DIV/0!</v>
      </c>
      <c r="AX264" s="55"/>
      <c r="AZ264" s="56"/>
      <c r="BA264" s="56"/>
      <c r="BB264" s="56"/>
      <c r="BC264" s="56"/>
      <c r="BD264" s="56"/>
      <c r="BE264" s="62"/>
      <c r="BG264" s="56"/>
      <c r="BH264" s="56"/>
      <c r="BI264" s="56"/>
      <c r="BJ264" s="56"/>
      <c r="BK264" s="56"/>
      <c r="BL264" s="62"/>
      <c r="BN264">
        <f t="shared" si="100"/>
        <v>0</v>
      </c>
      <c r="BO264">
        <f t="shared" si="101"/>
        <v>0</v>
      </c>
      <c r="BP264">
        <f t="shared" si="102"/>
        <v>0</v>
      </c>
      <c r="BQ264">
        <f t="shared" si="103"/>
        <v>0</v>
      </c>
      <c r="BR264">
        <f t="shared" si="104"/>
        <v>0</v>
      </c>
      <c r="BS264">
        <f t="shared" si="105"/>
        <v>0</v>
      </c>
      <c r="BT264">
        <f t="shared" si="106"/>
        <v>0</v>
      </c>
      <c r="BU264">
        <f t="shared" si="107"/>
        <v>0</v>
      </c>
      <c r="BV264">
        <f t="shared" si="108"/>
        <v>0</v>
      </c>
      <c r="BW264">
        <f t="shared" si="109"/>
        <v>0</v>
      </c>
      <c r="BX264">
        <f t="shared" si="110"/>
        <v>0</v>
      </c>
    </row>
    <row r="265" spans="1:76" outlineLevel="1" x14ac:dyDescent="0.15">
      <c r="A265" s="5"/>
      <c r="B265" s="5" t="s">
        <v>171</v>
      </c>
      <c r="C265" s="6" t="s">
        <v>256</v>
      </c>
      <c r="D265" s="5">
        <v>63787119</v>
      </c>
      <c r="E265" s="7">
        <v>15</v>
      </c>
      <c r="F265" s="6">
        <v>1</v>
      </c>
      <c r="G265" s="6"/>
      <c r="I265" s="17" t="str">
        <f t="shared" si="89"/>
        <v>·</v>
      </c>
      <c r="J265" s="18" t="str">
        <f t="shared" si="90"/>
        <v>·</v>
      </c>
      <c r="K265" s="18" t="str">
        <f t="shared" si="91"/>
        <v>·</v>
      </c>
      <c r="L265" s="18" t="str">
        <f t="shared" si="92"/>
        <v>·</v>
      </c>
      <c r="M265" s="19"/>
      <c r="N265" s="18" t="str">
        <f t="shared" si="93"/>
        <v>·</v>
      </c>
      <c r="O265" s="20"/>
      <c r="P265" s="21"/>
      <c r="Q265" s="21"/>
      <c r="R265" s="21"/>
      <c r="S265" s="37"/>
      <c r="T265" s="38"/>
      <c r="U265" s="38"/>
      <c r="V265" s="38"/>
      <c r="W265" s="38"/>
      <c r="X265" s="38"/>
      <c r="Y265" s="39"/>
      <c r="Z265" s="49"/>
      <c r="AA265" s="49"/>
      <c r="AC265" s="17" t="str">
        <f t="shared" si="94"/>
        <v>·</v>
      </c>
      <c r="AD265" s="18" t="str">
        <f t="shared" si="95"/>
        <v>·</v>
      </c>
      <c r="AE265" s="18" t="str">
        <f t="shared" si="96"/>
        <v>·</v>
      </c>
      <c r="AF265" s="18" t="str">
        <f t="shared" si="97"/>
        <v>·</v>
      </c>
      <c r="AG265" s="19"/>
      <c r="AH265" s="18" t="str">
        <f t="shared" si="98"/>
        <v>·</v>
      </c>
      <c r="AI265" s="20"/>
      <c r="AJ265" s="21"/>
      <c r="AK265" s="21"/>
      <c r="AL265" s="21"/>
      <c r="AM265" s="37"/>
      <c r="AN265" s="38"/>
      <c r="AO265" s="38"/>
      <c r="AP265" s="38"/>
      <c r="AQ265" s="38"/>
      <c r="AR265" s="38"/>
      <c r="AS265" s="39"/>
      <c r="AT265" s="49"/>
      <c r="AU265" s="49"/>
      <c r="AW265" s="53" t="e">
        <f t="shared" si="99"/>
        <v>#DIV/0!</v>
      </c>
      <c r="AX265" s="53"/>
      <c r="AZ265" s="54"/>
      <c r="BA265" s="54"/>
      <c r="BB265" s="54"/>
      <c r="BC265" s="54"/>
      <c r="BD265" s="54"/>
      <c r="BE265" s="61"/>
      <c r="BG265" s="54"/>
      <c r="BH265" s="54"/>
      <c r="BI265" s="54"/>
      <c r="BJ265" s="54"/>
      <c r="BK265" s="54"/>
      <c r="BL265" s="61"/>
      <c r="BN265">
        <f t="shared" si="100"/>
        <v>0</v>
      </c>
      <c r="BO265">
        <f t="shared" si="101"/>
        <v>0</v>
      </c>
      <c r="BP265">
        <f t="shared" si="102"/>
        <v>0</v>
      </c>
      <c r="BQ265">
        <f t="shared" si="103"/>
        <v>0</v>
      </c>
      <c r="BR265">
        <f t="shared" si="104"/>
        <v>0</v>
      </c>
      <c r="BS265">
        <f t="shared" si="105"/>
        <v>0</v>
      </c>
      <c r="BT265">
        <f t="shared" si="106"/>
        <v>0</v>
      </c>
      <c r="BU265">
        <f t="shared" si="107"/>
        <v>0</v>
      </c>
      <c r="BV265">
        <f t="shared" si="108"/>
        <v>0</v>
      </c>
      <c r="BW265">
        <f t="shared" si="109"/>
        <v>0</v>
      </c>
      <c r="BX265">
        <f t="shared" si="110"/>
        <v>0</v>
      </c>
    </row>
    <row r="266" spans="1:76" outlineLevel="1" x14ac:dyDescent="0.15">
      <c r="A266" s="8"/>
      <c r="B266" s="8" t="s">
        <v>171</v>
      </c>
      <c r="C266" s="9" t="s">
        <v>257</v>
      </c>
      <c r="D266" s="8">
        <v>63787119</v>
      </c>
      <c r="E266" s="10">
        <v>15</v>
      </c>
      <c r="F266" s="9">
        <v>1</v>
      </c>
      <c r="G266" s="9"/>
      <c r="I266" s="22" t="str">
        <f t="shared" si="89"/>
        <v>·</v>
      </c>
      <c r="J266" s="23" t="str">
        <f t="shared" si="90"/>
        <v>·</v>
      </c>
      <c r="K266" s="23" t="str">
        <f t="shared" si="91"/>
        <v>·</v>
      </c>
      <c r="L266" s="23" t="str">
        <f t="shared" si="92"/>
        <v>·</v>
      </c>
      <c r="M266" s="24"/>
      <c r="N266" s="23" t="str">
        <f t="shared" si="93"/>
        <v>·</v>
      </c>
      <c r="O266" s="25"/>
      <c r="P266" s="26"/>
      <c r="Q266" s="26"/>
      <c r="R266" s="26"/>
      <c r="S266" s="40"/>
      <c r="T266" s="41"/>
      <c r="U266" s="41"/>
      <c r="V266" s="41"/>
      <c r="W266" s="41"/>
      <c r="X266" s="41"/>
      <c r="Y266" s="42"/>
      <c r="Z266" s="50"/>
      <c r="AA266" s="50"/>
      <c r="AC266" s="22" t="str">
        <f t="shared" si="94"/>
        <v>·</v>
      </c>
      <c r="AD266" s="23" t="str">
        <f t="shared" si="95"/>
        <v>·</v>
      </c>
      <c r="AE266" s="23" t="str">
        <f t="shared" si="96"/>
        <v>·</v>
      </c>
      <c r="AF266" s="23" t="str">
        <f t="shared" si="97"/>
        <v>·</v>
      </c>
      <c r="AG266" s="24"/>
      <c r="AH266" s="23" t="str">
        <f t="shared" si="98"/>
        <v>·</v>
      </c>
      <c r="AI266" s="25"/>
      <c r="AJ266" s="26"/>
      <c r="AK266" s="26"/>
      <c r="AL266" s="26"/>
      <c r="AM266" s="40"/>
      <c r="AN266" s="41"/>
      <c r="AO266" s="41"/>
      <c r="AP266" s="41"/>
      <c r="AQ266" s="41"/>
      <c r="AR266" s="41"/>
      <c r="AS266" s="42"/>
      <c r="AT266" s="50"/>
      <c r="AU266" s="50"/>
      <c r="AW266" s="55" t="e">
        <f t="shared" si="99"/>
        <v>#DIV/0!</v>
      </c>
      <c r="AX266" s="55"/>
      <c r="AZ266" s="56"/>
      <c r="BA266" s="56"/>
      <c r="BB266" s="56"/>
      <c r="BC266" s="56"/>
      <c r="BD266" s="56"/>
      <c r="BE266" s="62"/>
      <c r="BG266" s="56"/>
      <c r="BH266" s="56"/>
      <c r="BI266" s="56"/>
      <c r="BJ266" s="56"/>
      <c r="BK266" s="56"/>
      <c r="BL266" s="62"/>
      <c r="BN266">
        <f t="shared" si="100"/>
        <v>0</v>
      </c>
      <c r="BO266">
        <f t="shared" si="101"/>
        <v>0</v>
      </c>
      <c r="BP266">
        <f t="shared" si="102"/>
        <v>0</v>
      </c>
      <c r="BQ266">
        <f t="shared" si="103"/>
        <v>0</v>
      </c>
      <c r="BR266">
        <f t="shared" si="104"/>
        <v>0</v>
      </c>
      <c r="BS266">
        <f t="shared" si="105"/>
        <v>0</v>
      </c>
      <c r="BT266">
        <f t="shared" si="106"/>
        <v>0</v>
      </c>
      <c r="BU266">
        <f t="shared" si="107"/>
        <v>0</v>
      </c>
      <c r="BV266">
        <f t="shared" si="108"/>
        <v>0</v>
      </c>
      <c r="BW266">
        <f t="shared" si="109"/>
        <v>0</v>
      </c>
      <c r="BX266">
        <f t="shared" si="110"/>
        <v>0</v>
      </c>
    </row>
    <row r="267" spans="1:76" outlineLevel="1" x14ac:dyDescent="0.15">
      <c r="A267" s="5"/>
      <c r="B267" s="5" t="s">
        <v>171</v>
      </c>
      <c r="C267" s="6" t="s">
        <v>258</v>
      </c>
      <c r="D267" s="5">
        <v>63787119</v>
      </c>
      <c r="E267" s="7">
        <v>15</v>
      </c>
      <c r="F267" s="6">
        <v>1</v>
      </c>
      <c r="G267" s="6"/>
      <c r="I267" s="17" t="str">
        <f t="shared" si="89"/>
        <v>·</v>
      </c>
      <c r="J267" s="18" t="str">
        <f t="shared" si="90"/>
        <v>·</v>
      </c>
      <c r="K267" s="18" t="str">
        <f t="shared" si="91"/>
        <v>·</v>
      </c>
      <c r="L267" s="18" t="str">
        <f t="shared" si="92"/>
        <v>·</v>
      </c>
      <c r="M267" s="19"/>
      <c r="N267" s="18" t="str">
        <f t="shared" si="93"/>
        <v>·</v>
      </c>
      <c r="O267" s="20"/>
      <c r="P267" s="21"/>
      <c r="Q267" s="21"/>
      <c r="R267" s="21"/>
      <c r="S267" s="37"/>
      <c r="T267" s="38"/>
      <c r="U267" s="38"/>
      <c r="V267" s="38"/>
      <c r="W267" s="38"/>
      <c r="X267" s="38"/>
      <c r="Y267" s="39"/>
      <c r="Z267" s="49"/>
      <c r="AA267" s="49"/>
      <c r="AC267" s="17" t="str">
        <f t="shared" si="94"/>
        <v>·</v>
      </c>
      <c r="AD267" s="18" t="str">
        <f t="shared" si="95"/>
        <v>·</v>
      </c>
      <c r="AE267" s="18" t="str">
        <f t="shared" si="96"/>
        <v>·</v>
      </c>
      <c r="AF267" s="18" t="str">
        <f t="shared" si="97"/>
        <v>·</v>
      </c>
      <c r="AG267" s="19"/>
      <c r="AH267" s="18" t="str">
        <f t="shared" si="98"/>
        <v>·</v>
      </c>
      <c r="AI267" s="20"/>
      <c r="AJ267" s="21"/>
      <c r="AK267" s="21"/>
      <c r="AL267" s="21"/>
      <c r="AM267" s="37"/>
      <c r="AN267" s="38"/>
      <c r="AO267" s="38"/>
      <c r="AP267" s="38"/>
      <c r="AQ267" s="38"/>
      <c r="AR267" s="38"/>
      <c r="AS267" s="39"/>
      <c r="AT267" s="49"/>
      <c r="AU267" s="49"/>
      <c r="AW267" s="53" t="e">
        <f t="shared" si="99"/>
        <v>#DIV/0!</v>
      </c>
      <c r="AX267" s="53"/>
      <c r="AZ267" s="54"/>
      <c r="BA267" s="54"/>
      <c r="BB267" s="54"/>
      <c r="BC267" s="54"/>
      <c r="BD267" s="54"/>
      <c r="BE267" s="61"/>
      <c r="BG267" s="54"/>
      <c r="BH267" s="54"/>
      <c r="BI267" s="54"/>
      <c r="BJ267" s="54"/>
      <c r="BK267" s="54"/>
      <c r="BL267" s="61"/>
      <c r="BN267">
        <f t="shared" si="100"/>
        <v>0</v>
      </c>
      <c r="BO267">
        <f t="shared" si="101"/>
        <v>0</v>
      </c>
      <c r="BP267">
        <f t="shared" si="102"/>
        <v>0</v>
      </c>
      <c r="BQ267">
        <f t="shared" si="103"/>
        <v>0</v>
      </c>
      <c r="BR267">
        <f t="shared" si="104"/>
        <v>0</v>
      </c>
      <c r="BS267">
        <f t="shared" si="105"/>
        <v>0</v>
      </c>
      <c r="BT267">
        <f t="shared" si="106"/>
        <v>0</v>
      </c>
      <c r="BU267">
        <f t="shared" si="107"/>
        <v>0</v>
      </c>
      <c r="BV267">
        <f t="shared" si="108"/>
        <v>0</v>
      </c>
      <c r="BW267">
        <f t="shared" si="109"/>
        <v>0</v>
      </c>
      <c r="BX267">
        <f t="shared" si="110"/>
        <v>0</v>
      </c>
    </row>
    <row r="268" spans="1:76" outlineLevel="1" x14ac:dyDescent="0.15">
      <c r="A268" s="8"/>
      <c r="B268" s="14" t="s">
        <v>171</v>
      </c>
      <c r="C268" s="15" t="s">
        <v>259</v>
      </c>
      <c r="D268" s="14">
        <v>63787119</v>
      </c>
      <c r="E268" s="16">
        <v>15</v>
      </c>
      <c r="F268" s="15">
        <v>1</v>
      </c>
      <c r="G268" s="15"/>
      <c r="I268" s="32" t="str">
        <f t="shared" si="89"/>
        <v>·</v>
      </c>
      <c r="J268" s="33" t="str">
        <f t="shared" si="90"/>
        <v>·</v>
      </c>
      <c r="K268" s="33" t="str">
        <f t="shared" si="91"/>
        <v>·</v>
      </c>
      <c r="L268" s="33" t="str">
        <f t="shared" si="92"/>
        <v>·</v>
      </c>
      <c r="M268" s="34"/>
      <c r="N268" s="33" t="str">
        <f t="shared" si="93"/>
        <v>·</v>
      </c>
      <c r="O268" s="35"/>
      <c r="P268" s="36"/>
      <c r="Q268" s="36"/>
      <c r="R268" s="36"/>
      <c r="S268" s="46"/>
      <c r="T268" s="47"/>
      <c r="U268" s="47"/>
      <c r="V268" s="47"/>
      <c r="W268" s="47"/>
      <c r="X268" s="47"/>
      <c r="Y268" s="48"/>
      <c r="Z268" s="52"/>
      <c r="AA268" s="52"/>
      <c r="AC268" s="32" t="str">
        <f t="shared" si="94"/>
        <v>·</v>
      </c>
      <c r="AD268" s="33" t="str">
        <f t="shared" si="95"/>
        <v>·</v>
      </c>
      <c r="AE268" s="33" t="str">
        <f t="shared" si="96"/>
        <v>·</v>
      </c>
      <c r="AF268" s="33" t="str">
        <f t="shared" si="97"/>
        <v>·</v>
      </c>
      <c r="AG268" s="34"/>
      <c r="AH268" s="33" t="str">
        <f t="shared" si="98"/>
        <v>·</v>
      </c>
      <c r="AI268" s="35"/>
      <c r="AJ268" s="36"/>
      <c r="AK268" s="36"/>
      <c r="AL268" s="36"/>
      <c r="AM268" s="46"/>
      <c r="AN268" s="47"/>
      <c r="AO268" s="47"/>
      <c r="AP268" s="47"/>
      <c r="AQ268" s="47"/>
      <c r="AR268" s="47"/>
      <c r="AS268" s="48"/>
      <c r="AT268" s="52"/>
      <c r="AU268" s="52"/>
      <c r="AW268" s="59" t="e">
        <f t="shared" si="99"/>
        <v>#DIV/0!</v>
      </c>
      <c r="AX268" s="59"/>
      <c r="AZ268" s="60"/>
      <c r="BA268" s="60"/>
      <c r="BB268" s="60"/>
      <c r="BC268" s="60"/>
      <c r="BD268" s="60"/>
      <c r="BE268" s="64"/>
      <c r="BG268" s="60"/>
      <c r="BH268" s="60"/>
      <c r="BI268" s="60"/>
      <c r="BJ268" s="60"/>
      <c r="BK268" s="60"/>
      <c r="BL268" s="64"/>
      <c r="BN268">
        <f t="shared" si="100"/>
        <v>0</v>
      </c>
      <c r="BO268">
        <f t="shared" si="101"/>
        <v>0</v>
      </c>
      <c r="BP268">
        <f t="shared" si="102"/>
        <v>0</v>
      </c>
      <c r="BQ268">
        <f t="shared" si="103"/>
        <v>0</v>
      </c>
      <c r="BR268">
        <f t="shared" si="104"/>
        <v>0</v>
      </c>
      <c r="BS268">
        <f t="shared" si="105"/>
        <v>0</v>
      </c>
      <c r="BT268">
        <f t="shared" si="106"/>
        <v>0</v>
      </c>
      <c r="BU268">
        <f t="shared" si="107"/>
        <v>0</v>
      </c>
      <c r="BV268">
        <f t="shared" si="108"/>
        <v>0</v>
      </c>
      <c r="BW268">
        <f t="shared" si="109"/>
        <v>0</v>
      </c>
      <c r="BX268">
        <f t="shared" si="110"/>
        <v>0</v>
      </c>
    </row>
    <row r="269" spans="1:76" x14ac:dyDescent="0.15">
      <c r="A269" s="5"/>
      <c r="B269" s="5" t="s">
        <v>172</v>
      </c>
      <c r="C269" s="6" t="s">
        <v>254</v>
      </c>
      <c r="D269" s="5">
        <v>63864641</v>
      </c>
      <c r="E269" s="7">
        <v>20</v>
      </c>
      <c r="F269" s="6">
        <v>1</v>
      </c>
      <c r="G269" s="6"/>
      <c r="I269" s="17" t="str">
        <f t="shared" si="89"/>
        <v>·</v>
      </c>
      <c r="J269" s="18" t="str">
        <f t="shared" si="90"/>
        <v>·</v>
      </c>
      <c r="K269" s="18" t="str">
        <f t="shared" si="91"/>
        <v>·</v>
      </c>
      <c r="L269" s="18" t="str">
        <f t="shared" si="92"/>
        <v>·</v>
      </c>
      <c r="M269" s="19"/>
      <c r="N269" s="18" t="str">
        <f t="shared" si="93"/>
        <v>·</v>
      </c>
      <c r="O269" s="20"/>
      <c r="P269" s="21"/>
      <c r="Q269" s="21"/>
      <c r="R269" s="21"/>
      <c r="S269" s="37"/>
      <c r="T269" s="38"/>
      <c r="U269" s="38"/>
      <c r="V269" s="38"/>
      <c r="W269" s="38"/>
      <c r="X269" s="38"/>
      <c r="Y269" s="39"/>
      <c r="Z269" s="49"/>
      <c r="AA269" s="49"/>
      <c r="AC269" s="17" t="str">
        <f t="shared" si="94"/>
        <v>·</v>
      </c>
      <c r="AD269" s="18" t="str">
        <f t="shared" si="95"/>
        <v>·</v>
      </c>
      <c r="AE269" s="18" t="str">
        <f t="shared" si="96"/>
        <v>·</v>
      </c>
      <c r="AF269" s="18" t="str">
        <f t="shared" si="97"/>
        <v>·</v>
      </c>
      <c r="AG269" s="19"/>
      <c r="AH269" s="18" t="str">
        <f t="shared" si="98"/>
        <v>·</v>
      </c>
      <c r="AI269" s="20"/>
      <c r="AJ269" s="21"/>
      <c r="AK269" s="21"/>
      <c r="AL269" s="21"/>
      <c r="AM269" s="37"/>
      <c r="AN269" s="38"/>
      <c r="AO269" s="38"/>
      <c r="AP269" s="38"/>
      <c r="AQ269" s="38"/>
      <c r="AR269" s="38"/>
      <c r="AS269" s="39"/>
      <c r="AT269" s="49"/>
      <c r="AU269" s="49"/>
      <c r="AW269" s="53" t="e">
        <f t="shared" si="99"/>
        <v>#DIV/0!</v>
      </c>
      <c r="AX269" s="53" t="e">
        <f t="array" ref="AX269">AVERAGE(AK269:AK274/AJ269:AJ274)-AVERAGE(Q269:Q274/P269:P274)</f>
        <v>#DIV/0!</v>
      </c>
      <c r="AZ269" s="54" t="str">
        <f>IF(OR(ISBLANK(Q269:Q274),ISBLANK(AK269:AK274),ISBLANK(T269:T274),ISBLANK(AN269:AN274)),"·",bdRateExtend(Q269:Q274,T269:T274,AK269:AK274,AN269:AN274))</f>
        <v>·</v>
      </c>
      <c r="BA269" s="54" t="str">
        <f>IF(OR(ISBLANK(Q269:Q274),ISBLANK(AK269:AK274),ISBLANK(U269:U274),ISBLANK(AO269:AO274)),"·",bdRateExtend(Q269:Q274,U269:U274,AK269:AK274,AO269:AO274))</f>
        <v>·</v>
      </c>
      <c r="BB269" s="54" t="str">
        <f>IF(OR(ISBLANK(R269:R274),ISBLANK(AL269:AL274),ISBLANK(V269:V274),ISBLANK(AP269:AP274)),"·",bdRateExtend(R269:R274,V269:V274,AL269:AL274,AP269:AP274))</f>
        <v>·</v>
      </c>
      <c r="BC269" s="54" t="str">
        <f>IF(OR(ISBLANK(R269:R274),ISBLANK(AL269:AL274),ISBLANK(W269:W274),ISBLANK(AQ269:AQ274)),"·",bdRateExtend(R269:R274,W269:W274,AL269:AL274,AQ269:AQ274))</f>
        <v>·</v>
      </c>
      <c r="BD269" s="54" t="str">
        <f>IF(OR(ISBLANK(R269:R274),ISBLANK(AL269:AL274),ISBLANK(X269:X274),ISBLANK(AR269:AR274)),"·",bdRateExtend(R269:R274,X269:X274,AL269:AL274,AR269:AR274))</f>
        <v>·</v>
      </c>
      <c r="BE269" s="61"/>
      <c r="BG269" s="54" t="str">
        <f>IF(OR(ISBLANK(P269:P274),ISBLANK(AJ269:AJ274),ISBLANK(T269:T274),ISBLANK(AN269:AN274)),"·",bdRateExtend(P269:P274,T269:T274,AJ269:AJ274,AN269:AN274))</f>
        <v>·</v>
      </c>
      <c r="BH269" s="54" t="str">
        <f>IF(OR(ISBLANK(P269:P274),ISBLANK(AJ269:AJ274),ISBLANK(U269:U274),ISBLANK(AO269:AO274)),"·",bdRateExtend(P269:P274,U269:U274,AJ269:AJ274,AO269:AO274))</f>
        <v>·</v>
      </c>
      <c r="BI269" s="54" t="str">
        <f>IF(OR(ISBLANK(P269:P274),ISBLANK(AJ269:AJ274),ISBLANK(V269:V274),ISBLANK(AP269:AP274)),"·",bdRateExtend(P269:P274,V269:V274,AJ269:AJ274,AP269:AP274))</f>
        <v>·</v>
      </c>
      <c r="BJ269" s="54" t="str">
        <f>IF(OR(ISBLANK(P269:P274),ISBLANK(AJ269:AJ274),ISBLANK(W269:W274),ISBLANK(AQ269:AQ274)),"·",bdRateExtend(P269:P274,W269:W274,AJ269:AJ274,AQ269:AQ274))</f>
        <v>·</v>
      </c>
      <c r="BK269" s="54" t="str">
        <f>IF(OR(ISBLANK(P269:P274),ISBLANK(AJ269:AJ274),ISBLANK(X269:X274),ISBLANK(AR269:AR274)),"·",bdRateExtend(P269:P274,X269:X274,AJ269:AJ274,AR269:AR274))</f>
        <v>·</v>
      </c>
      <c r="BL269" s="61"/>
      <c r="BN269">
        <f t="shared" si="100"/>
        <v>0</v>
      </c>
      <c r="BO269">
        <f t="shared" si="101"/>
        <v>0</v>
      </c>
      <c r="BP269">
        <f t="shared" si="102"/>
        <v>0</v>
      </c>
      <c r="BQ269">
        <f t="shared" si="103"/>
        <v>0</v>
      </c>
      <c r="BR269">
        <f t="shared" si="104"/>
        <v>0</v>
      </c>
      <c r="BS269">
        <f t="shared" si="105"/>
        <v>0</v>
      </c>
      <c r="BT269">
        <f t="shared" si="106"/>
        <v>0</v>
      </c>
      <c r="BU269">
        <f t="shared" si="107"/>
        <v>0</v>
      </c>
      <c r="BV269">
        <f t="shared" si="108"/>
        <v>0</v>
      </c>
      <c r="BW269">
        <f t="shared" si="109"/>
        <v>0</v>
      </c>
      <c r="BX269">
        <f t="shared" si="110"/>
        <v>0</v>
      </c>
    </row>
    <row r="270" spans="1:76" outlineLevel="1" x14ac:dyDescent="0.15">
      <c r="A270" s="8"/>
      <c r="B270" s="8" t="s">
        <v>172</v>
      </c>
      <c r="C270" s="9" t="s">
        <v>255</v>
      </c>
      <c r="D270" s="8">
        <v>63864641</v>
      </c>
      <c r="E270" s="10">
        <v>20</v>
      </c>
      <c r="F270" s="9">
        <v>1</v>
      </c>
      <c r="G270" s="9"/>
      <c r="I270" s="22" t="str">
        <f t="shared" si="89"/>
        <v>·</v>
      </c>
      <c r="J270" s="23" t="str">
        <f t="shared" si="90"/>
        <v>·</v>
      </c>
      <c r="K270" s="23" t="str">
        <f t="shared" si="91"/>
        <v>·</v>
      </c>
      <c r="L270" s="23" t="str">
        <f t="shared" si="92"/>
        <v>·</v>
      </c>
      <c r="M270" s="24"/>
      <c r="N270" s="23" t="str">
        <f t="shared" si="93"/>
        <v>·</v>
      </c>
      <c r="O270" s="25"/>
      <c r="P270" s="26"/>
      <c r="Q270" s="26"/>
      <c r="R270" s="26"/>
      <c r="S270" s="40"/>
      <c r="T270" s="41"/>
      <c r="U270" s="41"/>
      <c r="V270" s="41"/>
      <c r="W270" s="41"/>
      <c r="X270" s="41"/>
      <c r="Y270" s="42"/>
      <c r="Z270" s="50"/>
      <c r="AA270" s="50"/>
      <c r="AC270" s="22" t="str">
        <f t="shared" si="94"/>
        <v>·</v>
      </c>
      <c r="AD270" s="23" t="str">
        <f t="shared" si="95"/>
        <v>·</v>
      </c>
      <c r="AE270" s="23" t="str">
        <f t="shared" si="96"/>
        <v>·</v>
      </c>
      <c r="AF270" s="23" t="str">
        <f t="shared" si="97"/>
        <v>·</v>
      </c>
      <c r="AG270" s="24"/>
      <c r="AH270" s="23" t="str">
        <f t="shared" si="98"/>
        <v>·</v>
      </c>
      <c r="AI270" s="25"/>
      <c r="AJ270" s="26"/>
      <c r="AK270" s="26"/>
      <c r="AL270" s="26"/>
      <c r="AM270" s="40"/>
      <c r="AN270" s="41"/>
      <c r="AO270" s="41"/>
      <c r="AP270" s="41"/>
      <c r="AQ270" s="41"/>
      <c r="AR270" s="41"/>
      <c r="AS270" s="42"/>
      <c r="AT270" s="50"/>
      <c r="AU270" s="50"/>
      <c r="AW270" s="55" t="e">
        <f t="shared" si="99"/>
        <v>#DIV/0!</v>
      </c>
      <c r="AX270" s="55"/>
      <c r="AZ270" s="56"/>
      <c r="BA270" s="56"/>
      <c r="BB270" s="56"/>
      <c r="BC270" s="56"/>
      <c r="BD270" s="56"/>
      <c r="BE270" s="62"/>
      <c r="BG270" s="56"/>
      <c r="BH270" s="56"/>
      <c r="BI270" s="56"/>
      <c r="BJ270" s="56"/>
      <c r="BK270" s="56"/>
      <c r="BL270" s="62"/>
      <c r="BN270">
        <f t="shared" si="100"/>
        <v>0</v>
      </c>
      <c r="BO270">
        <f t="shared" si="101"/>
        <v>0</v>
      </c>
      <c r="BP270">
        <f t="shared" si="102"/>
        <v>0</v>
      </c>
      <c r="BQ270">
        <f t="shared" si="103"/>
        <v>0</v>
      </c>
      <c r="BR270">
        <f t="shared" si="104"/>
        <v>0</v>
      </c>
      <c r="BS270">
        <f t="shared" si="105"/>
        <v>0</v>
      </c>
      <c r="BT270">
        <f t="shared" si="106"/>
        <v>0</v>
      </c>
      <c r="BU270">
        <f t="shared" si="107"/>
        <v>0</v>
      </c>
      <c r="BV270">
        <f t="shared" si="108"/>
        <v>0</v>
      </c>
      <c r="BW270">
        <f t="shared" si="109"/>
        <v>0</v>
      </c>
      <c r="BX270">
        <f t="shared" si="110"/>
        <v>0</v>
      </c>
    </row>
    <row r="271" spans="1:76" outlineLevel="1" x14ac:dyDescent="0.15">
      <c r="A271" s="5"/>
      <c r="B271" s="5" t="s">
        <v>172</v>
      </c>
      <c r="C271" s="6" t="s">
        <v>256</v>
      </c>
      <c r="D271" s="5">
        <v>63864641</v>
      </c>
      <c r="E271" s="7">
        <v>20</v>
      </c>
      <c r="F271" s="6">
        <v>1</v>
      </c>
      <c r="G271" s="6"/>
      <c r="I271" s="17" t="str">
        <f t="shared" si="89"/>
        <v>·</v>
      </c>
      <c r="J271" s="18" t="str">
        <f t="shared" si="90"/>
        <v>·</v>
      </c>
      <c r="K271" s="18" t="str">
        <f t="shared" si="91"/>
        <v>·</v>
      </c>
      <c r="L271" s="18" t="str">
        <f t="shared" si="92"/>
        <v>·</v>
      </c>
      <c r="M271" s="19"/>
      <c r="N271" s="18" t="str">
        <f t="shared" si="93"/>
        <v>·</v>
      </c>
      <c r="O271" s="20"/>
      <c r="P271" s="21"/>
      <c r="Q271" s="21"/>
      <c r="R271" s="21"/>
      <c r="S271" s="37"/>
      <c r="T271" s="38"/>
      <c r="U271" s="38"/>
      <c r="V271" s="38"/>
      <c r="W271" s="38"/>
      <c r="X271" s="38"/>
      <c r="Y271" s="39"/>
      <c r="Z271" s="49"/>
      <c r="AA271" s="49"/>
      <c r="AC271" s="17" t="str">
        <f t="shared" si="94"/>
        <v>·</v>
      </c>
      <c r="AD271" s="18" t="str">
        <f t="shared" si="95"/>
        <v>·</v>
      </c>
      <c r="AE271" s="18" t="str">
        <f t="shared" si="96"/>
        <v>·</v>
      </c>
      <c r="AF271" s="18" t="str">
        <f t="shared" si="97"/>
        <v>·</v>
      </c>
      <c r="AG271" s="19"/>
      <c r="AH271" s="18" t="str">
        <f t="shared" si="98"/>
        <v>·</v>
      </c>
      <c r="AI271" s="20"/>
      <c r="AJ271" s="21"/>
      <c r="AK271" s="21"/>
      <c r="AL271" s="21"/>
      <c r="AM271" s="37"/>
      <c r="AN271" s="38"/>
      <c r="AO271" s="38"/>
      <c r="AP271" s="38"/>
      <c r="AQ271" s="38"/>
      <c r="AR271" s="38"/>
      <c r="AS271" s="39"/>
      <c r="AT271" s="49"/>
      <c r="AU271" s="49"/>
      <c r="AW271" s="53" t="e">
        <f t="shared" si="99"/>
        <v>#DIV/0!</v>
      </c>
      <c r="AX271" s="53"/>
      <c r="AZ271" s="54"/>
      <c r="BA271" s="54"/>
      <c r="BB271" s="54"/>
      <c r="BC271" s="54"/>
      <c r="BD271" s="54"/>
      <c r="BE271" s="61"/>
      <c r="BG271" s="54"/>
      <c r="BH271" s="54"/>
      <c r="BI271" s="54"/>
      <c r="BJ271" s="54"/>
      <c r="BK271" s="54"/>
      <c r="BL271" s="61"/>
      <c r="BN271">
        <f t="shared" si="100"/>
        <v>0</v>
      </c>
      <c r="BO271">
        <f t="shared" si="101"/>
        <v>0</v>
      </c>
      <c r="BP271">
        <f t="shared" si="102"/>
        <v>0</v>
      </c>
      <c r="BQ271">
        <f t="shared" si="103"/>
        <v>0</v>
      </c>
      <c r="BR271">
        <f t="shared" si="104"/>
        <v>0</v>
      </c>
      <c r="BS271">
        <f t="shared" si="105"/>
        <v>0</v>
      </c>
      <c r="BT271">
        <f t="shared" si="106"/>
        <v>0</v>
      </c>
      <c r="BU271">
        <f t="shared" si="107"/>
        <v>0</v>
      </c>
      <c r="BV271">
        <f t="shared" si="108"/>
        <v>0</v>
      </c>
      <c r="BW271">
        <f t="shared" si="109"/>
        <v>0</v>
      </c>
      <c r="BX271">
        <f t="shared" si="110"/>
        <v>0</v>
      </c>
    </row>
    <row r="272" spans="1:76" outlineLevel="1" x14ac:dyDescent="0.15">
      <c r="A272" s="8"/>
      <c r="B272" s="8" t="s">
        <v>172</v>
      </c>
      <c r="C272" s="9" t="s">
        <v>257</v>
      </c>
      <c r="D272" s="8">
        <v>63864641</v>
      </c>
      <c r="E272" s="10">
        <v>20</v>
      </c>
      <c r="F272" s="9">
        <v>1</v>
      </c>
      <c r="G272" s="9"/>
      <c r="I272" s="22" t="str">
        <f t="shared" si="89"/>
        <v>·</v>
      </c>
      <c r="J272" s="23" t="str">
        <f t="shared" si="90"/>
        <v>·</v>
      </c>
      <c r="K272" s="23" t="str">
        <f t="shared" si="91"/>
        <v>·</v>
      </c>
      <c r="L272" s="23" t="str">
        <f t="shared" si="92"/>
        <v>·</v>
      </c>
      <c r="M272" s="24"/>
      <c r="N272" s="23" t="str">
        <f t="shared" si="93"/>
        <v>·</v>
      </c>
      <c r="O272" s="25"/>
      <c r="P272" s="26"/>
      <c r="Q272" s="26"/>
      <c r="R272" s="26"/>
      <c r="S272" s="40"/>
      <c r="T272" s="41"/>
      <c r="U272" s="41"/>
      <c r="V272" s="41"/>
      <c r="W272" s="41"/>
      <c r="X272" s="41"/>
      <c r="Y272" s="42"/>
      <c r="Z272" s="50"/>
      <c r="AA272" s="50"/>
      <c r="AC272" s="22" t="str">
        <f t="shared" si="94"/>
        <v>·</v>
      </c>
      <c r="AD272" s="23" t="str">
        <f t="shared" si="95"/>
        <v>·</v>
      </c>
      <c r="AE272" s="23" t="str">
        <f t="shared" si="96"/>
        <v>·</v>
      </c>
      <c r="AF272" s="23" t="str">
        <f t="shared" si="97"/>
        <v>·</v>
      </c>
      <c r="AG272" s="24"/>
      <c r="AH272" s="23" t="str">
        <f t="shared" si="98"/>
        <v>·</v>
      </c>
      <c r="AI272" s="25"/>
      <c r="AJ272" s="26"/>
      <c r="AK272" s="26"/>
      <c r="AL272" s="26"/>
      <c r="AM272" s="40"/>
      <c r="AN272" s="41"/>
      <c r="AO272" s="41"/>
      <c r="AP272" s="41"/>
      <c r="AQ272" s="41"/>
      <c r="AR272" s="41"/>
      <c r="AS272" s="42"/>
      <c r="AT272" s="50"/>
      <c r="AU272" s="50"/>
      <c r="AW272" s="55" t="e">
        <f t="shared" si="99"/>
        <v>#DIV/0!</v>
      </c>
      <c r="AX272" s="55"/>
      <c r="AZ272" s="56"/>
      <c r="BA272" s="56"/>
      <c r="BB272" s="56"/>
      <c r="BC272" s="56"/>
      <c r="BD272" s="56"/>
      <c r="BE272" s="62"/>
      <c r="BG272" s="56"/>
      <c r="BH272" s="56"/>
      <c r="BI272" s="56"/>
      <c r="BJ272" s="56"/>
      <c r="BK272" s="56"/>
      <c r="BL272" s="62"/>
      <c r="BN272">
        <f t="shared" si="100"/>
        <v>0</v>
      </c>
      <c r="BO272">
        <f t="shared" si="101"/>
        <v>0</v>
      </c>
      <c r="BP272">
        <f t="shared" si="102"/>
        <v>0</v>
      </c>
      <c r="BQ272">
        <f t="shared" si="103"/>
        <v>0</v>
      </c>
      <c r="BR272">
        <f t="shared" si="104"/>
        <v>0</v>
      </c>
      <c r="BS272">
        <f t="shared" si="105"/>
        <v>0</v>
      </c>
      <c r="BT272">
        <f t="shared" si="106"/>
        <v>0</v>
      </c>
      <c r="BU272">
        <f t="shared" si="107"/>
        <v>0</v>
      </c>
      <c r="BV272">
        <f t="shared" si="108"/>
        <v>0</v>
      </c>
      <c r="BW272">
        <f t="shared" si="109"/>
        <v>0</v>
      </c>
      <c r="BX272">
        <f t="shared" si="110"/>
        <v>0</v>
      </c>
    </row>
    <row r="273" spans="1:76" outlineLevel="1" x14ac:dyDescent="0.15">
      <c r="A273" s="5"/>
      <c r="B273" s="5" t="s">
        <v>172</v>
      </c>
      <c r="C273" s="6" t="s">
        <v>258</v>
      </c>
      <c r="D273" s="5">
        <v>63864641</v>
      </c>
      <c r="E273" s="7">
        <v>20</v>
      </c>
      <c r="F273" s="6">
        <v>1</v>
      </c>
      <c r="G273" s="6"/>
      <c r="I273" s="17" t="str">
        <f t="shared" si="89"/>
        <v>·</v>
      </c>
      <c r="J273" s="18" t="str">
        <f t="shared" si="90"/>
        <v>·</v>
      </c>
      <c r="K273" s="18" t="str">
        <f t="shared" si="91"/>
        <v>·</v>
      </c>
      <c r="L273" s="18" t="str">
        <f t="shared" si="92"/>
        <v>·</v>
      </c>
      <c r="M273" s="19"/>
      <c r="N273" s="18" t="str">
        <f t="shared" si="93"/>
        <v>·</v>
      </c>
      <c r="O273" s="20"/>
      <c r="P273" s="21"/>
      <c r="Q273" s="21"/>
      <c r="R273" s="21"/>
      <c r="S273" s="37"/>
      <c r="T273" s="38"/>
      <c r="U273" s="38"/>
      <c r="V273" s="38"/>
      <c r="W273" s="38"/>
      <c r="X273" s="38"/>
      <c r="Y273" s="39"/>
      <c r="Z273" s="49"/>
      <c r="AA273" s="49"/>
      <c r="AC273" s="17" t="str">
        <f t="shared" si="94"/>
        <v>·</v>
      </c>
      <c r="AD273" s="18" t="str">
        <f t="shared" si="95"/>
        <v>·</v>
      </c>
      <c r="AE273" s="18" t="str">
        <f t="shared" si="96"/>
        <v>·</v>
      </c>
      <c r="AF273" s="18" t="str">
        <f t="shared" si="97"/>
        <v>·</v>
      </c>
      <c r="AG273" s="19"/>
      <c r="AH273" s="18" t="str">
        <f t="shared" si="98"/>
        <v>·</v>
      </c>
      <c r="AI273" s="20"/>
      <c r="AJ273" s="21"/>
      <c r="AK273" s="21"/>
      <c r="AL273" s="21"/>
      <c r="AM273" s="37"/>
      <c r="AN273" s="38"/>
      <c r="AO273" s="38"/>
      <c r="AP273" s="38"/>
      <c r="AQ273" s="38"/>
      <c r="AR273" s="38"/>
      <c r="AS273" s="39"/>
      <c r="AT273" s="49"/>
      <c r="AU273" s="49"/>
      <c r="AW273" s="53" t="e">
        <f t="shared" si="99"/>
        <v>#DIV/0!</v>
      </c>
      <c r="AX273" s="53"/>
      <c r="AZ273" s="54"/>
      <c r="BA273" s="54"/>
      <c r="BB273" s="54"/>
      <c r="BC273" s="54"/>
      <c r="BD273" s="54"/>
      <c r="BE273" s="61"/>
      <c r="BG273" s="54"/>
      <c r="BH273" s="54"/>
      <c r="BI273" s="54"/>
      <c r="BJ273" s="54"/>
      <c r="BK273" s="54"/>
      <c r="BL273" s="61"/>
      <c r="BN273">
        <f t="shared" si="100"/>
        <v>0</v>
      </c>
      <c r="BO273">
        <f t="shared" si="101"/>
        <v>0</v>
      </c>
      <c r="BP273">
        <f t="shared" si="102"/>
        <v>0</v>
      </c>
      <c r="BQ273">
        <f t="shared" si="103"/>
        <v>0</v>
      </c>
      <c r="BR273">
        <f t="shared" si="104"/>
        <v>0</v>
      </c>
      <c r="BS273">
        <f t="shared" si="105"/>
        <v>0</v>
      </c>
      <c r="BT273">
        <f t="shared" si="106"/>
        <v>0</v>
      </c>
      <c r="BU273">
        <f t="shared" si="107"/>
        <v>0</v>
      </c>
      <c r="BV273">
        <f t="shared" si="108"/>
        <v>0</v>
      </c>
      <c r="BW273">
        <f t="shared" si="109"/>
        <v>0</v>
      </c>
      <c r="BX273">
        <f t="shared" si="110"/>
        <v>0</v>
      </c>
    </row>
    <row r="274" spans="1:76" outlineLevel="1" x14ac:dyDescent="0.15">
      <c r="A274" s="8"/>
      <c r="B274" s="14" t="s">
        <v>172</v>
      </c>
      <c r="C274" s="15" t="s">
        <v>259</v>
      </c>
      <c r="D274" s="14">
        <v>63864641</v>
      </c>
      <c r="E274" s="16">
        <v>20</v>
      </c>
      <c r="F274" s="15">
        <v>1</v>
      </c>
      <c r="G274" s="15"/>
      <c r="I274" s="32" t="str">
        <f t="shared" si="89"/>
        <v>·</v>
      </c>
      <c r="J274" s="33" t="str">
        <f t="shared" si="90"/>
        <v>·</v>
      </c>
      <c r="K274" s="33" t="str">
        <f t="shared" si="91"/>
        <v>·</v>
      </c>
      <c r="L274" s="33" t="str">
        <f t="shared" si="92"/>
        <v>·</v>
      </c>
      <c r="M274" s="34"/>
      <c r="N274" s="33" t="str">
        <f t="shared" si="93"/>
        <v>·</v>
      </c>
      <c r="O274" s="35"/>
      <c r="P274" s="36"/>
      <c r="Q274" s="36"/>
      <c r="R274" s="36"/>
      <c r="S274" s="46"/>
      <c r="T274" s="47"/>
      <c r="U274" s="47"/>
      <c r="V274" s="47"/>
      <c r="W274" s="47"/>
      <c r="X274" s="47"/>
      <c r="Y274" s="48"/>
      <c r="Z274" s="52"/>
      <c r="AA274" s="52"/>
      <c r="AC274" s="32" t="str">
        <f t="shared" si="94"/>
        <v>·</v>
      </c>
      <c r="AD274" s="33" t="str">
        <f t="shared" si="95"/>
        <v>·</v>
      </c>
      <c r="AE274" s="33" t="str">
        <f t="shared" si="96"/>
        <v>·</v>
      </c>
      <c r="AF274" s="33" t="str">
        <f t="shared" si="97"/>
        <v>·</v>
      </c>
      <c r="AG274" s="34"/>
      <c r="AH274" s="33" t="str">
        <f t="shared" si="98"/>
        <v>·</v>
      </c>
      <c r="AI274" s="35"/>
      <c r="AJ274" s="36"/>
      <c r="AK274" s="36"/>
      <c r="AL274" s="36"/>
      <c r="AM274" s="46"/>
      <c r="AN274" s="47"/>
      <c r="AO274" s="47"/>
      <c r="AP274" s="47"/>
      <c r="AQ274" s="47"/>
      <c r="AR274" s="47"/>
      <c r="AS274" s="48"/>
      <c r="AT274" s="52"/>
      <c r="AU274" s="52"/>
      <c r="AW274" s="59" t="e">
        <f t="shared" si="99"/>
        <v>#DIV/0!</v>
      </c>
      <c r="AX274" s="59"/>
      <c r="AZ274" s="60"/>
      <c r="BA274" s="60"/>
      <c r="BB274" s="60"/>
      <c r="BC274" s="60"/>
      <c r="BD274" s="60"/>
      <c r="BE274" s="64"/>
      <c r="BG274" s="60"/>
      <c r="BH274" s="60"/>
      <c r="BI274" s="60"/>
      <c r="BJ274" s="60"/>
      <c r="BK274" s="60"/>
      <c r="BL274" s="64"/>
      <c r="BN274">
        <f t="shared" si="100"/>
        <v>0</v>
      </c>
      <c r="BO274">
        <f t="shared" si="101"/>
        <v>0</v>
      </c>
      <c r="BP274">
        <f t="shared" si="102"/>
        <v>0</v>
      </c>
      <c r="BQ274">
        <f t="shared" si="103"/>
        <v>0</v>
      </c>
      <c r="BR274">
        <f t="shared" si="104"/>
        <v>0</v>
      </c>
      <c r="BS274">
        <f t="shared" si="105"/>
        <v>0</v>
      </c>
      <c r="BT274">
        <f t="shared" si="106"/>
        <v>0</v>
      </c>
      <c r="BU274">
        <f t="shared" si="107"/>
        <v>0</v>
      </c>
      <c r="BV274">
        <f t="shared" si="108"/>
        <v>0</v>
      </c>
      <c r="BW274">
        <f t="shared" si="109"/>
        <v>0</v>
      </c>
      <c r="BX274">
        <f t="shared" si="110"/>
        <v>0</v>
      </c>
    </row>
    <row r="275" spans="1:76" x14ac:dyDescent="0.15">
      <c r="A275" s="5"/>
      <c r="B275" s="5" t="s">
        <v>173</v>
      </c>
      <c r="C275" s="6" t="s">
        <v>254</v>
      </c>
      <c r="D275" s="5">
        <v>2000297</v>
      </c>
      <c r="E275" s="7">
        <v>20</v>
      </c>
      <c r="F275" s="6">
        <v>1</v>
      </c>
      <c r="G275" s="6"/>
      <c r="I275" s="17" t="str">
        <f t="shared" si="89"/>
        <v>·</v>
      </c>
      <c r="J275" s="18" t="str">
        <f t="shared" si="90"/>
        <v>·</v>
      </c>
      <c r="K275" s="18" t="str">
        <f t="shared" si="91"/>
        <v>·</v>
      </c>
      <c r="L275" s="18" t="str">
        <f t="shared" si="92"/>
        <v>·</v>
      </c>
      <c r="M275" s="19"/>
      <c r="N275" s="18" t="str">
        <f t="shared" si="93"/>
        <v>·</v>
      </c>
      <c r="O275" s="20"/>
      <c r="P275" s="21"/>
      <c r="Q275" s="21"/>
      <c r="R275" s="21"/>
      <c r="S275" s="37"/>
      <c r="T275" s="38"/>
      <c r="U275" s="38"/>
      <c r="V275" s="38"/>
      <c r="W275" s="38"/>
      <c r="X275" s="38"/>
      <c r="Y275" s="39"/>
      <c r="Z275" s="49"/>
      <c r="AA275" s="49"/>
      <c r="AC275" s="17" t="str">
        <f t="shared" si="94"/>
        <v>·</v>
      </c>
      <c r="AD275" s="18" t="str">
        <f t="shared" si="95"/>
        <v>·</v>
      </c>
      <c r="AE275" s="18" t="str">
        <f t="shared" si="96"/>
        <v>·</v>
      </c>
      <c r="AF275" s="18" t="str">
        <f t="shared" si="97"/>
        <v>·</v>
      </c>
      <c r="AG275" s="19"/>
      <c r="AH275" s="18" t="str">
        <f t="shared" si="98"/>
        <v>·</v>
      </c>
      <c r="AI275" s="20"/>
      <c r="AJ275" s="21"/>
      <c r="AK275" s="21"/>
      <c r="AL275" s="21"/>
      <c r="AM275" s="37"/>
      <c r="AN275" s="38"/>
      <c r="AO275" s="38"/>
      <c r="AP275" s="38"/>
      <c r="AQ275" s="38"/>
      <c r="AR275" s="38"/>
      <c r="AS275" s="39"/>
      <c r="AT275" s="49"/>
      <c r="AU275" s="49"/>
      <c r="AW275" s="53" t="e">
        <f t="shared" si="99"/>
        <v>#DIV/0!</v>
      </c>
      <c r="AX275" s="53" t="e">
        <f t="array" ref="AX275">AVERAGE(AK275:AK280/AJ275:AJ280)-AVERAGE(Q275:Q280/P275:P280)</f>
        <v>#DIV/0!</v>
      </c>
      <c r="AZ275" s="54" t="str">
        <f>IF(OR(ISBLANK(Q275:Q280),ISBLANK(AK275:AK280),ISBLANK(T275:T280),ISBLANK(AN275:AN280)),"·",bdRateExtend(Q275:Q280,T275:T280,AK275:AK280,AN275:AN280))</f>
        <v>·</v>
      </c>
      <c r="BA275" s="54" t="str">
        <f>IF(OR(ISBLANK(Q275:Q280),ISBLANK(AK275:AK280),ISBLANK(U275:U280),ISBLANK(AO275:AO280)),"·",bdRateExtend(Q275:Q280,U275:U280,AK275:AK280,AO275:AO280))</f>
        <v>·</v>
      </c>
      <c r="BB275" s="54" t="str">
        <f>IF(OR(ISBLANK(R275:R280),ISBLANK(AL275:AL280),ISBLANK(V275:V280),ISBLANK(AP275:AP280)),"·",bdRateExtend(R275:R280,V275:V280,AL275:AL280,AP275:AP280))</f>
        <v>·</v>
      </c>
      <c r="BC275" s="54" t="str">
        <f>IF(OR(ISBLANK(R275:R280),ISBLANK(AL275:AL280),ISBLANK(W275:W280),ISBLANK(AQ275:AQ280)),"·",bdRateExtend(R275:R280,W275:W280,AL275:AL280,AQ275:AQ280))</f>
        <v>·</v>
      </c>
      <c r="BD275" s="54" t="str">
        <f>IF(OR(ISBLANK(R275:R280),ISBLANK(AL275:AL280),ISBLANK(X275:X280),ISBLANK(AR275:AR280)),"·",bdRateExtend(R275:R280,X275:X280,AL275:AL280,AR275:AR280))</f>
        <v>·</v>
      </c>
      <c r="BE275" s="61"/>
      <c r="BG275" s="54" t="str">
        <f>IF(OR(ISBLANK(P275:P280),ISBLANK(AJ275:AJ280),ISBLANK(T275:T280),ISBLANK(AN275:AN280)),"·",bdRateExtend(P275:P280,T275:T280,AJ275:AJ280,AN275:AN280))</f>
        <v>·</v>
      </c>
      <c r="BH275" s="54" t="str">
        <f>IF(OR(ISBLANK(P275:P280),ISBLANK(AJ275:AJ280),ISBLANK(U275:U280),ISBLANK(AO275:AO280)),"·",bdRateExtend(P275:P280,U275:U280,AJ275:AJ280,AO275:AO280))</f>
        <v>·</v>
      </c>
      <c r="BI275" s="54" t="str">
        <f>IF(OR(ISBLANK(P275:P280),ISBLANK(AJ275:AJ280),ISBLANK(V275:V280),ISBLANK(AP275:AP280)),"·",bdRateExtend(P275:P280,V275:V280,AJ275:AJ280,AP275:AP280))</f>
        <v>·</v>
      </c>
      <c r="BJ275" s="54" t="str">
        <f>IF(OR(ISBLANK(P275:P280),ISBLANK(AJ275:AJ280),ISBLANK(W275:W280),ISBLANK(AQ275:AQ280)),"·",bdRateExtend(P275:P280,W275:W280,AJ275:AJ280,AQ275:AQ280))</f>
        <v>·</v>
      </c>
      <c r="BK275" s="54" t="str">
        <f>IF(OR(ISBLANK(P275:P280),ISBLANK(AJ275:AJ280),ISBLANK(X275:X280),ISBLANK(AR275:AR280)),"·",bdRateExtend(P275:P280,X275:X280,AJ275:AJ280,AR275:AR280))</f>
        <v>·</v>
      </c>
      <c r="BL275" s="61"/>
      <c r="BN275">
        <f t="shared" si="100"/>
        <v>0</v>
      </c>
      <c r="BO275">
        <f t="shared" si="101"/>
        <v>0</v>
      </c>
      <c r="BP275">
        <f t="shared" si="102"/>
        <v>0</v>
      </c>
      <c r="BQ275">
        <f t="shared" si="103"/>
        <v>0</v>
      </c>
      <c r="BR275">
        <f t="shared" si="104"/>
        <v>0</v>
      </c>
      <c r="BS275">
        <f t="shared" si="105"/>
        <v>0</v>
      </c>
      <c r="BT275">
        <f t="shared" si="106"/>
        <v>0</v>
      </c>
      <c r="BU275">
        <f t="shared" si="107"/>
        <v>0</v>
      </c>
      <c r="BV275">
        <f t="shared" si="108"/>
        <v>0</v>
      </c>
      <c r="BW275">
        <f t="shared" si="109"/>
        <v>0</v>
      </c>
      <c r="BX275">
        <f t="shared" si="110"/>
        <v>0</v>
      </c>
    </row>
    <row r="276" spans="1:76" outlineLevel="1" x14ac:dyDescent="0.15">
      <c r="A276" s="8"/>
      <c r="B276" s="8" t="s">
        <v>173</v>
      </c>
      <c r="C276" s="9" t="s">
        <v>255</v>
      </c>
      <c r="D276" s="8">
        <v>2000297</v>
      </c>
      <c r="E276" s="10">
        <v>20</v>
      </c>
      <c r="F276" s="9">
        <v>1</v>
      </c>
      <c r="G276" s="9"/>
      <c r="I276" s="22" t="str">
        <f t="shared" si="89"/>
        <v>·</v>
      </c>
      <c r="J276" s="23" t="str">
        <f t="shared" si="90"/>
        <v>·</v>
      </c>
      <c r="K276" s="23" t="str">
        <f t="shared" si="91"/>
        <v>·</v>
      </c>
      <c r="L276" s="23" t="str">
        <f t="shared" si="92"/>
        <v>·</v>
      </c>
      <c r="M276" s="24"/>
      <c r="N276" s="23" t="str">
        <f t="shared" si="93"/>
        <v>·</v>
      </c>
      <c r="O276" s="25"/>
      <c r="P276" s="26"/>
      <c r="Q276" s="26"/>
      <c r="R276" s="26"/>
      <c r="S276" s="40"/>
      <c r="T276" s="41"/>
      <c r="U276" s="41"/>
      <c r="V276" s="41"/>
      <c r="W276" s="41"/>
      <c r="X276" s="41"/>
      <c r="Y276" s="42"/>
      <c r="Z276" s="50"/>
      <c r="AA276" s="50"/>
      <c r="AC276" s="22" t="str">
        <f t="shared" si="94"/>
        <v>·</v>
      </c>
      <c r="AD276" s="23" t="str">
        <f t="shared" si="95"/>
        <v>·</v>
      </c>
      <c r="AE276" s="23" t="str">
        <f t="shared" si="96"/>
        <v>·</v>
      </c>
      <c r="AF276" s="23" t="str">
        <f t="shared" si="97"/>
        <v>·</v>
      </c>
      <c r="AG276" s="24"/>
      <c r="AH276" s="23" t="str">
        <f t="shared" si="98"/>
        <v>·</v>
      </c>
      <c r="AI276" s="25"/>
      <c r="AJ276" s="26"/>
      <c r="AK276" s="26"/>
      <c r="AL276" s="26"/>
      <c r="AM276" s="40"/>
      <c r="AN276" s="41"/>
      <c r="AO276" s="41"/>
      <c r="AP276" s="41"/>
      <c r="AQ276" s="41"/>
      <c r="AR276" s="41"/>
      <c r="AS276" s="42"/>
      <c r="AT276" s="50"/>
      <c r="AU276" s="50"/>
      <c r="AW276" s="55" t="e">
        <f t="shared" si="99"/>
        <v>#DIV/0!</v>
      </c>
      <c r="AX276" s="55"/>
      <c r="AZ276" s="56"/>
      <c r="BA276" s="56"/>
      <c r="BB276" s="56"/>
      <c r="BC276" s="56"/>
      <c r="BD276" s="56"/>
      <c r="BE276" s="62"/>
      <c r="BG276" s="56"/>
      <c r="BH276" s="56"/>
      <c r="BI276" s="56"/>
      <c r="BJ276" s="56"/>
      <c r="BK276" s="56"/>
      <c r="BL276" s="62"/>
      <c r="BN276">
        <f t="shared" si="100"/>
        <v>0</v>
      </c>
      <c r="BO276">
        <f t="shared" si="101"/>
        <v>0</v>
      </c>
      <c r="BP276">
        <f t="shared" si="102"/>
        <v>0</v>
      </c>
      <c r="BQ276">
        <f t="shared" si="103"/>
        <v>0</v>
      </c>
      <c r="BR276">
        <f t="shared" si="104"/>
        <v>0</v>
      </c>
      <c r="BS276">
        <f t="shared" si="105"/>
        <v>0</v>
      </c>
      <c r="BT276">
        <f t="shared" si="106"/>
        <v>0</v>
      </c>
      <c r="BU276">
        <f t="shared" si="107"/>
        <v>0</v>
      </c>
      <c r="BV276">
        <f t="shared" si="108"/>
        <v>0</v>
      </c>
      <c r="BW276">
        <f t="shared" si="109"/>
        <v>0</v>
      </c>
      <c r="BX276">
        <f t="shared" si="110"/>
        <v>0</v>
      </c>
    </row>
    <row r="277" spans="1:76" outlineLevel="1" x14ac:dyDescent="0.15">
      <c r="A277" s="5"/>
      <c r="B277" s="5" t="s">
        <v>173</v>
      </c>
      <c r="C277" s="6" t="s">
        <v>256</v>
      </c>
      <c r="D277" s="5">
        <v>2000297</v>
      </c>
      <c r="E277" s="7">
        <v>20</v>
      </c>
      <c r="F277" s="6">
        <v>1</v>
      </c>
      <c r="G277" s="6"/>
      <c r="I277" s="17" t="str">
        <f t="shared" si="89"/>
        <v>·</v>
      </c>
      <c r="J277" s="18" t="str">
        <f t="shared" si="90"/>
        <v>·</v>
      </c>
      <c r="K277" s="18" t="str">
        <f t="shared" si="91"/>
        <v>·</v>
      </c>
      <c r="L277" s="18" t="str">
        <f t="shared" si="92"/>
        <v>·</v>
      </c>
      <c r="M277" s="19"/>
      <c r="N277" s="18" t="str">
        <f t="shared" si="93"/>
        <v>·</v>
      </c>
      <c r="O277" s="20"/>
      <c r="P277" s="21"/>
      <c r="Q277" s="21"/>
      <c r="R277" s="21"/>
      <c r="S277" s="37"/>
      <c r="T277" s="38"/>
      <c r="U277" s="38"/>
      <c r="V277" s="38"/>
      <c r="W277" s="38"/>
      <c r="X277" s="38"/>
      <c r="Y277" s="39"/>
      <c r="Z277" s="49"/>
      <c r="AA277" s="49"/>
      <c r="AC277" s="17" t="str">
        <f t="shared" si="94"/>
        <v>·</v>
      </c>
      <c r="AD277" s="18" t="str">
        <f t="shared" si="95"/>
        <v>·</v>
      </c>
      <c r="AE277" s="18" t="str">
        <f t="shared" si="96"/>
        <v>·</v>
      </c>
      <c r="AF277" s="18" t="str">
        <f t="shared" si="97"/>
        <v>·</v>
      </c>
      <c r="AG277" s="19"/>
      <c r="AH277" s="18" t="str">
        <f t="shared" si="98"/>
        <v>·</v>
      </c>
      <c r="AI277" s="20"/>
      <c r="AJ277" s="21"/>
      <c r="AK277" s="21"/>
      <c r="AL277" s="21"/>
      <c r="AM277" s="37"/>
      <c r="AN277" s="38"/>
      <c r="AO277" s="38"/>
      <c r="AP277" s="38"/>
      <c r="AQ277" s="38"/>
      <c r="AR277" s="38"/>
      <c r="AS277" s="39"/>
      <c r="AT277" s="49"/>
      <c r="AU277" s="49"/>
      <c r="AW277" s="53" t="e">
        <f t="shared" si="99"/>
        <v>#DIV/0!</v>
      </c>
      <c r="AX277" s="53"/>
      <c r="AZ277" s="54"/>
      <c r="BA277" s="54"/>
      <c r="BB277" s="54"/>
      <c r="BC277" s="54"/>
      <c r="BD277" s="54"/>
      <c r="BE277" s="61"/>
      <c r="BG277" s="54"/>
      <c r="BH277" s="54"/>
      <c r="BI277" s="54"/>
      <c r="BJ277" s="54"/>
      <c r="BK277" s="54"/>
      <c r="BL277" s="61"/>
      <c r="BN277">
        <f t="shared" si="100"/>
        <v>0</v>
      </c>
      <c r="BO277">
        <f t="shared" si="101"/>
        <v>0</v>
      </c>
      <c r="BP277">
        <f t="shared" si="102"/>
        <v>0</v>
      </c>
      <c r="BQ277">
        <f t="shared" si="103"/>
        <v>0</v>
      </c>
      <c r="BR277">
        <f t="shared" si="104"/>
        <v>0</v>
      </c>
      <c r="BS277">
        <f t="shared" si="105"/>
        <v>0</v>
      </c>
      <c r="BT277">
        <f t="shared" si="106"/>
        <v>0</v>
      </c>
      <c r="BU277">
        <f t="shared" si="107"/>
        <v>0</v>
      </c>
      <c r="BV277">
        <f t="shared" si="108"/>
        <v>0</v>
      </c>
      <c r="BW277">
        <f t="shared" si="109"/>
        <v>0</v>
      </c>
      <c r="BX277">
        <f t="shared" si="110"/>
        <v>0</v>
      </c>
    </row>
    <row r="278" spans="1:76" outlineLevel="1" x14ac:dyDescent="0.15">
      <c r="A278" s="8"/>
      <c r="B278" s="8" t="s">
        <v>173</v>
      </c>
      <c r="C278" s="9" t="s">
        <v>257</v>
      </c>
      <c r="D278" s="8">
        <v>2000297</v>
      </c>
      <c r="E278" s="10">
        <v>20</v>
      </c>
      <c r="F278" s="9">
        <v>1</v>
      </c>
      <c r="G278" s="9"/>
      <c r="I278" s="22" t="str">
        <f t="shared" si="89"/>
        <v>·</v>
      </c>
      <c r="J278" s="23" t="str">
        <f t="shared" si="90"/>
        <v>·</v>
      </c>
      <c r="K278" s="23" t="str">
        <f t="shared" si="91"/>
        <v>·</v>
      </c>
      <c r="L278" s="23" t="str">
        <f t="shared" si="92"/>
        <v>·</v>
      </c>
      <c r="M278" s="24"/>
      <c r="N278" s="23" t="str">
        <f t="shared" si="93"/>
        <v>·</v>
      </c>
      <c r="O278" s="25"/>
      <c r="P278" s="26"/>
      <c r="Q278" s="26"/>
      <c r="R278" s="26"/>
      <c r="S278" s="40"/>
      <c r="T278" s="41"/>
      <c r="U278" s="41"/>
      <c r="V278" s="41"/>
      <c r="W278" s="41"/>
      <c r="X278" s="41"/>
      <c r="Y278" s="42"/>
      <c r="Z278" s="50"/>
      <c r="AA278" s="50"/>
      <c r="AC278" s="22" t="str">
        <f t="shared" si="94"/>
        <v>·</v>
      </c>
      <c r="AD278" s="23" t="str">
        <f t="shared" si="95"/>
        <v>·</v>
      </c>
      <c r="AE278" s="23" t="str">
        <f t="shared" si="96"/>
        <v>·</v>
      </c>
      <c r="AF278" s="23" t="str">
        <f t="shared" si="97"/>
        <v>·</v>
      </c>
      <c r="AG278" s="24"/>
      <c r="AH278" s="23" t="str">
        <f t="shared" si="98"/>
        <v>·</v>
      </c>
      <c r="AI278" s="25"/>
      <c r="AJ278" s="26"/>
      <c r="AK278" s="26"/>
      <c r="AL278" s="26"/>
      <c r="AM278" s="40"/>
      <c r="AN278" s="41"/>
      <c r="AO278" s="41"/>
      <c r="AP278" s="41"/>
      <c r="AQ278" s="41"/>
      <c r="AR278" s="41"/>
      <c r="AS278" s="42"/>
      <c r="AT278" s="50"/>
      <c r="AU278" s="50"/>
      <c r="AW278" s="55" t="e">
        <f t="shared" si="99"/>
        <v>#DIV/0!</v>
      </c>
      <c r="AX278" s="55"/>
      <c r="AZ278" s="56"/>
      <c r="BA278" s="56"/>
      <c r="BB278" s="56"/>
      <c r="BC278" s="56"/>
      <c r="BD278" s="56"/>
      <c r="BE278" s="62"/>
      <c r="BG278" s="56"/>
      <c r="BH278" s="56"/>
      <c r="BI278" s="56"/>
      <c r="BJ278" s="56"/>
      <c r="BK278" s="56"/>
      <c r="BL278" s="62"/>
      <c r="BN278">
        <f t="shared" si="100"/>
        <v>0</v>
      </c>
      <c r="BO278">
        <f t="shared" si="101"/>
        <v>0</v>
      </c>
      <c r="BP278">
        <f t="shared" si="102"/>
        <v>0</v>
      </c>
      <c r="BQ278">
        <f t="shared" si="103"/>
        <v>0</v>
      </c>
      <c r="BR278">
        <f t="shared" si="104"/>
        <v>0</v>
      </c>
      <c r="BS278">
        <f t="shared" si="105"/>
        <v>0</v>
      </c>
      <c r="BT278">
        <f t="shared" si="106"/>
        <v>0</v>
      </c>
      <c r="BU278">
        <f t="shared" si="107"/>
        <v>0</v>
      </c>
      <c r="BV278">
        <f t="shared" si="108"/>
        <v>0</v>
      </c>
      <c r="BW278">
        <f t="shared" si="109"/>
        <v>0</v>
      </c>
      <c r="BX278">
        <f t="shared" si="110"/>
        <v>0</v>
      </c>
    </row>
    <row r="279" spans="1:76" outlineLevel="1" x14ac:dyDescent="0.15">
      <c r="A279" s="5"/>
      <c r="B279" s="5" t="s">
        <v>173</v>
      </c>
      <c r="C279" s="6" t="s">
        <v>258</v>
      </c>
      <c r="D279" s="5">
        <v>2000297</v>
      </c>
      <c r="E279" s="7">
        <v>20</v>
      </c>
      <c r="F279" s="6">
        <v>1</v>
      </c>
      <c r="G279" s="6"/>
      <c r="I279" s="17" t="str">
        <f t="shared" si="89"/>
        <v>·</v>
      </c>
      <c r="J279" s="18" t="str">
        <f t="shared" si="90"/>
        <v>·</v>
      </c>
      <c r="K279" s="18" t="str">
        <f t="shared" si="91"/>
        <v>·</v>
      </c>
      <c r="L279" s="18" t="str">
        <f t="shared" si="92"/>
        <v>·</v>
      </c>
      <c r="M279" s="19"/>
      <c r="N279" s="18" t="str">
        <f t="shared" si="93"/>
        <v>·</v>
      </c>
      <c r="O279" s="20"/>
      <c r="P279" s="21"/>
      <c r="Q279" s="21"/>
      <c r="R279" s="21"/>
      <c r="S279" s="37"/>
      <c r="T279" s="38"/>
      <c r="U279" s="38"/>
      <c r="V279" s="38"/>
      <c r="W279" s="38"/>
      <c r="X279" s="38"/>
      <c r="Y279" s="39"/>
      <c r="Z279" s="49"/>
      <c r="AA279" s="49"/>
      <c r="AC279" s="17" t="str">
        <f t="shared" si="94"/>
        <v>·</v>
      </c>
      <c r="AD279" s="18" t="str">
        <f t="shared" si="95"/>
        <v>·</v>
      </c>
      <c r="AE279" s="18" t="str">
        <f t="shared" si="96"/>
        <v>·</v>
      </c>
      <c r="AF279" s="18" t="str">
        <f t="shared" si="97"/>
        <v>·</v>
      </c>
      <c r="AG279" s="19"/>
      <c r="AH279" s="18" t="str">
        <f t="shared" si="98"/>
        <v>·</v>
      </c>
      <c r="AI279" s="20"/>
      <c r="AJ279" s="21"/>
      <c r="AK279" s="21"/>
      <c r="AL279" s="21"/>
      <c r="AM279" s="37"/>
      <c r="AN279" s="38"/>
      <c r="AO279" s="38"/>
      <c r="AP279" s="38"/>
      <c r="AQ279" s="38"/>
      <c r="AR279" s="38"/>
      <c r="AS279" s="39"/>
      <c r="AT279" s="49"/>
      <c r="AU279" s="49"/>
      <c r="AW279" s="53" t="e">
        <f t="shared" si="99"/>
        <v>#DIV/0!</v>
      </c>
      <c r="AX279" s="53"/>
      <c r="AZ279" s="54"/>
      <c r="BA279" s="54"/>
      <c r="BB279" s="54"/>
      <c r="BC279" s="54"/>
      <c r="BD279" s="54"/>
      <c r="BE279" s="61"/>
      <c r="BG279" s="54"/>
      <c r="BH279" s="54"/>
      <c r="BI279" s="54"/>
      <c r="BJ279" s="54"/>
      <c r="BK279" s="54"/>
      <c r="BL279" s="61"/>
      <c r="BN279">
        <f t="shared" si="100"/>
        <v>0</v>
      </c>
      <c r="BO279">
        <f t="shared" si="101"/>
        <v>0</v>
      </c>
      <c r="BP279">
        <f t="shared" si="102"/>
        <v>0</v>
      </c>
      <c r="BQ279">
        <f t="shared" si="103"/>
        <v>0</v>
      </c>
      <c r="BR279">
        <f t="shared" si="104"/>
        <v>0</v>
      </c>
      <c r="BS279">
        <f t="shared" si="105"/>
        <v>0</v>
      </c>
      <c r="BT279">
        <f t="shared" si="106"/>
        <v>0</v>
      </c>
      <c r="BU279">
        <f t="shared" si="107"/>
        <v>0</v>
      </c>
      <c r="BV279">
        <f t="shared" si="108"/>
        <v>0</v>
      </c>
      <c r="BW279">
        <f t="shared" si="109"/>
        <v>0</v>
      </c>
      <c r="BX279">
        <f t="shared" si="110"/>
        <v>0</v>
      </c>
    </row>
    <row r="280" spans="1:76" outlineLevel="1" x14ac:dyDescent="0.15">
      <c r="A280" s="14"/>
      <c r="B280" s="14" t="s">
        <v>173</v>
      </c>
      <c r="C280" s="15" t="s">
        <v>259</v>
      </c>
      <c r="D280" s="14">
        <v>2000297</v>
      </c>
      <c r="E280" s="16">
        <v>20</v>
      </c>
      <c r="F280" s="15">
        <v>1</v>
      </c>
      <c r="G280" s="15"/>
      <c r="I280" s="32" t="str">
        <f t="shared" si="89"/>
        <v>·</v>
      </c>
      <c r="J280" s="33" t="str">
        <f t="shared" si="90"/>
        <v>·</v>
      </c>
      <c r="K280" s="33" t="str">
        <f t="shared" si="91"/>
        <v>·</v>
      </c>
      <c r="L280" s="33" t="str">
        <f t="shared" si="92"/>
        <v>·</v>
      </c>
      <c r="M280" s="34"/>
      <c r="N280" s="33" t="str">
        <f t="shared" si="93"/>
        <v>·</v>
      </c>
      <c r="O280" s="35"/>
      <c r="P280" s="36"/>
      <c r="Q280" s="36"/>
      <c r="R280" s="36"/>
      <c r="S280" s="46"/>
      <c r="T280" s="47"/>
      <c r="U280" s="47"/>
      <c r="V280" s="47"/>
      <c r="W280" s="47"/>
      <c r="X280" s="47"/>
      <c r="Y280" s="48"/>
      <c r="Z280" s="52"/>
      <c r="AA280" s="52"/>
      <c r="AC280" s="32" t="str">
        <f t="shared" si="94"/>
        <v>·</v>
      </c>
      <c r="AD280" s="33" t="str">
        <f t="shared" si="95"/>
        <v>·</v>
      </c>
      <c r="AE280" s="33" t="str">
        <f t="shared" si="96"/>
        <v>·</v>
      </c>
      <c r="AF280" s="33" t="str">
        <f t="shared" si="97"/>
        <v>·</v>
      </c>
      <c r="AG280" s="34"/>
      <c r="AH280" s="33" t="str">
        <f t="shared" si="98"/>
        <v>·</v>
      </c>
      <c r="AI280" s="35"/>
      <c r="AJ280" s="36"/>
      <c r="AK280" s="36"/>
      <c r="AL280" s="36"/>
      <c r="AM280" s="46"/>
      <c r="AN280" s="47"/>
      <c r="AO280" s="47"/>
      <c r="AP280" s="47"/>
      <c r="AQ280" s="47"/>
      <c r="AR280" s="47"/>
      <c r="AS280" s="48"/>
      <c r="AT280" s="52"/>
      <c r="AU280" s="52"/>
      <c r="AW280" s="59" t="e">
        <f t="shared" si="99"/>
        <v>#DIV/0!</v>
      </c>
      <c r="AX280" s="59"/>
      <c r="AZ280" s="60"/>
      <c r="BA280" s="60"/>
      <c r="BB280" s="60"/>
      <c r="BC280" s="60"/>
      <c r="BD280" s="60"/>
      <c r="BE280" s="64"/>
      <c r="BG280" s="60"/>
      <c r="BH280" s="60"/>
      <c r="BI280" s="60"/>
      <c r="BJ280" s="60"/>
      <c r="BK280" s="60"/>
      <c r="BL280" s="64"/>
      <c r="BN280">
        <f t="shared" si="100"/>
        <v>0</v>
      </c>
      <c r="BO280">
        <f t="shared" si="101"/>
        <v>0</v>
      </c>
      <c r="BP280">
        <f t="shared" si="102"/>
        <v>0</v>
      </c>
      <c r="BQ280">
        <f t="shared" si="103"/>
        <v>0</v>
      </c>
      <c r="BR280">
        <f t="shared" si="104"/>
        <v>0</v>
      </c>
      <c r="BS280">
        <f t="shared" si="105"/>
        <v>0</v>
      </c>
      <c r="BT280">
        <f t="shared" si="106"/>
        <v>0</v>
      </c>
      <c r="BU280">
        <f t="shared" si="107"/>
        <v>0</v>
      </c>
      <c r="BV280">
        <f t="shared" si="108"/>
        <v>0</v>
      </c>
      <c r="BW280">
        <f t="shared" si="109"/>
        <v>0</v>
      </c>
      <c r="BX280">
        <f t="shared" si="110"/>
        <v>0</v>
      </c>
    </row>
    <row r="281" spans="1:76" x14ac:dyDescent="0.15">
      <c r="A281" s="5" t="s">
        <v>261</v>
      </c>
      <c r="B281" s="5" t="s">
        <v>174</v>
      </c>
      <c r="C281" s="6" t="s">
        <v>254</v>
      </c>
      <c r="D281" s="5">
        <v>19948121</v>
      </c>
      <c r="E281" s="7">
        <v>21</v>
      </c>
      <c r="F281" s="6">
        <v>1</v>
      </c>
      <c r="G281" s="6"/>
      <c r="I281" s="17" t="str">
        <f t="shared" si="89"/>
        <v>·</v>
      </c>
      <c r="J281" s="18" t="str">
        <f t="shared" si="90"/>
        <v>·</v>
      </c>
      <c r="K281" s="18" t="str">
        <f t="shared" si="91"/>
        <v>·</v>
      </c>
      <c r="L281" s="18" t="str">
        <f t="shared" si="92"/>
        <v>·</v>
      </c>
      <c r="M281" s="18" t="str">
        <f t="shared" ref="M281:M312" si="111">IF(ISBLANK(Q281),"·",S281/D281)</f>
        <v>·</v>
      </c>
      <c r="N281" s="18" t="str">
        <f t="shared" si="93"/>
        <v>·</v>
      </c>
      <c r="O281" s="20"/>
      <c r="P281" s="21"/>
      <c r="Q281" s="21"/>
      <c r="R281" s="21"/>
      <c r="S281" s="21"/>
      <c r="T281" s="38"/>
      <c r="U281" s="38"/>
      <c r="V281" s="38"/>
      <c r="W281" s="38"/>
      <c r="X281" s="38"/>
      <c r="Y281" s="38"/>
      <c r="Z281" s="49"/>
      <c r="AA281" s="49"/>
      <c r="AC281" s="17" t="str">
        <f t="shared" si="94"/>
        <v>·</v>
      </c>
      <c r="AD281" s="18" t="str">
        <f t="shared" si="95"/>
        <v>·</v>
      </c>
      <c r="AE281" s="18" t="str">
        <f t="shared" si="96"/>
        <v>·</v>
      </c>
      <c r="AF281" s="18" t="str">
        <f t="shared" si="97"/>
        <v>·</v>
      </c>
      <c r="AG281" s="18" t="str">
        <f t="shared" ref="AG281:AG312" si="112">IF(ISBLANK(AK281),"·",AM281/D281)</f>
        <v>·</v>
      </c>
      <c r="AH281" s="18" t="str">
        <f t="shared" si="98"/>
        <v>·</v>
      </c>
      <c r="AI281" s="20"/>
      <c r="AJ281" s="21"/>
      <c r="AK281" s="21"/>
      <c r="AL281" s="21"/>
      <c r="AM281" s="21"/>
      <c r="AN281" s="38"/>
      <c r="AO281" s="38"/>
      <c r="AP281" s="38"/>
      <c r="AQ281" s="38"/>
      <c r="AR281" s="38"/>
      <c r="AS281" s="38"/>
      <c r="AT281" s="49"/>
      <c r="AU281" s="49"/>
      <c r="AW281" s="53" t="e">
        <f t="shared" si="99"/>
        <v>#DIV/0!</v>
      </c>
      <c r="AX281" s="53" t="e">
        <f t="array" ref="AX281">AVERAGE(AK281:AK286/AJ281:AJ286)-AVERAGE(Q281:Q286/P281:P286)</f>
        <v>#DIV/0!</v>
      </c>
      <c r="AZ281" s="54" t="str">
        <f>IF(OR(ISBLANK(Q281:Q286),ISBLANK(AK281:AK286),ISBLANK(T281:T286),ISBLANK(AN281:AN286)),"·",bdRateExtend(Q281:Q286,T281:T286,AK281:AK286,AN281:AN286))</f>
        <v>·</v>
      </c>
      <c r="BA281" s="54" t="str">
        <f>IF(OR(ISBLANK(Q281:Q286),ISBLANK(AK281:AK286),ISBLANK(U281:U286),ISBLANK(AO281:AO286)),"·",bdRateExtend(Q281:Q286,U281:U286,AK281:AK286,AO281:AO286))</f>
        <v>·</v>
      </c>
      <c r="BB281" s="54" t="str">
        <f>IF(OR(ISBLANK(R281:R286),ISBLANK(AL281:AL286),ISBLANK(V281:V286),ISBLANK(AP281:AP286)),"·",bdRateExtend(R281:R286,V281:V286,AL281:AL286,AP281:AP286))</f>
        <v>·</v>
      </c>
      <c r="BC281" s="54" t="str">
        <f>IF(OR(ISBLANK(R281:R286),ISBLANK(AL281:AL286),ISBLANK(W281:W286),ISBLANK(AQ281:AQ286)),"·",bdRateExtend(R281:R286,W281:W286,AL281:AL286,AQ281:AQ286))</f>
        <v>·</v>
      </c>
      <c r="BD281" s="54" t="str">
        <f>IF(OR(ISBLANK(R281:R286),ISBLANK(AL281:AL286),ISBLANK(X281:X286),ISBLANK(AR281:AR286)),"·",bdRateExtend(R281:R286,X281:X286,AL281:AL286,AR281:AR286))</f>
        <v>·</v>
      </c>
      <c r="BE281" s="54" t="str">
        <f>IF(OR(ISBLANK(S281:S286),ISBLANK(AM281:AM286),ISBLANK(Y281:Y286),ISBLANK(AS281:AS286)),"·",bdRateExtend(S281:S286,Y281:Y286,AM281:AM286,AS281:AS286))</f>
        <v>·</v>
      </c>
      <c r="BG281" s="54" t="str">
        <f>IF(OR(ISBLANK(P281:P286),ISBLANK(AJ281:AJ286),ISBLANK(T281:T286),ISBLANK(AN281:AN286)),"·",bdRateExtend(P281:P286,T281:T286,AJ281:AJ286,AN281:AN286))</f>
        <v>·</v>
      </c>
      <c r="BH281" s="54" t="str">
        <f>IF(OR(ISBLANK(P281:P286),ISBLANK(AJ281:AJ286),ISBLANK(U281:U286),ISBLANK(AO281:AO286)),"·",bdRateExtend(P281:P286,U281:U286,AJ281:AJ286,AO281:AO286))</f>
        <v>·</v>
      </c>
      <c r="BI281" s="54" t="str">
        <f>IF(OR(ISBLANK(P281:P286),ISBLANK(AJ281:AJ286),ISBLANK(V281:V286),ISBLANK(AP281:AP286)),"·",bdRateExtend(P281:P286,V281:V286,AJ281:AJ286,AP281:AP286))</f>
        <v>·</v>
      </c>
      <c r="BJ281" s="54" t="str">
        <f>IF(OR(ISBLANK(P281:P286),ISBLANK(AJ281:AJ286),ISBLANK(W281:W286),ISBLANK(AQ281:AQ286)),"·",bdRateExtend(P281:P286,W281:W286,AJ281:AJ286,AQ281:AQ286))</f>
        <v>·</v>
      </c>
      <c r="BK281" s="54" t="str">
        <f>IF(OR(ISBLANK(P281:P286),ISBLANK(AJ281:AJ286),ISBLANK(X281:X286),ISBLANK(AR281:AR286)),"·",bdRateExtend(P281:P286,X281:X286,AJ281:AJ286,AR281:AR286))</f>
        <v>·</v>
      </c>
      <c r="BL281" s="54" t="str">
        <f>IF(OR(ISBLANK(P281:P286),ISBLANK(AJ281:AJ286),ISBLANK(Y281:Y286),ISBLANK(AS281:AS286)),"·",bdRateExtend(P281:P286,Y281:Y286,AJ281:AJ286,AS281:AS286))</f>
        <v>·</v>
      </c>
      <c r="BN281">
        <f t="shared" si="100"/>
        <v>0</v>
      </c>
      <c r="BO281">
        <f t="shared" si="101"/>
        <v>0</v>
      </c>
      <c r="BP281">
        <f t="shared" si="102"/>
        <v>0</v>
      </c>
      <c r="BQ281">
        <f t="shared" si="103"/>
        <v>0</v>
      </c>
      <c r="BR281">
        <f t="shared" si="104"/>
        <v>0</v>
      </c>
      <c r="BS281">
        <f t="shared" si="105"/>
        <v>0</v>
      </c>
      <c r="BT281">
        <f t="shared" si="106"/>
        <v>0</v>
      </c>
      <c r="BU281">
        <f t="shared" si="107"/>
        <v>0</v>
      </c>
      <c r="BV281">
        <f t="shared" si="108"/>
        <v>0</v>
      </c>
      <c r="BW281">
        <f t="shared" si="109"/>
        <v>0</v>
      </c>
      <c r="BX281">
        <f t="shared" si="110"/>
        <v>0</v>
      </c>
    </row>
    <row r="282" spans="1:76" outlineLevel="1" x14ac:dyDescent="0.15">
      <c r="A282" s="8"/>
      <c r="B282" s="8" t="s">
        <v>174</v>
      </c>
      <c r="C282" s="9" t="s">
        <v>255</v>
      </c>
      <c r="D282" s="8">
        <v>19948121</v>
      </c>
      <c r="E282" s="10">
        <v>21</v>
      </c>
      <c r="F282" s="9">
        <v>1</v>
      </c>
      <c r="G282" s="9"/>
      <c r="I282" s="22" t="str">
        <f t="shared" si="89"/>
        <v>·</v>
      </c>
      <c r="J282" s="23" t="str">
        <f t="shared" si="90"/>
        <v>·</v>
      </c>
      <c r="K282" s="23" t="str">
        <f t="shared" si="91"/>
        <v>·</v>
      </c>
      <c r="L282" s="23" t="str">
        <f t="shared" si="92"/>
        <v>·</v>
      </c>
      <c r="M282" s="23" t="str">
        <f t="shared" si="111"/>
        <v>·</v>
      </c>
      <c r="N282" s="23" t="str">
        <f t="shared" si="93"/>
        <v>·</v>
      </c>
      <c r="O282" s="25"/>
      <c r="P282" s="26"/>
      <c r="Q282" s="26"/>
      <c r="R282" s="26"/>
      <c r="S282" s="26"/>
      <c r="T282" s="41"/>
      <c r="U282" s="41"/>
      <c r="V282" s="41"/>
      <c r="W282" s="41"/>
      <c r="X282" s="41"/>
      <c r="Y282" s="41"/>
      <c r="Z282" s="50"/>
      <c r="AA282" s="50"/>
      <c r="AC282" s="22" t="str">
        <f t="shared" si="94"/>
        <v>·</v>
      </c>
      <c r="AD282" s="23" t="str">
        <f t="shared" si="95"/>
        <v>·</v>
      </c>
      <c r="AE282" s="23" t="str">
        <f t="shared" si="96"/>
        <v>·</v>
      </c>
      <c r="AF282" s="23" t="str">
        <f t="shared" si="97"/>
        <v>·</v>
      </c>
      <c r="AG282" s="23" t="str">
        <f t="shared" si="112"/>
        <v>·</v>
      </c>
      <c r="AH282" s="23" t="str">
        <f t="shared" si="98"/>
        <v>·</v>
      </c>
      <c r="AI282" s="25"/>
      <c r="AJ282" s="26"/>
      <c r="AK282" s="26"/>
      <c r="AL282" s="26"/>
      <c r="AM282" s="26"/>
      <c r="AN282" s="41"/>
      <c r="AO282" s="41"/>
      <c r="AP282" s="41"/>
      <c r="AQ282" s="41"/>
      <c r="AR282" s="41"/>
      <c r="AS282" s="41"/>
      <c r="AT282" s="50"/>
      <c r="AU282" s="50"/>
      <c r="AW282" s="55" t="e">
        <f t="shared" si="99"/>
        <v>#DIV/0!</v>
      </c>
      <c r="AX282" s="55"/>
      <c r="AZ282" s="56"/>
      <c r="BA282" s="56"/>
      <c r="BB282" s="56"/>
      <c r="BC282" s="56"/>
      <c r="BD282" s="56"/>
      <c r="BE282" s="56"/>
      <c r="BG282" s="56"/>
      <c r="BH282" s="56"/>
      <c r="BI282" s="56"/>
      <c r="BJ282" s="56"/>
      <c r="BK282" s="56"/>
      <c r="BL282" s="56"/>
      <c r="BN282">
        <f t="shared" si="100"/>
        <v>0</v>
      </c>
      <c r="BO282">
        <f t="shared" si="101"/>
        <v>0</v>
      </c>
      <c r="BP282">
        <f t="shared" si="102"/>
        <v>0</v>
      </c>
      <c r="BQ282">
        <f t="shared" si="103"/>
        <v>0</v>
      </c>
      <c r="BR282">
        <f t="shared" si="104"/>
        <v>0</v>
      </c>
      <c r="BS282">
        <f t="shared" si="105"/>
        <v>0</v>
      </c>
      <c r="BT282">
        <f t="shared" si="106"/>
        <v>0</v>
      </c>
      <c r="BU282">
        <f t="shared" si="107"/>
        <v>0</v>
      </c>
      <c r="BV282">
        <f t="shared" si="108"/>
        <v>0</v>
      </c>
      <c r="BW282">
        <f t="shared" si="109"/>
        <v>0</v>
      </c>
      <c r="BX282">
        <f t="shared" si="110"/>
        <v>0</v>
      </c>
    </row>
    <row r="283" spans="1:76" outlineLevel="1" x14ac:dyDescent="0.15">
      <c r="A283" s="5"/>
      <c r="B283" s="5" t="s">
        <v>174</v>
      </c>
      <c r="C283" s="6" t="s">
        <v>256</v>
      </c>
      <c r="D283" s="5">
        <v>19948121</v>
      </c>
      <c r="E283" s="7">
        <v>21</v>
      </c>
      <c r="F283" s="6">
        <v>1</v>
      </c>
      <c r="G283" s="6"/>
      <c r="I283" s="17" t="str">
        <f t="shared" si="89"/>
        <v>·</v>
      </c>
      <c r="J283" s="18" t="str">
        <f t="shared" si="90"/>
        <v>·</v>
      </c>
      <c r="K283" s="18" t="str">
        <f t="shared" si="91"/>
        <v>·</v>
      </c>
      <c r="L283" s="18" t="str">
        <f t="shared" si="92"/>
        <v>·</v>
      </c>
      <c r="M283" s="18" t="str">
        <f t="shared" si="111"/>
        <v>·</v>
      </c>
      <c r="N283" s="18" t="str">
        <f t="shared" si="93"/>
        <v>·</v>
      </c>
      <c r="O283" s="20"/>
      <c r="P283" s="21"/>
      <c r="Q283" s="21"/>
      <c r="R283" s="21"/>
      <c r="S283" s="21"/>
      <c r="T283" s="38"/>
      <c r="U283" s="38"/>
      <c r="V283" s="38"/>
      <c r="W283" s="38"/>
      <c r="X283" s="38"/>
      <c r="Y283" s="38"/>
      <c r="Z283" s="49"/>
      <c r="AA283" s="49"/>
      <c r="AC283" s="17" t="str">
        <f t="shared" si="94"/>
        <v>·</v>
      </c>
      <c r="AD283" s="18" t="str">
        <f t="shared" si="95"/>
        <v>·</v>
      </c>
      <c r="AE283" s="18" t="str">
        <f t="shared" si="96"/>
        <v>·</v>
      </c>
      <c r="AF283" s="18" t="str">
        <f t="shared" si="97"/>
        <v>·</v>
      </c>
      <c r="AG283" s="18" t="str">
        <f t="shared" si="112"/>
        <v>·</v>
      </c>
      <c r="AH283" s="18" t="str">
        <f t="shared" si="98"/>
        <v>·</v>
      </c>
      <c r="AI283" s="20"/>
      <c r="AJ283" s="21"/>
      <c r="AK283" s="21"/>
      <c r="AL283" s="21"/>
      <c r="AM283" s="21"/>
      <c r="AN283" s="38"/>
      <c r="AO283" s="38"/>
      <c r="AP283" s="38"/>
      <c r="AQ283" s="38"/>
      <c r="AR283" s="38"/>
      <c r="AS283" s="38"/>
      <c r="AT283" s="49"/>
      <c r="AU283" s="49"/>
      <c r="AW283" s="53" t="e">
        <f t="shared" si="99"/>
        <v>#DIV/0!</v>
      </c>
      <c r="AX283" s="53"/>
      <c r="AZ283" s="54"/>
      <c r="BA283" s="54"/>
      <c r="BB283" s="54"/>
      <c r="BC283" s="54"/>
      <c r="BD283" s="54"/>
      <c r="BE283" s="54"/>
      <c r="BG283" s="54"/>
      <c r="BH283" s="54"/>
      <c r="BI283" s="54"/>
      <c r="BJ283" s="54"/>
      <c r="BK283" s="54"/>
      <c r="BL283" s="54"/>
      <c r="BN283">
        <f t="shared" si="100"/>
        <v>0</v>
      </c>
      <c r="BO283">
        <f t="shared" si="101"/>
        <v>0</v>
      </c>
      <c r="BP283">
        <f t="shared" si="102"/>
        <v>0</v>
      </c>
      <c r="BQ283">
        <f t="shared" si="103"/>
        <v>0</v>
      </c>
      <c r="BR283">
        <f t="shared" si="104"/>
        <v>0</v>
      </c>
      <c r="BS283">
        <f t="shared" si="105"/>
        <v>0</v>
      </c>
      <c r="BT283">
        <f t="shared" si="106"/>
        <v>0</v>
      </c>
      <c r="BU283">
        <f t="shared" si="107"/>
        <v>0</v>
      </c>
      <c r="BV283">
        <f t="shared" si="108"/>
        <v>0</v>
      </c>
      <c r="BW283">
        <f t="shared" si="109"/>
        <v>0</v>
      </c>
      <c r="BX283">
        <f t="shared" si="110"/>
        <v>0</v>
      </c>
    </row>
    <row r="284" spans="1:76" outlineLevel="1" x14ac:dyDescent="0.15">
      <c r="A284" s="8"/>
      <c r="B284" s="8" t="s">
        <v>174</v>
      </c>
      <c r="C284" s="9" t="s">
        <v>257</v>
      </c>
      <c r="D284" s="8">
        <v>19948121</v>
      </c>
      <c r="E284" s="10">
        <v>21</v>
      </c>
      <c r="F284" s="9">
        <v>1</v>
      </c>
      <c r="G284" s="9"/>
      <c r="I284" s="22" t="str">
        <f t="shared" si="89"/>
        <v>·</v>
      </c>
      <c r="J284" s="23" t="str">
        <f t="shared" si="90"/>
        <v>·</v>
      </c>
      <c r="K284" s="23" t="str">
        <f t="shared" si="91"/>
        <v>·</v>
      </c>
      <c r="L284" s="23" t="str">
        <f t="shared" si="92"/>
        <v>·</v>
      </c>
      <c r="M284" s="23" t="str">
        <f t="shared" si="111"/>
        <v>·</v>
      </c>
      <c r="N284" s="23" t="str">
        <f t="shared" si="93"/>
        <v>·</v>
      </c>
      <c r="O284" s="25"/>
      <c r="P284" s="26"/>
      <c r="Q284" s="26"/>
      <c r="R284" s="26"/>
      <c r="S284" s="26"/>
      <c r="T284" s="41"/>
      <c r="U284" s="41"/>
      <c r="V284" s="41"/>
      <c r="W284" s="41"/>
      <c r="X284" s="41"/>
      <c r="Y284" s="41"/>
      <c r="Z284" s="50"/>
      <c r="AA284" s="50"/>
      <c r="AC284" s="22" t="str">
        <f t="shared" si="94"/>
        <v>·</v>
      </c>
      <c r="AD284" s="23" t="str">
        <f t="shared" si="95"/>
        <v>·</v>
      </c>
      <c r="AE284" s="23" t="str">
        <f t="shared" si="96"/>
        <v>·</v>
      </c>
      <c r="AF284" s="23" t="str">
        <f t="shared" si="97"/>
        <v>·</v>
      </c>
      <c r="AG284" s="23" t="str">
        <f t="shared" si="112"/>
        <v>·</v>
      </c>
      <c r="AH284" s="23" t="str">
        <f t="shared" si="98"/>
        <v>·</v>
      </c>
      <c r="AI284" s="25"/>
      <c r="AJ284" s="26"/>
      <c r="AK284" s="26"/>
      <c r="AL284" s="26"/>
      <c r="AM284" s="26"/>
      <c r="AN284" s="41"/>
      <c r="AO284" s="41"/>
      <c r="AP284" s="41"/>
      <c r="AQ284" s="41"/>
      <c r="AR284" s="41"/>
      <c r="AS284" s="41"/>
      <c r="AT284" s="50"/>
      <c r="AU284" s="50"/>
      <c r="AW284" s="55" t="e">
        <f t="shared" si="99"/>
        <v>#DIV/0!</v>
      </c>
      <c r="AX284" s="55"/>
      <c r="AZ284" s="56"/>
      <c r="BA284" s="56"/>
      <c r="BB284" s="56"/>
      <c r="BC284" s="56"/>
      <c r="BD284" s="56"/>
      <c r="BE284" s="56"/>
      <c r="BG284" s="56"/>
      <c r="BH284" s="56"/>
      <c r="BI284" s="56"/>
      <c r="BJ284" s="56"/>
      <c r="BK284" s="56"/>
      <c r="BL284" s="56"/>
      <c r="BN284">
        <f t="shared" si="100"/>
        <v>0</v>
      </c>
      <c r="BO284">
        <f t="shared" si="101"/>
        <v>0</v>
      </c>
      <c r="BP284">
        <f t="shared" si="102"/>
        <v>0</v>
      </c>
      <c r="BQ284">
        <f t="shared" si="103"/>
        <v>0</v>
      </c>
      <c r="BR284">
        <f t="shared" si="104"/>
        <v>0</v>
      </c>
      <c r="BS284">
        <f t="shared" si="105"/>
        <v>0</v>
      </c>
      <c r="BT284">
        <f t="shared" si="106"/>
        <v>0</v>
      </c>
      <c r="BU284">
        <f t="shared" si="107"/>
        <v>0</v>
      </c>
      <c r="BV284">
        <f t="shared" si="108"/>
        <v>0</v>
      </c>
      <c r="BW284">
        <f t="shared" si="109"/>
        <v>0</v>
      </c>
      <c r="BX284">
        <f t="shared" si="110"/>
        <v>0</v>
      </c>
    </row>
    <row r="285" spans="1:76" outlineLevel="1" x14ac:dyDescent="0.15">
      <c r="A285" s="5"/>
      <c r="B285" s="5" t="s">
        <v>174</v>
      </c>
      <c r="C285" s="6" t="s">
        <v>258</v>
      </c>
      <c r="D285" s="5">
        <v>19948121</v>
      </c>
      <c r="E285" s="7">
        <v>21</v>
      </c>
      <c r="F285" s="6">
        <v>1</v>
      </c>
      <c r="G285" s="6"/>
      <c r="I285" s="17" t="str">
        <f t="shared" si="89"/>
        <v>·</v>
      </c>
      <c r="J285" s="18" t="str">
        <f t="shared" si="90"/>
        <v>·</v>
      </c>
      <c r="K285" s="18" t="str">
        <f t="shared" si="91"/>
        <v>·</v>
      </c>
      <c r="L285" s="18" t="str">
        <f t="shared" si="92"/>
        <v>·</v>
      </c>
      <c r="M285" s="18" t="str">
        <f t="shared" si="111"/>
        <v>·</v>
      </c>
      <c r="N285" s="18" t="str">
        <f t="shared" si="93"/>
        <v>·</v>
      </c>
      <c r="O285" s="20"/>
      <c r="P285" s="21"/>
      <c r="Q285" s="21"/>
      <c r="R285" s="21"/>
      <c r="S285" s="21"/>
      <c r="T285" s="38"/>
      <c r="U285" s="38"/>
      <c r="V285" s="38"/>
      <c r="W285" s="38"/>
      <c r="X285" s="38"/>
      <c r="Y285" s="38"/>
      <c r="Z285" s="49"/>
      <c r="AA285" s="49"/>
      <c r="AC285" s="17" t="str">
        <f t="shared" si="94"/>
        <v>·</v>
      </c>
      <c r="AD285" s="18" t="str">
        <f t="shared" si="95"/>
        <v>·</v>
      </c>
      <c r="AE285" s="18" t="str">
        <f t="shared" si="96"/>
        <v>·</v>
      </c>
      <c r="AF285" s="18" t="str">
        <f t="shared" si="97"/>
        <v>·</v>
      </c>
      <c r="AG285" s="18" t="str">
        <f t="shared" si="112"/>
        <v>·</v>
      </c>
      <c r="AH285" s="18" t="str">
        <f t="shared" si="98"/>
        <v>·</v>
      </c>
      <c r="AI285" s="20"/>
      <c r="AJ285" s="21"/>
      <c r="AK285" s="21"/>
      <c r="AL285" s="21"/>
      <c r="AM285" s="21"/>
      <c r="AN285" s="38"/>
      <c r="AO285" s="38"/>
      <c r="AP285" s="38"/>
      <c r="AQ285" s="38"/>
      <c r="AR285" s="38"/>
      <c r="AS285" s="38"/>
      <c r="AT285" s="49"/>
      <c r="AU285" s="49"/>
      <c r="AW285" s="53" t="e">
        <f t="shared" si="99"/>
        <v>#DIV/0!</v>
      </c>
      <c r="AX285" s="53"/>
      <c r="AZ285" s="54"/>
      <c r="BA285" s="54"/>
      <c r="BB285" s="54"/>
      <c r="BC285" s="54"/>
      <c r="BD285" s="54"/>
      <c r="BE285" s="54"/>
      <c r="BG285" s="54"/>
      <c r="BH285" s="54"/>
      <c r="BI285" s="54"/>
      <c r="BJ285" s="54"/>
      <c r="BK285" s="54"/>
      <c r="BL285" s="54"/>
      <c r="BN285">
        <f t="shared" si="100"/>
        <v>0</v>
      </c>
      <c r="BO285">
        <f t="shared" si="101"/>
        <v>0</v>
      </c>
      <c r="BP285">
        <f t="shared" si="102"/>
        <v>0</v>
      </c>
      <c r="BQ285">
        <f t="shared" si="103"/>
        <v>0</v>
      </c>
      <c r="BR285">
        <f t="shared" si="104"/>
        <v>0</v>
      </c>
      <c r="BS285">
        <f t="shared" si="105"/>
        <v>0</v>
      </c>
      <c r="BT285">
        <f t="shared" si="106"/>
        <v>0</v>
      </c>
      <c r="BU285">
        <f t="shared" si="107"/>
        <v>0</v>
      </c>
      <c r="BV285">
        <f t="shared" si="108"/>
        <v>0</v>
      </c>
      <c r="BW285">
        <f t="shared" si="109"/>
        <v>0</v>
      </c>
      <c r="BX285">
        <f t="shared" si="110"/>
        <v>0</v>
      </c>
    </row>
    <row r="286" spans="1:76" outlineLevel="1" x14ac:dyDescent="0.15">
      <c r="A286" s="8"/>
      <c r="B286" s="14" t="s">
        <v>174</v>
      </c>
      <c r="C286" s="15" t="s">
        <v>259</v>
      </c>
      <c r="D286" s="14">
        <v>19948121</v>
      </c>
      <c r="E286" s="16">
        <v>21</v>
      </c>
      <c r="F286" s="15">
        <v>1</v>
      </c>
      <c r="G286" s="15"/>
      <c r="I286" s="32" t="str">
        <f t="shared" si="89"/>
        <v>·</v>
      </c>
      <c r="J286" s="33" t="str">
        <f t="shared" si="90"/>
        <v>·</v>
      </c>
      <c r="K286" s="33" t="str">
        <f t="shared" si="91"/>
        <v>·</v>
      </c>
      <c r="L286" s="33" t="str">
        <f t="shared" si="92"/>
        <v>·</v>
      </c>
      <c r="M286" s="33" t="str">
        <f t="shared" si="111"/>
        <v>·</v>
      </c>
      <c r="N286" s="33" t="str">
        <f t="shared" si="93"/>
        <v>·</v>
      </c>
      <c r="O286" s="35"/>
      <c r="P286" s="36"/>
      <c r="Q286" s="36"/>
      <c r="R286" s="36"/>
      <c r="S286" s="36"/>
      <c r="T286" s="47"/>
      <c r="U286" s="47"/>
      <c r="V286" s="47"/>
      <c r="W286" s="47"/>
      <c r="X286" s="47"/>
      <c r="Y286" s="47"/>
      <c r="Z286" s="52"/>
      <c r="AA286" s="52"/>
      <c r="AC286" s="32" t="str">
        <f t="shared" si="94"/>
        <v>·</v>
      </c>
      <c r="AD286" s="33" t="str">
        <f t="shared" si="95"/>
        <v>·</v>
      </c>
      <c r="AE286" s="33" t="str">
        <f t="shared" si="96"/>
        <v>·</v>
      </c>
      <c r="AF286" s="33" t="str">
        <f t="shared" si="97"/>
        <v>·</v>
      </c>
      <c r="AG286" s="33" t="str">
        <f t="shared" si="112"/>
        <v>·</v>
      </c>
      <c r="AH286" s="33" t="str">
        <f t="shared" si="98"/>
        <v>·</v>
      </c>
      <c r="AI286" s="35"/>
      <c r="AJ286" s="36"/>
      <c r="AK286" s="36"/>
      <c r="AL286" s="36"/>
      <c r="AM286" s="36"/>
      <c r="AN286" s="47"/>
      <c r="AO286" s="47"/>
      <c r="AP286" s="47"/>
      <c r="AQ286" s="47"/>
      <c r="AR286" s="47"/>
      <c r="AS286" s="47"/>
      <c r="AT286" s="52"/>
      <c r="AU286" s="52"/>
      <c r="AW286" s="59" t="e">
        <f t="shared" si="99"/>
        <v>#DIV/0!</v>
      </c>
      <c r="AX286" s="59"/>
      <c r="AZ286" s="60"/>
      <c r="BA286" s="60"/>
      <c r="BB286" s="60"/>
      <c r="BC286" s="60"/>
      <c r="BD286" s="60"/>
      <c r="BE286" s="60"/>
      <c r="BG286" s="60"/>
      <c r="BH286" s="60"/>
      <c r="BI286" s="60"/>
      <c r="BJ286" s="60"/>
      <c r="BK286" s="60"/>
      <c r="BL286" s="60"/>
      <c r="BN286">
        <f t="shared" si="100"/>
        <v>0</v>
      </c>
      <c r="BO286">
        <f t="shared" si="101"/>
        <v>0</v>
      </c>
      <c r="BP286">
        <f t="shared" si="102"/>
        <v>0</v>
      </c>
      <c r="BQ286">
        <f t="shared" si="103"/>
        <v>0</v>
      </c>
      <c r="BR286">
        <f t="shared" si="104"/>
        <v>0</v>
      </c>
      <c r="BS286">
        <f t="shared" si="105"/>
        <v>0</v>
      </c>
      <c r="BT286">
        <f t="shared" si="106"/>
        <v>0</v>
      </c>
      <c r="BU286">
        <f t="shared" si="107"/>
        <v>0</v>
      </c>
      <c r="BV286">
        <f t="shared" si="108"/>
        <v>0</v>
      </c>
      <c r="BW286">
        <f t="shared" si="109"/>
        <v>0</v>
      </c>
      <c r="BX286">
        <f t="shared" si="110"/>
        <v>0</v>
      </c>
    </row>
    <row r="287" spans="1:76" x14ac:dyDescent="0.15">
      <c r="A287" s="5"/>
      <c r="B287" s="5" t="s">
        <v>175</v>
      </c>
      <c r="C287" s="6" t="s">
        <v>254</v>
      </c>
      <c r="D287" s="5">
        <v>5255920</v>
      </c>
      <c r="E287" s="7">
        <v>20</v>
      </c>
      <c r="F287" s="6">
        <v>1</v>
      </c>
      <c r="G287" s="6"/>
      <c r="I287" s="17" t="str">
        <f t="shared" si="89"/>
        <v>·</v>
      </c>
      <c r="J287" s="18" t="str">
        <f t="shared" si="90"/>
        <v>·</v>
      </c>
      <c r="K287" s="18" t="str">
        <f t="shared" si="91"/>
        <v>·</v>
      </c>
      <c r="L287" s="18" t="str">
        <f t="shared" si="92"/>
        <v>·</v>
      </c>
      <c r="M287" s="18" t="str">
        <f t="shared" si="111"/>
        <v>·</v>
      </c>
      <c r="N287" s="18" t="str">
        <f t="shared" si="93"/>
        <v>·</v>
      </c>
      <c r="O287" s="20"/>
      <c r="P287" s="21"/>
      <c r="Q287" s="21"/>
      <c r="R287" s="21"/>
      <c r="S287" s="21"/>
      <c r="T287" s="38"/>
      <c r="U287" s="38"/>
      <c r="V287" s="38"/>
      <c r="W287" s="38"/>
      <c r="X287" s="38"/>
      <c r="Y287" s="38"/>
      <c r="Z287" s="49"/>
      <c r="AA287" s="49"/>
      <c r="AC287" s="17" t="str">
        <f t="shared" si="94"/>
        <v>·</v>
      </c>
      <c r="AD287" s="18" t="str">
        <f t="shared" si="95"/>
        <v>·</v>
      </c>
      <c r="AE287" s="18" t="str">
        <f t="shared" si="96"/>
        <v>·</v>
      </c>
      <c r="AF287" s="18" t="str">
        <f t="shared" si="97"/>
        <v>·</v>
      </c>
      <c r="AG287" s="18" t="str">
        <f t="shared" si="112"/>
        <v>·</v>
      </c>
      <c r="AH287" s="18" t="str">
        <f t="shared" si="98"/>
        <v>·</v>
      </c>
      <c r="AI287" s="20"/>
      <c r="AJ287" s="21"/>
      <c r="AK287" s="21"/>
      <c r="AL287" s="21"/>
      <c r="AM287" s="21"/>
      <c r="AN287" s="38"/>
      <c r="AO287" s="38"/>
      <c r="AP287" s="38"/>
      <c r="AQ287" s="38"/>
      <c r="AR287" s="38"/>
      <c r="AS287" s="38"/>
      <c r="AT287" s="49"/>
      <c r="AU287" s="49"/>
      <c r="AW287" s="53" t="e">
        <f t="shared" si="99"/>
        <v>#DIV/0!</v>
      </c>
      <c r="AX287" s="53" t="e">
        <f t="array" ref="AX287">AVERAGE(AK287:AK292/AJ287:AJ292)-AVERAGE(Q287:Q292/P287:P292)</f>
        <v>#DIV/0!</v>
      </c>
      <c r="AZ287" s="54" t="str">
        <f>IF(OR(ISBLANK(Q287:Q292),ISBLANK(AK287:AK292),ISBLANK(T287:T292),ISBLANK(AN287:AN292)),"·",bdRateExtend(Q287:Q292,T287:T292,AK287:AK292,AN287:AN292))</f>
        <v>·</v>
      </c>
      <c r="BA287" s="54" t="str">
        <f>IF(OR(ISBLANK(Q287:Q292),ISBLANK(AK287:AK292),ISBLANK(U287:U292),ISBLANK(AO287:AO292)),"·",bdRateExtend(Q287:Q292,U287:U292,AK287:AK292,AO287:AO292))</f>
        <v>·</v>
      </c>
      <c r="BB287" s="54" t="str">
        <f>IF(OR(ISBLANK(R287:R292),ISBLANK(AL287:AL292),ISBLANK(V287:V292),ISBLANK(AP287:AP292)),"·",bdRateExtend(R287:R292,V287:V292,AL287:AL292,AP287:AP292))</f>
        <v>·</v>
      </c>
      <c r="BC287" s="54" t="str">
        <f>IF(OR(ISBLANK(R287:R292),ISBLANK(AL287:AL292),ISBLANK(W287:W292),ISBLANK(AQ287:AQ292)),"·",bdRateExtend(R287:R292,W287:W292,AL287:AL292,AQ287:AQ292))</f>
        <v>·</v>
      </c>
      <c r="BD287" s="54" t="str">
        <f>IF(OR(ISBLANK(R287:R292),ISBLANK(AL287:AL292),ISBLANK(X287:X292),ISBLANK(AR287:AR292)),"·",bdRateExtend(R287:R292,X287:X292,AL287:AL292,AR287:AR292))</f>
        <v>·</v>
      </c>
      <c r="BE287" s="54" t="str">
        <f>IF(OR(ISBLANK(S287:S292),ISBLANK(AM287:AM292),ISBLANK(Y287:Y292),ISBLANK(AS287:AS292)),"·",bdRateExtend(S287:S292,Y287:Y292,AM287:AM292,AS287:AS292))</f>
        <v>·</v>
      </c>
      <c r="BG287" s="54" t="str">
        <f>IF(OR(ISBLANK(P287:P292),ISBLANK(AJ287:AJ292),ISBLANK(T287:T292),ISBLANK(AN287:AN292)),"·",bdRateExtend(P287:P292,T287:T292,AJ287:AJ292,AN287:AN292))</f>
        <v>·</v>
      </c>
      <c r="BH287" s="54" t="str">
        <f>IF(OR(ISBLANK(P287:P292),ISBLANK(AJ287:AJ292),ISBLANK(U287:U292),ISBLANK(AO287:AO292)),"·",bdRateExtend(P287:P292,U287:U292,AJ287:AJ292,AO287:AO292))</f>
        <v>·</v>
      </c>
      <c r="BI287" s="54" t="str">
        <f>IF(OR(ISBLANK(P287:P292),ISBLANK(AJ287:AJ292),ISBLANK(V287:V292),ISBLANK(AP287:AP292)),"·",bdRateExtend(P287:P292,V287:V292,AJ287:AJ292,AP287:AP292))</f>
        <v>·</v>
      </c>
      <c r="BJ287" s="54" t="str">
        <f>IF(OR(ISBLANK(P287:P292),ISBLANK(AJ287:AJ292),ISBLANK(W287:W292),ISBLANK(AQ287:AQ292)),"·",bdRateExtend(P287:P292,W287:W292,AJ287:AJ292,AQ287:AQ292))</f>
        <v>·</v>
      </c>
      <c r="BK287" s="54" t="str">
        <f>IF(OR(ISBLANK(P287:P292),ISBLANK(AJ287:AJ292),ISBLANK(X287:X292),ISBLANK(AR287:AR292)),"·",bdRateExtend(P287:P292,X287:X292,AJ287:AJ292,AR287:AR292))</f>
        <v>·</v>
      </c>
      <c r="BL287" s="54" t="str">
        <f>IF(OR(ISBLANK(P287:P292),ISBLANK(AJ287:AJ292),ISBLANK(Y287:Y292),ISBLANK(AS287:AS292)),"·",bdRateExtend(P287:P292,Y287:Y292,AJ287:AJ292,AS287:AS292))</f>
        <v>·</v>
      </c>
      <c r="BN287">
        <f t="shared" si="100"/>
        <v>0</v>
      </c>
      <c r="BO287">
        <f t="shared" si="101"/>
        <v>0</v>
      </c>
      <c r="BP287">
        <f t="shared" si="102"/>
        <v>0</v>
      </c>
      <c r="BQ287">
        <f t="shared" si="103"/>
        <v>0</v>
      </c>
      <c r="BR287">
        <f t="shared" si="104"/>
        <v>0</v>
      </c>
      <c r="BS287">
        <f t="shared" si="105"/>
        <v>0</v>
      </c>
      <c r="BT287">
        <f t="shared" si="106"/>
        <v>0</v>
      </c>
      <c r="BU287">
        <f t="shared" si="107"/>
        <v>0</v>
      </c>
      <c r="BV287">
        <f t="shared" si="108"/>
        <v>0</v>
      </c>
      <c r="BW287">
        <f t="shared" si="109"/>
        <v>0</v>
      </c>
      <c r="BX287">
        <f t="shared" si="110"/>
        <v>0</v>
      </c>
    </row>
    <row r="288" spans="1:76" outlineLevel="1" x14ac:dyDescent="0.15">
      <c r="A288" s="8"/>
      <c r="B288" s="8" t="s">
        <v>175</v>
      </c>
      <c r="C288" s="9" t="s">
        <v>255</v>
      </c>
      <c r="D288" s="8">
        <v>5255920</v>
      </c>
      <c r="E288" s="10">
        <v>20</v>
      </c>
      <c r="F288" s="9">
        <v>1</v>
      </c>
      <c r="G288" s="9"/>
      <c r="I288" s="22" t="str">
        <f t="shared" si="89"/>
        <v>·</v>
      </c>
      <c r="J288" s="23" t="str">
        <f t="shared" si="90"/>
        <v>·</v>
      </c>
      <c r="K288" s="23" t="str">
        <f t="shared" si="91"/>
        <v>·</v>
      </c>
      <c r="L288" s="23" t="str">
        <f t="shared" si="92"/>
        <v>·</v>
      </c>
      <c r="M288" s="23" t="str">
        <f t="shared" si="111"/>
        <v>·</v>
      </c>
      <c r="N288" s="23" t="str">
        <f t="shared" si="93"/>
        <v>·</v>
      </c>
      <c r="O288" s="25"/>
      <c r="P288" s="26"/>
      <c r="Q288" s="26"/>
      <c r="R288" s="26"/>
      <c r="S288" s="26"/>
      <c r="T288" s="41"/>
      <c r="U288" s="41"/>
      <c r="V288" s="41"/>
      <c r="W288" s="41"/>
      <c r="X288" s="41"/>
      <c r="Y288" s="41"/>
      <c r="Z288" s="50"/>
      <c r="AA288" s="50"/>
      <c r="AC288" s="22" t="str">
        <f t="shared" si="94"/>
        <v>·</v>
      </c>
      <c r="AD288" s="23" t="str">
        <f t="shared" si="95"/>
        <v>·</v>
      </c>
      <c r="AE288" s="23" t="str">
        <f t="shared" si="96"/>
        <v>·</v>
      </c>
      <c r="AF288" s="23" t="str">
        <f t="shared" si="97"/>
        <v>·</v>
      </c>
      <c r="AG288" s="23" t="str">
        <f t="shared" si="112"/>
        <v>·</v>
      </c>
      <c r="AH288" s="23" t="str">
        <f t="shared" si="98"/>
        <v>·</v>
      </c>
      <c r="AI288" s="25"/>
      <c r="AJ288" s="26"/>
      <c r="AK288" s="26"/>
      <c r="AL288" s="26"/>
      <c r="AM288" s="26"/>
      <c r="AN288" s="41"/>
      <c r="AO288" s="41"/>
      <c r="AP288" s="41"/>
      <c r="AQ288" s="41"/>
      <c r="AR288" s="41"/>
      <c r="AS288" s="41"/>
      <c r="AT288" s="50"/>
      <c r="AU288" s="50"/>
      <c r="AW288" s="55" t="e">
        <f t="shared" si="99"/>
        <v>#DIV/0!</v>
      </c>
      <c r="AX288" s="55"/>
      <c r="AZ288" s="56"/>
      <c r="BA288" s="56"/>
      <c r="BB288" s="56"/>
      <c r="BC288" s="56"/>
      <c r="BD288" s="56"/>
      <c r="BE288" s="56"/>
      <c r="BG288" s="56"/>
      <c r="BH288" s="56"/>
      <c r="BI288" s="56"/>
      <c r="BJ288" s="56"/>
      <c r="BK288" s="56"/>
      <c r="BL288" s="56"/>
      <c r="BN288">
        <f t="shared" si="100"/>
        <v>0</v>
      </c>
      <c r="BO288">
        <f t="shared" si="101"/>
        <v>0</v>
      </c>
      <c r="BP288">
        <f t="shared" si="102"/>
        <v>0</v>
      </c>
      <c r="BQ288">
        <f t="shared" si="103"/>
        <v>0</v>
      </c>
      <c r="BR288">
        <f t="shared" si="104"/>
        <v>0</v>
      </c>
      <c r="BS288">
        <f t="shared" si="105"/>
        <v>0</v>
      </c>
      <c r="BT288">
        <f t="shared" si="106"/>
        <v>0</v>
      </c>
      <c r="BU288">
        <f t="shared" si="107"/>
        <v>0</v>
      </c>
      <c r="BV288">
        <f t="shared" si="108"/>
        <v>0</v>
      </c>
      <c r="BW288">
        <f t="shared" si="109"/>
        <v>0</v>
      </c>
      <c r="BX288">
        <f t="shared" si="110"/>
        <v>0</v>
      </c>
    </row>
    <row r="289" spans="1:76" outlineLevel="1" x14ac:dyDescent="0.15">
      <c r="A289" s="5"/>
      <c r="B289" s="5" t="s">
        <v>175</v>
      </c>
      <c r="C289" s="6" t="s">
        <v>256</v>
      </c>
      <c r="D289" s="5">
        <v>5255920</v>
      </c>
      <c r="E289" s="7">
        <v>20</v>
      </c>
      <c r="F289" s="6">
        <v>1</v>
      </c>
      <c r="G289" s="6"/>
      <c r="I289" s="17" t="str">
        <f t="shared" si="89"/>
        <v>·</v>
      </c>
      <c r="J289" s="18" t="str">
        <f t="shared" si="90"/>
        <v>·</v>
      </c>
      <c r="K289" s="18" t="str">
        <f t="shared" si="91"/>
        <v>·</v>
      </c>
      <c r="L289" s="18" t="str">
        <f t="shared" si="92"/>
        <v>·</v>
      </c>
      <c r="M289" s="18" t="str">
        <f t="shared" si="111"/>
        <v>·</v>
      </c>
      <c r="N289" s="18" t="str">
        <f t="shared" si="93"/>
        <v>·</v>
      </c>
      <c r="O289" s="20"/>
      <c r="P289" s="21"/>
      <c r="Q289" s="21"/>
      <c r="R289" s="21"/>
      <c r="S289" s="21"/>
      <c r="T289" s="38"/>
      <c r="U289" s="38"/>
      <c r="V289" s="38"/>
      <c r="W289" s="38"/>
      <c r="X289" s="38"/>
      <c r="Y289" s="38"/>
      <c r="Z289" s="49"/>
      <c r="AA289" s="49"/>
      <c r="AC289" s="17" t="str">
        <f t="shared" si="94"/>
        <v>·</v>
      </c>
      <c r="AD289" s="18" t="str">
        <f t="shared" si="95"/>
        <v>·</v>
      </c>
      <c r="AE289" s="18" t="str">
        <f t="shared" si="96"/>
        <v>·</v>
      </c>
      <c r="AF289" s="18" t="str">
        <f t="shared" si="97"/>
        <v>·</v>
      </c>
      <c r="AG289" s="18" t="str">
        <f t="shared" si="112"/>
        <v>·</v>
      </c>
      <c r="AH289" s="18" t="str">
        <f t="shared" si="98"/>
        <v>·</v>
      </c>
      <c r="AI289" s="20"/>
      <c r="AJ289" s="21"/>
      <c r="AK289" s="21"/>
      <c r="AL289" s="21"/>
      <c r="AM289" s="21"/>
      <c r="AN289" s="38"/>
      <c r="AO289" s="38"/>
      <c r="AP289" s="38"/>
      <c r="AQ289" s="38"/>
      <c r="AR289" s="38"/>
      <c r="AS289" s="38"/>
      <c r="AT289" s="49"/>
      <c r="AU289" s="49"/>
      <c r="AW289" s="53" t="e">
        <f t="shared" si="99"/>
        <v>#DIV/0!</v>
      </c>
      <c r="AX289" s="53"/>
      <c r="AZ289" s="54"/>
      <c r="BA289" s="54"/>
      <c r="BB289" s="54"/>
      <c r="BC289" s="54"/>
      <c r="BD289" s="54"/>
      <c r="BE289" s="54"/>
      <c r="BG289" s="54"/>
      <c r="BH289" s="54"/>
      <c r="BI289" s="54"/>
      <c r="BJ289" s="54"/>
      <c r="BK289" s="54"/>
      <c r="BL289" s="54"/>
      <c r="BN289">
        <f t="shared" si="100"/>
        <v>0</v>
      </c>
      <c r="BO289">
        <f t="shared" si="101"/>
        <v>0</v>
      </c>
      <c r="BP289">
        <f t="shared" si="102"/>
        <v>0</v>
      </c>
      <c r="BQ289">
        <f t="shared" si="103"/>
        <v>0</v>
      </c>
      <c r="BR289">
        <f t="shared" si="104"/>
        <v>0</v>
      </c>
      <c r="BS289">
        <f t="shared" si="105"/>
        <v>0</v>
      </c>
      <c r="BT289">
        <f t="shared" si="106"/>
        <v>0</v>
      </c>
      <c r="BU289">
        <f t="shared" si="107"/>
        <v>0</v>
      </c>
      <c r="BV289">
        <f t="shared" si="108"/>
        <v>0</v>
      </c>
      <c r="BW289">
        <f t="shared" si="109"/>
        <v>0</v>
      </c>
      <c r="BX289">
        <f t="shared" si="110"/>
        <v>0</v>
      </c>
    </row>
    <row r="290" spans="1:76" outlineLevel="1" x14ac:dyDescent="0.15">
      <c r="A290" s="8"/>
      <c r="B290" s="8" t="s">
        <v>175</v>
      </c>
      <c r="C290" s="9" t="s">
        <v>257</v>
      </c>
      <c r="D290" s="8">
        <v>5255920</v>
      </c>
      <c r="E290" s="10">
        <v>20</v>
      </c>
      <c r="F290" s="9">
        <v>1</v>
      </c>
      <c r="G290" s="9"/>
      <c r="I290" s="22" t="str">
        <f t="shared" si="89"/>
        <v>·</v>
      </c>
      <c r="J290" s="23" t="str">
        <f t="shared" si="90"/>
        <v>·</v>
      </c>
      <c r="K290" s="23" t="str">
        <f t="shared" si="91"/>
        <v>·</v>
      </c>
      <c r="L290" s="23" t="str">
        <f t="shared" si="92"/>
        <v>·</v>
      </c>
      <c r="M290" s="23" t="str">
        <f t="shared" si="111"/>
        <v>·</v>
      </c>
      <c r="N290" s="23" t="str">
        <f t="shared" si="93"/>
        <v>·</v>
      </c>
      <c r="O290" s="25"/>
      <c r="P290" s="26"/>
      <c r="Q290" s="26"/>
      <c r="R290" s="26"/>
      <c r="S290" s="26"/>
      <c r="T290" s="41"/>
      <c r="U290" s="41"/>
      <c r="V290" s="41"/>
      <c r="W290" s="41"/>
      <c r="X290" s="41"/>
      <c r="Y290" s="41"/>
      <c r="Z290" s="50"/>
      <c r="AA290" s="50"/>
      <c r="AC290" s="22" t="str">
        <f t="shared" si="94"/>
        <v>·</v>
      </c>
      <c r="AD290" s="23" t="str">
        <f t="shared" si="95"/>
        <v>·</v>
      </c>
      <c r="AE290" s="23" t="str">
        <f t="shared" si="96"/>
        <v>·</v>
      </c>
      <c r="AF290" s="23" t="str">
        <f t="shared" si="97"/>
        <v>·</v>
      </c>
      <c r="AG290" s="23" t="str">
        <f t="shared" si="112"/>
        <v>·</v>
      </c>
      <c r="AH290" s="23" t="str">
        <f t="shared" si="98"/>
        <v>·</v>
      </c>
      <c r="AI290" s="25"/>
      <c r="AJ290" s="26"/>
      <c r="AK290" s="26"/>
      <c r="AL290" s="26"/>
      <c r="AM290" s="26"/>
      <c r="AN290" s="41"/>
      <c r="AO290" s="41"/>
      <c r="AP290" s="41"/>
      <c r="AQ290" s="41"/>
      <c r="AR290" s="41"/>
      <c r="AS290" s="41"/>
      <c r="AT290" s="50"/>
      <c r="AU290" s="50"/>
      <c r="AW290" s="55" t="e">
        <f t="shared" si="99"/>
        <v>#DIV/0!</v>
      </c>
      <c r="AX290" s="55"/>
      <c r="AZ290" s="56"/>
      <c r="BA290" s="56"/>
      <c r="BB290" s="56"/>
      <c r="BC290" s="56"/>
      <c r="BD290" s="56"/>
      <c r="BE290" s="56"/>
      <c r="BG290" s="56"/>
      <c r="BH290" s="56"/>
      <c r="BI290" s="56"/>
      <c r="BJ290" s="56"/>
      <c r="BK290" s="56"/>
      <c r="BL290" s="56"/>
      <c r="BN290">
        <f t="shared" si="100"/>
        <v>0</v>
      </c>
      <c r="BO290">
        <f t="shared" si="101"/>
        <v>0</v>
      </c>
      <c r="BP290">
        <f t="shared" si="102"/>
        <v>0</v>
      </c>
      <c r="BQ290">
        <f t="shared" si="103"/>
        <v>0</v>
      </c>
      <c r="BR290">
        <f t="shared" si="104"/>
        <v>0</v>
      </c>
      <c r="BS290">
        <f t="shared" si="105"/>
        <v>0</v>
      </c>
      <c r="BT290">
        <f t="shared" si="106"/>
        <v>0</v>
      </c>
      <c r="BU290">
        <f t="shared" si="107"/>
        <v>0</v>
      </c>
      <c r="BV290">
        <f t="shared" si="108"/>
        <v>0</v>
      </c>
      <c r="BW290">
        <f t="shared" si="109"/>
        <v>0</v>
      </c>
      <c r="BX290">
        <f t="shared" si="110"/>
        <v>0</v>
      </c>
    </row>
    <row r="291" spans="1:76" outlineLevel="1" x14ac:dyDescent="0.15">
      <c r="A291" s="5"/>
      <c r="B291" s="5" t="s">
        <v>175</v>
      </c>
      <c r="C291" s="6" t="s">
        <v>258</v>
      </c>
      <c r="D291" s="5">
        <v>5255920</v>
      </c>
      <c r="E291" s="7">
        <v>20</v>
      </c>
      <c r="F291" s="6">
        <v>1</v>
      </c>
      <c r="G291" s="6"/>
      <c r="I291" s="17" t="str">
        <f t="shared" si="89"/>
        <v>·</v>
      </c>
      <c r="J291" s="18" t="str">
        <f t="shared" si="90"/>
        <v>·</v>
      </c>
      <c r="K291" s="18" t="str">
        <f t="shared" si="91"/>
        <v>·</v>
      </c>
      <c r="L291" s="18" t="str">
        <f t="shared" si="92"/>
        <v>·</v>
      </c>
      <c r="M291" s="18" t="str">
        <f t="shared" si="111"/>
        <v>·</v>
      </c>
      <c r="N291" s="18" t="str">
        <f t="shared" si="93"/>
        <v>·</v>
      </c>
      <c r="O291" s="20"/>
      <c r="P291" s="21"/>
      <c r="Q291" s="21"/>
      <c r="R291" s="21"/>
      <c r="S291" s="21"/>
      <c r="T291" s="38"/>
      <c r="U291" s="38"/>
      <c r="V291" s="38"/>
      <c r="W291" s="38"/>
      <c r="X291" s="38"/>
      <c r="Y291" s="38"/>
      <c r="Z291" s="49"/>
      <c r="AA291" s="49"/>
      <c r="AC291" s="17" t="str">
        <f t="shared" si="94"/>
        <v>·</v>
      </c>
      <c r="AD291" s="18" t="str">
        <f t="shared" si="95"/>
        <v>·</v>
      </c>
      <c r="AE291" s="18" t="str">
        <f t="shared" si="96"/>
        <v>·</v>
      </c>
      <c r="AF291" s="18" t="str">
        <f t="shared" si="97"/>
        <v>·</v>
      </c>
      <c r="AG291" s="18" t="str">
        <f t="shared" si="112"/>
        <v>·</v>
      </c>
      <c r="AH291" s="18" t="str">
        <f t="shared" si="98"/>
        <v>·</v>
      </c>
      <c r="AI291" s="20"/>
      <c r="AJ291" s="21"/>
      <c r="AK291" s="21"/>
      <c r="AL291" s="21"/>
      <c r="AM291" s="21"/>
      <c r="AN291" s="38"/>
      <c r="AO291" s="38"/>
      <c r="AP291" s="38"/>
      <c r="AQ291" s="38"/>
      <c r="AR291" s="38"/>
      <c r="AS291" s="38"/>
      <c r="AT291" s="49"/>
      <c r="AU291" s="49"/>
      <c r="AW291" s="53" t="e">
        <f t="shared" si="99"/>
        <v>#DIV/0!</v>
      </c>
      <c r="AX291" s="53"/>
      <c r="AZ291" s="54"/>
      <c r="BA291" s="54"/>
      <c r="BB291" s="54"/>
      <c r="BC291" s="54"/>
      <c r="BD291" s="54"/>
      <c r="BE291" s="54"/>
      <c r="BG291" s="54"/>
      <c r="BH291" s="54"/>
      <c r="BI291" s="54"/>
      <c r="BJ291" s="54"/>
      <c r="BK291" s="54"/>
      <c r="BL291" s="54"/>
      <c r="BN291">
        <f t="shared" si="100"/>
        <v>0</v>
      </c>
      <c r="BO291">
        <f t="shared" si="101"/>
        <v>0</v>
      </c>
      <c r="BP291">
        <f t="shared" si="102"/>
        <v>0</v>
      </c>
      <c r="BQ291">
        <f t="shared" si="103"/>
        <v>0</v>
      </c>
      <c r="BR291">
        <f t="shared" si="104"/>
        <v>0</v>
      </c>
      <c r="BS291">
        <f t="shared" si="105"/>
        <v>0</v>
      </c>
      <c r="BT291">
        <f t="shared" si="106"/>
        <v>0</v>
      </c>
      <c r="BU291">
        <f t="shared" si="107"/>
        <v>0</v>
      </c>
      <c r="BV291">
        <f t="shared" si="108"/>
        <v>0</v>
      </c>
      <c r="BW291">
        <f t="shared" si="109"/>
        <v>0</v>
      </c>
      <c r="BX291">
        <f t="shared" si="110"/>
        <v>0</v>
      </c>
    </row>
    <row r="292" spans="1:76" outlineLevel="1" x14ac:dyDescent="0.15">
      <c r="A292" s="8"/>
      <c r="B292" s="14" t="s">
        <v>175</v>
      </c>
      <c r="C292" s="15" t="s">
        <v>259</v>
      </c>
      <c r="D292" s="14">
        <v>5255920</v>
      </c>
      <c r="E292" s="16">
        <v>20</v>
      </c>
      <c r="F292" s="15">
        <v>1</v>
      </c>
      <c r="G292" s="15"/>
      <c r="I292" s="32" t="str">
        <f t="shared" si="89"/>
        <v>·</v>
      </c>
      <c r="J292" s="33" t="str">
        <f t="shared" si="90"/>
        <v>·</v>
      </c>
      <c r="K292" s="33" t="str">
        <f t="shared" si="91"/>
        <v>·</v>
      </c>
      <c r="L292" s="33" t="str">
        <f t="shared" si="92"/>
        <v>·</v>
      </c>
      <c r="M292" s="33" t="str">
        <f t="shared" si="111"/>
        <v>·</v>
      </c>
      <c r="N292" s="33" t="str">
        <f t="shared" si="93"/>
        <v>·</v>
      </c>
      <c r="O292" s="35"/>
      <c r="P292" s="36"/>
      <c r="Q292" s="36"/>
      <c r="R292" s="36"/>
      <c r="S292" s="36"/>
      <c r="T292" s="47"/>
      <c r="U292" s="47"/>
      <c r="V292" s="47"/>
      <c r="W292" s="47"/>
      <c r="X292" s="47"/>
      <c r="Y292" s="47"/>
      <c r="Z292" s="52"/>
      <c r="AA292" s="52"/>
      <c r="AC292" s="32" t="str">
        <f t="shared" si="94"/>
        <v>·</v>
      </c>
      <c r="AD292" s="33" t="str">
        <f t="shared" si="95"/>
        <v>·</v>
      </c>
      <c r="AE292" s="33" t="str">
        <f t="shared" si="96"/>
        <v>·</v>
      </c>
      <c r="AF292" s="33" t="str">
        <f t="shared" si="97"/>
        <v>·</v>
      </c>
      <c r="AG292" s="33" t="str">
        <f t="shared" si="112"/>
        <v>·</v>
      </c>
      <c r="AH292" s="33" t="str">
        <f t="shared" si="98"/>
        <v>·</v>
      </c>
      <c r="AI292" s="35"/>
      <c r="AJ292" s="36"/>
      <c r="AK292" s="36"/>
      <c r="AL292" s="36"/>
      <c r="AM292" s="36"/>
      <c r="AN292" s="47"/>
      <c r="AO292" s="47"/>
      <c r="AP292" s="47"/>
      <c r="AQ292" s="47"/>
      <c r="AR292" s="47"/>
      <c r="AS292" s="47"/>
      <c r="AT292" s="52"/>
      <c r="AU292" s="52"/>
      <c r="AW292" s="59" t="e">
        <f t="shared" si="99"/>
        <v>#DIV/0!</v>
      </c>
      <c r="AX292" s="59"/>
      <c r="AZ292" s="60"/>
      <c r="BA292" s="60"/>
      <c r="BB292" s="60"/>
      <c r="BC292" s="60"/>
      <c r="BD292" s="60"/>
      <c r="BE292" s="60"/>
      <c r="BG292" s="60"/>
      <c r="BH292" s="60"/>
      <c r="BI292" s="60"/>
      <c r="BJ292" s="60"/>
      <c r="BK292" s="60"/>
      <c r="BL292" s="60"/>
      <c r="BN292">
        <f t="shared" si="100"/>
        <v>0</v>
      </c>
      <c r="BO292">
        <f t="shared" si="101"/>
        <v>0</v>
      </c>
      <c r="BP292">
        <f t="shared" si="102"/>
        <v>0</v>
      </c>
      <c r="BQ292">
        <f t="shared" si="103"/>
        <v>0</v>
      </c>
      <c r="BR292">
        <f t="shared" si="104"/>
        <v>0</v>
      </c>
      <c r="BS292">
        <f t="shared" si="105"/>
        <v>0</v>
      </c>
      <c r="BT292">
        <f t="shared" si="106"/>
        <v>0</v>
      </c>
      <c r="BU292">
        <f t="shared" si="107"/>
        <v>0</v>
      </c>
      <c r="BV292">
        <f t="shared" si="108"/>
        <v>0</v>
      </c>
      <c r="BW292">
        <f t="shared" si="109"/>
        <v>0</v>
      </c>
      <c r="BX292">
        <f t="shared" si="110"/>
        <v>0</v>
      </c>
    </row>
    <row r="293" spans="1:76" x14ac:dyDescent="0.15">
      <c r="A293" s="5"/>
      <c r="B293" s="5" t="s">
        <v>176</v>
      </c>
      <c r="C293" s="6" t="s">
        <v>254</v>
      </c>
      <c r="D293" s="5">
        <v>7148516</v>
      </c>
      <c r="E293" s="7">
        <v>21</v>
      </c>
      <c r="F293" s="6">
        <v>1</v>
      </c>
      <c r="G293" s="6"/>
      <c r="I293" s="17" t="str">
        <f t="shared" si="89"/>
        <v>·</v>
      </c>
      <c r="J293" s="18" t="str">
        <f t="shared" si="90"/>
        <v>·</v>
      </c>
      <c r="K293" s="18" t="str">
        <f t="shared" si="91"/>
        <v>·</v>
      </c>
      <c r="L293" s="18" t="str">
        <f t="shared" si="92"/>
        <v>·</v>
      </c>
      <c r="M293" s="18" t="str">
        <f t="shared" si="111"/>
        <v>·</v>
      </c>
      <c r="N293" s="18" t="str">
        <f t="shared" si="93"/>
        <v>·</v>
      </c>
      <c r="O293" s="20"/>
      <c r="P293" s="21"/>
      <c r="Q293" s="21"/>
      <c r="R293" s="21"/>
      <c r="S293" s="21"/>
      <c r="T293" s="38"/>
      <c r="U293" s="38"/>
      <c r="V293" s="38"/>
      <c r="W293" s="38"/>
      <c r="X293" s="38"/>
      <c r="Y293" s="38"/>
      <c r="Z293" s="49"/>
      <c r="AA293" s="49"/>
      <c r="AC293" s="17" t="str">
        <f t="shared" si="94"/>
        <v>·</v>
      </c>
      <c r="AD293" s="18" t="str">
        <f t="shared" si="95"/>
        <v>·</v>
      </c>
      <c r="AE293" s="18" t="str">
        <f t="shared" si="96"/>
        <v>·</v>
      </c>
      <c r="AF293" s="18" t="str">
        <f t="shared" si="97"/>
        <v>·</v>
      </c>
      <c r="AG293" s="18" t="str">
        <f t="shared" si="112"/>
        <v>·</v>
      </c>
      <c r="AH293" s="18" t="str">
        <f t="shared" si="98"/>
        <v>·</v>
      </c>
      <c r="AI293" s="20"/>
      <c r="AJ293" s="21"/>
      <c r="AK293" s="21"/>
      <c r="AL293" s="21"/>
      <c r="AM293" s="21"/>
      <c r="AN293" s="38"/>
      <c r="AO293" s="38"/>
      <c r="AP293" s="38"/>
      <c r="AQ293" s="38"/>
      <c r="AR293" s="38"/>
      <c r="AS293" s="38"/>
      <c r="AT293" s="49"/>
      <c r="AU293" s="49"/>
      <c r="AW293" s="53" t="e">
        <f t="shared" si="99"/>
        <v>#DIV/0!</v>
      </c>
      <c r="AX293" s="53" t="e">
        <f t="array" ref="AX293">AVERAGE(AK293:AK298/AJ293:AJ298)-AVERAGE(Q293:Q298/P293:P298)</f>
        <v>#DIV/0!</v>
      </c>
      <c r="AZ293" s="54" t="str">
        <f>IF(OR(ISBLANK(Q293:Q298),ISBLANK(AK293:AK298),ISBLANK(T293:T298),ISBLANK(AN293:AN298)),"·",bdRateExtend(Q293:Q298,T293:T298,AK293:AK298,AN293:AN298))</f>
        <v>·</v>
      </c>
      <c r="BA293" s="54" t="str">
        <f>IF(OR(ISBLANK(Q293:Q298),ISBLANK(AK293:AK298),ISBLANK(U293:U298),ISBLANK(AO293:AO298)),"·",bdRateExtend(Q293:Q298,U293:U298,AK293:AK298,AO293:AO298))</f>
        <v>·</v>
      </c>
      <c r="BB293" s="54" t="str">
        <f>IF(OR(ISBLANK(R293:R298),ISBLANK(AL293:AL298),ISBLANK(V293:V298),ISBLANK(AP293:AP298)),"·",bdRateExtend(R293:R298,V293:V298,AL293:AL298,AP293:AP298))</f>
        <v>·</v>
      </c>
      <c r="BC293" s="54" t="str">
        <f>IF(OR(ISBLANK(R293:R298),ISBLANK(AL293:AL298),ISBLANK(W293:W298),ISBLANK(AQ293:AQ298)),"·",bdRateExtend(R293:R298,W293:W298,AL293:AL298,AQ293:AQ298))</f>
        <v>·</v>
      </c>
      <c r="BD293" s="54" t="str">
        <f>IF(OR(ISBLANK(R293:R298),ISBLANK(AL293:AL298),ISBLANK(X293:X298),ISBLANK(AR293:AR298)),"·",bdRateExtend(R293:R298,X293:X298,AL293:AL298,AR293:AR298))</f>
        <v>·</v>
      </c>
      <c r="BE293" s="54" t="str">
        <f>IF(OR(ISBLANK(S293:S298),ISBLANK(AM293:AM298),ISBLANK(Y293:Y298),ISBLANK(AS293:AS298)),"·",bdRateExtend(S293:S298,Y293:Y298,AM293:AM298,AS293:AS298))</f>
        <v>·</v>
      </c>
      <c r="BG293" s="54" t="str">
        <f>IF(OR(ISBLANK(P293:P298),ISBLANK(AJ293:AJ298),ISBLANK(T293:T298),ISBLANK(AN293:AN298)),"·",bdRateExtend(P293:P298,T293:T298,AJ293:AJ298,AN293:AN298))</f>
        <v>·</v>
      </c>
      <c r="BH293" s="54" t="str">
        <f>IF(OR(ISBLANK(P293:P298),ISBLANK(AJ293:AJ298),ISBLANK(U293:U298),ISBLANK(AO293:AO298)),"·",bdRateExtend(P293:P298,U293:U298,AJ293:AJ298,AO293:AO298))</f>
        <v>·</v>
      </c>
      <c r="BI293" s="54" t="str">
        <f>IF(OR(ISBLANK(P293:P298),ISBLANK(AJ293:AJ298),ISBLANK(V293:V298),ISBLANK(AP293:AP298)),"·",bdRateExtend(P293:P298,V293:V298,AJ293:AJ298,AP293:AP298))</f>
        <v>·</v>
      </c>
      <c r="BJ293" s="54" t="str">
        <f>IF(OR(ISBLANK(P293:P298),ISBLANK(AJ293:AJ298),ISBLANK(W293:W298),ISBLANK(AQ293:AQ298)),"·",bdRateExtend(P293:P298,W293:W298,AJ293:AJ298,AQ293:AQ298))</f>
        <v>·</v>
      </c>
      <c r="BK293" s="54" t="str">
        <f>IF(OR(ISBLANK(P293:P298),ISBLANK(AJ293:AJ298),ISBLANK(X293:X298),ISBLANK(AR293:AR298)),"·",bdRateExtend(P293:P298,X293:X298,AJ293:AJ298,AR293:AR298))</f>
        <v>·</v>
      </c>
      <c r="BL293" s="54" t="str">
        <f>IF(OR(ISBLANK(P293:P298),ISBLANK(AJ293:AJ298),ISBLANK(Y293:Y298),ISBLANK(AS293:AS298)),"·",bdRateExtend(P293:P298,Y293:Y298,AJ293:AJ298,AS293:AS298))</f>
        <v>·</v>
      </c>
      <c r="BN293">
        <f t="shared" si="100"/>
        <v>0</v>
      </c>
      <c r="BO293">
        <f t="shared" si="101"/>
        <v>0</v>
      </c>
      <c r="BP293">
        <f t="shared" si="102"/>
        <v>0</v>
      </c>
      <c r="BQ293">
        <f t="shared" si="103"/>
        <v>0</v>
      </c>
      <c r="BR293">
        <f t="shared" si="104"/>
        <v>0</v>
      </c>
      <c r="BS293">
        <f t="shared" si="105"/>
        <v>0</v>
      </c>
      <c r="BT293">
        <f t="shared" si="106"/>
        <v>0</v>
      </c>
      <c r="BU293">
        <f t="shared" si="107"/>
        <v>0</v>
      </c>
      <c r="BV293">
        <f t="shared" si="108"/>
        <v>0</v>
      </c>
      <c r="BW293">
        <f t="shared" si="109"/>
        <v>0</v>
      </c>
      <c r="BX293">
        <f t="shared" si="110"/>
        <v>0</v>
      </c>
    </row>
    <row r="294" spans="1:76" outlineLevel="1" x14ac:dyDescent="0.15">
      <c r="A294" s="8"/>
      <c r="B294" s="8" t="s">
        <v>176</v>
      </c>
      <c r="C294" s="9" t="s">
        <v>255</v>
      </c>
      <c r="D294" s="8">
        <v>7148516</v>
      </c>
      <c r="E294" s="10">
        <v>21</v>
      </c>
      <c r="F294" s="9">
        <v>1</v>
      </c>
      <c r="G294" s="9"/>
      <c r="I294" s="22" t="str">
        <f t="shared" si="89"/>
        <v>·</v>
      </c>
      <c r="J294" s="23" t="str">
        <f t="shared" si="90"/>
        <v>·</v>
      </c>
      <c r="K294" s="23" t="str">
        <f t="shared" si="91"/>
        <v>·</v>
      </c>
      <c r="L294" s="23" t="str">
        <f t="shared" si="92"/>
        <v>·</v>
      </c>
      <c r="M294" s="23" t="str">
        <f t="shared" si="111"/>
        <v>·</v>
      </c>
      <c r="N294" s="23" t="str">
        <f t="shared" si="93"/>
        <v>·</v>
      </c>
      <c r="O294" s="25"/>
      <c r="P294" s="26"/>
      <c r="Q294" s="26"/>
      <c r="R294" s="26"/>
      <c r="S294" s="26"/>
      <c r="T294" s="41"/>
      <c r="U294" s="41"/>
      <c r="V294" s="41"/>
      <c r="W294" s="41"/>
      <c r="X294" s="41"/>
      <c r="Y294" s="41"/>
      <c r="Z294" s="50"/>
      <c r="AA294" s="50"/>
      <c r="AC294" s="22" t="str">
        <f t="shared" si="94"/>
        <v>·</v>
      </c>
      <c r="AD294" s="23" t="str">
        <f t="shared" si="95"/>
        <v>·</v>
      </c>
      <c r="AE294" s="23" t="str">
        <f t="shared" si="96"/>
        <v>·</v>
      </c>
      <c r="AF294" s="23" t="str">
        <f t="shared" si="97"/>
        <v>·</v>
      </c>
      <c r="AG294" s="23" t="str">
        <f t="shared" si="112"/>
        <v>·</v>
      </c>
      <c r="AH294" s="23" t="str">
        <f t="shared" si="98"/>
        <v>·</v>
      </c>
      <c r="AI294" s="25"/>
      <c r="AJ294" s="26"/>
      <c r="AK294" s="26"/>
      <c r="AL294" s="26"/>
      <c r="AM294" s="26"/>
      <c r="AN294" s="41"/>
      <c r="AO294" s="41"/>
      <c r="AP294" s="41"/>
      <c r="AQ294" s="41"/>
      <c r="AR294" s="41"/>
      <c r="AS294" s="41"/>
      <c r="AT294" s="50"/>
      <c r="AU294" s="50"/>
      <c r="AW294" s="55" t="e">
        <f t="shared" si="99"/>
        <v>#DIV/0!</v>
      </c>
      <c r="AX294" s="55"/>
      <c r="AZ294" s="56"/>
      <c r="BA294" s="56"/>
      <c r="BB294" s="56"/>
      <c r="BC294" s="56"/>
      <c r="BD294" s="56"/>
      <c r="BE294" s="56"/>
      <c r="BG294" s="56"/>
      <c r="BH294" s="56"/>
      <c r="BI294" s="56"/>
      <c r="BJ294" s="56"/>
      <c r="BK294" s="56"/>
      <c r="BL294" s="56"/>
      <c r="BN294">
        <f t="shared" si="100"/>
        <v>0</v>
      </c>
      <c r="BO294">
        <f t="shared" si="101"/>
        <v>0</v>
      </c>
      <c r="BP294">
        <f t="shared" si="102"/>
        <v>0</v>
      </c>
      <c r="BQ294">
        <f t="shared" si="103"/>
        <v>0</v>
      </c>
      <c r="BR294">
        <f t="shared" si="104"/>
        <v>0</v>
      </c>
      <c r="BS294">
        <f t="shared" si="105"/>
        <v>0</v>
      </c>
      <c r="BT294">
        <f t="shared" si="106"/>
        <v>0</v>
      </c>
      <c r="BU294">
        <f t="shared" si="107"/>
        <v>0</v>
      </c>
      <c r="BV294">
        <f t="shared" si="108"/>
        <v>0</v>
      </c>
      <c r="BW294">
        <f t="shared" si="109"/>
        <v>0</v>
      </c>
      <c r="BX294">
        <f t="shared" si="110"/>
        <v>0</v>
      </c>
    </row>
    <row r="295" spans="1:76" outlineLevel="1" x14ac:dyDescent="0.15">
      <c r="A295" s="5"/>
      <c r="B295" s="5" t="s">
        <v>176</v>
      </c>
      <c r="C295" s="6" t="s">
        <v>256</v>
      </c>
      <c r="D295" s="5">
        <v>7148516</v>
      </c>
      <c r="E295" s="7">
        <v>21</v>
      </c>
      <c r="F295" s="6">
        <v>1</v>
      </c>
      <c r="G295" s="6"/>
      <c r="I295" s="17" t="str">
        <f t="shared" si="89"/>
        <v>·</v>
      </c>
      <c r="J295" s="18" t="str">
        <f t="shared" si="90"/>
        <v>·</v>
      </c>
      <c r="K295" s="18" t="str">
        <f t="shared" si="91"/>
        <v>·</v>
      </c>
      <c r="L295" s="18" t="str">
        <f t="shared" si="92"/>
        <v>·</v>
      </c>
      <c r="M295" s="18" t="str">
        <f t="shared" si="111"/>
        <v>·</v>
      </c>
      <c r="N295" s="18" t="str">
        <f t="shared" si="93"/>
        <v>·</v>
      </c>
      <c r="O295" s="20"/>
      <c r="P295" s="21"/>
      <c r="Q295" s="21"/>
      <c r="R295" s="21"/>
      <c r="S295" s="21"/>
      <c r="T295" s="38"/>
      <c r="U295" s="38"/>
      <c r="V295" s="38"/>
      <c r="W295" s="38"/>
      <c r="X295" s="38"/>
      <c r="Y295" s="38"/>
      <c r="Z295" s="49"/>
      <c r="AA295" s="49"/>
      <c r="AC295" s="17" t="str">
        <f t="shared" si="94"/>
        <v>·</v>
      </c>
      <c r="AD295" s="18" t="str">
        <f t="shared" si="95"/>
        <v>·</v>
      </c>
      <c r="AE295" s="18" t="str">
        <f t="shared" si="96"/>
        <v>·</v>
      </c>
      <c r="AF295" s="18" t="str">
        <f t="shared" si="97"/>
        <v>·</v>
      </c>
      <c r="AG295" s="18" t="str">
        <f t="shared" si="112"/>
        <v>·</v>
      </c>
      <c r="AH295" s="18" t="str">
        <f t="shared" si="98"/>
        <v>·</v>
      </c>
      <c r="AI295" s="20"/>
      <c r="AJ295" s="21"/>
      <c r="AK295" s="21"/>
      <c r="AL295" s="21"/>
      <c r="AM295" s="21"/>
      <c r="AN295" s="38"/>
      <c r="AO295" s="38"/>
      <c r="AP295" s="38"/>
      <c r="AQ295" s="38"/>
      <c r="AR295" s="38"/>
      <c r="AS295" s="38"/>
      <c r="AT295" s="49"/>
      <c r="AU295" s="49"/>
      <c r="AW295" s="53" t="e">
        <f t="shared" si="99"/>
        <v>#DIV/0!</v>
      </c>
      <c r="AX295" s="53"/>
      <c r="AZ295" s="54"/>
      <c r="BA295" s="54"/>
      <c r="BB295" s="54"/>
      <c r="BC295" s="54"/>
      <c r="BD295" s="54"/>
      <c r="BE295" s="54"/>
      <c r="BG295" s="54"/>
      <c r="BH295" s="54"/>
      <c r="BI295" s="54"/>
      <c r="BJ295" s="54"/>
      <c r="BK295" s="54"/>
      <c r="BL295" s="54"/>
      <c r="BN295">
        <f t="shared" si="100"/>
        <v>0</v>
      </c>
      <c r="BO295">
        <f t="shared" si="101"/>
        <v>0</v>
      </c>
      <c r="BP295">
        <f t="shared" si="102"/>
        <v>0</v>
      </c>
      <c r="BQ295">
        <f t="shared" si="103"/>
        <v>0</v>
      </c>
      <c r="BR295">
        <f t="shared" si="104"/>
        <v>0</v>
      </c>
      <c r="BS295">
        <f t="shared" si="105"/>
        <v>0</v>
      </c>
      <c r="BT295">
        <f t="shared" si="106"/>
        <v>0</v>
      </c>
      <c r="BU295">
        <f t="shared" si="107"/>
        <v>0</v>
      </c>
      <c r="BV295">
        <f t="shared" si="108"/>
        <v>0</v>
      </c>
      <c r="BW295">
        <f t="shared" si="109"/>
        <v>0</v>
      </c>
      <c r="BX295">
        <f t="shared" si="110"/>
        <v>0</v>
      </c>
    </row>
    <row r="296" spans="1:76" outlineLevel="1" x14ac:dyDescent="0.15">
      <c r="A296" s="8"/>
      <c r="B296" s="8" t="s">
        <v>176</v>
      </c>
      <c r="C296" s="9" t="s">
        <v>257</v>
      </c>
      <c r="D296" s="8">
        <v>7148516</v>
      </c>
      <c r="E296" s="10">
        <v>21</v>
      </c>
      <c r="F296" s="9">
        <v>1</v>
      </c>
      <c r="G296" s="9"/>
      <c r="I296" s="22" t="str">
        <f t="shared" si="89"/>
        <v>·</v>
      </c>
      <c r="J296" s="23" t="str">
        <f t="shared" si="90"/>
        <v>·</v>
      </c>
      <c r="K296" s="23" t="str">
        <f t="shared" si="91"/>
        <v>·</v>
      </c>
      <c r="L296" s="23" t="str">
        <f t="shared" si="92"/>
        <v>·</v>
      </c>
      <c r="M296" s="23" t="str">
        <f t="shared" si="111"/>
        <v>·</v>
      </c>
      <c r="N296" s="23" t="str">
        <f t="shared" si="93"/>
        <v>·</v>
      </c>
      <c r="O296" s="25"/>
      <c r="P296" s="26"/>
      <c r="Q296" s="26"/>
      <c r="R296" s="26"/>
      <c r="S296" s="26"/>
      <c r="T296" s="41"/>
      <c r="U296" s="41"/>
      <c r="V296" s="41"/>
      <c r="W296" s="41"/>
      <c r="X296" s="41"/>
      <c r="Y296" s="41"/>
      <c r="Z296" s="50"/>
      <c r="AA296" s="50"/>
      <c r="AC296" s="22" t="str">
        <f t="shared" si="94"/>
        <v>·</v>
      </c>
      <c r="AD296" s="23" t="str">
        <f t="shared" si="95"/>
        <v>·</v>
      </c>
      <c r="AE296" s="23" t="str">
        <f t="shared" si="96"/>
        <v>·</v>
      </c>
      <c r="AF296" s="23" t="str">
        <f t="shared" si="97"/>
        <v>·</v>
      </c>
      <c r="AG296" s="23" t="str">
        <f t="shared" si="112"/>
        <v>·</v>
      </c>
      <c r="AH296" s="23" t="str">
        <f t="shared" si="98"/>
        <v>·</v>
      </c>
      <c r="AI296" s="25"/>
      <c r="AJ296" s="26"/>
      <c r="AK296" s="26"/>
      <c r="AL296" s="26"/>
      <c r="AM296" s="26"/>
      <c r="AN296" s="41"/>
      <c r="AO296" s="41"/>
      <c r="AP296" s="41"/>
      <c r="AQ296" s="41"/>
      <c r="AR296" s="41"/>
      <c r="AS296" s="41"/>
      <c r="AT296" s="50"/>
      <c r="AU296" s="50"/>
      <c r="AW296" s="55" t="e">
        <f t="shared" si="99"/>
        <v>#DIV/0!</v>
      </c>
      <c r="AX296" s="55"/>
      <c r="AZ296" s="56"/>
      <c r="BA296" s="56"/>
      <c r="BB296" s="56"/>
      <c r="BC296" s="56"/>
      <c r="BD296" s="56"/>
      <c r="BE296" s="56"/>
      <c r="BG296" s="56"/>
      <c r="BH296" s="56"/>
      <c r="BI296" s="56"/>
      <c r="BJ296" s="56"/>
      <c r="BK296" s="56"/>
      <c r="BL296" s="56"/>
      <c r="BN296">
        <f t="shared" si="100"/>
        <v>0</v>
      </c>
      <c r="BO296">
        <f t="shared" si="101"/>
        <v>0</v>
      </c>
      <c r="BP296">
        <f t="shared" si="102"/>
        <v>0</v>
      </c>
      <c r="BQ296">
        <f t="shared" si="103"/>
        <v>0</v>
      </c>
      <c r="BR296">
        <f t="shared" si="104"/>
        <v>0</v>
      </c>
      <c r="BS296">
        <f t="shared" si="105"/>
        <v>0</v>
      </c>
      <c r="BT296">
        <f t="shared" si="106"/>
        <v>0</v>
      </c>
      <c r="BU296">
        <f t="shared" si="107"/>
        <v>0</v>
      </c>
      <c r="BV296">
        <f t="shared" si="108"/>
        <v>0</v>
      </c>
      <c r="BW296">
        <f t="shared" si="109"/>
        <v>0</v>
      </c>
      <c r="BX296">
        <f t="shared" si="110"/>
        <v>0</v>
      </c>
    </row>
    <row r="297" spans="1:76" outlineLevel="1" x14ac:dyDescent="0.15">
      <c r="A297" s="5"/>
      <c r="B297" s="5" t="s">
        <v>176</v>
      </c>
      <c r="C297" s="6" t="s">
        <v>258</v>
      </c>
      <c r="D297" s="5">
        <v>7148516</v>
      </c>
      <c r="E297" s="7">
        <v>21</v>
      </c>
      <c r="F297" s="6">
        <v>1</v>
      </c>
      <c r="G297" s="6"/>
      <c r="I297" s="17" t="str">
        <f t="shared" si="89"/>
        <v>·</v>
      </c>
      <c r="J297" s="18" t="str">
        <f t="shared" si="90"/>
        <v>·</v>
      </c>
      <c r="K297" s="18" t="str">
        <f t="shared" si="91"/>
        <v>·</v>
      </c>
      <c r="L297" s="18" t="str">
        <f t="shared" si="92"/>
        <v>·</v>
      </c>
      <c r="M297" s="18" t="str">
        <f t="shared" si="111"/>
        <v>·</v>
      </c>
      <c r="N297" s="18" t="str">
        <f t="shared" si="93"/>
        <v>·</v>
      </c>
      <c r="O297" s="20"/>
      <c r="P297" s="21"/>
      <c r="Q297" s="21"/>
      <c r="R297" s="21"/>
      <c r="S297" s="21"/>
      <c r="T297" s="38"/>
      <c r="U297" s="38"/>
      <c r="V297" s="38"/>
      <c r="W297" s="38"/>
      <c r="X297" s="38"/>
      <c r="Y297" s="38"/>
      <c r="Z297" s="49"/>
      <c r="AA297" s="49"/>
      <c r="AC297" s="17" t="str">
        <f t="shared" si="94"/>
        <v>·</v>
      </c>
      <c r="AD297" s="18" t="str">
        <f t="shared" si="95"/>
        <v>·</v>
      </c>
      <c r="AE297" s="18" t="str">
        <f t="shared" si="96"/>
        <v>·</v>
      </c>
      <c r="AF297" s="18" t="str">
        <f t="shared" si="97"/>
        <v>·</v>
      </c>
      <c r="AG297" s="18" t="str">
        <f t="shared" si="112"/>
        <v>·</v>
      </c>
      <c r="AH297" s="18" t="str">
        <f t="shared" si="98"/>
        <v>·</v>
      </c>
      <c r="AI297" s="20"/>
      <c r="AJ297" s="21"/>
      <c r="AK297" s="21"/>
      <c r="AL297" s="21"/>
      <c r="AM297" s="21"/>
      <c r="AN297" s="38"/>
      <c r="AO297" s="38"/>
      <c r="AP297" s="38"/>
      <c r="AQ297" s="38"/>
      <c r="AR297" s="38"/>
      <c r="AS297" s="38"/>
      <c r="AT297" s="49"/>
      <c r="AU297" s="49"/>
      <c r="AW297" s="53" t="e">
        <f t="shared" si="99"/>
        <v>#DIV/0!</v>
      </c>
      <c r="AX297" s="53"/>
      <c r="AZ297" s="54"/>
      <c r="BA297" s="54"/>
      <c r="BB297" s="54"/>
      <c r="BC297" s="54"/>
      <c r="BD297" s="54"/>
      <c r="BE297" s="54"/>
      <c r="BG297" s="54"/>
      <c r="BH297" s="54"/>
      <c r="BI297" s="54"/>
      <c r="BJ297" s="54"/>
      <c r="BK297" s="54"/>
      <c r="BL297" s="54"/>
      <c r="BN297">
        <f t="shared" si="100"/>
        <v>0</v>
      </c>
      <c r="BO297">
        <f t="shared" si="101"/>
        <v>0</v>
      </c>
      <c r="BP297">
        <f t="shared" si="102"/>
        <v>0</v>
      </c>
      <c r="BQ297">
        <f t="shared" si="103"/>
        <v>0</v>
      </c>
      <c r="BR297">
        <f t="shared" si="104"/>
        <v>0</v>
      </c>
      <c r="BS297">
        <f t="shared" si="105"/>
        <v>0</v>
      </c>
      <c r="BT297">
        <f t="shared" si="106"/>
        <v>0</v>
      </c>
      <c r="BU297">
        <f t="shared" si="107"/>
        <v>0</v>
      </c>
      <c r="BV297">
        <f t="shared" si="108"/>
        <v>0</v>
      </c>
      <c r="BW297">
        <f t="shared" si="109"/>
        <v>0</v>
      </c>
      <c r="BX297">
        <f t="shared" si="110"/>
        <v>0</v>
      </c>
    </row>
    <row r="298" spans="1:76" outlineLevel="1" x14ac:dyDescent="0.15">
      <c r="A298" s="14"/>
      <c r="B298" s="14" t="s">
        <v>176</v>
      </c>
      <c r="C298" s="15" t="s">
        <v>259</v>
      </c>
      <c r="D298" s="14">
        <v>7148516</v>
      </c>
      <c r="E298" s="16">
        <v>21</v>
      </c>
      <c r="F298" s="15">
        <v>1</v>
      </c>
      <c r="G298" s="15"/>
      <c r="I298" s="32" t="str">
        <f t="shared" si="89"/>
        <v>·</v>
      </c>
      <c r="J298" s="33" t="str">
        <f t="shared" si="90"/>
        <v>·</v>
      </c>
      <c r="K298" s="33" t="str">
        <f t="shared" si="91"/>
        <v>·</v>
      </c>
      <c r="L298" s="33" t="str">
        <f t="shared" si="92"/>
        <v>·</v>
      </c>
      <c r="M298" s="33" t="str">
        <f t="shared" si="111"/>
        <v>·</v>
      </c>
      <c r="N298" s="33" t="str">
        <f t="shared" si="93"/>
        <v>·</v>
      </c>
      <c r="O298" s="35"/>
      <c r="P298" s="36"/>
      <c r="Q298" s="36"/>
      <c r="R298" s="36"/>
      <c r="S298" s="36"/>
      <c r="T298" s="47"/>
      <c r="U298" s="47"/>
      <c r="V298" s="47"/>
      <c r="W298" s="47"/>
      <c r="X298" s="47"/>
      <c r="Y298" s="47"/>
      <c r="Z298" s="52"/>
      <c r="AA298" s="52"/>
      <c r="AC298" s="32" t="str">
        <f t="shared" si="94"/>
        <v>·</v>
      </c>
      <c r="AD298" s="33" t="str">
        <f t="shared" si="95"/>
        <v>·</v>
      </c>
      <c r="AE298" s="33" t="str">
        <f t="shared" si="96"/>
        <v>·</v>
      </c>
      <c r="AF298" s="33" t="str">
        <f t="shared" si="97"/>
        <v>·</v>
      </c>
      <c r="AG298" s="33" t="str">
        <f t="shared" si="112"/>
        <v>·</v>
      </c>
      <c r="AH298" s="33" t="str">
        <f t="shared" si="98"/>
        <v>·</v>
      </c>
      <c r="AI298" s="35"/>
      <c r="AJ298" s="36"/>
      <c r="AK298" s="36"/>
      <c r="AL298" s="36"/>
      <c r="AM298" s="36"/>
      <c r="AN298" s="47"/>
      <c r="AO298" s="47"/>
      <c r="AP298" s="47"/>
      <c r="AQ298" s="47"/>
      <c r="AR298" s="47"/>
      <c r="AS298" s="47"/>
      <c r="AT298" s="52"/>
      <c r="AU298" s="52"/>
      <c r="AW298" s="59" t="e">
        <f t="shared" si="99"/>
        <v>#DIV/0!</v>
      </c>
      <c r="AX298" s="59"/>
      <c r="AZ298" s="60"/>
      <c r="BA298" s="60"/>
      <c r="BB298" s="60"/>
      <c r="BC298" s="60"/>
      <c r="BD298" s="60"/>
      <c r="BE298" s="60"/>
      <c r="BG298" s="60"/>
      <c r="BH298" s="60"/>
      <c r="BI298" s="60"/>
      <c r="BJ298" s="60"/>
      <c r="BK298" s="60"/>
      <c r="BL298" s="60"/>
      <c r="BN298">
        <f t="shared" si="100"/>
        <v>0</v>
      </c>
      <c r="BO298">
        <f t="shared" si="101"/>
        <v>0</v>
      </c>
      <c r="BP298">
        <f t="shared" si="102"/>
        <v>0</v>
      </c>
      <c r="BQ298">
        <f t="shared" si="103"/>
        <v>0</v>
      </c>
      <c r="BR298">
        <f t="shared" si="104"/>
        <v>0</v>
      </c>
      <c r="BS298">
        <f t="shared" si="105"/>
        <v>0</v>
      </c>
      <c r="BT298">
        <f t="shared" si="106"/>
        <v>0</v>
      </c>
      <c r="BU298">
        <f t="shared" si="107"/>
        <v>0</v>
      </c>
      <c r="BV298">
        <f t="shared" si="108"/>
        <v>0</v>
      </c>
      <c r="BW298">
        <f t="shared" si="109"/>
        <v>0</v>
      </c>
      <c r="BX298">
        <f t="shared" si="110"/>
        <v>0</v>
      </c>
    </row>
    <row r="299" spans="1:76" x14ac:dyDescent="0.15">
      <c r="A299" s="5" t="s">
        <v>262</v>
      </c>
      <c r="B299" s="5" t="s">
        <v>177</v>
      </c>
      <c r="C299" s="6" t="s">
        <v>254</v>
      </c>
      <c r="D299" s="5">
        <v>123940658</v>
      </c>
      <c r="E299" s="7">
        <v>18</v>
      </c>
      <c r="F299" s="6">
        <v>1500</v>
      </c>
      <c r="G299" s="6">
        <v>10</v>
      </c>
      <c r="I299" s="17" t="str">
        <f t="shared" si="89"/>
        <v>·</v>
      </c>
      <c r="J299" s="18" t="str">
        <f t="shared" si="90"/>
        <v>·</v>
      </c>
      <c r="K299" s="18" t="str">
        <f t="shared" si="91"/>
        <v>·</v>
      </c>
      <c r="L299" s="19"/>
      <c r="M299" s="18" t="str">
        <f t="shared" si="111"/>
        <v>·</v>
      </c>
      <c r="N299" s="18" t="str">
        <f t="shared" si="93"/>
        <v>·</v>
      </c>
      <c r="O299" s="20"/>
      <c r="P299" s="21"/>
      <c r="Q299" s="21"/>
      <c r="R299" s="37"/>
      <c r="S299" s="21"/>
      <c r="T299" s="38"/>
      <c r="U299" s="38"/>
      <c r="V299" s="39"/>
      <c r="W299" s="39"/>
      <c r="X299" s="39"/>
      <c r="Y299" s="38"/>
      <c r="Z299" s="49"/>
      <c r="AA299" s="49"/>
      <c r="AC299" s="17" t="str">
        <f t="shared" si="94"/>
        <v>·</v>
      </c>
      <c r="AD299" s="18" t="str">
        <f t="shared" si="95"/>
        <v>·</v>
      </c>
      <c r="AE299" s="18" t="str">
        <f t="shared" si="96"/>
        <v>·</v>
      </c>
      <c r="AF299" s="19"/>
      <c r="AG299" s="18" t="str">
        <f t="shared" si="112"/>
        <v>·</v>
      </c>
      <c r="AH299" s="18" t="str">
        <f t="shared" si="98"/>
        <v>·</v>
      </c>
      <c r="AI299" s="20"/>
      <c r="AJ299" s="21"/>
      <c r="AK299" s="21"/>
      <c r="AL299" s="37"/>
      <c r="AM299" s="21"/>
      <c r="AN299" s="38"/>
      <c r="AO299" s="38"/>
      <c r="AP299" s="39"/>
      <c r="AQ299" s="39"/>
      <c r="AR299" s="39"/>
      <c r="AS299" s="38"/>
      <c r="AT299" s="49"/>
      <c r="AU299" s="49"/>
      <c r="AW299" s="53" t="e">
        <f t="shared" si="99"/>
        <v>#DIV/0!</v>
      </c>
      <c r="AX299" s="53" t="e">
        <f t="array" ref="AX299">AVERAGE(AK299:AK304/AJ299:AJ304)-AVERAGE(Q299:Q304/P299:P304)</f>
        <v>#DIV/0!</v>
      </c>
      <c r="AZ299" s="54" t="str">
        <f>IF(OR(ISBLANK(Q299:Q304),ISBLANK(AK299:AK304),ISBLANK(T299:T304),ISBLANK(AN299:AN304)),"·",bdRateExtend(Q299:Q304,T299:T304,AK299:AK304,AN299:AN304))</f>
        <v>·</v>
      </c>
      <c r="BA299" s="54" t="str">
        <f>IF(OR(ISBLANK(Q299:Q304),ISBLANK(AK299:AK304),ISBLANK(U299:U304),ISBLANK(AO299:AO304)),"·",bdRateExtend(Q299:Q304,U299:U304,AK299:AK304,AO299:AO304))</f>
        <v>·</v>
      </c>
      <c r="BB299" s="61"/>
      <c r="BC299" s="61"/>
      <c r="BD299" s="61"/>
      <c r="BE299" s="54" t="str">
        <f>IF(OR(ISBLANK(S299:S304),ISBLANK(AM299:AM304),ISBLANK(Y299:Y304),ISBLANK(AS299:AS304)),"·",bdRateExtend(S299:S304,Y299:Y304,AM299:AM304,AS299:AS304))</f>
        <v>·</v>
      </c>
      <c r="BG299" s="54" t="str">
        <f>IF(OR(ISBLANK(P299:P304),ISBLANK(AJ299:AJ304),ISBLANK(T299:T304),ISBLANK(AN299:AN304)),"·",bdRateExtend(P299:P304,T299:T304,AJ299:AJ304,AN299:AN304))</f>
        <v>·</v>
      </c>
      <c r="BH299" s="54" t="str">
        <f>IF(OR(ISBLANK(P299:P304),ISBLANK(AJ299:AJ304),ISBLANK(U299:U304),ISBLANK(AO299:AO304)),"·",bdRateExtend(P299:P304,U299:U304,AJ299:AJ304,AO299:AO304))</f>
        <v>·</v>
      </c>
      <c r="BI299" s="61"/>
      <c r="BJ299" s="61"/>
      <c r="BK299" s="61"/>
      <c r="BL299" s="54" t="str">
        <f>IF(OR(ISBLANK(P299:P304),ISBLANK(AJ299:AJ304),ISBLANK(Y299:Y304),ISBLANK(AS299:AS304)),"·",bdRateExtend(P299:P304,Y299:Y304,AJ299:AJ304,AS299:AS304))</f>
        <v>·</v>
      </c>
      <c r="BN299">
        <f t="shared" si="100"/>
        <v>0</v>
      </c>
      <c r="BO299">
        <f t="shared" si="101"/>
        <v>0</v>
      </c>
      <c r="BP299">
        <f t="shared" si="102"/>
        <v>0</v>
      </c>
      <c r="BQ299">
        <f t="shared" si="103"/>
        <v>0</v>
      </c>
      <c r="BR299">
        <f t="shared" si="104"/>
        <v>0</v>
      </c>
      <c r="BS299">
        <f t="shared" si="105"/>
        <v>0</v>
      </c>
      <c r="BT299">
        <f t="shared" si="106"/>
        <v>0</v>
      </c>
      <c r="BU299">
        <f t="shared" si="107"/>
        <v>0</v>
      </c>
      <c r="BV299">
        <f t="shared" si="108"/>
        <v>0</v>
      </c>
      <c r="BW299">
        <f t="shared" si="109"/>
        <v>0</v>
      </c>
      <c r="BX299">
        <f t="shared" si="110"/>
        <v>0</v>
      </c>
    </row>
    <row r="300" spans="1:76" outlineLevel="1" x14ac:dyDescent="0.15">
      <c r="A300" s="8"/>
      <c r="B300" s="8" t="s">
        <v>177</v>
      </c>
      <c r="C300" s="9" t="s">
        <v>255</v>
      </c>
      <c r="D300" s="8">
        <v>123940658</v>
      </c>
      <c r="E300" s="10">
        <v>18</v>
      </c>
      <c r="F300" s="9">
        <v>1500</v>
      </c>
      <c r="G300" s="9">
        <v>10</v>
      </c>
      <c r="I300" s="22" t="str">
        <f t="shared" si="89"/>
        <v>·</v>
      </c>
      <c r="J300" s="23" t="str">
        <f t="shared" si="90"/>
        <v>·</v>
      </c>
      <c r="K300" s="23" t="str">
        <f t="shared" si="91"/>
        <v>·</v>
      </c>
      <c r="L300" s="24"/>
      <c r="M300" s="23" t="str">
        <f t="shared" si="111"/>
        <v>·</v>
      </c>
      <c r="N300" s="23" t="str">
        <f t="shared" si="93"/>
        <v>·</v>
      </c>
      <c r="O300" s="25"/>
      <c r="P300" s="26"/>
      <c r="Q300" s="26"/>
      <c r="R300" s="40"/>
      <c r="S300" s="26"/>
      <c r="T300" s="41"/>
      <c r="U300" s="41"/>
      <c r="V300" s="42"/>
      <c r="W300" s="42"/>
      <c r="X300" s="42"/>
      <c r="Y300" s="41"/>
      <c r="Z300" s="50"/>
      <c r="AA300" s="50"/>
      <c r="AC300" s="22" t="str">
        <f t="shared" si="94"/>
        <v>·</v>
      </c>
      <c r="AD300" s="23" t="str">
        <f t="shared" si="95"/>
        <v>·</v>
      </c>
      <c r="AE300" s="23" t="str">
        <f t="shared" si="96"/>
        <v>·</v>
      </c>
      <c r="AF300" s="24"/>
      <c r="AG300" s="23" t="str">
        <f t="shared" si="112"/>
        <v>·</v>
      </c>
      <c r="AH300" s="23" t="str">
        <f t="shared" si="98"/>
        <v>·</v>
      </c>
      <c r="AI300" s="25"/>
      <c r="AJ300" s="26"/>
      <c r="AK300" s="26"/>
      <c r="AL300" s="40"/>
      <c r="AM300" s="26"/>
      <c r="AN300" s="41"/>
      <c r="AO300" s="41"/>
      <c r="AP300" s="42"/>
      <c r="AQ300" s="42"/>
      <c r="AR300" s="42"/>
      <c r="AS300" s="41"/>
      <c r="AT300" s="50"/>
      <c r="AU300" s="50"/>
      <c r="AW300" s="55" t="e">
        <f t="shared" si="99"/>
        <v>#DIV/0!</v>
      </c>
      <c r="AX300" s="55"/>
      <c r="AZ300" s="56"/>
      <c r="BA300" s="56"/>
      <c r="BB300" s="62"/>
      <c r="BC300" s="62"/>
      <c r="BD300" s="62"/>
      <c r="BE300" s="56"/>
      <c r="BG300" s="56"/>
      <c r="BH300" s="56"/>
      <c r="BI300" s="62"/>
      <c r="BJ300" s="62"/>
      <c r="BK300" s="62"/>
      <c r="BL300" s="56"/>
      <c r="BN300">
        <f t="shared" si="100"/>
        <v>0</v>
      </c>
      <c r="BO300">
        <f t="shared" si="101"/>
        <v>0</v>
      </c>
      <c r="BP300">
        <f t="shared" si="102"/>
        <v>0</v>
      </c>
      <c r="BQ300">
        <f t="shared" si="103"/>
        <v>0</v>
      </c>
      <c r="BR300">
        <f t="shared" si="104"/>
        <v>0</v>
      </c>
      <c r="BS300">
        <f t="shared" si="105"/>
        <v>0</v>
      </c>
      <c r="BT300">
        <f t="shared" si="106"/>
        <v>0</v>
      </c>
      <c r="BU300">
        <f t="shared" si="107"/>
        <v>0</v>
      </c>
      <c r="BV300">
        <f t="shared" si="108"/>
        <v>0</v>
      </c>
      <c r="BW300">
        <f t="shared" si="109"/>
        <v>0</v>
      </c>
      <c r="BX300">
        <f t="shared" si="110"/>
        <v>0</v>
      </c>
    </row>
    <row r="301" spans="1:76" outlineLevel="1" x14ac:dyDescent="0.15">
      <c r="A301" s="5"/>
      <c r="B301" s="5" t="s">
        <v>177</v>
      </c>
      <c r="C301" s="6" t="s">
        <v>256</v>
      </c>
      <c r="D301" s="5">
        <v>123940658</v>
      </c>
      <c r="E301" s="7">
        <v>18</v>
      </c>
      <c r="F301" s="6">
        <v>1500</v>
      </c>
      <c r="G301" s="6">
        <v>10</v>
      </c>
      <c r="I301" s="17" t="str">
        <f t="shared" si="89"/>
        <v>·</v>
      </c>
      <c r="J301" s="18" t="str">
        <f t="shared" si="90"/>
        <v>·</v>
      </c>
      <c r="K301" s="18" t="str">
        <f t="shared" si="91"/>
        <v>·</v>
      </c>
      <c r="L301" s="19"/>
      <c r="M301" s="18" t="str">
        <f t="shared" si="111"/>
        <v>·</v>
      </c>
      <c r="N301" s="18" t="str">
        <f t="shared" si="93"/>
        <v>·</v>
      </c>
      <c r="O301" s="20"/>
      <c r="P301" s="21"/>
      <c r="Q301" s="21"/>
      <c r="R301" s="37"/>
      <c r="S301" s="21"/>
      <c r="T301" s="38"/>
      <c r="U301" s="38"/>
      <c r="V301" s="39"/>
      <c r="W301" s="39"/>
      <c r="X301" s="39"/>
      <c r="Y301" s="38"/>
      <c r="Z301" s="49"/>
      <c r="AA301" s="49"/>
      <c r="AC301" s="17" t="str">
        <f t="shared" si="94"/>
        <v>·</v>
      </c>
      <c r="AD301" s="18" t="str">
        <f t="shared" si="95"/>
        <v>·</v>
      </c>
      <c r="AE301" s="18" t="str">
        <f t="shared" si="96"/>
        <v>·</v>
      </c>
      <c r="AF301" s="19"/>
      <c r="AG301" s="18" t="str">
        <f t="shared" si="112"/>
        <v>·</v>
      </c>
      <c r="AH301" s="18" t="str">
        <f t="shared" si="98"/>
        <v>·</v>
      </c>
      <c r="AI301" s="20"/>
      <c r="AJ301" s="21"/>
      <c r="AK301" s="21"/>
      <c r="AL301" s="37"/>
      <c r="AM301" s="21"/>
      <c r="AN301" s="38"/>
      <c r="AO301" s="38"/>
      <c r="AP301" s="39"/>
      <c r="AQ301" s="39"/>
      <c r="AR301" s="39"/>
      <c r="AS301" s="38"/>
      <c r="AT301" s="49"/>
      <c r="AU301" s="49"/>
      <c r="AW301" s="53" t="e">
        <f t="shared" si="99"/>
        <v>#DIV/0!</v>
      </c>
      <c r="AX301" s="53"/>
      <c r="AZ301" s="54"/>
      <c r="BA301" s="54"/>
      <c r="BB301" s="61"/>
      <c r="BC301" s="61"/>
      <c r="BD301" s="61"/>
      <c r="BE301" s="54"/>
      <c r="BG301" s="54"/>
      <c r="BH301" s="54"/>
      <c r="BI301" s="61"/>
      <c r="BJ301" s="61"/>
      <c r="BK301" s="61"/>
      <c r="BL301" s="54"/>
      <c r="BN301">
        <f t="shared" si="100"/>
        <v>0</v>
      </c>
      <c r="BO301">
        <f t="shared" si="101"/>
        <v>0</v>
      </c>
      <c r="BP301">
        <f t="shared" si="102"/>
        <v>0</v>
      </c>
      <c r="BQ301">
        <f t="shared" si="103"/>
        <v>0</v>
      </c>
      <c r="BR301">
        <f t="shared" si="104"/>
        <v>0</v>
      </c>
      <c r="BS301">
        <f t="shared" si="105"/>
        <v>0</v>
      </c>
      <c r="BT301">
        <f t="shared" si="106"/>
        <v>0</v>
      </c>
      <c r="BU301">
        <f t="shared" si="107"/>
        <v>0</v>
      </c>
      <c r="BV301">
        <f t="shared" si="108"/>
        <v>0</v>
      </c>
      <c r="BW301">
        <f t="shared" si="109"/>
        <v>0</v>
      </c>
      <c r="BX301">
        <f t="shared" si="110"/>
        <v>0</v>
      </c>
    </row>
    <row r="302" spans="1:76" outlineLevel="1" x14ac:dyDescent="0.15">
      <c r="A302" s="8"/>
      <c r="B302" s="8" t="s">
        <v>177</v>
      </c>
      <c r="C302" s="9" t="s">
        <v>257</v>
      </c>
      <c r="D302" s="8">
        <v>123940658</v>
      </c>
      <c r="E302" s="10">
        <v>18</v>
      </c>
      <c r="F302" s="9">
        <v>1500</v>
      </c>
      <c r="G302" s="9">
        <v>10</v>
      </c>
      <c r="I302" s="22" t="str">
        <f t="shared" si="89"/>
        <v>·</v>
      </c>
      <c r="J302" s="23" t="str">
        <f t="shared" si="90"/>
        <v>·</v>
      </c>
      <c r="K302" s="23" t="str">
        <f t="shared" si="91"/>
        <v>·</v>
      </c>
      <c r="L302" s="24"/>
      <c r="M302" s="23" t="str">
        <f t="shared" si="111"/>
        <v>·</v>
      </c>
      <c r="N302" s="23" t="str">
        <f t="shared" si="93"/>
        <v>·</v>
      </c>
      <c r="O302" s="25"/>
      <c r="P302" s="26"/>
      <c r="Q302" s="26"/>
      <c r="R302" s="40"/>
      <c r="S302" s="26"/>
      <c r="T302" s="41"/>
      <c r="U302" s="41"/>
      <c r="V302" s="42"/>
      <c r="W302" s="42"/>
      <c r="X302" s="42"/>
      <c r="Y302" s="41"/>
      <c r="Z302" s="50"/>
      <c r="AA302" s="50"/>
      <c r="AC302" s="22" t="str">
        <f t="shared" si="94"/>
        <v>·</v>
      </c>
      <c r="AD302" s="23" t="str">
        <f t="shared" si="95"/>
        <v>·</v>
      </c>
      <c r="AE302" s="23" t="str">
        <f t="shared" si="96"/>
        <v>·</v>
      </c>
      <c r="AF302" s="24"/>
      <c r="AG302" s="23" t="str">
        <f t="shared" si="112"/>
        <v>·</v>
      </c>
      <c r="AH302" s="23" t="str">
        <f t="shared" si="98"/>
        <v>·</v>
      </c>
      <c r="AI302" s="25"/>
      <c r="AJ302" s="26"/>
      <c r="AK302" s="26"/>
      <c r="AL302" s="40"/>
      <c r="AM302" s="26"/>
      <c r="AN302" s="41"/>
      <c r="AO302" s="41"/>
      <c r="AP302" s="42"/>
      <c r="AQ302" s="42"/>
      <c r="AR302" s="42"/>
      <c r="AS302" s="41"/>
      <c r="AT302" s="50"/>
      <c r="AU302" s="50"/>
      <c r="AW302" s="55" t="e">
        <f t="shared" si="99"/>
        <v>#DIV/0!</v>
      </c>
      <c r="AX302" s="55"/>
      <c r="AZ302" s="56"/>
      <c r="BA302" s="56"/>
      <c r="BB302" s="62"/>
      <c r="BC302" s="62"/>
      <c r="BD302" s="62"/>
      <c r="BE302" s="56"/>
      <c r="BG302" s="56"/>
      <c r="BH302" s="56"/>
      <c r="BI302" s="62"/>
      <c r="BJ302" s="62"/>
      <c r="BK302" s="62"/>
      <c r="BL302" s="56"/>
      <c r="BN302">
        <f t="shared" si="100"/>
        <v>0</v>
      </c>
      <c r="BO302">
        <f t="shared" si="101"/>
        <v>0</v>
      </c>
      <c r="BP302">
        <f t="shared" si="102"/>
        <v>0</v>
      </c>
      <c r="BQ302">
        <f t="shared" si="103"/>
        <v>0</v>
      </c>
      <c r="BR302">
        <f t="shared" si="104"/>
        <v>0</v>
      </c>
      <c r="BS302">
        <f t="shared" si="105"/>
        <v>0</v>
      </c>
      <c r="BT302">
        <f t="shared" si="106"/>
        <v>0</v>
      </c>
      <c r="BU302">
        <f t="shared" si="107"/>
        <v>0</v>
      </c>
      <c r="BV302">
        <f t="shared" si="108"/>
        <v>0</v>
      </c>
      <c r="BW302">
        <f t="shared" si="109"/>
        <v>0</v>
      </c>
      <c r="BX302">
        <f t="shared" si="110"/>
        <v>0</v>
      </c>
    </row>
    <row r="303" spans="1:76" outlineLevel="1" x14ac:dyDescent="0.15">
      <c r="A303" s="5"/>
      <c r="B303" s="5" t="s">
        <v>177</v>
      </c>
      <c r="C303" s="6" t="s">
        <v>258</v>
      </c>
      <c r="D303" s="5">
        <v>123940658</v>
      </c>
      <c r="E303" s="7">
        <v>18</v>
      </c>
      <c r="F303" s="6">
        <v>1500</v>
      </c>
      <c r="G303" s="6">
        <v>10</v>
      </c>
      <c r="I303" s="17" t="str">
        <f t="shared" si="89"/>
        <v>·</v>
      </c>
      <c r="J303" s="18" t="str">
        <f t="shared" si="90"/>
        <v>·</v>
      </c>
      <c r="K303" s="18" t="str">
        <f t="shared" si="91"/>
        <v>·</v>
      </c>
      <c r="L303" s="19"/>
      <c r="M303" s="18" t="str">
        <f t="shared" si="111"/>
        <v>·</v>
      </c>
      <c r="N303" s="18" t="str">
        <f t="shared" si="93"/>
        <v>·</v>
      </c>
      <c r="O303" s="20"/>
      <c r="P303" s="21"/>
      <c r="Q303" s="21"/>
      <c r="R303" s="37"/>
      <c r="S303" s="21"/>
      <c r="T303" s="38"/>
      <c r="U303" s="38"/>
      <c r="V303" s="39"/>
      <c r="W303" s="39"/>
      <c r="X303" s="39"/>
      <c r="Y303" s="38"/>
      <c r="Z303" s="49"/>
      <c r="AA303" s="49"/>
      <c r="AC303" s="17" t="str">
        <f t="shared" si="94"/>
        <v>·</v>
      </c>
      <c r="AD303" s="18" t="str">
        <f t="shared" si="95"/>
        <v>·</v>
      </c>
      <c r="AE303" s="18" t="str">
        <f t="shared" si="96"/>
        <v>·</v>
      </c>
      <c r="AF303" s="19"/>
      <c r="AG303" s="18" t="str">
        <f t="shared" si="112"/>
        <v>·</v>
      </c>
      <c r="AH303" s="18" t="str">
        <f t="shared" si="98"/>
        <v>·</v>
      </c>
      <c r="AI303" s="20"/>
      <c r="AJ303" s="21"/>
      <c r="AK303" s="21"/>
      <c r="AL303" s="37"/>
      <c r="AM303" s="21"/>
      <c r="AN303" s="38"/>
      <c r="AO303" s="38"/>
      <c r="AP303" s="39"/>
      <c r="AQ303" s="39"/>
      <c r="AR303" s="39"/>
      <c r="AS303" s="38"/>
      <c r="AT303" s="49"/>
      <c r="AU303" s="49"/>
      <c r="AW303" s="53" t="e">
        <f t="shared" si="99"/>
        <v>#DIV/0!</v>
      </c>
      <c r="AX303" s="53"/>
      <c r="AZ303" s="54"/>
      <c r="BA303" s="54"/>
      <c r="BB303" s="61"/>
      <c r="BC303" s="61"/>
      <c r="BD303" s="61"/>
      <c r="BE303" s="54"/>
      <c r="BG303" s="54"/>
      <c r="BH303" s="54"/>
      <c r="BI303" s="61"/>
      <c r="BJ303" s="61"/>
      <c r="BK303" s="61"/>
      <c r="BL303" s="54"/>
      <c r="BN303">
        <f t="shared" si="100"/>
        <v>0</v>
      </c>
      <c r="BO303">
        <f t="shared" si="101"/>
        <v>0</v>
      </c>
      <c r="BP303">
        <f t="shared" si="102"/>
        <v>0</v>
      </c>
      <c r="BQ303">
        <f t="shared" si="103"/>
        <v>0</v>
      </c>
      <c r="BR303">
        <f t="shared" si="104"/>
        <v>0</v>
      </c>
      <c r="BS303">
        <f t="shared" si="105"/>
        <v>0</v>
      </c>
      <c r="BT303">
        <f t="shared" si="106"/>
        <v>0</v>
      </c>
      <c r="BU303">
        <f t="shared" si="107"/>
        <v>0</v>
      </c>
      <c r="BV303">
        <f t="shared" si="108"/>
        <v>0</v>
      </c>
      <c r="BW303">
        <f t="shared" si="109"/>
        <v>0</v>
      </c>
      <c r="BX303">
        <f t="shared" si="110"/>
        <v>0</v>
      </c>
    </row>
    <row r="304" spans="1:76" outlineLevel="1" x14ac:dyDescent="0.15">
      <c r="A304" s="8"/>
      <c r="B304" s="14" t="s">
        <v>177</v>
      </c>
      <c r="C304" s="15" t="s">
        <v>259</v>
      </c>
      <c r="D304" s="14">
        <v>123940658</v>
      </c>
      <c r="E304" s="16">
        <v>18</v>
      </c>
      <c r="F304" s="15">
        <v>1500</v>
      </c>
      <c r="G304" s="15">
        <v>10</v>
      </c>
      <c r="I304" s="32" t="str">
        <f t="shared" si="89"/>
        <v>·</v>
      </c>
      <c r="J304" s="33" t="str">
        <f t="shared" si="90"/>
        <v>·</v>
      </c>
      <c r="K304" s="33" t="str">
        <f t="shared" si="91"/>
        <v>·</v>
      </c>
      <c r="L304" s="34"/>
      <c r="M304" s="33" t="str">
        <f t="shared" si="111"/>
        <v>·</v>
      </c>
      <c r="N304" s="33" t="str">
        <f t="shared" si="93"/>
        <v>·</v>
      </c>
      <c r="O304" s="35"/>
      <c r="P304" s="36"/>
      <c r="Q304" s="36"/>
      <c r="R304" s="46"/>
      <c r="S304" s="36"/>
      <c r="T304" s="47"/>
      <c r="U304" s="47"/>
      <c r="V304" s="48"/>
      <c r="W304" s="48"/>
      <c r="X304" s="48"/>
      <c r="Y304" s="47"/>
      <c r="Z304" s="52"/>
      <c r="AA304" s="52"/>
      <c r="AC304" s="32" t="str">
        <f t="shared" si="94"/>
        <v>·</v>
      </c>
      <c r="AD304" s="33" t="str">
        <f t="shared" si="95"/>
        <v>·</v>
      </c>
      <c r="AE304" s="33" t="str">
        <f t="shared" si="96"/>
        <v>·</v>
      </c>
      <c r="AF304" s="34"/>
      <c r="AG304" s="33" t="str">
        <f t="shared" si="112"/>
        <v>·</v>
      </c>
      <c r="AH304" s="33" t="str">
        <f t="shared" si="98"/>
        <v>·</v>
      </c>
      <c r="AI304" s="35"/>
      <c r="AJ304" s="36"/>
      <c r="AK304" s="36"/>
      <c r="AL304" s="46"/>
      <c r="AM304" s="36"/>
      <c r="AN304" s="47"/>
      <c r="AO304" s="47"/>
      <c r="AP304" s="48"/>
      <c r="AQ304" s="48"/>
      <c r="AR304" s="48"/>
      <c r="AS304" s="47"/>
      <c r="AT304" s="52"/>
      <c r="AU304" s="52"/>
      <c r="AW304" s="59" t="e">
        <f t="shared" si="99"/>
        <v>#DIV/0!</v>
      </c>
      <c r="AX304" s="59"/>
      <c r="AZ304" s="60"/>
      <c r="BA304" s="60"/>
      <c r="BB304" s="64"/>
      <c r="BC304" s="64"/>
      <c r="BD304" s="64"/>
      <c r="BE304" s="60"/>
      <c r="BG304" s="60"/>
      <c r="BH304" s="60"/>
      <c r="BI304" s="64"/>
      <c r="BJ304" s="64"/>
      <c r="BK304" s="64"/>
      <c r="BL304" s="60"/>
      <c r="BN304">
        <f t="shared" si="100"/>
        <v>0</v>
      </c>
      <c r="BO304">
        <f t="shared" si="101"/>
        <v>0</v>
      </c>
      <c r="BP304">
        <f t="shared" si="102"/>
        <v>0</v>
      </c>
      <c r="BQ304">
        <f t="shared" si="103"/>
        <v>0</v>
      </c>
      <c r="BR304">
        <f t="shared" si="104"/>
        <v>0</v>
      </c>
      <c r="BS304">
        <f t="shared" si="105"/>
        <v>0</v>
      </c>
      <c r="BT304">
        <f t="shared" si="106"/>
        <v>0</v>
      </c>
      <c r="BU304">
        <f t="shared" si="107"/>
        <v>0</v>
      </c>
      <c r="BV304">
        <f t="shared" si="108"/>
        <v>0</v>
      </c>
      <c r="BW304">
        <f t="shared" si="109"/>
        <v>0</v>
      </c>
      <c r="BX304">
        <f t="shared" si="110"/>
        <v>0</v>
      </c>
    </row>
    <row r="305" spans="1:76" x14ac:dyDescent="0.15">
      <c r="A305" s="5"/>
      <c r="B305" s="5" t="s">
        <v>178</v>
      </c>
      <c r="C305" s="6" t="s">
        <v>254</v>
      </c>
      <c r="D305" s="5">
        <v>125751705</v>
      </c>
      <c r="E305" s="7">
        <v>18</v>
      </c>
      <c r="F305" s="6">
        <v>1500</v>
      </c>
      <c r="G305" s="6">
        <v>10</v>
      </c>
      <c r="I305" s="17" t="str">
        <f t="shared" si="89"/>
        <v>·</v>
      </c>
      <c r="J305" s="18" t="str">
        <f t="shared" si="90"/>
        <v>·</v>
      </c>
      <c r="K305" s="18" t="str">
        <f t="shared" si="91"/>
        <v>·</v>
      </c>
      <c r="L305" s="19"/>
      <c r="M305" s="18" t="str">
        <f t="shared" si="111"/>
        <v>·</v>
      </c>
      <c r="N305" s="18" t="str">
        <f t="shared" si="93"/>
        <v>·</v>
      </c>
      <c r="O305" s="20"/>
      <c r="P305" s="21"/>
      <c r="Q305" s="21"/>
      <c r="R305" s="37"/>
      <c r="S305" s="21"/>
      <c r="T305" s="38"/>
      <c r="U305" s="38"/>
      <c r="V305" s="39"/>
      <c r="W305" s="39"/>
      <c r="X305" s="39"/>
      <c r="Y305" s="38"/>
      <c r="Z305" s="49"/>
      <c r="AA305" s="49"/>
      <c r="AC305" s="17" t="str">
        <f t="shared" si="94"/>
        <v>·</v>
      </c>
      <c r="AD305" s="18" t="str">
        <f t="shared" si="95"/>
        <v>·</v>
      </c>
      <c r="AE305" s="18" t="str">
        <f t="shared" si="96"/>
        <v>·</v>
      </c>
      <c r="AF305" s="19"/>
      <c r="AG305" s="18" t="str">
        <f t="shared" si="112"/>
        <v>·</v>
      </c>
      <c r="AH305" s="18" t="str">
        <f t="shared" si="98"/>
        <v>·</v>
      </c>
      <c r="AI305" s="20"/>
      <c r="AJ305" s="21"/>
      <c r="AK305" s="21"/>
      <c r="AL305" s="37"/>
      <c r="AM305" s="21"/>
      <c r="AN305" s="38"/>
      <c r="AO305" s="38"/>
      <c r="AP305" s="39"/>
      <c r="AQ305" s="39"/>
      <c r="AR305" s="39"/>
      <c r="AS305" s="38"/>
      <c r="AT305" s="49"/>
      <c r="AU305" s="49"/>
      <c r="AW305" s="53" t="e">
        <f t="shared" si="99"/>
        <v>#DIV/0!</v>
      </c>
      <c r="AX305" s="53" t="e">
        <f t="array" ref="AX305">AVERAGE(AK305:AK310/AJ305:AJ310)-AVERAGE(Q305:Q310/P305:P310)</f>
        <v>#DIV/0!</v>
      </c>
      <c r="AZ305" s="54" t="str">
        <f>IF(OR(ISBLANK(Q305:Q310),ISBLANK(AK305:AK310),ISBLANK(T305:T310),ISBLANK(AN305:AN310)),"·",bdRateExtend(Q305:Q310,T305:T310,AK305:AK310,AN305:AN310))</f>
        <v>·</v>
      </c>
      <c r="BA305" s="54" t="str">
        <f>IF(OR(ISBLANK(Q305:Q310),ISBLANK(AK305:AK310),ISBLANK(U305:U310),ISBLANK(AO305:AO310)),"·",bdRateExtend(Q305:Q310,U305:U310,AK305:AK310,AO305:AO310))</f>
        <v>·</v>
      </c>
      <c r="BB305" s="61"/>
      <c r="BC305" s="61"/>
      <c r="BD305" s="61"/>
      <c r="BE305" s="54" t="str">
        <f>IF(OR(ISBLANK(S305:S310),ISBLANK(AM305:AM310),ISBLANK(Y305:Y310),ISBLANK(AS305:AS310)),"·",bdRateExtend(S305:S310,Y305:Y310,AM305:AM310,AS305:AS310))</f>
        <v>·</v>
      </c>
      <c r="BG305" s="54" t="str">
        <f>IF(OR(ISBLANK(P305:P310),ISBLANK(AJ305:AJ310),ISBLANK(T305:T310),ISBLANK(AN305:AN310)),"·",bdRateExtend(P305:P310,T305:T310,AJ305:AJ310,AN305:AN310))</f>
        <v>·</v>
      </c>
      <c r="BH305" s="54" t="str">
        <f>IF(OR(ISBLANK(P305:P310),ISBLANK(AJ305:AJ310),ISBLANK(U305:U310),ISBLANK(AO305:AO310)),"·",bdRateExtend(P305:P310,U305:U310,AJ305:AJ310,AO305:AO310))</f>
        <v>·</v>
      </c>
      <c r="BI305" s="61"/>
      <c r="BJ305" s="61"/>
      <c r="BK305" s="61"/>
      <c r="BL305" s="54" t="str">
        <f>IF(OR(ISBLANK(P305:P310),ISBLANK(AJ305:AJ310),ISBLANK(Y305:Y310),ISBLANK(AS305:AS310)),"·",bdRateExtend(P305:P310,Y305:Y310,AJ305:AJ310,AS305:AS310))</f>
        <v>·</v>
      </c>
      <c r="BN305">
        <f t="shared" si="100"/>
        <v>0</v>
      </c>
      <c r="BO305">
        <f t="shared" si="101"/>
        <v>0</v>
      </c>
      <c r="BP305">
        <f t="shared" si="102"/>
        <v>0</v>
      </c>
      <c r="BQ305">
        <f t="shared" si="103"/>
        <v>0</v>
      </c>
      <c r="BR305">
        <f t="shared" si="104"/>
        <v>0</v>
      </c>
      <c r="BS305">
        <f t="shared" si="105"/>
        <v>0</v>
      </c>
      <c r="BT305">
        <f t="shared" si="106"/>
        <v>0</v>
      </c>
      <c r="BU305">
        <f t="shared" si="107"/>
        <v>0</v>
      </c>
      <c r="BV305">
        <f t="shared" si="108"/>
        <v>0</v>
      </c>
      <c r="BW305">
        <f t="shared" si="109"/>
        <v>0</v>
      </c>
      <c r="BX305">
        <f t="shared" si="110"/>
        <v>0</v>
      </c>
    </row>
    <row r="306" spans="1:76" outlineLevel="1" x14ac:dyDescent="0.15">
      <c r="A306" s="8"/>
      <c r="B306" s="8" t="s">
        <v>178</v>
      </c>
      <c r="C306" s="9" t="s">
        <v>255</v>
      </c>
      <c r="D306" s="8">
        <v>125751705</v>
      </c>
      <c r="E306" s="10">
        <v>18</v>
      </c>
      <c r="F306" s="9">
        <v>1500</v>
      </c>
      <c r="G306" s="9">
        <v>10</v>
      </c>
      <c r="I306" s="22" t="str">
        <f t="shared" si="89"/>
        <v>·</v>
      </c>
      <c r="J306" s="23" t="str">
        <f t="shared" si="90"/>
        <v>·</v>
      </c>
      <c r="K306" s="23" t="str">
        <f t="shared" si="91"/>
        <v>·</v>
      </c>
      <c r="L306" s="24"/>
      <c r="M306" s="23" t="str">
        <f t="shared" si="111"/>
        <v>·</v>
      </c>
      <c r="N306" s="23" t="str">
        <f t="shared" si="93"/>
        <v>·</v>
      </c>
      <c r="O306" s="25"/>
      <c r="P306" s="26"/>
      <c r="Q306" s="26"/>
      <c r="R306" s="40"/>
      <c r="S306" s="26"/>
      <c r="T306" s="41"/>
      <c r="U306" s="41"/>
      <c r="V306" s="42"/>
      <c r="W306" s="42"/>
      <c r="X306" s="42"/>
      <c r="Y306" s="41"/>
      <c r="Z306" s="50"/>
      <c r="AA306" s="50"/>
      <c r="AC306" s="22" t="str">
        <f t="shared" si="94"/>
        <v>·</v>
      </c>
      <c r="AD306" s="23" t="str">
        <f t="shared" si="95"/>
        <v>·</v>
      </c>
      <c r="AE306" s="23" t="str">
        <f t="shared" si="96"/>
        <v>·</v>
      </c>
      <c r="AF306" s="24"/>
      <c r="AG306" s="23" t="str">
        <f t="shared" si="112"/>
        <v>·</v>
      </c>
      <c r="AH306" s="23" t="str">
        <f t="shared" si="98"/>
        <v>·</v>
      </c>
      <c r="AI306" s="25"/>
      <c r="AJ306" s="26"/>
      <c r="AK306" s="26"/>
      <c r="AL306" s="40"/>
      <c r="AM306" s="26"/>
      <c r="AN306" s="41"/>
      <c r="AO306" s="41"/>
      <c r="AP306" s="42"/>
      <c r="AQ306" s="42"/>
      <c r="AR306" s="42"/>
      <c r="AS306" s="41"/>
      <c r="AT306" s="50"/>
      <c r="AU306" s="50"/>
      <c r="AW306" s="55" t="e">
        <f t="shared" si="99"/>
        <v>#DIV/0!</v>
      </c>
      <c r="AX306" s="55"/>
      <c r="AZ306" s="56"/>
      <c r="BA306" s="56"/>
      <c r="BB306" s="62"/>
      <c r="BC306" s="62"/>
      <c r="BD306" s="62"/>
      <c r="BE306" s="56"/>
      <c r="BG306" s="56"/>
      <c r="BH306" s="56"/>
      <c r="BI306" s="62"/>
      <c r="BJ306" s="62"/>
      <c r="BK306" s="62"/>
      <c r="BL306" s="56"/>
      <c r="BN306">
        <f t="shared" si="100"/>
        <v>0</v>
      </c>
      <c r="BO306">
        <f t="shared" si="101"/>
        <v>0</v>
      </c>
      <c r="BP306">
        <f t="shared" si="102"/>
        <v>0</v>
      </c>
      <c r="BQ306">
        <f t="shared" si="103"/>
        <v>0</v>
      </c>
      <c r="BR306">
        <f t="shared" si="104"/>
        <v>0</v>
      </c>
      <c r="BS306">
        <f t="shared" si="105"/>
        <v>0</v>
      </c>
      <c r="BT306">
        <f t="shared" si="106"/>
        <v>0</v>
      </c>
      <c r="BU306">
        <f t="shared" si="107"/>
        <v>0</v>
      </c>
      <c r="BV306">
        <f t="shared" si="108"/>
        <v>0</v>
      </c>
      <c r="BW306">
        <f t="shared" si="109"/>
        <v>0</v>
      </c>
      <c r="BX306">
        <f t="shared" si="110"/>
        <v>0</v>
      </c>
    </row>
    <row r="307" spans="1:76" outlineLevel="1" x14ac:dyDescent="0.15">
      <c r="A307" s="5"/>
      <c r="B307" s="5" t="s">
        <v>178</v>
      </c>
      <c r="C307" s="6" t="s">
        <v>256</v>
      </c>
      <c r="D307" s="5">
        <v>125751705</v>
      </c>
      <c r="E307" s="7">
        <v>18</v>
      </c>
      <c r="F307" s="6">
        <v>1500</v>
      </c>
      <c r="G307" s="6">
        <v>10</v>
      </c>
      <c r="I307" s="17" t="str">
        <f t="shared" si="89"/>
        <v>·</v>
      </c>
      <c r="J307" s="18" t="str">
        <f t="shared" si="90"/>
        <v>·</v>
      </c>
      <c r="K307" s="18" t="str">
        <f t="shared" si="91"/>
        <v>·</v>
      </c>
      <c r="L307" s="19"/>
      <c r="M307" s="18" t="str">
        <f t="shared" si="111"/>
        <v>·</v>
      </c>
      <c r="N307" s="18" t="str">
        <f t="shared" si="93"/>
        <v>·</v>
      </c>
      <c r="O307" s="20"/>
      <c r="P307" s="21"/>
      <c r="Q307" s="21"/>
      <c r="R307" s="37"/>
      <c r="S307" s="21"/>
      <c r="T307" s="38"/>
      <c r="U307" s="38"/>
      <c r="V307" s="39"/>
      <c r="W307" s="39"/>
      <c r="X307" s="39"/>
      <c r="Y307" s="38"/>
      <c r="Z307" s="49"/>
      <c r="AA307" s="49"/>
      <c r="AC307" s="17" t="str">
        <f t="shared" si="94"/>
        <v>·</v>
      </c>
      <c r="AD307" s="18" t="str">
        <f t="shared" si="95"/>
        <v>·</v>
      </c>
      <c r="AE307" s="18" t="str">
        <f t="shared" si="96"/>
        <v>·</v>
      </c>
      <c r="AF307" s="19"/>
      <c r="AG307" s="18" t="str">
        <f t="shared" si="112"/>
        <v>·</v>
      </c>
      <c r="AH307" s="18" t="str">
        <f t="shared" si="98"/>
        <v>·</v>
      </c>
      <c r="AI307" s="20"/>
      <c r="AJ307" s="21"/>
      <c r="AK307" s="21"/>
      <c r="AL307" s="37"/>
      <c r="AM307" s="21"/>
      <c r="AN307" s="38"/>
      <c r="AO307" s="38"/>
      <c r="AP307" s="39"/>
      <c r="AQ307" s="39"/>
      <c r="AR307" s="39"/>
      <c r="AS307" s="38"/>
      <c r="AT307" s="49"/>
      <c r="AU307" s="49"/>
      <c r="AW307" s="53" t="e">
        <f t="shared" si="99"/>
        <v>#DIV/0!</v>
      </c>
      <c r="AX307" s="53"/>
      <c r="AZ307" s="54"/>
      <c r="BA307" s="54"/>
      <c r="BB307" s="61"/>
      <c r="BC307" s="61"/>
      <c r="BD307" s="61"/>
      <c r="BE307" s="54"/>
      <c r="BG307" s="54"/>
      <c r="BH307" s="54"/>
      <c r="BI307" s="61"/>
      <c r="BJ307" s="61"/>
      <c r="BK307" s="61"/>
      <c r="BL307" s="54"/>
      <c r="BN307">
        <f t="shared" si="100"/>
        <v>0</v>
      </c>
      <c r="BO307">
        <f t="shared" si="101"/>
        <v>0</v>
      </c>
      <c r="BP307">
        <f t="shared" si="102"/>
        <v>0</v>
      </c>
      <c r="BQ307">
        <f t="shared" si="103"/>
        <v>0</v>
      </c>
      <c r="BR307">
        <f t="shared" si="104"/>
        <v>0</v>
      </c>
      <c r="BS307">
        <f t="shared" si="105"/>
        <v>0</v>
      </c>
      <c r="BT307">
        <f t="shared" si="106"/>
        <v>0</v>
      </c>
      <c r="BU307">
        <f t="shared" si="107"/>
        <v>0</v>
      </c>
      <c r="BV307">
        <f t="shared" si="108"/>
        <v>0</v>
      </c>
      <c r="BW307">
        <f t="shared" si="109"/>
        <v>0</v>
      </c>
      <c r="BX307">
        <f t="shared" si="110"/>
        <v>0</v>
      </c>
    </row>
    <row r="308" spans="1:76" outlineLevel="1" x14ac:dyDescent="0.15">
      <c r="A308" s="8"/>
      <c r="B308" s="8" t="s">
        <v>178</v>
      </c>
      <c r="C308" s="9" t="s">
        <v>257</v>
      </c>
      <c r="D308" s="8">
        <v>125751705</v>
      </c>
      <c r="E308" s="10">
        <v>18</v>
      </c>
      <c r="F308" s="9">
        <v>1500</v>
      </c>
      <c r="G308" s="9">
        <v>10</v>
      </c>
      <c r="I308" s="22" t="str">
        <f t="shared" si="89"/>
        <v>·</v>
      </c>
      <c r="J308" s="23" t="str">
        <f t="shared" si="90"/>
        <v>·</v>
      </c>
      <c r="K308" s="23" t="str">
        <f t="shared" si="91"/>
        <v>·</v>
      </c>
      <c r="L308" s="24"/>
      <c r="M308" s="23" t="str">
        <f t="shared" si="111"/>
        <v>·</v>
      </c>
      <c r="N308" s="23" t="str">
        <f t="shared" si="93"/>
        <v>·</v>
      </c>
      <c r="O308" s="25"/>
      <c r="P308" s="26"/>
      <c r="Q308" s="26"/>
      <c r="R308" s="40"/>
      <c r="S308" s="26"/>
      <c r="T308" s="41"/>
      <c r="U308" s="41"/>
      <c r="V308" s="42"/>
      <c r="W308" s="42"/>
      <c r="X308" s="42"/>
      <c r="Y308" s="41"/>
      <c r="Z308" s="50"/>
      <c r="AA308" s="50"/>
      <c r="AC308" s="22" t="str">
        <f t="shared" si="94"/>
        <v>·</v>
      </c>
      <c r="AD308" s="23" t="str">
        <f t="shared" si="95"/>
        <v>·</v>
      </c>
      <c r="AE308" s="23" t="str">
        <f t="shared" si="96"/>
        <v>·</v>
      </c>
      <c r="AF308" s="24"/>
      <c r="AG308" s="23" t="str">
        <f t="shared" si="112"/>
        <v>·</v>
      </c>
      <c r="AH308" s="23" t="str">
        <f t="shared" si="98"/>
        <v>·</v>
      </c>
      <c r="AI308" s="25"/>
      <c r="AJ308" s="26"/>
      <c r="AK308" s="26"/>
      <c r="AL308" s="40"/>
      <c r="AM308" s="26"/>
      <c r="AN308" s="41"/>
      <c r="AO308" s="41"/>
      <c r="AP308" s="42"/>
      <c r="AQ308" s="42"/>
      <c r="AR308" s="42"/>
      <c r="AS308" s="41"/>
      <c r="AT308" s="50"/>
      <c r="AU308" s="50"/>
      <c r="AW308" s="55" t="e">
        <f t="shared" si="99"/>
        <v>#DIV/0!</v>
      </c>
      <c r="AX308" s="55"/>
      <c r="AZ308" s="56"/>
      <c r="BA308" s="56"/>
      <c r="BB308" s="62"/>
      <c r="BC308" s="62"/>
      <c r="BD308" s="62"/>
      <c r="BE308" s="56"/>
      <c r="BG308" s="56"/>
      <c r="BH308" s="56"/>
      <c r="BI308" s="62"/>
      <c r="BJ308" s="62"/>
      <c r="BK308" s="62"/>
      <c r="BL308" s="56"/>
      <c r="BN308">
        <f t="shared" si="100"/>
        <v>0</v>
      </c>
      <c r="BO308">
        <f t="shared" si="101"/>
        <v>0</v>
      </c>
      <c r="BP308">
        <f t="shared" si="102"/>
        <v>0</v>
      </c>
      <c r="BQ308">
        <f t="shared" si="103"/>
        <v>0</v>
      </c>
      <c r="BR308">
        <f t="shared" si="104"/>
        <v>0</v>
      </c>
      <c r="BS308">
        <f t="shared" si="105"/>
        <v>0</v>
      </c>
      <c r="BT308">
        <f t="shared" si="106"/>
        <v>0</v>
      </c>
      <c r="BU308">
        <f t="shared" si="107"/>
        <v>0</v>
      </c>
      <c r="BV308">
        <f t="shared" si="108"/>
        <v>0</v>
      </c>
      <c r="BW308">
        <f t="shared" si="109"/>
        <v>0</v>
      </c>
      <c r="BX308">
        <f t="shared" si="110"/>
        <v>0</v>
      </c>
    </row>
    <row r="309" spans="1:76" outlineLevel="1" x14ac:dyDescent="0.15">
      <c r="A309" s="5"/>
      <c r="B309" s="5" t="s">
        <v>178</v>
      </c>
      <c r="C309" s="6" t="s">
        <v>258</v>
      </c>
      <c r="D309" s="5">
        <v>125751705</v>
      </c>
      <c r="E309" s="7">
        <v>18</v>
      </c>
      <c r="F309" s="6">
        <v>1500</v>
      </c>
      <c r="G309" s="6">
        <v>10</v>
      </c>
      <c r="I309" s="17" t="str">
        <f t="shared" si="89"/>
        <v>·</v>
      </c>
      <c r="J309" s="18" t="str">
        <f t="shared" si="90"/>
        <v>·</v>
      </c>
      <c r="K309" s="18" t="str">
        <f t="shared" si="91"/>
        <v>·</v>
      </c>
      <c r="L309" s="19"/>
      <c r="M309" s="18" t="str">
        <f t="shared" si="111"/>
        <v>·</v>
      </c>
      <c r="N309" s="18" t="str">
        <f t="shared" si="93"/>
        <v>·</v>
      </c>
      <c r="O309" s="20"/>
      <c r="P309" s="21"/>
      <c r="Q309" s="21"/>
      <c r="R309" s="37"/>
      <c r="S309" s="21"/>
      <c r="T309" s="38"/>
      <c r="U309" s="38"/>
      <c r="V309" s="39"/>
      <c r="W309" s="39"/>
      <c r="X309" s="39"/>
      <c r="Y309" s="38"/>
      <c r="Z309" s="49"/>
      <c r="AA309" s="49"/>
      <c r="AC309" s="17" t="str">
        <f t="shared" si="94"/>
        <v>·</v>
      </c>
      <c r="AD309" s="18" t="str">
        <f t="shared" si="95"/>
        <v>·</v>
      </c>
      <c r="AE309" s="18" t="str">
        <f t="shared" si="96"/>
        <v>·</v>
      </c>
      <c r="AF309" s="19"/>
      <c r="AG309" s="18" t="str">
        <f t="shared" si="112"/>
        <v>·</v>
      </c>
      <c r="AH309" s="18" t="str">
        <f t="shared" si="98"/>
        <v>·</v>
      </c>
      <c r="AI309" s="20"/>
      <c r="AJ309" s="21"/>
      <c r="AK309" s="21"/>
      <c r="AL309" s="37"/>
      <c r="AM309" s="21"/>
      <c r="AN309" s="38"/>
      <c r="AO309" s="38"/>
      <c r="AP309" s="39"/>
      <c r="AQ309" s="39"/>
      <c r="AR309" s="39"/>
      <c r="AS309" s="38"/>
      <c r="AT309" s="49"/>
      <c r="AU309" s="49"/>
      <c r="AW309" s="53" t="e">
        <f t="shared" si="99"/>
        <v>#DIV/0!</v>
      </c>
      <c r="AX309" s="53"/>
      <c r="AZ309" s="54"/>
      <c r="BA309" s="54"/>
      <c r="BB309" s="61"/>
      <c r="BC309" s="61"/>
      <c r="BD309" s="61"/>
      <c r="BE309" s="54"/>
      <c r="BG309" s="54"/>
      <c r="BH309" s="54"/>
      <c r="BI309" s="61"/>
      <c r="BJ309" s="61"/>
      <c r="BK309" s="61"/>
      <c r="BL309" s="54"/>
      <c r="BN309">
        <f t="shared" si="100"/>
        <v>0</v>
      </c>
      <c r="BO309">
        <f t="shared" si="101"/>
        <v>0</v>
      </c>
      <c r="BP309">
        <f t="shared" si="102"/>
        <v>0</v>
      </c>
      <c r="BQ309">
        <f t="shared" si="103"/>
        <v>0</v>
      </c>
      <c r="BR309">
        <f t="shared" si="104"/>
        <v>0</v>
      </c>
      <c r="BS309">
        <f t="shared" si="105"/>
        <v>0</v>
      </c>
      <c r="BT309">
        <f t="shared" si="106"/>
        <v>0</v>
      </c>
      <c r="BU309">
        <f t="shared" si="107"/>
        <v>0</v>
      </c>
      <c r="BV309">
        <f t="shared" si="108"/>
        <v>0</v>
      </c>
      <c r="BW309">
        <f t="shared" si="109"/>
        <v>0</v>
      </c>
      <c r="BX309">
        <f t="shared" si="110"/>
        <v>0</v>
      </c>
    </row>
    <row r="310" spans="1:76" outlineLevel="1" x14ac:dyDescent="0.15">
      <c r="A310" s="8"/>
      <c r="B310" s="14" t="s">
        <v>178</v>
      </c>
      <c r="C310" s="15" t="s">
        <v>259</v>
      </c>
      <c r="D310" s="14">
        <v>125751705</v>
      </c>
      <c r="E310" s="16">
        <v>18</v>
      </c>
      <c r="F310" s="15">
        <v>1500</v>
      </c>
      <c r="G310" s="15">
        <v>10</v>
      </c>
      <c r="I310" s="32" t="str">
        <f t="shared" si="89"/>
        <v>·</v>
      </c>
      <c r="J310" s="33" t="str">
        <f t="shared" si="90"/>
        <v>·</v>
      </c>
      <c r="K310" s="33" t="str">
        <f t="shared" si="91"/>
        <v>·</v>
      </c>
      <c r="L310" s="34"/>
      <c r="M310" s="33" t="str">
        <f t="shared" si="111"/>
        <v>·</v>
      </c>
      <c r="N310" s="33" t="str">
        <f t="shared" si="93"/>
        <v>·</v>
      </c>
      <c r="O310" s="35"/>
      <c r="P310" s="36"/>
      <c r="Q310" s="36"/>
      <c r="R310" s="46"/>
      <c r="S310" s="36"/>
      <c r="T310" s="47"/>
      <c r="U310" s="47"/>
      <c r="V310" s="48"/>
      <c r="W310" s="48"/>
      <c r="X310" s="48"/>
      <c r="Y310" s="47"/>
      <c r="Z310" s="52"/>
      <c r="AA310" s="52"/>
      <c r="AC310" s="32" t="str">
        <f t="shared" si="94"/>
        <v>·</v>
      </c>
      <c r="AD310" s="33" t="str">
        <f t="shared" si="95"/>
        <v>·</v>
      </c>
      <c r="AE310" s="33" t="str">
        <f t="shared" si="96"/>
        <v>·</v>
      </c>
      <c r="AF310" s="34"/>
      <c r="AG310" s="33" t="str">
        <f t="shared" si="112"/>
        <v>·</v>
      </c>
      <c r="AH310" s="33" t="str">
        <f t="shared" si="98"/>
        <v>·</v>
      </c>
      <c r="AI310" s="35"/>
      <c r="AJ310" s="36"/>
      <c r="AK310" s="36"/>
      <c r="AL310" s="46"/>
      <c r="AM310" s="36"/>
      <c r="AN310" s="47"/>
      <c r="AO310" s="47"/>
      <c r="AP310" s="48"/>
      <c r="AQ310" s="48"/>
      <c r="AR310" s="48"/>
      <c r="AS310" s="47"/>
      <c r="AT310" s="52"/>
      <c r="AU310" s="52"/>
      <c r="AW310" s="59" t="e">
        <f t="shared" si="99"/>
        <v>#DIV/0!</v>
      </c>
      <c r="AX310" s="59"/>
      <c r="AZ310" s="60"/>
      <c r="BA310" s="60"/>
      <c r="BB310" s="64"/>
      <c r="BC310" s="64"/>
      <c r="BD310" s="64"/>
      <c r="BE310" s="60"/>
      <c r="BG310" s="60"/>
      <c r="BH310" s="60"/>
      <c r="BI310" s="64"/>
      <c r="BJ310" s="64"/>
      <c r="BK310" s="64"/>
      <c r="BL310" s="60"/>
      <c r="BN310">
        <f t="shared" si="100"/>
        <v>0</v>
      </c>
      <c r="BO310">
        <f t="shared" si="101"/>
        <v>0</v>
      </c>
      <c r="BP310">
        <f t="shared" si="102"/>
        <v>0</v>
      </c>
      <c r="BQ310">
        <f t="shared" si="103"/>
        <v>0</v>
      </c>
      <c r="BR310">
        <f t="shared" si="104"/>
        <v>0</v>
      </c>
      <c r="BS310">
        <f t="shared" si="105"/>
        <v>0</v>
      </c>
      <c r="BT310">
        <f t="shared" si="106"/>
        <v>0</v>
      </c>
      <c r="BU310">
        <f t="shared" si="107"/>
        <v>0</v>
      </c>
      <c r="BV310">
        <f t="shared" si="108"/>
        <v>0</v>
      </c>
      <c r="BW310">
        <f t="shared" si="109"/>
        <v>0</v>
      </c>
      <c r="BX310">
        <f t="shared" si="110"/>
        <v>0</v>
      </c>
    </row>
    <row r="311" spans="1:76" x14ac:dyDescent="0.15">
      <c r="A311" s="5"/>
      <c r="B311" s="5" t="s">
        <v>179</v>
      </c>
      <c r="C311" s="6" t="s">
        <v>254</v>
      </c>
      <c r="D311" s="5">
        <v>126093865</v>
      </c>
      <c r="E311" s="7">
        <v>18</v>
      </c>
      <c r="F311" s="6">
        <v>1500</v>
      </c>
      <c r="G311" s="6">
        <v>10</v>
      </c>
      <c r="I311" s="17" t="str">
        <f t="shared" si="89"/>
        <v>·</v>
      </c>
      <c r="J311" s="18" t="str">
        <f t="shared" si="90"/>
        <v>·</v>
      </c>
      <c r="K311" s="18" t="str">
        <f t="shared" si="91"/>
        <v>·</v>
      </c>
      <c r="L311" s="19"/>
      <c r="M311" s="18" t="str">
        <f t="shared" si="111"/>
        <v>·</v>
      </c>
      <c r="N311" s="18" t="str">
        <f t="shared" si="93"/>
        <v>·</v>
      </c>
      <c r="O311" s="20"/>
      <c r="P311" s="21"/>
      <c r="Q311" s="21"/>
      <c r="R311" s="37"/>
      <c r="S311" s="21"/>
      <c r="T311" s="38"/>
      <c r="U311" s="38"/>
      <c r="V311" s="39"/>
      <c r="W311" s="39"/>
      <c r="X311" s="39"/>
      <c r="Y311" s="38"/>
      <c r="Z311" s="49"/>
      <c r="AA311" s="49"/>
      <c r="AC311" s="17" t="str">
        <f t="shared" si="94"/>
        <v>·</v>
      </c>
      <c r="AD311" s="18" t="str">
        <f t="shared" si="95"/>
        <v>·</v>
      </c>
      <c r="AE311" s="18" t="str">
        <f t="shared" si="96"/>
        <v>·</v>
      </c>
      <c r="AF311" s="19"/>
      <c r="AG311" s="18" t="str">
        <f t="shared" si="112"/>
        <v>·</v>
      </c>
      <c r="AH311" s="18" t="str">
        <f t="shared" si="98"/>
        <v>·</v>
      </c>
      <c r="AI311" s="20"/>
      <c r="AJ311" s="21"/>
      <c r="AK311" s="21"/>
      <c r="AL311" s="37"/>
      <c r="AM311" s="21"/>
      <c r="AN311" s="38"/>
      <c r="AO311" s="38"/>
      <c r="AP311" s="39"/>
      <c r="AQ311" s="39"/>
      <c r="AR311" s="39"/>
      <c r="AS311" s="38"/>
      <c r="AT311" s="49"/>
      <c r="AU311" s="49"/>
      <c r="AW311" s="53" t="e">
        <f t="shared" si="99"/>
        <v>#DIV/0!</v>
      </c>
      <c r="AX311" s="53" t="e">
        <f t="array" ref="AX311">AVERAGE(AK311:AK316/AJ311:AJ316)-AVERAGE(Q311:Q316/P311:P316)</f>
        <v>#DIV/0!</v>
      </c>
      <c r="AZ311" s="54" t="str">
        <f>IF(OR(ISBLANK(Q311:Q316),ISBLANK(AK311:AK316),ISBLANK(T311:T316),ISBLANK(AN311:AN316)),"·",bdRateExtend(Q311:Q316,T311:T316,AK311:AK316,AN311:AN316))</f>
        <v>·</v>
      </c>
      <c r="BA311" s="54" t="str">
        <f>IF(OR(ISBLANK(Q311:Q316),ISBLANK(AK311:AK316),ISBLANK(U311:U316),ISBLANK(AO311:AO316)),"·",bdRateExtend(Q311:Q316,U311:U316,AK311:AK316,AO311:AO316))</f>
        <v>·</v>
      </c>
      <c r="BB311" s="61"/>
      <c r="BC311" s="61"/>
      <c r="BD311" s="61"/>
      <c r="BE311" s="54" t="str">
        <f>IF(OR(ISBLANK(S311:S316),ISBLANK(AM311:AM316),ISBLANK(Y311:Y316),ISBLANK(AS311:AS316)),"·",bdRateExtend(S311:S316,Y311:Y316,AM311:AM316,AS311:AS316))</f>
        <v>·</v>
      </c>
      <c r="BG311" s="54" t="str">
        <f>IF(OR(ISBLANK(P311:P316),ISBLANK(AJ311:AJ316),ISBLANK(T311:T316),ISBLANK(AN311:AN316)),"·",bdRateExtend(P311:P316,T311:T316,AJ311:AJ316,AN311:AN316))</f>
        <v>·</v>
      </c>
      <c r="BH311" s="54" t="str">
        <f>IF(OR(ISBLANK(P311:P316),ISBLANK(AJ311:AJ316),ISBLANK(U311:U316),ISBLANK(AO311:AO316)),"·",bdRateExtend(P311:P316,U311:U316,AJ311:AJ316,AO311:AO316))</f>
        <v>·</v>
      </c>
      <c r="BI311" s="61"/>
      <c r="BJ311" s="61"/>
      <c r="BK311" s="61"/>
      <c r="BL311" s="54" t="str">
        <f>IF(OR(ISBLANK(P311:P316),ISBLANK(AJ311:AJ316),ISBLANK(Y311:Y316),ISBLANK(AS311:AS316)),"·",bdRateExtend(P311:P316,Y311:Y316,AJ311:AJ316,AS311:AS316))</f>
        <v>·</v>
      </c>
      <c r="BN311">
        <f t="shared" si="100"/>
        <v>0</v>
      </c>
      <c r="BO311">
        <f t="shared" si="101"/>
        <v>0</v>
      </c>
      <c r="BP311">
        <f t="shared" si="102"/>
        <v>0</v>
      </c>
      <c r="BQ311">
        <f t="shared" si="103"/>
        <v>0</v>
      </c>
      <c r="BR311">
        <f t="shared" si="104"/>
        <v>0</v>
      </c>
      <c r="BS311">
        <f t="shared" si="105"/>
        <v>0</v>
      </c>
      <c r="BT311">
        <f t="shared" si="106"/>
        <v>0</v>
      </c>
      <c r="BU311">
        <f t="shared" si="107"/>
        <v>0</v>
      </c>
      <c r="BV311">
        <f t="shared" si="108"/>
        <v>0</v>
      </c>
      <c r="BW311">
        <f t="shared" si="109"/>
        <v>0</v>
      </c>
      <c r="BX311">
        <f t="shared" si="110"/>
        <v>0</v>
      </c>
    </row>
    <row r="312" spans="1:76" outlineLevel="1" x14ac:dyDescent="0.15">
      <c r="A312" s="8"/>
      <c r="B312" s="8" t="s">
        <v>179</v>
      </c>
      <c r="C312" s="9" t="s">
        <v>255</v>
      </c>
      <c r="D312" s="8">
        <v>126093865</v>
      </c>
      <c r="E312" s="10">
        <v>18</v>
      </c>
      <c r="F312" s="9">
        <v>1500</v>
      </c>
      <c r="G312" s="9">
        <v>10</v>
      </c>
      <c r="I312" s="22" t="str">
        <f t="shared" si="89"/>
        <v>·</v>
      </c>
      <c r="J312" s="23" t="str">
        <f t="shared" si="90"/>
        <v>·</v>
      </c>
      <c r="K312" s="23" t="str">
        <f t="shared" si="91"/>
        <v>·</v>
      </c>
      <c r="L312" s="24"/>
      <c r="M312" s="23" t="str">
        <f t="shared" si="111"/>
        <v>·</v>
      </c>
      <c r="N312" s="23" t="str">
        <f t="shared" si="93"/>
        <v>·</v>
      </c>
      <c r="O312" s="25"/>
      <c r="P312" s="26"/>
      <c r="Q312" s="26"/>
      <c r="R312" s="40"/>
      <c r="S312" s="26"/>
      <c r="T312" s="41"/>
      <c r="U312" s="41"/>
      <c r="V312" s="42"/>
      <c r="W312" s="42"/>
      <c r="X312" s="42"/>
      <c r="Y312" s="41"/>
      <c r="Z312" s="50"/>
      <c r="AA312" s="50"/>
      <c r="AC312" s="22" t="str">
        <f t="shared" si="94"/>
        <v>·</v>
      </c>
      <c r="AD312" s="23" t="str">
        <f t="shared" si="95"/>
        <v>·</v>
      </c>
      <c r="AE312" s="23" t="str">
        <f t="shared" si="96"/>
        <v>·</v>
      </c>
      <c r="AF312" s="24"/>
      <c r="AG312" s="23" t="str">
        <f t="shared" si="112"/>
        <v>·</v>
      </c>
      <c r="AH312" s="23" t="str">
        <f t="shared" si="98"/>
        <v>·</v>
      </c>
      <c r="AI312" s="25"/>
      <c r="AJ312" s="26"/>
      <c r="AK312" s="26"/>
      <c r="AL312" s="40"/>
      <c r="AM312" s="26"/>
      <c r="AN312" s="41"/>
      <c r="AO312" s="41"/>
      <c r="AP312" s="42"/>
      <c r="AQ312" s="42"/>
      <c r="AR312" s="42"/>
      <c r="AS312" s="41"/>
      <c r="AT312" s="50"/>
      <c r="AU312" s="50"/>
      <c r="AW312" s="55" t="e">
        <f t="shared" si="99"/>
        <v>#DIV/0!</v>
      </c>
      <c r="AX312" s="55"/>
      <c r="AZ312" s="56"/>
      <c r="BA312" s="56"/>
      <c r="BB312" s="62"/>
      <c r="BC312" s="62"/>
      <c r="BD312" s="62"/>
      <c r="BE312" s="56"/>
      <c r="BG312" s="56"/>
      <c r="BH312" s="56"/>
      <c r="BI312" s="62"/>
      <c r="BJ312" s="62"/>
      <c r="BK312" s="62"/>
      <c r="BL312" s="56"/>
      <c r="BN312">
        <f t="shared" si="100"/>
        <v>0</v>
      </c>
      <c r="BO312">
        <f t="shared" si="101"/>
        <v>0</v>
      </c>
      <c r="BP312">
        <f t="shared" si="102"/>
        <v>0</v>
      </c>
      <c r="BQ312">
        <f t="shared" si="103"/>
        <v>0</v>
      </c>
      <c r="BR312">
        <f t="shared" si="104"/>
        <v>0</v>
      </c>
      <c r="BS312">
        <f t="shared" si="105"/>
        <v>0</v>
      </c>
      <c r="BT312">
        <f t="shared" si="106"/>
        <v>0</v>
      </c>
      <c r="BU312">
        <f t="shared" si="107"/>
        <v>0</v>
      </c>
      <c r="BV312">
        <f t="shared" si="108"/>
        <v>0</v>
      </c>
      <c r="BW312">
        <f t="shared" si="109"/>
        <v>0</v>
      </c>
      <c r="BX312">
        <f t="shared" si="110"/>
        <v>0</v>
      </c>
    </row>
    <row r="313" spans="1:76" outlineLevel="1" x14ac:dyDescent="0.15">
      <c r="A313" s="5"/>
      <c r="B313" s="5" t="s">
        <v>179</v>
      </c>
      <c r="C313" s="6" t="s">
        <v>256</v>
      </c>
      <c r="D313" s="5">
        <v>126093865</v>
      </c>
      <c r="E313" s="7">
        <v>18</v>
      </c>
      <c r="F313" s="6">
        <v>1500</v>
      </c>
      <c r="G313" s="6">
        <v>10</v>
      </c>
      <c r="I313" s="17" t="str">
        <f t="shared" si="89"/>
        <v>·</v>
      </c>
      <c r="J313" s="18" t="str">
        <f t="shared" si="90"/>
        <v>·</v>
      </c>
      <c r="K313" s="18" t="str">
        <f t="shared" si="91"/>
        <v>·</v>
      </c>
      <c r="L313" s="19"/>
      <c r="M313" s="18" t="str">
        <f t="shared" ref="M313:M340" si="113">IF(ISBLANK(Q313),"·",S313/D313)</f>
        <v>·</v>
      </c>
      <c r="N313" s="18" t="str">
        <f t="shared" si="93"/>
        <v>·</v>
      </c>
      <c r="O313" s="20"/>
      <c r="P313" s="21"/>
      <c r="Q313" s="21"/>
      <c r="R313" s="37"/>
      <c r="S313" s="21"/>
      <c r="T313" s="38"/>
      <c r="U313" s="38"/>
      <c r="V313" s="39"/>
      <c r="W313" s="39"/>
      <c r="X313" s="39"/>
      <c r="Y313" s="38"/>
      <c r="Z313" s="49"/>
      <c r="AA313" s="49"/>
      <c r="AC313" s="17" t="str">
        <f t="shared" si="94"/>
        <v>·</v>
      </c>
      <c r="AD313" s="18" t="str">
        <f t="shared" si="95"/>
        <v>·</v>
      </c>
      <c r="AE313" s="18" t="str">
        <f t="shared" si="96"/>
        <v>·</v>
      </c>
      <c r="AF313" s="19"/>
      <c r="AG313" s="18" t="str">
        <f t="shared" ref="AG313:AG340" si="114">IF(ISBLANK(AK313),"·",AM313/D313)</f>
        <v>·</v>
      </c>
      <c r="AH313" s="18" t="str">
        <f t="shared" si="98"/>
        <v>·</v>
      </c>
      <c r="AI313" s="20"/>
      <c r="AJ313" s="21"/>
      <c r="AK313" s="21"/>
      <c r="AL313" s="37"/>
      <c r="AM313" s="21"/>
      <c r="AN313" s="38"/>
      <c r="AO313" s="38"/>
      <c r="AP313" s="39"/>
      <c r="AQ313" s="39"/>
      <c r="AR313" s="39"/>
      <c r="AS313" s="38"/>
      <c r="AT313" s="49"/>
      <c r="AU313" s="49"/>
      <c r="AW313" s="53" t="e">
        <f t="shared" si="99"/>
        <v>#DIV/0!</v>
      </c>
      <c r="AX313" s="53"/>
      <c r="AZ313" s="54"/>
      <c r="BA313" s="54"/>
      <c r="BB313" s="61"/>
      <c r="BC313" s="61"/>
      <c r="BD313" s="61"/>
      <c r="BE313" s="54"/>
      <c r="BG313" s="54"/>
      <c r="BH313" s="54"/>
      <c r="BI313" s="61"/>
      <c r="BJ313" s="61"/>
      <c r="BK313" s="61"/>
      <c r="BL313" s="54"/>
      <c r="BN313">
        <f t="shared" si="100"/>
        <v>0</v>
      </c>
      <c r="BO313">
        <f t="shared" si="101"/>
        <v>0</v>
      </c>
      <c r="BP313">
        <f t="shared" si="102"/>
        <v>0</v>
      </c>
      <c r="BQ313">
        <f t="shared" si="103"/>
        <v>0</v>
      </c>
      <c r="BR313">
        <f t="shared" si="104"/>
        <v>0</v>
      </c>
      <c r="BS313">
        <f t="shared" si="105"/>
        <v>0</v>
      </c>
      <c r="BT313">
        <f t="shared" si="106"/>
        <v>0</v>
      </c>
      <c r="BU313">
        <f t="shared" si="107"/>
        <v>0</v>
      </c>
      <c r="BV313">
        <f t="shared" si="108"/>
        <v>0</v>
      </c>
      <c r="BW313">
        <f t="shared" si="109"/>
        <v>0</v>
      </c>
      <c r="BX313">
        <f t="shared" si="110"/>
        <v>0</v>
      </c>
    </row>
    <row r="314" spans="1:76" outlineLevel="1" x14ac:dyDescent="0.15">
      <c r="A314" s="8"/>
      <c r="B314" s="8" t="s">
        <v>179</v>
      </c>
      <c r="C314" s="9" t="s">
        <v>257</v>
      </c>
      <c r="D314" s="8">
        <v>126093865</v>
      </c>
      <c r="E314" s="10">
        <v>18</v>
      </c>
      <c r="F314" s="9">
        <v>1500</v>
      </c>
      <c r="G314" s="9">
        <v>10</v>
      </c>
      <c r="I314" s="22" t="str">
        <f t="shared" si="89"/>
        <v>·</v>
      </c>
      <c r="J314" s="23" t="str">
        <f t="shared" si="90"/>
        <v>·</v>
      </c>
      <c r="K314" s="23" t="str">
        <f t="shared" si="91"/>
        <v>·</v>
      </c>
      <c r="L314" s="24"/>
      <c r="M314" s="23" t="str">
        <f t="shared" si="113"/>
        <v>·</v>
      </c>
      <c r="N314" s="23" t="str">
        <f t="shared" si="93"/>
        <v>·</v>
      </c>
      <c r="O314" s="25"/>
      <c r="P314" s="26"/>
      <c r="Q314" s="26"/>
      <c r="R314" s="40"/>
      <c r="S314" s="26"/>
      <c r="T314" s="41"/>
      <c r="U314" s="41"/>
      <c r="V314" s="42"/>
      <c r="W314" s="42"/>
      <c r="X314" s="42"/>
      <c r="Y314" s="41"/>
      <c r="Z314" s="50"/>
      <c r="AA314" s="50"/>
      <c r="AC314" s="22" t="str">
        <f t="shared" si="94"/>
        <v>·</v>
      </c>
      <c r="AD314" s="23" t="str">
        <f t="shared" si="95"/>
        <v>·</v>
      </c>
      <c r="AE314" s="23" t="str">
        <f t="shared" si="96"/>
        <v>·</v>
      </c>
      <c r="AF314" s="24"/>
      <c r="AG314" s="23" t="str">
        <f t="shared" si="114"/>
        <v>·</v>
      </c>
      <c r="AH314" s="23" t="str">
        <f t="shared" si="98"/>
        <v>·</v>
      </c>
      <c r="AI314" s="25"/>
      <c r="AJ314" s="26"/>
      <c r="AK314" s="26"/>
      <c r="AL314" s="40"/>
      <c r="AM314" s="26"/>
      <c r="AN314" s="41"/>
      <c r="AO314" s="41"/>
      <c r="AP314" s="42"/>
      <c r="AQ314" s="42"/>
      <c r="AR314" s="42"/>
      <c r="AS314" s="41"/>
      <c r="AT314" s="50"/>
      <c r="AU314" s="50"/>
      <c r="AW314" s="55" t="e">
        <f t="shared" si="99"/>
        <v>#DIV/0!</v>
      </c>
      <c r="AX314" s="55"/>
      <c r="AZ314" s="56"/>
      <c r="BA314" s="56"/>
      <c r="BB314" s="62"/>
      <c r="BC314" s="62"/>
      <c r="BD314" s="62"/>
      <c r="BE314" s="56"/>
      <c r="BG314" s="56"/>
      <c r="BH314" s="56"/>
      <c r="BI314" s="62"/>
      <c r="BJ314" s="62"/>
      <c r="BK314" s="62"/>
      <c r="BL314" s="56"/>
      <c r="BN314">
        <f t="shared" si="100"/>
        <v>0</v>
      </c>
      <c r="BO314">
        <f t="shared" si="101"/>
        <v>0</v>
      </c>
      <c r="BP314">
        <f t="shared" si="102"/>
        <v>0</v>
      </c>
      <c r="BQ314">
        <f t="shared" si="103"/>
        <v>0</v>
      </c>
      <c r="BR314">
        <f t="shared" si="104"/>
        <v>0</v>
      </c>
      <c r="BS314">
        <f t="shared" si="105"/>
        <v>0</v>
      </c>
      <c r="BT314">
        <f t="shared" si="106"/>
        <v>0</v>
      </c>
      <c r="BU314">
        <f t="shared" si="107"/>
        <v>0</v>
      </c>
      <c r="BV314">
        <f t="shared" si="108"/>
        <v>0</v>
      </c>
      <c r="BW314">
        <f t="shared" si="109"/>
        <v>0</v>
      </c>
      <c r="BX314">
        <f t="shared" si="110"/>
        <v>0</v>
      </c>
    </row>
    <row r="315" spans="1:76" outlineLevel="1" x14ac:dyDescent="0.15">
      <c r="A315" s="5"/>
      <c r="B315" s="5" t="s">
        <v>179</v>
      </c>
      <c r="C315" s="6" t="s">
        <v>258</v>
      </c>
      <c r="D315" s="5">
        <v>126093865</v>
      </c>
      <c r="E315" s="7">
        <v>18</v>
      </c>
      <c r="F315" s="6">
        <v>1500</v>
      </c>
      <c r="G315" s="6">
        <v>10</v>
      </c>
      <c r="I315" s="17" t="str">
        <f t="shared" si="89"/>
        <v>·</v>
      </c>
      <c r="J315" s="18" t="str">
        <f t="shared" si="90"/>
        <v>·</v>
      </c>
      <c r="K315" s="18" t="str">
        <f t="shared" si="91"/>
        <v>·</v>
      </c>
      <c r="L315" s="19"/>
      <c r="M315" s="18" t="str">
        <f t="shared" si="113"/>
        <v>·</v>
      </c>
      <c r="N315" s="18" t="str">
        <f t="shared" si="93"/>
        <v>·</v>
      </c>
      <c r="O315" s="20"/>
      <c r="P315" s="21"/>
      <c r="Q315" s="21"/>
      <c r="R315" s="37"/>
      <c r="S315" s="21"/>
      <c r="T315" s="38"/>
      <c r="U315" s="38"/>
      <c r="V315" s="39"/>
      <c r="W315" s="39"/>
      <c r="X315" s="39"/>
      <c r="Y315" s="38"/>
      <c r="Z315" s="49"/>
      <c r="AA315" s="49"/>
      <c r="AC315" s="17" t="str">
        <f t="shared" si="94"/>
        <v>·</v>
      </c>
      <c r="AD315" s="18" t="str">
        <f t="shared" si="95"/>
        <v>·</v>
      </c>
      <c r="AE315" s="18" t="str">
        <f t="shared" si="96"/>
        <v>·</v>
      </c>
      <c r="AF315" s="19"/>
      <c r="AG315" s="18" t="str">
        <f t="shared" si="114"/>
        <v>·</v>
      </c>
      <c r="AH315" s="18" t="str">
        <f t="shared" si="98"/>
        <v>·</v>
      </c>
      <c r="AI315" s="20"/>
      <c r="AJ315" s="21"/>
      <c r="AK315" s="21"/>
      <c r="AL315" s="37"/>
      <c r="AM315" s="21"/>
      <c r="AN315" s="38"/>
      <c r="AO315" s="38"/>
      <c r="AP315" s="39"/>
      <c r="AQ315" s="39"/>
      <c r="AR315" s="39"/>
      <c r="AS315" s="38"/>
      <c r="AT315" s="49"/>
      <c r="AU315" s="49"/>
      <c r="AW315" s="53" t="e">
        <f t="shared" si="99"/>
        <v>#DIV/0!</v>
      </c>
      <c r="AX315" s="53"/>
      <c r="AZ315" s="54"/>
      <c r="BA315" s="54"/>
      <c r="BB315" s="61"/>
      <c r="BC315" s="61"/>
      <c r="BD315" s="61"/>
      <c r="BE315" s="54"/>
      <c r="BG315" s="54"/>
      <c r="BH315" s="54"/>
      <c r="BI315" s="61"/>
      <c r="BJ315" s="61"/>
      <c r="BK315" s="61"/>
      <c r="BL315" s="54"/>
      <c r="BN315">
        <f t="shared" si="100"/>
        <v>0</v>
      </c>
      <c r="BO315">
        <f t="shared" si="101"/>
        <v>0</v>
      </c>
      <c r="BP315">
        <f t="shared" si="102"/>
        <v>0</v>
      </c>
      <c r="BQ315">
        <f t="shared" si="103"/>
        <v>0</v>
      </c>
      <c r="BR315">
        <f t="shared" si="104"/>
        <v>0</v>
      </c>
      <c r="BS315">
        <f t="shared" si="105"/>
        <v>0</v>
      </c>
      <c r="BT315">
        <f t="shared" si="106"/>
        <v>0</v>
      </c>
      <c r="BU315">
        <f t="shared" si="107"/>
        <v>0</v>
      </c>
      <c r="BV315">
        <f t="shared" si="108"/>
        <v>0</v>
      </c>
      <c r="BW315">
        <f t="shared" si="109"/>
        <v>0</v>
      </c>
      <c r="BX315">
        <f t="shared" si="110"/>
        <v>0</v>
      </c>
    </row>
    <row r="316" spans="1:76" outlineLevel="1" x14ac:dyDescent="0.15">
      <c r="A316" s="8"/>
      <c r="B316" s="14" t="s">
        <v>179</v>
      </c>
      <c r="C316" s="15" t="s">
        <v>259</v>
      </c>
      <c r="D316" s="14">
        <v>126093865</v>
      </c>
      <c r="E316" s="16">
        <v>18</v>
      </c>
      <c r="F316" s="15">
        <v>1500</v>
      </c>
      <c r="G316" s="15">
        <v>10</v>
      </c>
      <c r="I316" s="32" t="str">
        <f t="shared" si="89"/>
        <v>·</v>
      </c>
      <c r="J316" s="33" t="str">
        <f t="shared" si="90"/>
        <v>·</v>
      </c>
      <c r="K316" s="33" t="str">
        <f t="shared" si="91"/>
        <v>·</v>
      </c>
      <c r="L316" s="34"/>
      <c r="M316" s="33" t="str">
        <f t="shared" si="113"/>
        <v>·</v>
      </c>
      <c r="N316" s="33" t="str">
        <f t="shared" si="93"/>
        <v>·</v>
      </c>
      <c r="O316" s="35"/>
      <c r="P316" s="36"/>
      <c r="Q316" s="36"/>
      <c r="R316" s="46"/>
      <c r="S316" s="36"/>
      <c r="T316" s="47"/>
      <c r="U316" s="47"/>
      <c r="V316" s="48"/>
      <c r="W316" s="48"/>
      <c r="X316" s="48"/>
      <c r="Y316" s="47"/>
      <c r="Z316" s="52"/>
      <c r="AA316" s="52"/>
      <c r="AC316" s="32" t="str">
        <f t="shared" si="94"/>
        <v>·</v>
      </c>
      <c r="AD316" s="33" t="str">
        <f t="shared" si="95"/>
        <v>·</v>
      </c>
      <c r="AE316" s="33" t="str">
        <f t="shared" si="96"/>
        <v>·</v>
      </c>
      <c r="AF316" s="34"/>
      <c r="AG316" s="33" t="str">
        <f t="shared" si="114"/>
        <v>·</v>
      </c>
      <c r="AH316" s="33" t="str">
        <f t="shared" si="98"/>
        <v>·</v>
      </c>
      <c r="AI316" s="35"/>
      <c r="AJ316" s="36"/>
      <c r="AK316" s="36"/>
      <c r="AL316" s="46"/>
      <c r="AM316" s="36"/>
      <c r="AN316" s="47"/>
      <c r="AO316" s="47"/>
      <c r="AP316" s="48"/>
      <c r="AQ316" s="48"/>
      <c r="AR316" s="48"/>
      <c r="AS316" s="47"/>
      <c r="AT316" s="52"/>
      <c r="AU316" s="52"/>
      <c r="AW316" s="59" t="e">
        <f t="shared" si="99"/>
        <v>#DIV/0!</v>
      </c>
      <c r="AX316" s="59"/>
      <c r="AZ316" s="60"/>
      <c r="BA316" s="60"/>
      <c r="BB316" s="64"/>
      <c r="BC316" s="64"/>
      <c r="BD316" s="64"/>
      <c r="BE316" s="60"/>
      <c r="BG316" s="60"/>
      <c r="BH316" s="60"/>
      <c r="BI316" s="64"/>
      <c r="BJ316" s="64"/>
      <c r="BK316" s="64"/>
      <c r="BL316" s="60"/>
      <c r="BN316">
        <f t="shared" si="100"/>
        <v>0</v>
      </c>
      <c r="BO316">
        <f t="shared" si="101"/>
        <v>0</v>
      </c>
      <c r="BP316">
        <f t="shared" si="102"/>
        <v>0</v>
      </c>
      <c r="BQ316">
        <f t="shared" si="103"/>
        <v>0</v>
      </c>
      <c r="BR316">
        <f t="shared" si="104"/>
        <v>0</v>
      </c>
      <c r="BS316">
        <f t="shared" si="105"/>
        <v>0</v>
      </c>
      <c r="BT316">
        <f t="shared" si="106"/>
        <v>0</v>
      </c>
      <c r="BU316">
        <f t="shared" si="107"/>
        <v>0</v>
      </c>
      <c r="BV316">
        <f t="shared" si="108"/>
        <v>0</v>
      </c>
      <c r="BW316">
        <f t="shared" si="109"/>
        <v>0</v>
      </c>
      <c r="BX316">
        <f t="shared" si="110"/>
        <v>0</v>
      </c>
    </row>
    <row r="317" spans="1:76" x14ac:dyDescent="0.15">
      <c r="A317" s="5"/>
      <c r="B317" s="5" t="s">
        <v>180</v>
      </c>
      <c r="C317" s="6" t="s">
        <v>254</v>
      </c>
      <c r="D317" s="5">
        <v>2233793</v>
      </c>
      <c r="E317" s="7">
        <v>18</v>
      </c>
      <c r="F317" s="6">
        <v>74</v>
      </c>
      <c r="G317" s="6">
        <v>5</v>
      </c>
      <c r="I317" s="17" t="str">
        <f t="shared" si="89"/>
        <v>·</v>
      </c>
      <c r="J317" s="18" t="str">
        <f t="shared" si="90"/>
        <v>·</v>
      </c>
      <c r="K317" s="18" t="str">
        <f t="shared" si="91"/>
        <v>·</v>
      </c>
      <c r="L317" s="19"/>
      <c r="M317" s="18" t="str">
        <f t="shared" si="113"/>
        <v>·</v>
      </c>
      <c r="N317" s="18" t="str">
        <f t="shared" si="93"/>
        <v>·</v>
      </c>
      <c r="O317" s="20"/>
      <c r="P317" s="21"/>
      <c r="Q317" s="21"/>
      <c r="R317" s="37"/>
      <c r="S317" s="21"/>
      <c r="T317" s="38"/>
      <c r="U317" s="38"/>
      <c r="V317" s="39"/>
      <c r="W317" s="39"/>
      <c r="X317" s="39"/>
      <c r="Y317" s="38"/>
      <c r="Z317" s="49"/>
      <c r="AA317" s="49"/>
      <c r="AC317" s="17" t="str">
        <f t="shared" si="94"/>
        <v>·</v>
      </c>
      <c r="AD317" s="18" t="str">
        <f t="shared" si="95"/>
        <v>·</v>
      </c>
      <c r="AE317" s="18" t="str">
        <f t="shared" si="96"/>
        <v>·</v>
      </c>
      <c r="AF317" s="19"/>
      <c r="AG317" s="18" t="str">
        <f t="shared" si="114"/>
        <v>·</v>
      </c>
      <c r="AH317" s="18" t="str">
        <f t="shared" si="98"/>
        <v>·</v>
      </c>
      <c r="AI317" s="20"/>
      <c r="AJ317" s="21"/>
      <c r="AK317" s="21"/>
      <c r="AL317" s="37"/>
      <c r="AM317" s="21"/>
      <c r="AN317" s="38"/>
      <c r="AO317" s="38"/>
      <c r="AP317" s="39"/>
      <c r="AQ317" s="39"/>
      <c r="AR317" s="39"/>
      <c r="AS317" s="38"/>
      <c r="AT317" s="49"/>
      <c r="AU317" s="49"/>
      <c r="AW317" s="53" t="e">
        <f t="shared" si="99"/>
        <v>#DIV/0!</v>
      </c>
      <c r="AX317" s="53" t="e">
        <f t="array" ref="AX317">AVERAGE(AK317:AK322/AJ317:AJ322)-AVERAGE(Q317:Q322/P317:P322)</f>
        <v>#DIV/0!</v>
      </c>
      <c r="AZ317" s="54" t="str">
        <f>IF(OR(ISBLANK(Q317:Q322),ISBLANK(AK317:AK322),ISBLANK(T317:T322),ISBLANK(AN317:AN322)),"·",bdRateExtend(Q317:Q322,T317:T322,AK317:AK322,AN317:AN322))</f>
        <v>·</v>
      </c>
      <c r="BA317" s="54" t="str">
        <f>IF(OR(ISBLANK(Q317:Q322),ISBLANK(AK317:AK322),ISBLANK(U317:U322),ISBLANK(AO317:AO322)),"·",bdRateExtend(Q317:Q322,U317:U322,AK317:AK322,AO317:AO322))</f>
        <v>·</v>
      </c>
      <c r="BB317" s="61"/>
      <c r="BC317" s="61"/>
      <c r="BD317" s="61"/>
      <c r="BE317" s="54" t="str">
        <f>IF(OR(ISBLANK(S317:S322),ISBLANK(AM317:AM322),ISBLANK(Y317:Y322),ISBLANK(AS317:AS322)),"·",bdRateExtend(S317:S322,Y317:Y322,AM317:AM322,AS317:AS322))</f>
        <v>·</v>
      </c>
      <c r="BG317" s="54" t="str">
        <f>IF(OR(ISBLANK(P317:P322),ISBLANK(AJ317:AJ322),ISBLANK(T317:T322),ISBLANK(AN317:AN322)),"·",bdRateExtend(P317:P322,T317:T322,AJ317:AJ322,AN317:AN322))</f>
        <v>·</v>
      </c>
      <c r="BH317" s="54" t="str">
        <f>IF(OR(ISBLANK(P317:P322),ISBLANK(AJ317:AJ322),ISBLANK(U317:U322),ISBLANK(AO317:AO322)),"·",bdRateExtend(P317:P322,U317:U322,AJ317:AJ322,AO317:AO322))</f>
        <v>·</v>
      </c>
      <c r="BI317" s="61"/>
      <c r="BJ317" s="61"/>
      <c r="BK317" s="61"/>
      <c r="BL317" s="54" t="str">
        <f>IF(OR(ISBLANK(P317:P322),ISBLANK(AJ317:AJ322),ISBLANK(Y317:Y322),ISBLANK(AS317:AS322)),"·",bdRateExtend(P317:P322,Y317:Y322,AJ317:AJ322,AS317:AS322))</f>
        <v>·</v>
      </c>
      <c r="BN317">
        <f t="shared" si="100"/>
        <v>0</v>
      </c>
      <c r="BO317">
        <f t="shared" si="101"/>
        <v>0</v>
      </c>
      <c r="BP317">
        <f t="shared" si="102"/>
        <v>0</v>
      </c>
      <c r="BQ317">
        <f t="shared" si="103"/>
        <v>0</v>
      </c>
      <c r="BR317">
        <f t="shared" si="104"/>
        <v>0</v>
      </c>
      <c r="BS317">
        <f t="shared" si="105"/>
        <v>0</v>
      </c>
      <c r="BT317">
        <f t="shared" si="106"/>
        <v>0</v>
      </c>
      <c r="BU317">
        <f t="shared" si="107"/>
        <v>0</v>
      </c>
      <c r="BV317">
        <f t="shared" si="108"/>
        <v>0</v>
      </c>
      <c r="BW317">
        <f t="shared" si="109"/>
        <v>0</v>
      </c>
      <c r="BX317">
        <f t="shared" si="110"/>
        <v>0</v>
      </c>
    </row>
    <row r="318" spans="1:76" outlineLevel="1" x14ac:dyDescent="0.15">
      <c r="A318" s="8"/>
      <c r="B318" s="8" t="s">
        <v>180</v>
      </c>
      <c r="C318" s="9" t="s">
        <v>255</v>
      </c>
      <c r="D318" s="8">
        <v>2233793</v>
      </c>
      <c r="E318" s="10">
        <v>18</v>
      </c>
      <c r="F318" s="9">
        <v>74</v>
      </c>
      <c r="G318" s="9">
        <v>5</v>
      </c>
      <c r="I318" s="22" t="str">
        <f t="shared" si="89"/>
        <v>·</v>
      </c>
      <c r="J318" s="23" t="str">
        <f t="shared" si="90"/>
        <v>·</v>
      </c>
      <c r="K318" s="23" t="str">
        <f t="shared" si="91"/>
        <v>·</v>
      </c>
      <c r="L318" s="24"/>
      <c r="M318" s="23" t="str">
        <f t="shared" si="113"/>
        <v>·</v>
      </c>
      <c r="N318" s="23" t="str">
        <f t="shared" si="93"/>
        <v>·</v>
      </c>
      <c r="O318" s="25"/>
      <c r="P318" s="26"/>
      <c r="Q318" s="26"/>
      <c r="R318" s="40"/>
      <c r="S318" s="26"/>
      <c r="T318" s="41"/>
      <c r="U318" s="41"/>
      <c r="V318" s="42"/>
      <c r="W318" s="42"/>
      <c r="X318" s="42"/>
      <c r="Y318" s="41"/>
      <c r="Z318" s="50"/>
      <c r="AA318" s="50"/>
      <c r="AC318" s="22" t="str">
        <f t="shared" si="94"/>
        <v>·</v>
      </c>
      <c r="AD318" s="23" t="str">
        <f t="shared" si="95"/>
        <v>·</v>
      </c>
      <c r="AE318" s="23" t="str">
        <f t="shared" si="96"/>
        <v>·</v>
      </c>
      <c r="AF318" s="24"/>
      <c r="AG318" s="23" t="str">
        <f t="shared" si="114"/>
        <v>·</v>
      </c>
      <c r="AH318" s="23" t="str">
        <f t="shared" si="98"/>
        <v>·</v>
      </c>
      <c r="AI318" s="25"/>
      <c r="AJ318" s="26"/>
      <c r="AK318" s="26"/>
      <c r="AL318" s="40"/>
      <c r="AM318" s="26"/>
      <c r="AN318" s="41"/>
      <c r="AO318" s="41"/>
      <c r="AP318" s="42"/>
      <c r="AQ318" s="42"/>
      <c r="AR318" s="42"/>
      <c r="AS318" s="41"/>
      <c r="AT318" s="50"/>
      <c r="AU318" s="50"/>
      <c r="AW318" s="55" t="e">
        <f t="shared" si="99"/>
        <v>#DIV/0!</v>
      </c>
      <c r="AX318" s="55"/>
      <c r="AZ318" s="56"/>
      <c r="BA318" s="56"/>
      <c r="BB318" s="62"/>
      <c r="BC318" s="62"/>
      <c r="BD318" s="62"/>
      <c r="BE318" s="56"/>
      <c r="BG318" s="56"/>
      <c r="BH318" s="56"/>
      <c r="BI318" s="62"/>
      <c r="BJ318" s="62"/>
      <c r="BK318" s="62"/>
      <c r="BL318" s="56"/>
      <c r="BN318">
        <f t="shared" si="100"/>
        <v>0</v>
      </c>
      <c r="BO318">
        <f t="shared" si="101"/>
        <v>0</v>
      </c>
      <c r="BP318">
        <f t="shared" si="102"/>
        <v>0</v>
      </c>
      <c r="BQ318">
        <f t="shared" si="103"/>
        <v>0</v>
      </c>
      <c r="BR318">
        <f t="shared" si="104"/>
        <v>0</v>
      </c>
      <c r="BS318">
        <f t="shared" si="105"/>
        <v>0</v>
      </c>
      <c r="BT318">
        <f t="shared" si="106"/>
        <v>0</v>
      </c>
      <c r="BU318">
        <f t="shared" si="107"/>
        <v>0</v>
      </c>
      <c r="BV318">
        <f t="shared" si="108"/>
        <v>0</v>
      </c>
      <c r="BW318">
        <f t="shared" si="109"/>
        <v>0</v>
      </c>
      <c r="BX318">
        <f t="shared" si="110"/>
        <v>0</v>
      </c>
    </row>
    <row r="319" spans="1:76" outlineLevel="1" x14ac:dyDescent="0.15">
      <c r="A319" s="5"/>
      <c r="B319" s="5" t="s">
        <v>180</v>
      </c>
      <c r="C319" s="6" t="s">
        <v>256</v>
      </c>
      <c r="D319" s="5">
        <v>2233793</v>
      </c>
      <c r="E319" s="7">
        <v>18</v>
      </c>
      <c r="F319" s="6">
        <v>74</v>
      </c>
      <c r="G319" s="6">
        <v>5</v>
      </c>
      <c r="I319" s="17" t="str">
        <f t="shared" si="89"/>
        <v>·</v>
      </c>
      <c r="J319" s="18" t="str">
        <f t="shared" si="90"/>
        <v>·</v>
      </c>
      <c r="K319" s="18" t="str">
        <f t="shared" si="91"/>
        <v>·</v>
      </c>
      <c r="L319" s="19"/>
      <c r="M319" s="18" t="str">
        <f t="shared" si="113"/>
        <v>·</v>
      </c>
      <c r="N319" s="18" t="str">
        <f t="shared" si="93"/>
        <v>·</v>
      </c>
      <c r="O319" s="20"/>
      <c r="P319" s="21"/>
      <c r="Q319" s="21"/>
      <c r="R319" s="37"/>
      <c r="S319" s="21"/>
      <c r="T319" s="38"/>
      <c r="U319" s="38"/>
      <c r="V319" s="39"/>
      <c r="W319" s="39"/>
      <c r="X319" s="39"/>
      <c r="Y319" s="38"/>
      <c r="Z319" s="49"/>
      <c r="AA319" s="49"/>
      <c r="AC319" s="17" t="str">
        <f t="shared" si="94"/>
        <v>·</v>
      </c>
      <c r="AD319" s="18" t="str">
        <f t="shared" si="95"/>
        <v>·</v>
      </c>
      <c r="AE319" s="18" t="str">
        <f t="shared" si="96"/>
        <v>·</v>
      </c>
      <c r="AF319" s="19"/>
      <c r="AG319" s="18" t="str">
        <f t="shared" si="114"/>
        <v>·</v>
      </c>
      <c r="AH319" s="18" t="str">
        <f t="shared" si="98"/>
        <v>·</v>
      </c>
      <c r="AI319" s="20"/>
      <c r="AJ319" s="21"/>
      <c r="AK319" s="21"/>
      <c r="AL319" s="37"/>
      <c r="AM319" s="21"/>
      <c r="AN319" s="38"/>
      <c r="AO319" s="38"/>
      <c r="AP319" s="39"/>
      <c r="AQ319" s="39"/>
      <c r="AR319" s="39"/>
      <c r="AS319" s="38"/>
      <c r="AT319" s="49"/>
      <c r="AU319" s="49"/>
      <c r="AW319" s="53" t="e">
        <f t="shared" si="99"/>
        <v>#DIV/0!</v>
      </c>
      <c r="AX319" s="53"/>
      <c r="AZ319" s="54"/>
      <c r="BA319" s="54"/>
      <c r="BB319" s="61"/>
      <c r="BC319" s="61"/>
      <c r="BD319" s="61"/>
      <c r="BE319" s="54"/>
      <c r="BG319" s="54"/>
      <c r="BH319" s="54"/>
      <c r="BI319" s="61"/>
      <c r="BJ319" s="61"/>
      <c r="BK319" s="61"/>
      <c r="BL319" s="54"/>
      <c r="BN319">
        <f t="shared" si="100"/>
        <v>0</v>
      </c>
      <c r="BO319">
        <f t="shared" si="101"/>
        <v>0</v>
      </c>
      <c r="BP319">
        <f t="shared" si="102"/>
        <v>0</v>
      </c>
      <c r="BQ319">
        <f t="shared" si="103"/>
        <v>0</v>
      </c>
      <c r="BR319">
        <f t="shared" si="104"/>
        <v>0</v>
      </c>
      <c r="BS319">
        <f t="shared" si="105"/>
        <v>0</v>
      </c>
      <c r="BT319">
        <f t="shared" si="106"/>
        <v>0</v>
      </c>
      <c r="BU319">
        <f t="shared" si="107"/>
        <v>0</v>
      </c>
      <c r="BV319">
        <f t="shared" si="108"/>
        <v>0</v>
      </c>
      <c r="BW319">
        <f t="shared" si="109"/>
        <v>0</v>
      </c>
      <c r="BX319">
        <f t="shared" si="110"/>
        <v>0</v>
      </c>
    </row>
    <row r="320" spans="1:76" outlineLevel="1" x14ac:dyDescent="0.15">
      <c r="A320" s="8"/>
      <c r="B320" s="8" t="s">
        <v>180</v>
      </c>
      <c r="C320" s="9" t="s">
        <v>257</v>
      </c>
      <c r="D320" s="8">
        <v>2233793</v>
      </c>
      <c r="E320" s="10">
        <v>18</v>
      </c>
      <c r="F320" s="9">
        <v>74</v>
      </c>
      <c r="G320" s="9">
        <v>5</v>
      </c>
      <c r="I320" s="22" t="str">
        <f t="shared" si="89"/>
        <v>·</v>
      </c>
      <c r="J320" s="23" t="str">
        <f t="shared" si="90"/>
        <v>·</v>
      </c>
      <c r="K320" s="23" t="str">
        <f t="shared" si="91"/>
        <v>·</v>
      </c>
      <c r="L320" s="24"/>
      <c r="M320" s="23" t="str">
        <f t="shared" si="113"/>
        <v>·</v>
      </c>
      <c r="N320" s="23" t="str">
        <f t="shared" si="93"/>
        <v>·</v>
      </c>
      <c r="O320" s="25"/>
      <c r="P320" s="26"/>
      <c r="Q320" s="26"/>
      <c r="R320" s="40"/>
      <c r="S320" s="26"/>
      <c r="T320" s="41"/>
      <c r="U320" s="41"/>
      <c r="V320" s="42"/>
      <c r="W320" s="42"/>
      <c r="X320" s="42"/>
      <c r="Y320" s="41"/>
      <c r="Z320" s="50"/>
      <c r="AA320" s="50"/>
      <c r="AC320" s="22" t="str">
        <f t="shared" si="94"/>
        <v>·</v>
      </c>
      <c r="AD320" s="23" t="str">
        <f t="shared" si="95"/>
        <v>·</v>
      </c>
      <c r="AE320" s="23" t="str">
        <f t="shared" si="96"/>
        <v>·</v>
      </c>
      <c r="AF320" s="24"/>
      <c r="AG320" s="23" t="str">
        <f t="shared" si="114"/>
        <v>·</v>
      </c>
      <c r="AH320" s="23" t="str">
        <f t="shared" si="98"/>
        <v>·</v>
      </c>
      <c r="AI320" s="25"/>
      <c r="AJ320" s="26"/>
      <c r="AK320" s="26"/>
      <c r="AL320" s="40"/>
      <c r="AM320" s="26"/>
      <c r="AN320" s="41"/>
      <c r="AO320" s="41"/>
      <c r="AP320" s="42"/>
      <c r="AQ320" s="42"/>
      <c r="AR320" s="42"/>
      <c r="AS320" s="41"/>
      <c r="AT320" s="50"/>
      <c r="AU320" s="50"/>
      <c r="AW320" s="55" t="e">
        <f t="shared" si="99"/>
        <v>#DIV/0!</v>
      </c>
      <c r="AX320" s="55"/>
      <c r="AZ320" s="56"/>
      <c r="BA320" s="56"/>
      <c r="BB320" s="62"/>
      <c r="BC320" s="62"/>
      <c r="BD320" s="62"/>
      <c r="BE320" s="56"/>
      <c r="BG320" s="56"/>
      <c r="BH320" s="56"/>
      <c r="BI320" s="62"/>
      <c r="BJ320" s="62"/>
      <c r="BK320" s="62"/>
      <c r="BL320" s="56"/>
      <c r="BN320">
        <f t="shared" si="100"/>
        <v>0</v>
      </c>
      <c r="BO320">
        <f t="shared" si="101"/>
        <v>0</v>
      </c>
      <c r="BP320">
        <f t="shared" si="102"/>
        <v>0</v>
      </c>
      <c r="BQ320">
        <f t="shared" si="103"/>
        <v>0</v>
      </c>
      <c r="BR320">
        <f t="shared" si="104"/>
        <v>0</v>
      </c>
      <c r="BS320">
        <f t="shared" si="105"/>
        <v>0</v>
      </c>
      <c r="BT320">
        <f t="shared" si="106"/>
        <v>0</v>
      </c>
      <c r="BU320">
        <f t="shared" si="107"/>
        <v>0</v>
      </c>
      <c r="BV320">
        <f t="shared" si="108"/>
        <v>0</v>
      </c>
      <c r="BW320">
        <f t="shared" si="109"/>
        <v>0</v>
      </c>
      <c r="BX320">
        <f t="shared" si="110"/>
        <v>0</v>
      </c>
    </row>
    <row r="321" spans="1:76" outlineLevel="1" x14ac:dyDescent="0.15">
      <c r="A321" s="5"/>
      <c r="B321" s="5" t="s">
        <v>180</v>
      </c>
      <c r="C321" s="6" t="s">
        <v>258</v>
      </c>
      <c r="D321" s="5">
        <v>2233793</v>
      </c>
      <c r="E321" s="7">
        <v>18</v>
      </c>
      <c r="F321" s="6">
        <v>74</v>
      </c>
      <c r="G321" s="6">
        <v>5</v>
      </c>
      <c r="I321" s="17" t="str">
        <f t="shared" si="89"/>
        <v>·</v>
      </c>
      <c r="J321" s="18" t="str">
        <f t="shared" si="90"/>
        <v>·</v>
      </c>
      <c r="K321" s="18" t="str">
        <f t="shared" si="91"/>
        <v>·</v>
      </c>
      <c r="L321" s="19"/>
      <c r="M321" s="18" t="str">
        <f t="shared" si="113"/>
        <v>·</v>
      </c>
      <c r="N321" s="18" t="str">
        <f t="shared" si="93"/>
        <v>·</v>
      </c>
      <c r="O321" s="20"/>
      <c r="P321" s="21"/>
      <c r="Q321" s="21"/>
      <c r="R321" s="37"/>
      <c r="S321" s="21"/>
      <c r="T321" s="38"/>
      <c r="U321" s="38"/>
      <c r="V321" s="39"/>
      <c r="W321" s="39"/>
      <c r="X321" s="39"/>
      <c r="Y321" s="38"/>
      <c r="Z321" s="49"/>
      <c r="AA321" s="49"/>
      <c r="AC321" s="17" t="str">
        <f t="shared" si="94"/>
        <v>·</v>
      </c>
      <c r="AD321" s="18" t="str">
        <f t="shared" si="95"/>
        <v>·</v>
      </c>
      <c r="AE321" s="18" t="str">
        <f t="shared" si="96"/>
        <v>·</v>
      </c>
      <c r="AF321" s="19"/>
      <c r="AG321" s="18" t="str">
        <f t="shared" si="114"/>
        <v>·</v>
      </c>
      <c r="AH321" s="18" t="str">
        <f t="shared" si="98"/>
        <v>·</v>
      </c>
      <c r="AI321" s="20"/>
      <c r="AJ321" s="21"/>
      <c r="AK321" s="21"/>
      <c r="AL321" s="37"/>
      <c r="AM321" s="21"/>
      <c r="AN321" s="38"/>
      <c r="AO321" s="38"/>
      <c r="AP321" s="39"/>
      <c r="AQ321" s="39"/>
      <c r="AR321" s="39"/>
      <c r="AS321" s="38"/>
      <c r="AT321" s="49"/>
      <c r="AU321" s="49"/>
      <c r="AW321" s="53" t="e">
        <f t="shared" si="99"/>
        <v>#DIV/0!</v>
      </c>
      <c r="AX321" s="53"/>
      <c r="AZ321" s="54"/>
      <c r="BA321" s="54"/>
      <c r="BB321" s="61"/>
      <c r="BC321" s="61"/>
      <c r="BD321" s="61"/>
      <c r="BE321" s="54"/>
      <c r="BG321" s="54"/>
      <c r="BH321" s="54"/>
      <c r="BI321" s="61"/>
      <c r="BJ321" s="61"/>
      <c r="BK321" s="61"/>
      <c r="BL321" s="54"/>
      <c r="BN321">
        <f t="shared" si="100"/>
        <v>0</v>
      </c>
      <c r="BO321">
        <f t="shared" si="101"/>
        <v>0</v>
      </c>
      <c r="BP321">
        <f t="shared" si="102"/>
        <v>0</v>
      </c>
      <c r="BQ321">
        <f t="shared" si="103"/>
        <v>0</v>
      </c>
      <c r="BR321">
        <f t="shared" si="104"/>
        <v>0</v>
      </c>
      <c r="BS321">
        <f t="shared" si="105"/>
        <v>0</v>
      </c>
      <c r="BT321">
        <f t="shared" si="106"/>
        <v>0</v>
      </c>
      <c r="BU321">
        <f t="shared" si="107"/>
        <v>0</v>
      </c>
      <c r="BV321">
        <f t="shared" si="108"/>
        <v>0</v>
      </c>
      <c r="BW321">
        <f t="shared" si="109"/>
        <v>0</v>
      </c>
      <c r="BX321">
        <f t="shared" si="110"/>
        <v>0</v>
      </c>
    </row>
    <row r="322" spans="1:76" outlineLevel="1" x14ac:dyDescent="0.15">
      <c r="A322" s="8"/>
      <c r="B322" s="14" t="s">
        <v>180</v>
      </c>
      <c r="C322" s="15" t="s">
        <v>259</v>
      </c>
      <c r="D322" s="14">
        <v>2233793</v>
      </c>
      <c r="E322" s="16">
        <v>18</v>
      </c>
      <c r="F322" s="15">
        <v>74</v>
      </c>
      <c r="G322" s="15">
        <v>5</v>
      </c>
      <c r="I322" s="32" t="str">
        <f t="shared" si="89"/>
        <v>·</v>
      </c>
      <c r="J322" s="33" t="str">
        <f t="shared" si="90"/>
        <v>·</v>
      </c>
      <c r="K322" s="33" t="str">
        <f t="shared" si="91"/>
        <v>·</v>
      </c>
      <c r="L322" s="34"/>
      <c r="M322" s="33" t="str">
        <f t="shared" si="113"/>
        <v>·</v>
      </c>
      <c r="N322" s="33" t="str">
        <f t="shared" si="93"/>
        <v>·</v>
      </c>
      <c r="O322" s="35"/>
      <c r="P322" s="36"/>
      <c r="Q322" s="36"/>
      <c r="R322" s="46"/>
      <c r="S322" s="36"/>
      <c r="T322" s="47"/>
      <c r="U322" s="47"/>
      <c r="V322" s="48"/>
      <c r="W322" s="48"/>
      <c r="X322" s="48"/>
      <c r="Y322" s="47"/>
      <c r="Z322" s="52"/>
      <c r="AA322" s="52"/>
      <c r="AC322" s="32" t="str">
        <f t="shared" si="94"/>
        <v>·</v>
      </c>
      <c r="AD322" s="33" t="str">
        <f t="shared" si="95"/>
        <v>·</v>
      </c>
      <c r="AE322" s="33" t="str">
        <f t="shared" si="96"/>
        <v>·</v>
      </c>
      <c r="AF322" s="34"/>
      <c r="AG322" s="33" t="str">
        <f t="shared" si="114"/>
        <v>·</v>
      </c>
      <c r="AH322" s="33" t="str">
        <f t="shared" si="98"/>
        <v>·</v>
      </c>
      <c r="AI322" s="35"/>
      <c r="AJ322" s="36"/>
      <c r="AK322" s="36"/>
      <c r="AL322" s="46"/>
      <c r="AM322" s="36"/>
      <c r="AN322" s="47"/>
      <c r="AO322" s="47"/>
      <c r="AP322" s="48"/>
      <c r="AQ322" s="48"/>
      <c r="AR322" s="48"/>
      <c r="AS322" s="47"/>
      <c r="AT322" s="52"/>
      <c r="AU322" s="52"/>
      <c r="AW322" s="59" t="e">
        <f t="shared" si="99"/>
        <v>#DIV/0!</v>
      </c>
      <c r="AX322" s="59"/>
      <c r="AZ322" s="60"/>
      <c r="BA322" s="60"/>
      <c r="BB322" s="64"/>
      <c r="BC322" s="64"/>
      <c r="BD322" s="64"/>
      <c r="BE322" s="60"/>
      <c r="BG322" s="60"/>
      <c r="BH322" s="60"/>
      <c r="BI322" s="64"/>
      <c r="BJ322" s="64"/>
      <c r="BK322" s="64"/>
      <c r="BL322" s="60"/>
      <c r="BN322">
        <f t="shared" si="100"/>
        <v>0</v>
      </c>
      <c r="BO322">
        <f t="shared" si="101"/>
        <v>0</v>
      </c>
      <c r="BP322">
        <f t="shared" si="102"/>
        <v>0</v>
      </c>
      <c r="BQ322">
        <f t="shared" si="103"/>
        <v>0</v>
      </c>
      <c r="BR322">
        <f t="shared" si="104"/>
        <v>0</v>
      </c>
      <c r="BS322">
        <f t="shared" si="105"/>
        <v>0</v>
      </c>
      <c r="BT322">
        <f t="shared" si="106"/>
        <v>0</v>
      </c>
      <c r="BU322">
        <f t="shared" si="107"/>
        <v>0</v>
      </c>
      <c r="BV322">
        <f t="shared" si="108"/>
        <v>0</v>
      </c>
      <c r="BW322">
        <f t="shared" si="109"/>
        <v>0</v>
      </c>
      <c r="BX322">
        <f t="shared" si="110"/>
        <v>0</v>
      </c>
    </row>
    <row r="323" spans="1:76" x14ac:dyDescent="0.15">
      <c r="A323" s="5"/>
      <c r="B323" s="5" t="s">
        <v>181</v>
      </c>
      <c r="C323" s="6" t="s">
        <v>254</v>
      </c>
      <c r="D323" s="5">
        <v>2016190</v>
      </c>
      <c r="E323" s="7">
        <v>18</v>
      </c>
      <c r="F323" s="6">
        <v>74</v>
      </c>
      <c r="G323" s="6">
        <v>5</v>
      </c>
      <c r="I323" s="17" t="str">
        <f t="shared" si="89"/>
        <v>·</v>
      </c>
      <c r="J323" s="18" t="str">
        <f t="shared" si="90"/>
        <v>·</v>
      </c>
      <c r="K323" s="18" t="str">
        <f t="shared" si="91"/>
        <v>·</v>
      </c>
      <c r="L323" s="19"/>
      <c r="M323" s="18" t="str">
        <f t="shared" si="113"/>
        <v>·</v>
      </c>
      <c r="N323" s="18" t="str">
        <f t="shared" si="93"/>
        <v>·</v>
      </c>
      <c r="O323" s="20"/>
      <c r="P323" s="21"/>
      <c r="Q323" s="21"/>
      <c r="R323" s="37"/>
      <c r="S323" s="21"/>
      <c r="T323" s="38"/>
      <c r="U323" s="38"/>
      <c r="V323" s="39"/>
      <c r="W323" s="39"/>
      <c r="X323" s="39"/>
      <c r="Y323" s="38"/>
      <c r="Z323" s="49"/>
      <c r="AA323" s="49"/>
      <c r="AC323" s="17" t="str">
        <f t="shared" si="94"/>
        <v>·</v>
      </c>
      <c r="AD323" s="18" t="str">
        <f t="shared" si="95"/>
        <v>·</v>
      </c>
      <c r="AE323" s="18" t="str">
        <f t="shared" si="96"/>
        <v>·</v>
      </c>
      <c r="AF323" s="19"/>
      <c r="AG323" s="18" t="str">
        <f t="shared" si="114"/>
        <v>·</v>
      </c>
      <c r="AH323" s="18" t="str">
        <f t="shared" si="98"/>
        <v>·</v>
      </c>
      <c r="AI323" s="20"/>
      <c r="AJ323" s="21"/>
      <c r="AK323" s="21"/>
      <c r="AL323" s="37"/>
      <c r="AM323" s="21"/>
      <c r="AN323" s="38"/>
      <c r="AO323" s="38"/>
      <c r="AP323" s="39"/>
      <c r="AQ323" s="39"/>
      <c r="AR323" s="39"/>
      <c r="AS323" s="38"/>
      <c r="AT323" s="49"/>
      <c r="AU323" s="49"/>
      <c r="AW323" s="53" t="e">
        <f t="shared" si="99"/>
        <v>#DIV/0!</v>
      </c>
      <c r="AX323" s="53" t="e">
        <f t="array" ref="AX323">AVERAGE(AK323:AK328/AJ323:AJ328)-AVERAGE(Q323:Q328/P323:P328)</f>
        <v>#DIV/0!</v>
      </c>
      <c r="AZ323" s="54" t="str">
        <f>IF(OR(ISBLANK(Q323:Q328),ISBLANK(AK323:AK328),ISBLANK(T323:T328),ISBLANK(AN323:AN328)),"·",bdRateExtend(Q323:Q328,T323:T328,AK323:AK328,AN323:AN328))</f>
        <v>·</v>
      </c>
      <c r="BA323" s="54" t="str">
        <f>IF(OR(ISBLANK(Q323:Q328),ISBLANK(AK323:AK328),ISBLANK(U323:U328),ISBLANK(AO323:AO328)),"·",bdRateExtend(Q323:Q328,U323:U328,AK323:AK328,AO323:AO328))</f>
        <v>·</v>
      </c>
      <c r="BB323" s="61"/>
      <c r="BC323" s="61"/>
      <c r="BD323" s="61"/>
      <c r="BE323" s="54" t="str">
        <f>IF(OR(ISBLANK(S323:S328),ISBLANK(AM323:AM328),ISBLANK(Y323:Y328),ISBLANK(AS323:AS328)),"·",bdRateExtend(S323:S328,Y323:Y328,AM323:AM328,AS323:AS328))</f>
        <v>·</v>
      </c>
      <c r="BG323" s="54" t="str">
        <f>IF(OR(ISBLANK(P323:P328),ISBLANK(AJ323:AJ328),ISBLANK(T323:T328),ISBLANK(AN323:AN328)),"·",bdRateExtend(P323:P328,T323:T328,AJ323:AJ328,AN323:AN328))</f>
        <v>·</v>
      </c>
      <c r="BH323" s="54" t="str">
        <f>IF(OR(ISBLANK(P323:P328),ISBLANK(AJ323:AJ328),ISBLANK(U323:U328),ISBLANK(AO323:AO328)),"·",bdRateExtend(P323:P328,U323:U328,AJ323:AJ328,AO323:AO328))</f>
        <v>·</v>
      </c>
      <c r="BI323" s="61"/>
      <c r="BJ323" s="61"/>
      <c r="BK323" s="61"/>
      <c r="BL323" s="54" t="str">
        <f>IF(OR(ISBLANK(P323:P328),ISBLANK(AJ323:AJ328),ISBLANK(Y323:Y328),ISBLANK(AS323:AS328)),"·",bdRateExtend(P323:P328,Y323:Y328,AJ323:AJ328,AS323:AS328))</f>
        <v>·</v>
      </c>
      <c r="BN323">
        <f t="shared" si="100"/>
        <v>0</v>
      </c>
      <c r="BO323">
        <f t="shared" si="101"/>
        <v>0</v>
      </c>
      <c r="BP323">
        <f t="shared" si="102"/>
        <v>0</v>
      </c>
      <c r="BQ323">
        <f t="shared" si="103"/>
        <v>0</v>
      </c>
      <c r="BR323">
        <f t="shared" si="104"/>
        <v>0</v>
      </c>
      <c r="BS323">
        <f t="shared" si="105"/>
        <v>0</v>
      </c>
      <c r="BT323">
        <f t="shared" si="106"/>
        <v>0</v>
      </c>
      <c r="BU323">
        <f t="shared" si="107"/>
        <v>0</v>
      </c>
      <c r="BV323">
        <f t="shared" si="108"/>
        <v>0</v>
      </c>
      <c r="BW323">
        <f t="shared" si="109"/>
        <v>0</v>
      </c>
      <c r="BX323">
        <f t="shared" si="110"/>
        <v>0</v>
      </c>
    </row>
    <row r="324" spans="1:76" outlineLevel="1" x14ac:dyDescent="0.15">
      <c r="A324" s="8"/>
      <c r="B324" s="8" t="s">
        <v>181</v>
      </c>
      <c r="C324" s="9" t="s">
        <v>255</v>
      </c>
      <c r="D324" s="8">
        <v>2016190</v>
      </c>
      <c r="E324" s="10">
        <v>18</v>
      </c>
      <c r="F324" s="9">
        <v>74</v>
      </c>
      <c r="G324" s="9">
        <v>5</v>
      </c>
      <c r="I324" s="22" t="str">
        <f t="shared" si="89"/>
        <v>·</v>
      </c>
      <c r="J324" s="23" t="str">
        <f t="shared" si="90"/>
        <v>·</v>
      </c>
      <c r="K324" s="23" t="str">
        <f t="shared" si="91"/>
        <v>·</v>
      </c>
      <c r="L324" s="24"/>
      <c r="M324" s="23" t="str">
        <f t="shared" si="113"/>
        <v>·</v>
      </c>
      <c r="N324" s="23" t="str">
        <f t="shared" si="93"/>
        <v>·</v>
      </c>
      <c r="O324" s="25"/>
      <c r="P324" s="26"/>
      <c r="Q324" s="26"/>
      <c r="R324" s="40"/>
      <c r="S324" s="26"/>
      <c r="T324" s="41"/>
      <c r="U324" s="41"/>
      <c r="V324" s="42"/>
      <c r="W324" s="42"/>
      <c r="X324" s="42"/>
      <c r="Y324" s="41"/>
      <c r="Z324" s="50"/>
      <c r="AA324" s="50"/>
      <c r="AC324" s="22" t="str">
        <f t="shared" si="94"/>
        <v>·</v>
      </c>
      <c r="AD324" s="23" t="str">
        <f t="shared" si="95"/>
        <v>·</v>
      </c>
      <c r="AE324" s="23" t="str">
        <f t="shared" si="96"/>
        <v>·</v>
      </c>
      <c r="AF324" s="24"/>
      <c r="AG324" s="23" t="str">
        <f t="shared" si="114"/>
        <v>·</v>
      </c>
      <c r="AH324" s="23" t="str">
        <f t="shared" si="98"/>
        <v>·</v>
      </c>
      <c r="AI324" s="25"/>
      <c r="AJ324" s="26"/>
      <c r="AK324" s="26"/>
      <c r="AL324" s="40"/>
      <c r="AM324" s="26"/>
      <c r="AN324" s="41"/>
      <c r="AO324" s="41"/>
      <c r="AP324" s="42"/>
      <c r="AQ324" s="42"/>
      <c r="AR324" s="42"/>
      <c r="AS324" s="41"/>
      <c r="AT324" s="50"/>
      <c r="AU324" s="50"/>
      <c r="AW324" s="55" t="e">
        <f t="shared" si="99"/>
        <v>#DIV/0!</v>
      </c>
      <c r="AX324" s="55"/>
      <c r="AZ324" s="56"/>
      <c r="BA324" s="56"/>
      <c r="BB324" s="62"/>
      <c r="BC324" s="62"/>
      <c r="BD324" s="62"/>
      <c r="BE324" s="56"/>
      <c r="BG324" s="56"/>
      <c r="BH324" s="56"/>
      <c r="BI324" s="62"/>
      <c r="BJ324" s="62"/>
      <c r="BK324" s="62"/>
      <c r="BL324" s="56"/>
      <c r="BN324">
        <f t="shared" si="100"/>
        <v>0</v>
      </c>
      <c r="BO324">
        <f t="shared" si="101"/>
        <v>0</v>
      </c>
      <c r="BP324">
        <f t="shared" si="102"/>
        <v>0</v>
      </c>
      <c r="BQ324">
        <f t="shared" si="103"/>
        <v>0</v>
      </c>
      <c r="BR324">
        <f t="shared" si="104"/>
        <v>0</v>
      </c>
      <c r="BS324">
        <f t="shared" si="105"/>
        <v>0</v>
      </c>
      <c r="BT324">
        <f t="shared" si="106"/>
        <v>0</v>
      </c>
      <c r="BU324">
        <f t="shared" si="107"/>
        <v>0</v>
      </c>
      <c r="BV324">
        <f t="shared" si="108"/>
        <v>0</v>
      </c>
      <c r="BW324">
        <f t="shared" si="109"/>
        <v>0</v>
      </c>
      <c r="BX324">
        <f t="shared" si="110"/>
        <v>0</v>
      </c>
    </row>
    <row r="325" spans="1:76" outlineLevel="1" x14ac:dyDescent="0.15">
      <c r="A325" s="5"/>
      <c r="B325" s="5" t="s">
        <v>181</v>
      </c>
      <c r="C325" s="6" t="s">
        <v>256</v>
      </c>
      <c r="D325" s="5">
        <v>2016190</v>
      </c>
      <c r="E325" s="7">
        <v>18</v>
      </c>
      <c r="F325" s="6">
        <v>74</v>
      </c>
      <c r="G325" s="6">
        <v>5</v>
      </c>
      <c r="I325" s="17" t="str">
        <f t="shared" ref="I325:I340" si="115">IF(OR(ISBLANK(P325),ISBLANK(G325)),"·",P325*G325/F325/1000000)</f>
        <v>·</v>
      </c>
      <c r="J325" s="18" t="str">
        <f t="shared" ref="J325:J340" si="116">IF(ISBLANK(P325),"·",P325/D325)</f>
        <v>·</v>
      </c>
      <c r="K325" s="18" t="str">
        <f t="shared" ref="K325:K340" si="117">IF(Q325="","·",Q325/D325)</f>
        <v>·</v>
      </c>
      <c r="L325" s="19"/>
      <c r="M325" s="18" t="str">
        <f t="shared" si="113"/>
        <v>·</v>
      </c>
      <c r="N325" s="18" t="str">
        <f t="shared" ref="N325:N340" si="118">IF(ISBLANK(P325),"·",P325/O325)</f>
        <v>·</v>
      </c>
      <c r="O325" s="20"/>
      <c r="P325" s="21"/>
      <c r="Q325" s="21"/>
      <c r="R325" s="37"/>
      <c r="S325" s="21"/>
      <c r="T325" s="38"/>
      <c r="U325" s="38"/>
      <c r="V325" s="39"/>
      <c r="W325" s="39"/>
      <c r="X325" s="39"/>
      <c r="Y325" s="38"/>
      <c r="Z325" s="49"/>
      <c r="AA325" s="49"/>
      <c r="AC325" s="17" t="str">
        <f t="shared" ref="AC325:AC340" si="119">IF(OR(ISBLANK(AJ325),ISBLANK(G325)),"·",AJ325*G325/F325/1000000)</f>
        <v>·</v>
      </c>
      <c r="AD325" s="18" t="str">
        <f t="shared" ref="AD325:AD340" si="120">IF(ISBLANK(AJ325),"·",AJ325/D325)</f>
        <v>·</v>
      </c>
      <c r="AE325" s="18" t="str">
        <f t="shared" ref="AE325:AE340" si="121">IF(AK325="","·",AK325/D325)</f>
        <v>·</v>
      </c>
      <c r="AF325" s="19"/>
      <c r="AG325" s="18" t="str">
        <f t="shared" si="114"/>
        <v>·</v>
      </c>
      <c r="AH325" s="18" t="str">
        <f t="shared" ref="AH325:AH340" si="122">IF(ISBLANK(AJ325),"·",AJ325/AI325)</f>
        <v>·</v>
      </c>
      <c r="AI325" s="20"/>
      <c r="AJ325" s="21"/>
      <c r="AK325" s="21"/>
      <c r="AL325" s="37"/>
      <c r="AM325" s="21"/>
      <c r="AN325" s="38"/>
      <c r="AO325" s="38"/>
      <c r="AP325" s="39"/>
      <c r="AQ325" s="39"/>
      <c r="AR325" s="39"/>
      <c r="AS325" s="38"/>
      <c r="AT325" s="49"/>
      <c r="AU325" s="49"/>
      <c r="AW325" s="53" t="e">
        <f t="shared" ref="AW325:AW340" si="123">(AK325/AJ325)-(Q325/P325)</f>
        <v>#DIV/0!</v>
      </c>
      <c r="AX325" s="53"/>
      <c r="AZ325" s="54"/>
      <c r="BA325" s="54"/>
      <c r="BB325" s="61"/>
      <c r="BC325" s="61"/>
      <c r="BD325" s="61"/>
      <c r="BE325" s="54"/>
      <c r="BG325" s="54"/>
      <c r="BH325" s="54"/>
      <c r="BI325" s="61"/>
      <c r="BJ325" s="61"/>
      <c r="BK325" s="61"/>
      <c r="BL325" s="54"/>
      <c r="BN325">
        <f t="shared" si="100"/>
        <v>0</v>
      </c>
      <c r="BO325">
        <f t="shared" si="101"/>
        <v>0</v>
      </c>
      <c r="BP325">
        <f t="shared" si="102"/>
        <v>0</v>
      </c>
      <c r="BQ325">
        <f t="shared" si="103"/>
        <v>0</v>
      </c>
      <c r="BR325">
        <f t="shared" si="104"/>
        <v>0</v>
      </c>
      <c r="BS325">
        <f t="shared" si="105"/>
        <v>0</v>
      </c>
      <c r="BT325">
        <f t="shared" si="106"/>
        <v>0</v>
      </c>
      <c r="BU325">
        <f t="shared" si="107"/>
        <v>0</v>
      </c>
      <c r="BV325">
        <f t="shared" si="108"/>
        <v>0</v>
      </c>
      <c r="BW325">
        <f t="shared" si="109"/>
        <v>0</v>
      </c>
      <c r="BX325">
        <f t="shared" si="110"/>
        <v>0</v>
      </c>
    </row>
    <row r="326" spans="1:76" outlineLevel="1" x14ac:dyDescent="0.15">
      <c r="A326" s="8"/>
      <c r="B326" s="8" t="s">
        <v>181</v>
      </c>
      <c r="C326" s="9" t="s">
        <v>257</v>
      </c>
      <c r="D326" s="8">
        <v>2016190</v>
      </c>
      <c r="E326" s="10">
        <v>18</v>
      </c>
      <c r="F326" s="9">
        <v>74</v>
      </c>
      <c r="G326" s="9">
        <v>5</v>
      </c>
      <c r="I326" s="22" t="str">
        <f t="shared" si="115"/>
        <v>·</v>
      </c>
      <c r="J326" s="23" t="str">
        <f t="shared" si="116"/>
        <v>·</v>
      </c>
      <c r="K326" s="23" t="str">
        <f t="shared" si="117"/>
        <v>·</v>
      </c>
      <c r="L326" s="24"/>
      <c r="M326" s="23" t="str">
        <f t="shared" si="113"/>
        <v>·</v>
      </c>
      <c r="N326" s="23" t="str">
        <f t="shared" si="118"/>
        <v>·</v>
      </c>
      <c r="O326" s="25"/>
      <c r="P326" s="26"/>
      <c r="Q326" s="26"/>
      <c r="R326" s="40"/>
      <c r="S326" s="26"/>
      <c r="T326" s="41"/>
      <c r="U326" s="41"/>
      <c r="V326" s="42"/>
      <c r="W326" s="42"/>
      <c r="X326" s="42"/>
      <c r="Y326" s="41"/>
      <c r="Z326" s="50"/>
      <c r="AA326" s="50"/>
      <c r="AC326" s="22" t="str">
        <f t="shared" si="119"/>
        <v>·</v>
      </c>
      <c r="AD326" s="23" t="str">
        <f t="shared" si="120"/>
        <v>·</v>
      </c>
      <c r="AE326" s="23" t="str">
        <f t="shared" si="121"/>
        <v>·</v>
      </c>
      <c r="AF326" s="24"/>
      <c r="AG326" s="23" t="str">
        <f t="shared" si="114"/>
        <v>·</v>
      </c>
      <c r="AH326" s="23" t="str">
        <f t="shared" si="122"/>
        <v>·</v>
      </c>
      <c r="AI326" s="25"/>
      <c r="AJ326" s="26"/>
      <c r="AK326" s="26"/>
      <c r="AL326" s="40"/>
      <c r="AM326" s="26"/>
      <c r="AN326" s="41"/>
      <c r="AO326" s="41"/>
      <c r="AP326" s="42"/>
      <c r="AQ326" s="42"/>
      <c r="AR326" s="42"/>
      <c r="AS326" s="41"/>
      <c r="AT326" s="50"/>
      <c r="AU326" s="50"/>
      <c r="AW326" s="55" t="e">
        <f t="shared" si="123"/>
        <v>#DIV/0!</v>
      </c>
      <c r="AX326" s="55"/>
      <c r="AZ326" s="56"/>
      <c r="BA326" s="56"/>
      <c r="BB326" s="62"/>
      <c r="BC326" s="62"/>
      <c r="BD326" s="62"/>
      <c r="BE326" s="56"/>
      <c r="BG326" s="56"/>
      <c r="BH326" s="56"/>
      <c r="BI326" s="62"/>
      <c r="BJ326" s="62"/>
      <c r="BK326" s="62"/>
      <c r="BL326" s="56"/>
      <c r="BN326">
        <f t="shared" ref="BN326:BN340" si="124">AI326-O326</f>
        <v>0</v>
      </c>
      <c r="BO326">
        <f t="shared" ref="BO326:BO340" si="125">AJ326-P326</f>
        <v>0</v>
      </c>
      <c r="BP326">
        <f t="shared" ref="BP326:BP340" si="126">AK326-Q326</f>
        <v>0</v>
      </c>
      <c r="BQ326">
        <f t="shared" ref="BQ326:BQ340" si="127">AL326-R326</f>
        <v>0</v>
      </c>
      <c r="BR326">
        <f t="shared" ref="BR326:BR340" si="128">AM326-S326</f>
        <v>0</v>
      </c>
      <c r="BS326">
        <f t="shared" ref="BS326:BS340" si="129">AN326-T326</f>
        <v>0</v>
      </c>
      <c r="BT326">
        <f t="shared" ref="BT326:BT340" si="130">AO326-U326</f>
        <v>0</v>
      </c>
      <c r="BU326">
        <f t="shared" ref="BU326:BU340" si="131">AP326-V326</f>
        <v>0</v>
      </c>
      <c r="BV326">
        <f t="shared" ref="BV326:BV340" si="132">AQ326-W326</f>
        <v>0</v>
      </c>
      <c r="BW326">
        <f t="shared" ref="BW326:BW340" si="133">AR326-X326</f>
        <v>0</v>
      </c>
      <c r="BX326">
        <f t="shared" ref="BX326:BX340" si="134">AS326-Y326</f>
        <v>0</v>
      </c>
    </row>
    <row r="327" spans="1:76" outlineLevel="1" x14ac:dyDescent="0.15">
      <c r="A327" s="5"/>
      <c r="B327" s="5" t="s">
        <v>181</v>
      </c>
      <c r="C327" s="6" t="s">
        <v>258</v>
      </c>
      <c r="D327" s="5">
        <v>2016190</v>
      </c>
      <c r="E327" s="7">
        <v>18</v>
      </c>
      <c r="F327" s="6">
        <v>74</v>
      </c>
      <c r="G327" s="6">
        <v>5</v>
      </c>
      <c r="I327" s="17" t="str">
        <f t="shared" si="115"/>
        <v>·</v>
      </c>
      <c r="J327" s="18" t="str">
        <f t="shared" si="116"/>
        <v>·</v>
      </c>
      <c r="K327" s="18" t="str">
        <f t="shared" si="117"/>
        <v>·</v>
      </c>
      <c r="L327" s="19"/>
      <c r="M327" s="18" t="str">
        <f t="shared" si="113"/>
        <v>·</v>
      </c>
      <c r="N327" s="18" t="str">
        <f t="shared" si="118"/>
        <v>·</v>
      </c>
      <c r="O327" s="20"/>
      <c r="P327" s="21"/>
      <c r="Q327" s="21"/>
      <c r="R327" s="37"/>
      <c r="S327" s="21"/>
      <c r="T327" s="38"/>
      <c r="U327" s="38"/>
      <c r="V327" s="39"/>
      <c r="W327" s="39"/>
      <c r="X327" s="39"/>
      <c r="Y327" s="38"/>
      <c r="Z327" s="49"/>
      <c r="AA327" s="49"/>
      <c r="AC327" s="17" t="str">
        <f t="shared" si="119"/>
        <v>·</v>
      </c>
      <c r="AD327" s="18" t="str">
        <f t="shared" si="120"/>
        <v>·</v>
      </c>
      <c r="AE327" s="18" t="str">
        <f t="shared" si="121"/>
        <v>·</v>
      </c>
      <c r="AF327" s="19"/>
      <c r="AG327" s="18" t="str">
        <f t="shared" si="114"/>
        <v>·</v>
      </c>
      <c r="AH327" s="18" t="str">
        <f t="shared" si="122"/>
        <v>·</v>
      </c>
      <c r="AI327" s="20"/>
      <c r="AJ327" s="21"/>
      <c r="AK327" s="21"/>
      <c r="AL327" s="37"/>
      <c r="AM327" s="21"/>
      <c r="AN327" s="38"/>
      <c r="AO327" s="38"/>
      <c r="AP327" s="39"/>
      <c r="AQ327" s="39"/>
      <c r="AR327" s="39"/>
      <c r="AS327" s="38"/>
      <c r="AT327" s="49"/>
      <c r="AU327" s="49"/>
      <c r="AW327" s="53" t="e">
        <f t="shared" si="123"/>
        <v>#DIV/0!</v>
      </c>
      <c r="AX327" s="53"/>
      <c r="AZ327" s="54"/>
      <c r="BA327" s="54"/>
      <c r="BB327" s="61"/>
      <c r="BC327" s="61"/>
      <c r="BD327" s="61"/>
      <c r="BE327" s="54"/>
      <c r="BG327" s="54"/>
      <c r="BH327" s="54"/>
      <c r="BI327" s="61"/>
      <c r="BJ327" s="61"/>
      <c r="BK327" s="61"/>
      <c r="BL327" s="54"/>
      <c r="BN327">
        <f t="shared" si="124"/>
        <v>0</v>
      </c>
      <c r="BO327">
        <f t="shared" si="125"/>
        <v>0</v>
      </c>
      <c r="BP327">
        <f t="shared" si="126"/>
        <v>0</v>
      </c>
      <c r="BQ327">
        <f t="shared" si="127"/>
        <v>0</v>
      </c>
      <c r="BR327">
        <f t="shared" si="128"/>
        <v>0</v>
      </c>
      <c r="BS327">
        <f t="shared" si="129"/>
        <v>0</v>
      </c>
      <c r="BT327">
        <f t="shared" si="130"/>
        <v>0</v>
      </c>
      <c r="BU327">
        <f t="shared" si="131"/>
        <v>0</v>
      </c>
      <c r="BV327">
        <f t="shared" si="132"/>
        <v>0</v>
      </c>
      <c r="BW327">
        <f t="shared" si="133"/>
        <v>0</v>
      </c>
      <c r="BX327">
        <f t="shared" si="134"/>
        <v>0</v>
      </c>
    </row>
    <row r="328" spans="1:76" outlineLevel="1" x14ac:dyDescent="0.15">
      <c r="A328" s="8"/>
      <c r="B328" s="14" t="s">
        <v>181</v>
      </c>
      <c r="C328" s="15" t="s">
        <v>259</v>
      </c>
      <c r="D328" s="14">
        <v>2016190</v>
      </c>
      <c r="E328" s="16">
        <v>18</v>
      </c>
      <c r="F328" s="15">
        <v>74</v>
      </c>
      <c r="G328" s="15">
        <v>5</v>
      </c>
      <c r="I328" s="32" t="str">
        <f t="shared" si="115"/>
        <v>·</v>
      </c>
      <c r="J328" s="33" t="str">
        <f t="shared" si="116"/>
        <v>·</v>
      </c>
      <c r="K328" s="33" t="str">
        <f t="shared" si="117"/>
        <v>·</v>
      </c>
      <c r="L328" s="34"/>
      <c r="M328" s="33" t="str">
        <f t="shared" si="113"/>
        <v>·</v>
      </c>
      <c r="N328" s="33" t="str">
        <f t="shared" si="118"/>
        <v>·</v>
      </c>
      <c r="O328" s="35"/>
      <c r="P328" s="36"/>
      <c r="Q328" s="36"/>
      <c r="R328" s="46"/>
      <c r="S328" s="36"/>
      <c r="T328" s="47"/>
      <c r="U328" s="47"/>
      <c r="V328" s="48"/>
      <c r="W328" s="48"/>
      <c r="X328" s="48"/>
      <c r="Y328" s="47"/>
      <c r="Z328" s="52"/>
      <c r="AA328" s="52"/>
      <c r="AC328" s="32" t="str">
        <f t="shared" si="119"/>
        <v>·</v>
      </c>
      <c r="AD328" s="33" t="str">
        <f t="shared" si="120"/>
        <v>·</v>
      </c>
      <c r="AE328" s="33" t="str">
        <f t="shared" si="121"/>
        <v>·</v>
      </c>
      <c r="AF328" s="34"/>
      <c r="AG328" s="33" t="str">
        <f t="shared" si="114"/>
        <v>·</v>
      </c>
      <c r="AH328" s="33" t="str">
        <f t="shared" si="122"/>
        <v>·</v>
      </c>
      <c r="AI328" s="35"/>
      <c r="AJ328" s="36"/>
      <c r="AK328" s="36"/>
      <c r="AL328" s="46"/>
      <c r="AM328" s="36"/>
      <c r="AN328" s="47"/>
      <c r="AO328" s="47"/>
      <c r="AP328" s="48"/>
      <c r="AQ328" s="48"/>
      <c r="AR328" s="48"/>
      <c r="AS328" s="47"/>
      <c r="AT328" s="52"/>
      <c r="AU328" s="52"/>
      <c r="AW328" s="59" t="e">
        <f t="shared" si="123"/>
        <v>#DIV/0!</v>
      </c>
      <c r="AX328" s="59"/>
      <c r="AZ328" s="60"/>
      <c r="BA328" s="60"/>
      <c r="BB328" s="64"/>
      <c r="BC328" s="64"/>
      <c r="BD328" s="64"/>
      <c r="BE328" s="60"/>
      <c r="BG328" s="60"/>
      <c r="BH328" s="60"/>
      <c r="BI328" s="64"/>
      <c r="BJ328" s="64"/>
      <c r="BK328" s="64"/>
      <c r="BL328" s="60"/>
      <c r="BN328">
        <f t="shared" si="124"/>
        <v>0</v>
      </c>
      <c r="BO328">
        <f t="shared" si="125"/>
        <v>0</v>
      </c>
      <c r="BP328">
        <f t="shared" si="126"/>
        <v>0</v>
      </c>
      <c r="BQ328">
        <f t="shared" si="127"/>
        <v>0</v>
      </c>
      <c r="BR328">
        <f t="shared" si="128"/>
        <v>0</v>
      </c>
      <c r="BS328">
        <f t="shared" si="129"/>
        <v>0</v>
      </c>
      <c r="BT328">
        <f t="shared" si="130"/>
        <v>0</v>
      </c>
      <c r="BU328">
        <f t="shared" si="131"/>
        <v>0</v>
      </c>
      <c r="BV328">
        <f t="shared" si="132"/>
        <v>0</v>
      </c>
      <c r="BW328">
        <f t="shared" si="133"/>
        <v>0</v>
      </c>
      <c r="BX328">
        <f t="shared" si="134"/>
        <v>0</v>
      </c>
    </row>
    <row r="329" spans="1:76" x14ac:dyDescent="0.15">
      <c r="A329" s="5"/>
      <c r="B329" s="5" t="s">
        <v>182</v>
      </c>
      <c r="C329" s="6" t="s">
        <v>254</v>
      </c>
      <c r="D329" s="5">
        <v>14430189</v>
      </c>
      <c r="E329" s="7">
        <v>18</v>
      </c>
      <c r="F329" s="6">
        <v>500</v>
      </c>
      <c r="G329" s="6">
        <v>5</v>
      </c>
      <c r="I329" s="17" t="str">
        <f t="shared" si="115"/>
        <v>·</v>
      </c>
      <c r="J329" s="18" t="str">
        <f t="shared" si="116"/>
        <v>·</v>
      </c>
      <c r="K329" s="18" t="str">
        <f t="shared" si="117"/>
        <v>·</v>
      </c>
      <c r="L329" s="19"/>
      <c r="M329" s="18" t="str">
        <f t="shared" si="113"/>
        <v>·</v>
      </c>
      <c r="N329" s="18" t="str">
        <f t="shared" si="118"/>
        <v>·</v>
      </c>
      <c r="O329" s="20"/>
      <c r="P329" s="21"/>
      <c r="Q329" s="21"/>
      <c r="R329" s="37"/>
      <c r="S329" s="21"/>
      <c r="T329" s="38"/>
      <c r="U329" s="38"/>
      <c r="V329" s="39"/>
      <c r="W329" s="39"/>
      <c r="X329" s="39"/>
      <c r="Y329" s="38"/>
      <c r="Z329" s="49"/>
      <c r="AA329" s="49"/>
      <c r="AC329" s="17" t="str">
        <f t="shared" si="119"/>
        <v>·</v>
      </c>
      <c r="AD329" s="18" t="str">
        <f t="shared" si="120"/>
        <v>·</v>
      </c>
      <c r="AE329" s="18" t="str">
        <f t="shared" si="121"/>
        <v>·</v>
      </c>
      <c r="AF329" s="19"/>
      <c r="AG329" s="18" t="str">
        <f t="shared" si="114"/>
        <v>·</v>
      </c>
      <c r="AH329" s="18" t="str">
        <f t="shared" si="122"/>
        <v>·</v>
      </c>
      <c r="AI329" s="20"/>
      <c r="AJ329" s="21"/>
      <c r="AK329" s="21"/>
      <c r="AL329" s="37"/>
      <c r="AM329" s="21"/>
      <c r="AN329" s="38"/>
      <c r="AO329" s="38"/>
      <c r="AP329" s="39"/>
      <c r="AQ329" s="39"/>
      <c r="AR329" s="39"/>
      <c r="AS329" s="38"/>
      <c r="AT329" s="49"/>
      <c r="AU329" s="49"/>
      <c r="AW329" s="53" t="e">
        <f t="shared" si="123"/>
        <v>#DIV/0!</v>
      </c>
      <c r="AX329" s="53" t="e">
        <f t="array" ref="AX329">AVERAGE(AK329:AK334/AJ329:AJ334)-AVERAGE(Q329:Q334/P329:P334)</f>
        <v>#DIV/0!</v>
      </c>
      <c r="AZ329" s="54" t="str">
        <f>IF(OR(ISBLANK(Q329:Q334),ISBLANK(AK329:AK334),ISBLANK(T329:T334),ISBLANK(AN329:AN334)),"·",bdRateExtend(Q329:Q334,T329:T334,AK329:AK334,AN329:AN334))</f>
        <v>·</v>
      </c>
      <c r="BA329" s="54" t="str">
        <f>IF(OR(ISBLANK(Q329:Q334),ISBLANK(AK329:AK334),ISBLANK(U329:U334),ISBLANK(AO329:AO334)),"·",bdRateExtend(Q329:Q334,U329:U334,AK329:AK334,AO329:AO334))</f>
        <v>·</v>
      </c>
      <c r="BB329" s="61"/>
      <c r="BC329" s="61"/>
      <c r="BD329" s="61"/>
      <c r="BE329" s="54" t="str">
        <f>IF(OR(ISBLANK(S329:S334),ISBLANK(AM329:AM334),ISBLANK(Y329:Y334),ISBLANK(AS329:AS334)),"·",bdRateExtend(S329:S334,Y329:Y334,AM329:AM334,AS329:AS334))</f>
        <v>·</v>
      </c>
      <c r="BG329" s="54" t="str">
        <f>IF(OR(ISBLANK(P329:P334),ISBLANK(AJ329:AJ334),ISBLANK(T329:T334),ISBLANK(AN329:AN334)),"·",bdRateExtend(P329:P334,T329:T334,AJ329:AJ334,AN329:AN334))</f>
        <v>·</v>
      </c>
      <c r="BH329" s="54" t="str">
        <f>IF(OR(ISBLANK(P329:P334),ISBLANK(AJ329:AJ334),ISBLANK(U329:U334),ISBLANK(AO329:AO334)),"·",bdRateExtend(P329:P334,U329:U334,AJ329:AJ334,AO329:AO334))</f>
        <v>·</v>
      </c>
      <c r="BI329" s="61"/>
      <c r="BJ329" s="61"/>
      <c r="BK329" s="61"/>
      <c r="BL329" s="54" t="str">
        <f>IF(OR(ISBLANK(P329:P334),ISBLANK(AJ329:AJ334),ISBLANK(Y329:Y334),ISBLANK(AS329:AS334)),"·",bdRateExtend(P329:P334,Y329:Y334,AJ329:AJ334,AS329:AS334))</f>
        <v>·</v>
      </c>
      <c r="BN329">
        <f t="shared" si="124"/>
        <v>0</v>
      </c>
      <c r="BO329">
        <f t="shared" si="125"/>
        <v>0</v>
      </c>
      <c r="BP329">
        <f t="shared" si="126"/>
        <v>0</v>
      </c>
      <c r="BQ329">
        <f t="shared" si="127"/>
        <v>0</v>
      </c>
      <c r="BR329">
        <f t="shared" si="128"/>
        <v>0</v>
      </c>
      <c r="BS329">
        <f t="shared" si="129"/>
        <v>0</v>
      </c>
      <c r="BT329">
        <f t="shared" si="130"/>
        <v>0</v>
      </c>
      <c r="BU329">
        <f t="shared" si="131"/>
        <v>0</v>
      </c>
      <c r="BV329">
        <f t="shared" si="132"/>
        <v>0</v>
      </c>
      <c r="BW329">
        <f t="shared" si="133"/>
        <v>0</v>
      </c>
      <c r="BX329">
        <f t="shared" si="134"/>
        <v>0</v>
      </c>
    </row>
    <row r="330" spans="1:76" outlineLevel="1" x14ac:dyDescent="0.15">
      <c r="A330" s="8"/>
      <c r="B330" s="8" t="s">
        <v>182</v>
      </c>
      <c r="C330" s="9" t="s">
        <v>255</v>
      </c>
      <c r="D330" s="8">
        <v>14430189</v>
      </c>
      <c r="E330" s="10">
        <v>18</v>
      </c>
      <c r="F330" s="9">
        <v>500</v>
      </c>
      <c r="G330" s="9">
        <v>5</v>
      </c>
      <c r="I330" s="22" t="str">
        <f t="shared" si="115"/>
        <v>·</v>
      </c>
      <c r="J330" s="23" t="str">
        <f t="shared" si="116"/>
        <v>·</v>
      </c>
      <c r="K330" s="23" t="str">
        <f t="shared" si="117"/>
        <v>·</v>
      </c>
      <c r="L330" s="24"/>
      <c r="M330" s="23" t="str">
        <f t="shared" si="113"/>
        <v>·</v>
      </c>
      <c r="N330" s="23" t="str">
        <f t="shared" si="118"/>
        <v>·</v>
      </c>
      <c r="O330" s="25"/>
      <c r="P330" s="26"/>
      <c r="Q330" s="26"/>
      <c r="R330" s="40"/>
      <c r="S330" s="26"/>
      <c r="T330" s="41"/>
      <c r="U330" s="41"/>
      <c r="V330" s="42"/>
      <c r="W330" s="42"/>
      <c r="X330" s="42"/>
      <c r="Y330" s="41"/>
      <c r="Z330" s="50"/>
      <c r="AA330" s="50"/>
      <c r="AC330" s="22" t="str">
        <f t="shared" si="119"/>
        <v>·</v>
      </c>
      <c r="AD330" s="23" t="str">
        <f t="shared" si="120"/>
        <v>·</v>
      </c>
      <c r="AE330" s="23" t="str">
        <f t="shared" si="121"/>
        <v>·</v>
      </c>
      <c r="AF330" s="24"/>
      <c r="AG330" s="23" t="str">
        <f t="shared" si="114"/>
        <v>·</v>
      </c>
      <c r="AH330" s="23" t="str">
        <f t="shared" si="122"/>
        <v>·</v>
      </c>
      <c r="AI330" s="25"/>
      <c r="AJ330" s="26"/>
      <c r="AK330" s="26"/>
      <c r="AL330" s="40"/>
      <c r="AM330" s="26"/>
      <c r="AN330" s="41"/>
      <c r="AO330" s="41"/>
      <c r="AP330" s="42"/>
      <c r="AQ330" s="42"/>
      <c r="AR330" s="42"/>
      <c r="AS330" s="41"/>
      <c r="AT330" s="50"/>
      <c r="AU330" s="50"/>
      <c r="AW330" s="55" t="e">
        <f t="shared" si="123"/>
        <v>#DIV/0!</v>
      </c>
      <c r="AX330" s="55"/>
      <c r="AZ330" s="56"/>
      <c r="BA330" s="56"/>
      <c r="BB330" s="62"/>
      <c r="BC330" s="62"/>
      <c r="BD330" s="62"/>
      <c r="BE330" s="56"/>
      <c r="BG330" s="56"/>
      <c r="BH330" s="56"/>
      <c r="BI330" s="62"/>
      <c r="BJ330" s="62"/>
      <c r="BK330" s="62"/>
      <c r="BL330" s="56"/>
      <c r="BN330">
        <f t="shared" si="124"/>
        <v>0</v>
      </c>
      <c r="BO330">
        <f t="shared" si="125"/>
        <v>0</v>
      </c>
      <c r="BP330">
        <f t="shared" si="126"/>
        <v>0</v>
      </c>
      <c r="BQ330">
        <f t="shared" si="127"/>
        <v>0</v>
      </c>
      <c r="BR330">
        <f t="shared" si="128"/>
        <v>0</v>
      </c>
      <c r="BS330">
        <f t="shared" si="129"/>
        <v>0</v>
      </c>
      <c r="BT330">
        <f t="shared" si="130"/>
        <v>0</v>
      </c>
      <c r="BU330">
        <f t="shared" si="131"/>
        <v>0</v>
      </c>
      <c r="BV330">
        <f t="shared" si="132"/>
        <v>0</v>
      </c>
      <c r="BW330">
        <f t="shared" si="133"/>
        <v>0</v>
      </c>
      <c r="BX330">
        <f t="shared" si="134"/>
        <v>0</v>
      </c>
    </row>
    <row r="331" spans="1:76" outlineLevel="1" x14ac:dyDescent="0.15">
      <c r="A331" s="5"/>
      <c r="B331" s="5" t="s">
        <v>182</v>
      </c>
      <c r="C331" s="6" t="s">
        <v>256</v>
      </c>
      <c r="D331" s="5">
        <v>14430189</v>
      </c>
      <c r="E331" s="7">
        <v>18</v>
      </c>
      <c r="F331" s="6">
        <v>500</v>
      </c>
      <c r="G331" s="6">
        <v>5</v>
      </c>
      <c r="I331" s="17" t="str">
        <f t="shared" si="115"/>
        <v>·</v>
      </c>
      <c r="J331" s="18" t="str">
        <f t="shared" si="116"/>
        <v>·</v>
      </c>
      <c r="K331" s="18" t="str">
        <f t="shared" si="117"/>
        <v>·</v>
      </c>
      <c r="L331" s="19"/>
      <c r="M331" s="18" t="str">
        <f t="shared" si="113"/>
        <v>·</v>
      </c>
      <c r="N331" s="18" t="str">
        <f t="shared" si="118"/>
        <v>·</v>
      </c>
      <c r="O331" s="20"/>
      <c r="P331" s="21"/>
      <c r="Q331" s="21"/>
      <c r="R331" s="37"/>
      <c r="S331" s="21"/>
      <c r="T331" s="38"/>
      <c r="U331" s="38"/>
      <c r="V331" s="39"/>
      <c r="W331" s="39"/>
      <c r="X331" s="39"/>
      <c r="Y331" s="38"/>
      <c r="Z331" s="49"/>
      <c r="AA331" s="49"/>
      <c r="AC331" s="17" t="str">
        <f t="shared" si="119"/>
        <v>·</v>
      </c>
      <c r="AD331" s="18" t="str">
        <f t="shared" si="120"/>
        <v>·</v>
      </c>
      <c r="AE331" s="18" t="str">
        <f t="shared" si="121"/>
        <v>·</v>
      </c>
      <c r="AF331" s="19"/>
      <c r="AG331" s="18" t="str">
        <f t="shared" si="114"/>
        <v>·</v>
      </c>
      <c r="AH331" s="18" t="str">
        <f t="shared" si="122"/>
        <v>·</v>
      </c>
      <c r="AI331" s="20"/>
      <c r="AJ331" s="21"/>
      <c r="AK331" s="21"/>
      <c r="AL331" s="37"/>
      <c r="AM331" s="21"/>
      <c r="AN331" s="38"/>
      <c r="AO331" s="38"/>
      <c r="AP331" s="39"/>
      <c r="AQ331" s="39"/>
      <c r="AR331" s="39"/>
      <c r="AS331" s="38"/>
      <c r="AT331" s="49"/>
      <c r="AU331" s="49"/>
      <c r="AW331" s="53" t="e">
        <f t="shared" si="123"/>
        <v>#DIV/0!</v>
      </c>
      <c r="AX331" s="53"/>
      <c r="AZ331" s="54"/>
      <c r="BA331" s="54"/>
      <c r="BB331" s="61"/>
      <c r="BC331" s="61"/>
      <c r="BD331" s="61"/>
      <c r="BE331" s="54"/>
      <c r="BG331" s="54"/>
      <c r="BH331" s="54"/>
      <c r="BI331" s="61"/>
      <c r="BJ331" s="61"/>
      <c r="BK331" s="61"/>
      <c r="BL331" s="54"/>
      <c r="BN331">
        <f t="shared" si="124"/>
        <v>0</v>
      </c>
      <c r="BO331">
        <f t="shared" si="125"/>
        <v>0</v>
      </c>
      <c r="BP331">
        <f t="shared" si="126"/>
        <v>0</v>
      </c>
      <c r="BQ331">
        <f t="shared" si="127"/>
        <v>0</v>
      </c>
      <c r="BR331">
        <f t="shared" si="128"/>
        <v>0</v>
      </c>
      <c r="BS331">
        <f t="shared" si="129"/>
        <v>0</v>
      </c>
      <c r="BT331">
        <f t="shared" si="130"/>
        <v>0</v>
      </c>
      <c r="BU331">
        <f t="shared" si="131"/>
        <v>0</v>
      </c>
      <c r="BV331">
        <f t="shared" si="132"/>
        <v>0</v>
      </c>
      <c r="BW331">
        <f t="shared" si="133"/>
        <v>0</v>
      </c>
      <c r="BX331">
        <f t="shared" si="134"/>
        <v>0</v>
      </c>
    </row>
    <row r="332" spans="1:76" outlineLevel="1" x14ac:dyDescent="0.15">
      <c r="A332" s="8"/>
      <c r="B332" s="8" t="s">
        <v>182</v>
      </c>
      <c r="C332" s="9" t="s">
        <v>257</v>
      </c>
      <c r="D332" s="8">
        <v>14430189</v>
      </c>
      <c r="E332" s="10">
        <v>18</v>
      </c>
      <c r="F332" s="9">
        <v>500</v>
      </c>
      <c r="G332" s="9">
        <v>5</v>
      </c>
      <c r="I332" s="22" t="str">
        <f t="shared" si="115"/>
        <v>·</v>
      </c>
      <c r="J332" s="23" t="str">
        <f t="shared" si="116"/>
        <v>·</v>
      </c>
      <c r="K332" s="23" t="str">
        <f t="shared" si="117"/>
        <v>·</v>
      </c>
      <c r="L332" s="24"/>
      <c r="M332" s="23" t="str">
        <f t="shared" si="113"/>
        <v>·</v>
      </c>
      <c r="N332" s="23" t="str">
        <f t="shared" si="118"/>
        <v>·</v>
      </c>
      <c r="O332" s="25"/>
      <c r="P332" s="26"/>
      <c r="Q332" s="26"/>
      <c r="R332" s="40"/>
      <c r="S332" s="26"/>
      <c r="T332" s="41"/>
      <c r="U332" s="41"/>
      <c r="V332" s="42"/>
      <c r="W332" s="42"/>
      <c r="X332" s="42"/>
      <c r="Y332" s="41"/>
      <c r="Z332" s="50"/>
      <c r="AA332" s="50"/>
      <c r="AC332" s="22" t="str">
        <f t="shared" si="119"/>
        <v>·</v>
      </c>
      <c r="AD332" s="23" t="str">
        <f t="shared" si="120"/>
        <v>·</v>
      </c>
      <c r="AE332" s="23" t="str">
        <f t="shared" si="121"/>
        <v>·</v>
      </c>
      <c r="AF332" s="24"/>
      <c r="AG332" s="23" t="str">
        <f t="shared" si="114"/>
        <v>·</v>
      </c>
      <c r="AH332" s="23" t="str">
        <f t="shared" si="122"/>
        <v>·</v>
      </c>
      <c r="AI332" s="25"/>
      <c r="AJ332" s="26"/>
      <c r="AK332" s="26"/>
      <c r="AL332" s="40"/>
      <c r="AM332" s="26"/>
      <c r="AN332" s="41"/>
      <c r="AO332" s="41"/>
      <c r="AP332" s="42"/>
      <c r="AQ332" s="42"/>
      <c r="AR332" s="42"/>
      <c r="AS332" s="41"/>
      <c r="AT332" s="50"/>
      <c r="AU332" s="50"/>
      <c r="AW332" s="55" t="e">
        <f t="shared" si="123"/>
        <v>#DIV/0!</v>
      </c>
      <c r="AX332" s="55"/>
      <c r="AZ332" s="56"/>
      <c r="BA332" s="56"/>
      <c r="BB332" s="62"/>
      <c r="BC332" s="62"/>
      <c r="BD332" s="62"/>
      <c r="BE332" s="56"/>
      <c r="BG332" s="56"/>
      <c r="BH332" s="56"/>
      <c r="BI332" s="62"/>
      <c r="BJ332" s="62"/>
      <c r="BK332" s="62"/>
      <c r="BL332" s="56"/>
      <c r="BN332">
        <f t="shared" si="124"/>
        <v>0</v>
      </c>
      <c r="BO332">
        <f t="shared" si="125"/>
        <v>0</v>
      </c>
      <c r="BP332">
        <f t="shared" si="126"/>
        <v>0</v>
      </c>
      <c r="BQ332">
        <f t="shared" si="127"/>
        <v>0</v>
      </c>
      <c r="BR332">
        <f t="shared" si="128"/>
        <v>0</v>
      </c>
      <c r="BS332">
        <f t="shared" si="129"/>
        <v>0</v>
      </c>
      <c r="BT332">
        <f t="shared" si="130"/>
        <v>0</v>
      </c>
      <c r="BU332">
        <f t="shared" si="131"/>
        <v>0</v>
      </c>
      <c r="BV332">
        <f t="shared" si="132"/>
        <v>0</v>
      </c>
      <c r="BW332">
        <f t="shared" si="133"/>
        <v>0</v>
      </c>
      <c r="BX332">
        <f t="shared" si="134"/>
        <v>0</v>
      </c>
    </row>
    <row r="333" spans="1:76" outlineLevel="1" x14ac:dyDescent="0.15">
      <c r="A333" s="5"/>
      <c r="B333" s="5" t="s">
        <v>182</v>
      </c>
      <c r="C333" s="6" t="s">
        <v>258</v>
      </c>
      <c r="D333" s="5">
        <v>14430189</v>
      </c>
      <c r="E333" s="7">
        <v>18</v>
      </c>
      <c r="F333" s="6">
        <v>500</v>
      </c>
      <c r="G333" s="6">
        <v>5</v>
      </c>
      <c r="I333" s="17" t="str">
        <f t="shared" si="115"/>
        <v>·</v>
      </c>
      <c r="J333" s="18" t="str">
        <f t="shared" si="116"/>
        <v>·</v>
      </c>
      <c r="K333" s="18" t="str">
        <f t="shared" si="117"/>
        <v>·</v>
      </c>
      <c r="L333" s="19"/>
      <c r="M333" s="18" t="str">
        <f t="shared" si="113"/>
        <v>·</v>
      </c>
      <c r="N333" s="18" t="str">
        <f t="shared" si="118"/>
        <v>·</v>
      </c>
      <c r="O333" s="20"/>
      <c r="P333" s="21"/>
      <c r="Q333" s="21"/>
      <c r="R333" s="37"/>
      <c r="S333" s="21"/>
      <c r="T333" s="38"/>
      <c r="U333" s="38"/>
      <c r="V333" s="39"/>
      <c r="W333" s="39"/>
      <c r="X333" s="39"/>
      <c r="Y333" s="38"/>
      <c r="Z333" s="49"/>
      <c r="AA333" s="49"/>
      <c r="AC333" s="17" t="str">
        <f t="shared" si="119"/>
        <v>·</v>
      </c>
      <c r="AD333" s="18" t="str">
        <f t="shared" si="120"/>
        <v>·</v>
      </c>
      <c r="AE333" s="18" t="str">
        <f t="shared" si="121"/>
        <v>·</v>
      </c>
      <c r="AF333" s="19"/>
      <c r="AG333" s="18" t="str">
        <f t="shared" si="114"/>
        <v>·</v>
      </c>
      <c r="AH333" s="18" t="str">
        <f t="shared" si="122"/>
        <v>·</v>
      </c>
      <c r="AI333" s="20"/>
      <c r="AJ333" s="21"/>
      <c r="AK333" s="21"/>
      <c r="AL333" s="37"/>
      <c r="AM333" s="21"/>
      <c r="AN333" s="38"/>
      <c r="AO333" s="38"/>
      <c r="AP333" s="39"/>
      <c r="AQ333" s="39"/>
      <c r="AR333" s="39"/>
      <c r="AS333" s="38"/>
      <c r="AT333" s="49"/>
      <c r="AU333" s="49"/>
      <c r="AW333" s="53" t="e">
        <f t="shared" si="123"/>
        <v>#DIV/0!</v>
      </c>
      <c r="AX333" s="53"/>
      <c r="AZ333" s="54"/>
      <c r="BA333" s="54"/>
      <c r="BB333" s="61"/>
      <c r="BC333" s="61"/>
      <c r="BD333" s="61"/>
      <c r="BE333" s="54"/>
      <c r="BG333" s="54"/>
      <c r="BH333" s="54"/>
      <c r="BI333" s="61"/>
      <c r="BJ333" s="61"/>
      <c r="BK333" s="61"/>
      <c r="BL333" s="54"/>
      <c r="BN333">
        <f t="shared" si="124"/>
        <v>0</v>
      </c>
      <c r="BO333">
        <f t="shared" si="125"/>
        <v>0</v>
      </c>
      <c r="BP333">
        <f t="shared" si="126"/>
        <v>0</v>
      </c>
      <c r="BQ333">
        <f t="shared" si="127"/>
        <v>0</v>
      </c>
      <c r="BR333">
        <f t="shared" si="128"/>
        <v>0</v>
      </c>
      <c r="BS333">
        <f t="shared" si="129"/>
        <v>0</v>
      </c>
      <c r="BT333">
        <f t="shared" si="130"/>
        <v>0</v>
      </c>
      <c r="BU333">
        <f t="shared" si="131"/>
        <v>0</v>
      </c>
      <c r="BV333">
        <f t="shared" si="132"/>
        <v>0</v>
      </c>
      <c r="BW333">
        <f t="shared" si="133"/>
        <v>0</v>
      </c>
      <c r="BX333">
        <f t="shared" si="134"/>
        <v>0</v>
      </c>
    </row>
    <row r="334" spans="1:76" outlineLevel="1" x14ac:dyDescent="0.15">
      <c r="A334" s="8"/>
      <c r="B334" s="14" t="s">
        <v>182</v>
      </c>
      <c r="C334" s="15" t="s">
        <v>259</v>
      </c>
      <c r="D334" s="14">
        <v>14430189</v>
      </c>
      <c r="E334" s="16">
        <v>18</v>
      </c>
      <c r="F334" s="15">
        <v>500</v>
      </c>
      <c r="G334" s="15">
        <v>5</v>
      </c>
      <c r="I334" s="32" t="str">
        <f t="shared" si="115"/>
        <v>·</v>
      </c>
      <c r="J334" s="33" t="str">
        <f t="shared" si="116"/>
        <v>·</v>
      </c>
      <c r="K334" s="33" t="str">
        <f t="shared" si="117"/>
        <v>·</v>
      </c>
      <c r="L334" s="34"/>
      <c r="M334" s="33" t="str">
        <f t="shared" si="113"/>
        <v>·</v>
      </c>
      <c r="N334" s="33" t="str">
        <f t="shared" si="118"/>
        <v>·</v>
      </c>
      <c r="O334" s="35"/>
      <c r="P334" s="36"/>
      <c r="Q334" s="36"/>
      <c r="R334" s="46"/>
      <c r="S334" s="36"/>
      <c r="T334" s="47"/>
      <c r="U334" s="47"/>
      <c r="V334" s="48"/>
      <c r="W334" s="48"/>
      <c r="X334" s="48"/>
      <c r="Y334" s="47"/>
      <c r="Z334" s="52"/>
      <c r="AA334" s="52"/>
      <c r="AC334" s="32" t="str">
        <f t="shared" si="119"/>
        <v>·</v>
      </c>
      <c r="AD334" s="33" t="str">
        <f t="shared" si="120"/>
        <v>·</v>
      </c>
      <c r="AE334" s="33" t="str">
        <f t="shared" si="121"/>
        <v>·</v>
      </c>
      <c r="AF334" s="34"/>
      <c r="AG334" s="33" t="str">
        <f t="shared" si="114"/>
        <v>·</v>
      </c>
      <c r="AH334" s="33" t="str">
        <f t="shared" si="122"/>
        <v>·</v>
      </c>
      <c r="AI334" s="35"/>
      <c r="AJ334" s="36"/>
      <c r="AK334" s="36"/>
      <c r="AL334" s="46"/>
      <c r="AM334" s="36"/>
      <c r="AN334" s="47"/>
      <c r="AO334" s="47"/>
      <c r="AP334" s="48"/>
      <c r="AQ334" s="48"/>
      <c r="AR334" s="48"/>
      <c r="AS334" s="47"/>
      <c r="AT334" s="52"/>
      <c r="AU334" s="52"/>
      <c r="AW334" s="59" t="e">
        <f t="shared" si="123"/>
        <v>#DIV/0!</v>
      </c>
      <c r="AX334" s="59"/>
      <c r="AZ334" s="60"/>
      <c r="BA334" s="60"/>
      <c r="BB334" s="64"/>
      <c r="BC334" s="64"/>
      <c r="BD334" s="64"/>
      <c r="BE334" s="60"/>
      <c r="BG334" s="60"/>
      <c r="BH334" s="60"/>
      <c r="BI334" s="64"/>
      <c r="BJ334" s="64"/>
      <c r="BK334" s="64"/>
      <c r="BL334" s="60"/>
      <c r="BN334">
        <f t="shared" si="124"/>
        <v>0</v>
      </c>
      <c r="BO334">
        <f t="shared" si="125"/>
        <v>0</v>
      </c>
      <c r="BP334">
        <f t="shared" si="126"/>
        <v>0</v>
      </c>
      <c r="BQ334">
        <f t="shared" si="127"/>
        <v>0</v>
      </c>
      <c r="BR334">
        <f t="shared" si="128"/>
        <v>0</v>
      </c>
      <c r="BS334">
        <f t="shared" si="129"/>
        <v>0</v>
      </c>
      <c r="BT334">
        <f t="shared" si="130"/>
        <v>0</v>
      </c>
      <c r="BU334">
        <f t="shared" si="131"/>
        <v>0</v>
      </c>
      <c r="BV334">
        <f t="shared" si="132"/>
        <v>0</v>
      </c>
      <c r="BW334">
        <f t="shared" si="133"/>
        <v>0</v>
      </c>
      <c r="BX334">
        <f t="shared" si="134"/>
        <v>0</v>
      </c>
    </row>
    <row r="335" spans="1:76" x14ac:dyDescent="0.15">
      <c r="A335" s="5"/>
      <c r="B335" s="5" t="s">
        <v>183</v>
      </c>
      <c r="C335" s="6" t="s">
        <v>254</v>
      </c>
      <c r="D335" s="5">
        <v>8167066</v>
      </c>
      <c r="E335" s="7">
        <v>18</v>
      </c>
      <c r="F335" s="6">
        <v>300</v>
      </c>
      <c r="G335" s="6">
        <v>5</v>
      </c>
      <c r="I335" s="17" t="str">
        <f t="shared" si="115"/>
        <v>·</v>
      </c>
      <c r="J335" s="18" t="str">
        <f t="shared" si="116"/>
        <v>·</v>
      </c>
      <c r="K335" s="18" t="str">
        <f t="shared" si="117"/>
        <v>·</v>
      </c>
      <c r="L335" s="19"/>
      <c r="M335" s="18" t="str">
        <f t="shared" si="113"/>
        <v>·</v>
      </c>
      <c r="N335" s="18" t="str">
        <f t="shared" si="118"/>
        <v>·</v>
      </c>
      <c r="O335" s="20"/>
      <c r="P335" s="21"/>
      <c r="Q335" s="21"/>
      <c r="R335" s="37"/>
      <c r="S335" s="21"/>
      <c r="T335" s="38"/>
      <c r="U335" s="38"/>
      <c r="V335" s="39"/>
      <c r="W335" s="39"/>
      <c r="X335" s="39"/>
      <c r="Y335" s="38"/>
      <c r="Z335" s="49"/>
      <c r="AA335" s="49"/>
      <c r="AC335" s="17" t="str">
        <f t="shared" si="119"/>
        <v>·</v>
      </c>
      <c r="AD335" s="18" t="str">
        <f t="shared" si="120"/>
        <v>·</v>
      </c>
      <c r="AE335" s="18" t="str">
        <f t="shared" si="121"/>
        <v>·</v>
      </c>
      <c r="AF335" s="19"/>
      <c r="AG335" s="18" t="str">
        <f t="shared" si="114"/>
        <v>·</v>
      </c>
      <c r="AH335" s="18" t="str">
        <f t="shared" si="122"/>
        <v>·</v>
      </c>
      <c r="AI335" s="20"/>
      <c r="AJ335" s="21"/>
      <c r="AK335" s="21"/>
      <c r="AL335" s="37"/>
      <c r="AM335" s="21"/>
      <c r="AN335" s="38"/>
      <c r="AO335" s="38"/>
      <c r="AP335" s="39"/>
      <c r="AQ335" s="39"/>
      <c r="AR335" s="39"/>
      <c r="AS335" s="38"/>
      <c r="AT335" s="49"/>
      <c r="AU335" s="49"/>
      <c r="AW335" s="53" t="e">
        <f t="shared" si="123"/>
        <v>#DIV/0!</v>
      </c>
      <c r="AX335" s="53" t="e">
        <f t="array" ref="AX335">AVERAGE(AK335:AK340/AJ335:AJ340)-AVERAGE(Q335:Q340/P335:P340)</f>
        <v>#DIV/0!</v>
      </c>
      <c r="AZ335" s="54" t="str">
        <f>IF(OR(ISBLANK(Q335:Q340),ISBLANK(AK335:AK340),ISBLANK(T335:T340),ISBLANK(AN335:AN340)),"·",bdRateExtend(Q335:Q340,T335:T340,AK335:AK340,AN335:AN340))</f>
        <v>·</v>
      </c>
      <c r="BA335" s="54" t="str">
        <f>IF(OR(ISBLANK(Q335:Q340),ISBLANK(AK335:AK340),ISBLANK(U335:U340),ISBLANK(AO335:AO340)),"·",bdRateExtend(Q335:Q340,U335:U340,AK335:AK340,AO335:AO340))</f>
        <v>·</v>
      </c>
      <c r="BB335" s="61"/>
      <c r="BC335" s="61"/>
      <c r="BD335" s="61"/>
      <c r="BE335" s="54" t="str">
        <f>IF(OR(ISBLANK(S335:S340),ISBLANK(AM335:AM340),ISBLANK(Y335:Y340),ISBLANK(AS335:AS340)),"·",bdRateExtend(S335:S340,Y335:Y340,AM335:AM340,AS335:AS340))</f>
        <v>·</v>
      </c>
      <c r="BG335" s="54" t="str">
        <f>IF(OR(ISBLANK(P335:P340),ISBLANK(AJ335:AJ340),ISBLANK(T335:T340),ISBLANK(AN335:AN340)),"·",bdRateExtend(P335:P340,T335:T340,AJ335:AJ340,AN335:AN340))</f>
        <v>·</v>
      </c>
      <c r="BH335" s="54" t="str">
        <f>IF(OR(ISBLANK(P335:P340),ISBLANK(AJ335:AJ340),ISBLANK(U335:U340),ISBLANK(AO335:AO340)),"·",bdRateExtend(P335:P340,U335:U340,AJ335:AJ340,AO335:AO340))</f>
        <v>·</v>
      </c>
      <c r="BI335" s="61"/>
      <c r="BJ335" s="61"/>
      <c r="BK335" s="61"/>
      <c r="BL335" s="54" t="str">
        <f>IF(OR(ISBLANK(P335:P340),ISBLANK(AJ335:AJ340),ISBLANK(Y335:Y340),ISBLANK(AS335:AS340)),"·",bdRateExtend(P335:P340,Y335:Y340,AJ335:AJ340,AS335:AS340))</f>
        <v>·</v>
      </c>
      <c r="BN335">
        <f t="shared" si="124"/>
        <v>0</v>
      </c>
      <c r="BO335">
        <f t="shared" si="125"/>
        <v>0</v>
      </c>
      <c r="BP335">
        <f t="shared" si="126"/>
        <v>0</v>
      </c>
      <c r="BQ335">
        <f t="shared" si="127"/>
        <v>0</v>
      </c>
      <c r="BR335">
        <f t="shared" si="128"/>
        <v>0</v>
      </c>
      <c r="BS335">
        <f t="shared" si="129"/>
        <v>0</v>
      </c>
      <c r="BT335">
        <f t="shared" si="130"/>
        <v>0</v>
      </c>
      <c r="BU335">
        <f t="shared" si="131"/>
        <v>0</v>
      </c>
      <c r="BV335">
        <f t="shared" si="132"/>
        <v>0</v>
      </c>
      <c r="BW335">
        <f t="shared" si="133"/>
        <v>0</v>
      </c>
      <c r="BX335">
        <f t="shared" si="134"/>
        <v>0</v>
      </c>
    </row>
    <row r="336" spans="1:76" outlineLevel="1" x14ac:dyDescent="0.15">
      <c r="A336" s="8"/>
      <c r="B336" s="8" t="s">
        <v>183</v>
      </c>
      <c r="C336" s="9" t="s">
        <v>255</v>
      </c>
      <c r="D336" s="8">
        <v>8167066</v>
      </c>
      <c r="E336" s="10">
        <v>18</v>
      </c>
      <c r="F336" s="9">
        <v>300</v>
      </c>
      <c r="G336" s="9">
        <v>5</v>
      </c>
      <c r="I336" s="22" t="str">
        <f t="shared" si="115"/>
        <v>·</v>
      </c>
      <c r="J336" s="23" t="str">
        <f t="shared" si="116"/>
        <v>·</v>
      </c>
      <c r="K336" s="23" t="str">
        <f t="shared" si="117"/>
        <v>·</v>
      </c>
      <c r="L336" s="24"/>
      <c r="M336" s="23" t="str">
        <f t="shared" si="113"/>
        <v>·</v>
      </c>
      <c r="N336" s="23" t="str">
        <f t="shared" si="118"/>
        <v>·</v>
      </c>
      <c r="O336" s="25"/>
      <c r="P336" s="26"/>
      <c r="Q336" s="26"/>
      <c r="R336" s="40"/>
      <c r="S336" s="26"/>
      <c r="T336" s="41"/>
      <c r="U336" s="41"/>
      <c r="V336" s="42"/>
      <c r="W336" s="42"/>
      <c r="X336" s="42"/>
      <c r="Y336" s="41"/>
      <c r="Z336" s="50"/>
      <c r="AA336" s="50"/>
      <c r="AC336" s="22" t="str">
        <f t="shared" si="119"/>
        <v>·</v>
      </c>
      <c r="AD336" s="23" t="str">
        <f t="shared" si="120"/>
        <v>·</v>
      </c>
      <c r="AE336" s="23" t="str">
        <f t="shared" si="121"/>
        <v>·</v>
      </c>
      <c r="AF336" s="24"/>
      <c r="AG336" s="23" t="str">
        <f t="shared" si="114"/>
        <v>·</v>
      </c>
      <c r="AH336" s="23" t="str">
        <f t="shared" si="122"/>
        <v>·</v>
      </c>
      <c r="AI336" s="25"/>
      <c r="AJ336" s="26"/>
      <c r="AK336" s="26"/>
      <c r="AL336" s="40"/>
      <c r="AM336" s="26"/>
      <c r="AN336" s="41"/>
      <c r="AO336" s="41"/>
      <c r="AP336" s="42"/>
      <c r="AQ336" s="42"/>
      <c r="AR336" s="42"/>
      <c r="AS336" s="41"/>
      <c r="AT336" s="50"/>
      <c r="AU336" s="50"/>
      <c r="AW336" s="55" t="e">
        <f t="shared" si="123"/>
        <v>#DIV/0!</v>
      </c>
      <c r="AX336" s="55"/>
      <c r="AZ336" s="56"/>
      <c r="BA336" s="56"/>
      <c r="BB336" s="62"/>
      <c r="BC336" s="62"/>
      <c r="BD336" s="62"/>
      <c r="BE336" s="56"/>
      <c r="BG336" s="56"/>
      <c r="BH336" s="56"/>
      <c r="BI336" s="62"/>
      <c r="BJ336" s="62"/>
      <c r="BK336" s="62"/>
      <c r="BL336" s="56"/>
      <c r="BN336">
        <f t="shared" si="124"/>
        <v>0</v>
      </c>
      <c r="BO336">
        <f t="shared" si="125"/>
        <v>0</v>
      </c>
      <c r="BP336">
        <f t="shared" si="126"/>
        <v>0</v>
      </c>
      <c r="BQ336">
        <f t="shared" si="127"/>
        <v>0</v>
      </c>
      <c r="BR336">
        <f t="shared" si="128"/>
        <v>0</v>
      </c>
      <c r="BS336">
        <f t="shared" si="129"/>
        <v>0</v>
      </c>
      <c r="BT336">
        <f t="shared" si="130"/>
        <v>0</v>
      </c>
      <c r="BU336">
        <f t="shared" si="131"/>
        <v>0</v>
      </c>
      <c r="BV336">
        <f t="shared" si="132"/>
        <v>0</v>
      </c>
      <c r="BW336">
        <f t="shared" si="133"/>
        <v>0</v>
      </c>
      <c r="BX336">
        <f t="shared" si="134"/>
        <v>0</v>
      </c>
    </row>
    <row r="337" spans="1:76" outlineLevel="1" x14ac:dyDescent="0.15">
      <c r="A337" s="5"/>
      <c r="B337" s="5" t="s">
        <v>183</v>
      </c>
      <c r="C337" s="6" t="s">
        <v>256</v>
      </c>
      <c r="D337" s="5">
        <v>8167066</v>
      </c>
      <c r="E337" s="7">
        <v>18</v>
      </c>
      <c r="F337" s="6">
        <v>300</v>
      </c>
      <c r="G337" s="6">
        <v>5</v>
      </c>
      <c r="I337" s="17" t="str">
        <f t="shared" si="115"/>
        <v>·</v>
      </c>
      <c r="J337" s="18" t="str">
        <f t="shared" si="116"/>
        <v>·</v>
      </c>
      <c r="K337" s="18" t="str">
        <f t="shared" si="117"/>
        <v>·</v>
      </c>
      <c r="L337" s="19"/>
      <c r="M337" s="18" t="str">
        <f t="shared" si="113"/>
        <v>·</v>
      </c>
      <c r="N337" s="18" t="str">
        <f t="shared" si="118"/>
        <v>·</v>
      </c>
      <c r="O337" s="20"/>
      <c r="P337" s="21"/>
      <c r="Q337" s="21"/>
      <c r="R337" s="37"/>
      <c r="S337" s="21"/>
      <c r="T337" s="38"/>
      <c r="U337" s="38"/>
      <c r="V337" s="39"/>
      <c r="W337" s="39"/>
      <c r="X337" s="39"/>
      <c r="Y337" s="38"/>
      <c r="Z337" s="49"/>
      <c r="AA337" s="49"/>
      <c r="AC337" s="17" t="str">
        <f t="shared" si="119"/>
        <v>·</v>
      </c>
      <c r="AD337" s="18" t="str">
        <f t="shared" si="120"/>
        <v>·</v>
      </c>
      <c r="AE337" s="18" t="str">
        <f t="shared" si="121"/>
        <v>·</v>
      </c>
      <c r="AF337" s="19"/>
      <c r="AG337" s="18" t="str">
        <f t="shared" si="114"/>
        <v>·</v>
      </c>
      <c r="AH337" s="18" t="str">
        <f t="shared" si="122"/>
        <v>·</v>
      </c>
      <c r="AI337" s="20"/>
      <c r="AJ337" s="21"/>
      <c r="AK337" s="21"/>
      <c r="AL337" s="37"/>
      <c r="AM337" s="21"/>
      <c r="AN337" s="38"/>
      <c r="AO337" s="38"/>
      <c r="AP337" s="39"/>
      <c r="AQ337" s="39"/>
      <c r="AR337" s="39"/>
      <c r="AS337" s="38"/>
      <c r="AT337" s="49"/>
      <c r="AU337" s="49"/>
      <c r="AW337" s="53" t="e">
        <f t="shared" si="123"/>
        <v>#DIV/0!</v>
      </c>
      <c r="AX337" s="53"/>
      <c r="AZ337" s="54"/>
      <c r="BA337" s="54"/>
      <c r="BB337" s="61"/>
      <c r="BC337" s="61"/>
      <c r="BD337" s="61"/>
      <c r="BE337" s="54"/>
      <c r="BG337" s="54"/>
      <c r="BH337" s="54"/>
      <c r="BI337" s="61"/>
      <c r="BJ337" s="61"/>
      <c r="BK337" s="61"/>
      <c r="BL337" s="54"/>
      <c r="BN337">
        <f t="shared" si="124"/>
        <v>0</v>
      </c>
      <c r="BO337">
        <f t="shared" si="125"/>
        <v>0</v>
      </c>
      <c r="BP337">
        <f t="shared" si="126"/>
        <v>0</v>
      </c>
      <c r="BQ337">
        <f t="shared" si="127"/>
        <v>0</v>
      </c>
      <c r="BR337">
        <f t="shared" si="128"/>
        <v>0</v>
      </c>
      <c r="BS337">
        <f t="shared" si="129"/>
        <v>0</v>
      </c>
      <c r="BT337">
        <f t="shared" si="130"/>
        <v>0</v>
      </c>
      <c r="BU337">
        <f t="shared" si="131"/>
        <v>0</v>
      </c>
      <c r="BV337">
        <f t="shared" si="132"/>
        <v>0</v>
      </c>
      <c r="BW337">
        <f t="shared" si="133"/>
        <v>0</v>
      </c>
      <c r="BX337">
        <f t="shared" si="134"/>
        <v>0</v>
      </c>
    </row>
    <row r="338" spans="1:76" outlineLevel="1" x14ac:dyDescent="0.15">
      <c r="A338" s="8"/>
      <c r="B338" s="8" t="s">
        <v>183</v>
      </c>
      <c r="C338" s="9" t="s">
        <v>257</v>
      </c>
      <c r="D338" s="8">
        <v>8167066</v>
      </c>
      <c r="E338" s="10">
        <v>18</v>
      </c>
      <c r="F338" s="9">
        <v>300</v>
      </c>
      <c r="G338" s="9">
        <v>5</v>
      </c>
      <c r="I338" s="22" t="str">
        <f t="shared" si="115"/>
        <v>·</v>
      </c>
      <c r="J338" s="23" t="str">
        <f t="shared" si="116"/>
        <v>·</v>
      </c>
      <c r="K338" s="23" t="str">
        <f t="shared" si="117"/>
        <v>·</v>
      </c>
      <c r="L338" s="24"/>
      <c r="M338" s="23" t="str">
        <f t="shared" si="113"/>
        <v>·</v>
      </c>
      <c r="N338" s="23" t="str">
        <f t="shared" si="118"/>
        <v>·</v>
      </c>
      <c r="O338" s="25"/>
      <c r="P338" s="26"/>
      <c r="Q338" s="26"/>
      <c r="R338" s="40"/>
      <c r="S338" s="26"/>
      <c r="T338" s="41"/>
      <c r="U338" s="41"/>
      <c r="V338" s="42"/>
      <c r="W338" s="42"/>
      <c r="X338" s="42"/>
      <c r="Y338" s="41"/>
      <c r="Z338" s="50"/>
      <c r="AA338" s="50"/>
      <c r="AC338" s="22" t="str">
        <f t="shared" si="119"/>
        <v>·</v>
      </c>
      <c r="AD338" s="23" t="str">
        <f t="shared" si="120"/>
        <v>·</v>
      </c>
      <c r="AE338" s="23" t="str">
        <f t="shared" si="121"/>
        <v>·</v>
      </c>
      <c r="AF338" s="24"/>
      <c r="AG338" s="23" t="str">
        <f t="shared" si="114"/>
        <v>·</v>
      </c>
      <c r="AH338" s="23" t="str">
        <f t="shared" si="122"/>
        <v>·</v>
      </c>
      <c r="AI338" s="25"/>
      <c r="AJ338" s="26"/>
      <c r="AK338" s="26"/>
      <c r="AL338" s="40"/>
      <c r="AM338" s="26"/>
      <c r="AN338" s="41"/>
      <c r="AO338" s="41"/>
      <c r="AP338" s="42"/>
      <c r="AQ338" s="42"/>
      <c r="AR338" s="42"/>
      <c r="AS338" s="41"/>
      <c r="AT338" s="50"/>
      <c r="AU338" s="50"/>
      <c r="AW338" s="55" t="e">
        <f t="shared" si="123"/>
        <v>#DIV/0!</v>
      </c>
      <c r="AX338" s="55"/>
      <c r="AZ338" s="56"/>
      <c r="BA338" s="56"/>
      <c r="BB338" s="62"/>
      <c r="BC338" s="62"/>
      <c r="BD338" s="62"/>
      <c r="BE338" s="56"/>
      <c r="BG338" s="56"/>
      <c r="BH338" s="56"/>
      <c r="BI338" s="62"/>
      <c r="BJ338" s="62"/>
      <c r="BK338" s="62"/>
      <c r="BL338" s="56"/>
      <c r="BN338">
        <f t="shared" si="124"/>
        <v>0</v>
      </c>
      <c r="BO338">
        <f t="shared" si="125"/>
        <v>0</v>
      </c>
      <c r="BP338">
        <f t="shared" si="126"/>
        <v>0</v>
      </c>
      <c r="BQ338">
        <f t="shared" si="127"/>
        <v>0</v>
      </c>
      <c r="BR338">
        <f t="shared" si="128"/>
        <v>0</v>
      </c>
      <c r="BS338">
        <f t="shared" si="129"/>
        <v>0</v>
      </c>
      <c r="BT338">
        <f t="shared" si="130"/>
        <v>0</v>
      </c>
      <c r="BU338">
        <f t="shared" si="131"/>
        <v>0</v>
      </c>
      <c r="BV338">
        <f t="shared" si="132"/>
        <v>0</v>
      </c>
      <c r="BW338">
        <f t="shared" si="133"/>
        <v>0</v>
      </c>
      <c r="BX338">
        <f t="shared" si="134"/>
        <v>0</v>
      </c>
    </row>
    <row r="339" spans="1:76" outlineLevel="1" x14ac:dyDescent="0.15">
      <c r="A339" s="5"/>
      <c r="B339" s="5" t="s">
        <v>183</v>
      </c>
      <c r="C339" s="6" t="s">
        <v>258</v>
      </c>
      <c r="D339" s="5">
        <v>8167066</v>
      </c>
      <c r="E339" s="7">
        <v>18</v>
      </c>
      <c r="F339" s="6">
        <v>300</v>
      </c>
      <c r="G339" s="6">
        <v>5</v>
      </c>
      <c r="I339" s="17" t="str">
        <f t="shared" si="115"/>
        <v>·</v>
      </c>
      <c r="J339" s="18" t="str">
        <f t="shared" si="116"/>
        <v>·</v>
      </c>
      <c r="K339" s="18" t="str">
        <f t="shared" si="117"/>
        <v>·</v>
      </c>
      <c r="L339" s="19"/>
      <c r="M339" s="18" t="str">
        <f t="shared" si="113"/>
        <v>·</v>
      </c>
      <c r="N339" s="18" t="str">
        <f t="shared" si="118"/>
        <v>·</v>
      </c>
      <c r="O339" s="20"/>
      <c r="P339" s="21"/>
      <c r="Q339" s="21"/>
      <c r="R339" s="37"/>
      <c r="S339" s="21"/>
      <c r="T339" s="38"/>
      <c r="U339" s="38"/>
      <c r="V339" s="39"/>
      <c r="W339" s="39"/>
      <c r="X339" s="39"/>
      <c r="Y339" s="38"/>
      <c r="Z339" s="49"/>
      <c r="AA339" s="49"/>
      <c r="AC339" s="17" t="str">
        <f t="shared" si="119"/>
        <v>·</v>
      </c>
      <c r="AD339" s="18" t="str">
        <f t="shared" si="120"/>
        <v>·</v>
      </c>
      <c r="AE339" s="18" t="str">
        <f t="shared" si="121"/>
        <v>·</v>
      </c>
      <c r="AF339" s="19"/>
      <c r="AG339" s="18" t="str">
        <f t="shared" si="114"/>
        <v>·</v>
      </c>
      <c r="AH339" s="18" t="str">
        <f t="shared" si="122"/>
        <v>·</v>
      </c>
      <c r="AI339" s="20"/>
      <c r="AJ339" s="21"/>
      <c r="AK339" s="21"/>
      <c r="AL339" s="37"/>
      <c r="AM339" s="21"/>
      <c r="AN339" s="38"/>
      <c r="AO339" s="38"/>
      <c r="AP339" s="39"/>
      <c r="AQ339" s="39"/>
      <c r="AR339" s="39"/>
      <c r="AS339" s="38"/>
      <c r="AT339" s="49"/>
      <c r="AU339" s="49"/>
      <c r="AW339" s="53" t="e">
        <f t="shared" si="123"/>
        <v>#DIV/0!</v>
      </c>
      <c r="AX339" s="53"/>
      <c r="AZ339" s="54"/>
      <c r="BA339" s="54"/>
      <c r="BB339" s="61"/>
      <c r="BC339" s="61"/>
      <c r="BD339" s="61"/>
      <c r="BE339" s="54"/>
      <c r="BG339" s="54"/>
      <c r="BH339" s="54"/>
      <c r="BI339" s="61"/>
      <c r="BJ339" s="61"/>
      <c r="BK339" s="61"/>
      <c r="BL339" s="54"/>
      <c r="BN339">
        <f t="shared" si="124"/>
        <v>0</v>
      </c>
      <c r="BO339">
        <f t="shared" si="125"/>
        <v>0</v>
      </c>
      <c r="BP339">
        <f t="shared" si="126"/>
        <v>0</v>
      </c>
      <c r="BQ339">
        <f t="shared" si="127"/>
        <v>0</v>
      </c>
      <c r="BR339">
        <f t="shared" si="128"/>
        <v>0</v>
      </c>
      <c r="BS339">
        <f t="shared" si="129"/>
        <v>0</v>
      </c>
      <c r="BT339">
        <f t="shared" si="130"/>
        <v>0</v>
      </c>
      <c r="BU339">
        <f t="shared" si="131"/>
        <v>0</v>
      </c>
      <c r="BV339">
        <f t="shared" si="132"/>
        <v>0</v>
      </c>
      <c r="BW339">
        <f t="shared" si="133"/>
        <v>0</v>
      </c>
      <c r="BX339">
        <f t="shared" si="134"/>
        <v>0</v>
      </c>
    </row>
    <row r="340" spans="1:76" outlineLevel="1" x14ac:dyDescent="0.15">
      <c r="A340" s="14"/>
      <c r="B340" s="14" t="s">
        <v>183</v>
      </c>
      <c r="C340" s="15" t="s">
        <v>259</v>
      </c>
      <c r="D340" s="14">
        <v>8167066</v>
      </c>
      <c r="E340" s="16">
        <v>18</v>
      </c>
      <c r="F340" s="15">
        <v>300</v>
      </c>
      <c r="G340" s="15">
        <v>5</v>
      </c>
      <c r="I340" s="32" t="str">
        <f t="shared" si="115"/>
        <v>·</v>
      </c>
      <c r="J340" s="33" t="str">
        <f t="shared" si="116"/>
        <v>·</v>
      </c>
      <c r="K340" s="33" t="str">
        <f t="shared" si="117"/>
        <v>·</v>
      </c>
      <c r="L340" s="34"/>
      <c r="M340" s="33" t="str">
        <f t="shared" si="113"/>
        <v>·</v>
      </c>
      <c r="N340" s="33" t="str">
        <f t="shared" si="118"/>
        <v>·</v>
      </c>
      <c r="O340" s="35"/>
      <c r="P340" s="36"/>
      <c r="Q340" s="36"/>
      <c r="R340" s="46"/>
      <c r="S340" s="36"/>
      <c r="T340" s="47"/>
      <c r="U340" s="47"/>
      <c r="V340" s="48"/>
      <c r="W340" s="48"/>
      <c r="X340" s="48"/>
      <c r="Y340" s="47"/>
      <c r="Z340" s="52"/>
      <c r="AA340" s="52"/>
      <c r="AC340" s="32" t="str">
        <f t="shared" si="119"/>
        <v>·</v>
      </c>
      <c r="AD340" s="33" t="str">
        <f t="shared" si="120"/>
        <v>·</v>
      </c>
      <c r="AE340" s="33" t="str">
        <f t="shared" si="121"/>
        <v>·</v>
      </c>
      <c r="AF340" s="34"/>
      <c r="AG340" s="33" t="str">
        <f t="shared" si="114"/>
        <v>·</v>
      </c>
      <c r="AH340" s="33" t="str">
        <f t="shared" si="122"/>
        <v>·</v>
      </c>
      <c r="AI340" s="35"/>
      <c r="AJ340" s="36"/>
      <c r="AK340" s="36"/>
      <c r="AL340" s="46"/>
      <c r="AM340" s="36"/>
      <c r="AN340" s="47"/>
      <c r="AO340" s="47"/>
      <c r="AP340" s="48"/>
      <c r="AQ340" s="48"/>
      <c r="AR340" s="48"/>
      <c r="AS340" s="47"/>
      <c r="AT340" s="52"/>
      <c r="AU340" s="52"/>
      <c r="AW340" s="59" t="e">
        <f t="shared" si="123"/>
        <v>#DIV/0!</v>
      </c>
      <c r="AX340" s="59"/>
      <c r="AZ340" s="60"/>
      <c r="BA340" s="60"/>
      <c r="BB340" s="64"/>
      <c r="BC340" s="64"/>
      <c r="BD340" s="64"/>
      <c r="BE340" s="60"/>
      <c r="BG340" s="60"/>
      <c r="BH340" s="60"/>
      <c r="BI340" s="64"/>
      <c r="BJ340" s="64"/>
      <c r="BK340" s="64"/>
      <c r="BL340" s="60"/>
      <c r="BN340">
        <f t="shared" si="124"/>
        <v>0</v>
      </c>
      <c r="BO340">
        <f t="shared" si="125"/>
        <v>0</v>
      </c>
      <c r="BP340">
        <f t="shared" si="126"/>
        <v>0</v>
      </c>
      <c r="BQ340">
        <f t="shared" si="127"/>
        <v>0</v>
      </c>
      <c r="BR340">
        <f t="shared" si="128"/>
        <v>0</v>
      </c>
      <c r="BS340">
        <f t="shared" si="129"/>
        <v>0</v>
      </c>
      <c r="BT340">
        <f t="shared" si="130"/>
        <v>0</v>
      </c>
      <c r="BU340">
        <f t="shared" si="131"/>
        <v>0</v>
      </c>
      <c r="BV340">
        <f t="shared" si="132"/>
        <v>0</v>
      </c>
      <c r="BW340">
        <f t="shared" si="133"/>
        <v>0</v>
      </c>
      <c r="BX340">
        <f t="shared" si="134"/>
        <v>0</v>
      </c>
    </row>
    <row r="341" spans="1:76" x14ac:dyDescent="0.15">
      <c r="B341" s="65" t="s">
        <v>10</v>
      </c>
      <c r="J341" s="66" t="e">
        <f>AVERAGE(J5:J136)</f>
        <v>#DIV/0!</v>
      </c>
      <c r="K341" s="66" t="e">
        <f>AVERAGE(K5:K136)</f>
        <v>#DIV/0!</v>
      </c>
      <c r="L341" s="66" t="e">
        <f>AVERAGE(L5:L136)</f>
        <v>#DIV/0!</v>
      </c>
      <c r="M341" s="67"/>
      <c r="AD341" s="66" t="e">
        <f>AVERAGE(AD5:AD136)</f>
        <v>#DIV/0!</v>
      </c>
      <c r="AE341" s="66" t="e">
        <f>AVERAGE(AE5:AE136)</f>
        <v>#DIV/0!</v>
      </c>
      <c r="AF341" s="66" t="e">
        <f>AVERAGE(AF5:AF136)</f>
        <v>#DIV/0!</v>
      </c>
      <c r="AG341" s="67"/>
      <c r="AX341" s="69" t="e">
        <f>AVERAGE(AX5:AX136)</f>
        <v>#DIV/0!</v>
      </c>
      <c r="AZ341" s="70" t="e">
        <f>AVERAGE(AZ5:AZ136)</f>
        <v>#DIV/0!</v>
      </c>
      <c r="BA341" s="70" t="e">
        <f>AVERAGE(BA5:BA136)</f>
        <v>#DIV/0!</v>
      </c>
      <c r="BB341" s="70" t="e">
        <f>AVERAGE(BB5:BB136)</f>
        <v>#DIV/0!</v>
      </c>
      <c r="BC341" s="70" t="e">
        <f>AVERAGE(BC5:BC136)</f>
        <v>#DIV/0!</v>
      </c>
      <c r="BD341" s="70" t="e">
        <f>AVERAGE(BD5:BD136)</f>
        <v>#DIV/0!</v>
      </c>
      <c r="BE341" s="71"/>
      <c r="BG341" s="70" t="e">
        <f>AVERAGE(BG5:BG136)</f>
        <v>#DIV/0!</v>
      </c>
      <c r="BH341" s="70" t="e">
        <f>AVERAGE(BH5:BH136)</f>
        <v>#DIV/0!</v>
      </c>
      <c r="BI341" s="70" t="e">
        <f>AVERAGE(BI5:BI136)</f>
        <v>#DIV/0!</v>
      </c>
      <c r="BJ341" s="70" t="e">
        <f>AVERAGE(BJ5:BJ136)</f>
        <v>#DIV/0!</v>
      </c>
      <c r="BK341" s="70" t="e">
        <f>AVERAGE(BK5:BK136)</f>
        <v>#DIV/0!</v>
      </c>
      <c r="BL341" s="71"/>
    </row>
    <row r="342" spans="1:76" x14ac:dyDescent="0.15">
      <c r="B342" s="65" t="s">
        <v>11</v>
      </c>
      <c r="J342" s="66" t="e">
        <f>AVERAGE(J137:J280)</f>
        <v>#DIV/0!</v>
      </c>
      <c r="K342" s="66" t="e">
        <f>AVERAGE(K137:K280)</f>
        <v>#DIV/0!</v>
      </c>
      <c r="L342" s="66" t="e">
        <f>AVERAGE(L137:L280)</f>
        <v>#DIV/0!</v>
      </c>
      <c r="M342" s="67"/>
      <c r="AD342" s="66" t="e">
        <f>AVERAGE(AD137:AD280)</f>
        <v>#DIV/0!</v>
      </c>
      <c r="AE342" s="66" t="e">
        <f>AVERAGE(AE137:AE280)</f>
        <v>#DIV/0!</v>
      </c>
      <c r="AF342" s="66" t="e">
        <f>AVERAGE(AF137:AF280)</f>
        <v>#DIV/0!</v>
      </c>
      <c r="AG342" s="67"/>
      <c r="AX342" s="69" t="e">
        <f>AVERAGE(AX137:AX280)</f>
        <v>#DIV/0!</v>
      </c>
      <c r="AZ342" s="70" t="e">
        <f>AVERAGE(AZ137:AZ280)</f>
        <v>#DIV/0!</v>
      </c>
      <c r="BA342" s="70" t="e">
        <f>AVERAGE(BA137:BA280)</f>
        <v>#DIV/0!</v>
      </c>
      <c r="BB342" s="70" t="e">
        <f>AVERAGE(BB137:BB280)</f>
        <v>#DIV/0!</v>
      </c>
      <c r="BC342" s="70" t="e">
        <f>AVERAGE(BC137:BC280)</f>
        <v>#DIV/0!</v>
      </c>
      <c r="BD342" s="70" t="e">
        <f>AVERAGE(BD137:BD280)</f>
        <v>#DIV/0!</v>
      </c>
      <c r="BE342" s="71"/>
      <c r="BG342" s="70" t="e">
        <f>AVERAGE(BG137:BG280)</f>
        <v>#DIV/0!</v>
      </c>
      <c r="BH342" s="70" t="e">
        <f>AVERAGE(BH137:BH280)</f>
        <v>#DIV/0!</v>
      </c>
      <c r="BI342" s="70" t="e">
        <f>AVERAGE(BI137:BI280)</f>
        <v>#DIV/0!</v>
      </c>
      <c r="BJ342" s="70" t="e">
        <f>AVERAGE(BJ137:BJ280)</f>
        <v>#DIV/0!</v>
      </c>
      <c r="BK342" s="70" t="e">
        <f>AVERAGE(BK137:BK280)</f>
        <v>#DIV/0!</v>
      </c>
      <c r="BL342" s="71"/>
    </row>
    <row r="343" spans="1:76" x14ac:dyDescent="0.15">
      <c r="B343" s="65" t="s">
        <v>12</v>
      </c>
      <c r="J343" s="66" t="e">
        <f>AVERAGE(J281:J298)</f>
        <v>#DIV/0!</v>
      </c>
      <c r="K343" s="66" t="e">
        <f>AVERAGE(K281:K298)</f>
        <v>#DIV/0!</v>
      </c>
      <c r="L343" s="66" t="e">
        <f>AVERAGE(L281:L298)</f>
        <v>#DIV/0!</v>
      </c>
      <c r="M343" s="66" t="e">
        <f>AVERAGE(M281:M298)</f>
        <v>#DIV/0!</v>
      </c>
      <c r="AD343" s="66" t="e">
        <f>AVERAGE(AD281:AD298)</f>
        <v>#DIV/0!</v>
      </c>
      <c r="AE343" s="66" t="e">
        <f>AVERAGE(AE281:AE298)</f>
        <v>#DIV/0!</v>
      </c>
      <c r="AF343" s="66" t="e">
        <f>AVERAGE(AF281:AF298)</f>
        <v>#DIV/0!</v>
      </c>
      <c r="AG343" s="66" t="e">
        <f>AVERAGE(AG281:AG298)</f>
        <v>#DIV/0!</v>
      </c>
      <c r="AX343" s="69" t="e">
        <f>AVERAGE(AX281:AX298)</f>
        <v>#DIV/0!</v>
      </c>
      <c r="AZ343" s="70" t="e">
        <f t="shared" ref="AZ343:BE343" si="135">AVERAGE(AZ281:AZ298)</f>
        <v>#DIV/0!</v>
      </c>
      <c r="BA343" s="70" t="e">
        <f t="shared" si="135"/>
        <v>#DIV/0!</v>
      </c>
      <c r="BB343" s="70" t="e">
        <f t="shared" si="135"/>
        <v>#DIV/0!</v>
      </c>
      <c r="BC343" s="70" t="e">
        <f t="shared" si="135"/>
        <v>#DIV/0!</v>
      </c>
      <c r="BD343" s="70" t="e">
        <f t="shared" si="135"/>
        <v>#DIV/0!</v>
      </c>
      <c r="BE343" s="70" t="e">
        <f t="shared" si="135"/>
        <v>#DIV/0!</v>
      </c>
      <c r="BG343" s="70" t="e">
        <f t="shared" ref="BG343:BL343" si="136">AVERAGE(BG281:BG298)</f>
        <v>#DIV/0!</v>
      </c>
      <c r="BH343" s="70" t="e">
        <f t="shared" si="136"/>
        <v>#DIV/0!</v>
      </c>
      <c r="BI343" s="70" t="e">
        <f t="shared" si="136"/>
        <v>#DIV/0!</v>
      </c>
      <c r="BJ343" s="70" t="e">
        <f t="shared" si="136"/>
        <v>#DIV/0!</v>
      </c>
      <c r="BK343" s="70" t="e">
        <f t="shared" si="136"/>
        <v>#DIV/0!</v>
      </c>
      <c r="BL343" s="70" t="e">
        <f t="shared" si="136"/>
        <v>#DIV/0!</v>
      </c>
    </row>
    <row r="344" spans="1:76" x14ac:dyDescent="0.15">
      <c r="B344" s="65" t="s">
        <v>13</v>
      </c>
      <c r="J344" s="66" t="e">
        <f>AVERAGE(J299:J340)</f>
        <v>#DIV/0!</v>
      </c>
      <c r="K344" s="66" t="e">
        <f>AVERAGE(K299:K340)</f>
        <v>#DIV/0!</v>
      </c>
      <c r="L344" s="67"/>
      <c r="M344" s="66" t="e">
        <f>AVERAGE(M299:M340)</f>
        <v>#DIV/0!</v>
      </c>
      <c r="AD344" s="66" t="e">
        <f>AVERAGE(AD299:AD340)</f>
        <v>#DIV/0!</v>
      </c>
      <c r="AE344" s="66" t="e">
        <f>AVERAGE(AE299:AE340)</f>
        <v>#DIV/0!</v>
      </c>
      <c r="AF344" s="67"/>
      <c r="AG344" s="66" t="e">
        <f>AVERAGE(AG299:AG340)</f>
        <v>#DIV/0!</v>
      </c>
      <c r="AX344" s="69" t="e">
        <f>AVERAGE(AX299:AX340)</f>
        <v>#DIV/0!</v>
      </c>
      <c r="AZ344" s="70" t="e">
        <f>AVERAGE(AZ299:AZ340)</f>
        <v>#DIV/0!</v>
      </c>
      <c r="BA344" s="70" t="e">
        <f>AVERAGE(BA299:BA340)</f>
        <v>#DIV/0!</v>
      </c>
      <c r="BB344" s="71"/>
      <c r="BC344" s="71"/>
      <c r="BD344" s="71"/>
      <c r="BE344" s="70" t="e">
        <f>AVERAGE(BE299:BE340)</f>
        <v>#DIV/0!</v>
      </c>
      <c r="BG344" s="70" t="e">
        <f>AVERAGE(BG299:BG340)</f>
        <v>#DIV/0!</v>
      </c>
      <c r="BH344" s="70" t="e">
        <f>AVERAGE(BH299:BH340)</f>
        <v>#DIV/0!</v>
      </c>
      <c r="BI344" s="71"/>
      <c r="BJ344" s="71"/>
      <c r="BK344" s="71"/>
      <c r="BL344" s="70" t="e">
        <f>AVERAGE(BL299:BL340)</f>
        <v>#DIV/0!</v>
      </c>
    </row>
    <row r="345" spans="1:76" x14ac:dyDescent="0.15">
      <c r="B345" s="65" t="s">
        <v>14</v>
      </c>
      <c r="J345" s="66" t="e">
        <f>AVERAGE(J5:J340)</f>
        <v>#DIV/0!</v>
      </c>
      <c r="K345" s="66" t="e">
        <f>AVERAGE(K5:K340)</f>
        <v>#DIV/0!</v>
      </c>
      <c r="L345" s="66" t="e">
        <f>AVERAGE(L5:L298)</f>
        <v>#DIV/0!</v>
      </c>
      <c r="M345" s="66" t="e">
        <f>AVERAGE(M281:M340)</f>
        <v>#DIV/0!</v>
      </c>
      <c r="AD345" s="66" t="e">
        <f>AVERAGE(AD5:AD340)</f>
        <v>#DIV/0!</v>
      </c>
      <c r="AE345" s="66" t="e">
        <f>AVERAGE(AE5:AE340)</f>
        <v>#DIV/0!</v>
      </c>
      <c r="AF345" s="66" t="e">
        <f>AVERAGE(AF5:AF298)</f>
        <v>#DIV/0!</v>
      </c>
      <c r="AG345" s="66" t="e">
        <f>AVERAGE(AG281:AG340)</f>
        <v>#DIV/0!</v>
      </c>
      <c r="AX345" s="69" t="e">
        <f>AVERAGE(AX5:AX340)</f>
        <v>#DIV/0!</v>
      </c>
      <c r="AZ345" s="70" t="e">
        <f>AVERAGE(AZ5:AZ340)</f>
        <v>#DIV/0!</v>
      </c>
      <c r="BA345" s="70" t="e">
        <f>AVERAGE(BA5:BA340)</f>
        <v>#DIV/0!</v>
      </c>
      <c r="BB345" s="70" t="e">
        <f>AVERAGE(BB5:BB298)</f>
        <v>#DIV/0!</v>
      </c>
      <c r="BC345" s="70" t="e">
        <f>AVERAGE(BC5:BC298)</f>
        <v>#DIV/0!</v>
      </c>
      <c r="BD345" s="70" t="e">
        <f>AVERAGE(BD5:BD298)</f>
        <v>#DIV/0!</v>
      </c>
      <c r="BE345" s="70" t="e">
        <f>AVERAGE(BE281:BE340)</f>
        <v>#DIV/0!</v>
      </c>
      <c r="BG345" s="70" t="e">
        <f>AVERAGE(BG5:BG340)</f>
        <v>#DIV/0!</v>
      </c>
      <c r="BH345" s="70" t="e">
        <f>AVERAGE(BH5:BH340)</f>
        <v>#DIV/0!</v>
      </c>
      <c r="BI345" s="70" t="e">
        <f>AVERAGE(BI5:BI298)</f>
        <v>#DIV/0!</v>
      </c>
      <c r="BJ345" s="70" t="e">
        <f>AVERAGE(BJ5:BJ298)</f>
        <v>#DIV/0!</v>
      </c>
      <c r="BK345" s="70" t="e">
        <f>AVERAGE(BK5:BK298)</f>
        <v>#DIV/0!</v>
      </c>
      <c r="BL345" s="70" t="e">
        <f>AVERAGE(BL281:BL340)</f>
        <v>#DIV/0!</v>
      </c>
    </row>
    <row r="346" spans="1:76" outlineLevel="2" x14ac:dyDescent="0.15">
      <c r="A346" s="65" t="s">
        <v>263</v>
      </c>
      <c r="B346" s="65" t="s">
        <v>264</v>
      </c>
      <c r="Z346" s="68">
        <f>SUM(Z5:Z136,Z137:Z280,Z281:Z298,Z299:Z340)</f>
        <v>0</v>
      </c>
      <c r="AA346" s="68">
        <f>SUM(AA5:AA136,AA137:AA280,AA281:AA298,AA299:AA340)</f>
        <v>0</v>
      </c>
      <c r="AT346" s="68">
        <f>SUM(AT5:AT136,AT137:AT280,AT281:AT298,AT299:AT340)</f>
        <v>0</v>
      </c>
      <c r="AU346" s="68">
        <f>SUM(AU5:AU136,AU137:AU280,AU281:AU298,AU299:AU340)</f>
        <v>0</v>
      </c>
    </row>
    <row r="347" spans="1:76" outlineLevel="2" x14ac:dyDescent="0.15">
      <c r="B347" s="65" t="s">
        <v>265</v>
      </c>
      <c r="AT347" s="69" t="e">
        <f>AT346/Z346</f>
        <v>#DIV/0!</v>
      </c>
      <c r="AU347" s="69" t="e">
        <f>AU346/AA346</f>
        <v>#DIV/0!</v>
      </c>
    </row>
    <row r="348" spans="1:76" ht="27" outlineLevel="2" x14ac:dyDescent="0.15">
      <c r="B348" s="65" t="s">
        <v>266</v>
      </c>
      <c r="Z348" s="68" t="e">
        <f>GEOMEAN(Z5:Z136,Z137:Z280,Z281:Z298,Z299:Z340)</f>
        <v>#NUM!</v>
      </c>
      <c r="AA348" s="68" t="e">
        <f>GEOMEAN(AA5:AA136,AA137:AA280,AA281:AA298,AA299:AA340)</f>
        <v>#NUM!</v>
      </c>
      <c r="AT348" s="68" t="e">
        <f>GEOMEAN(AT5:AT136,AT137:AT280,AT281:AT298,AT299:AT340)</f>
        <v>#NUM!</v>
      </c>
      <c r="AU348" s="68" t="e">
        <f>GEOMEAN(AU5:AU136,AU137:AU280,AU281:AU298,AU299:AU340)</f>
        <v>#NUM!</v>
      </c>
    </row>
    <row r="349" spans="1:76" ht="27" outlineLevel="2" collapsed="1" x14ac:dyDescent="0.15">
      <c r="B349" s="65" t="s">
        <v>267</v>
      </c>
      <c r="AT349" s="69" t="e">
        <f>AT348/Z348</f>
        <v>#NUM!</v>
      </c>
      <c r="AU349" s="69" t="e">
        <f>AU348/AA348</f>
        <v>#NUM!</v>
      </c>
    </row>
  </sheetData>
  <mergeCells count="38">
    <mergeCell ref="BS2:BT2"/>
    <mergeCell ref="BU2:BX2"/>
    <mergeCell ref="A1:G1"/>
    <mergeCell ref="I1:AA1"/>
    <mergeCell ref="AC1:AU1"/>
    <mergeCell ref="J2:M2"/>
    <mergeCell ref="P2:S2"/>
    <mergeCell ref="T2:U2"/>
    <mergeCell ref="V2:Y2"/>
    <mergeCell ref="AD2:AG2"/>
    <mergeCell ref="AJ2:AM2"/>
    <mergeCell ref="AN2:AO2"/>
    <mergeCell ref="AP2:AS2"/>
    <mergeCell ref="AC2:AC3"/>
    <mergeCell ref="BI2:BL2"/>
    <mergeCell ref="BB2:BE2"/>
    <mergeCell ref="BG2:BH2"/>
    <mergeCell ref="BN2:BN3"/>
    <mergeCell ref="BO2:BR2"/>
    <mergeCell ref="A2:A3"/>
    <mergeCell ref="B2:B3"/>
    <mergeCell ref="C2:C3"/>
    <mergeCell ref="D2:D3"/>
    <mergeCell ref="E2:E3"/>
    <mergeCell ref="F2:F3"/>
    <mergeCell ref="G2:G3"/>
    <mergeCell ref="I2:I3"/>
    <mergeCell ref="N2:N3"/>
    <mergeCell ref="O2:O3"/>
    <mergeCell ref="Z2:Z3"/>
    <mergeCell ref="AA2:AA3"/>
    <mergeCell ref="AW2:AW3"/>
    <mergeCell ref="AX2:AX3"/>
    <mergeCell ref="AZ2:BA2"/>
    <mergeCell ref="AH2:AH3"/>
    <mergeCell ref="AI2:AI3"/>
    <mergeCell ref="AT2:AT3"/>
    <mergeCell ref="AU2:AU3"/>
  </mergeCells>
  <phoneticPr fontId="3" type="noConversion"/>
  <conditionalFormatting sqref="AZ5 AZ6 AZ7 AZ8 AZ9 AZ10 AZ11 AZ12 AZ13 AZ14 AZ15 AZ16 AZ17 AZ18 AZ19 AZ20 AZ21 AZ22 AZ23 AZ24 AZ25 AZ26 AZ27 AZ28 AZ29 AZ30 AZ31 AZ32 AZ33 AZ34 AZ35 AZ36 AZ37 AZ38 AZ39 AZ40 AZ41 AZ42 AZ43 AZ44 AZ45 AZ46 AZ47 AZ48 AZ49 AZ50 AZ51 AZ52 AZ53 AZ54 AZ55 AZ56 AZ57 AZ58 AZ59 AZ60 AZ61 AZ62 AZ63 AZ64 AZ65 AZ66 AZ67 AZ68 AZ69 AZ70 AZ71 AZ72 AZ73 AZ74 AZ75 AZ76 AZ77 AZ78 AZ79 AZ80 AZ81 AZ82 AZ83 AZ84 AZ85 AZ86 AZ87 AZ88 AZ89 AZ90 AZ91 AZ92 AZ93 AZ94 AZ95 AZ96 AZ97 AZ98 AZ99 AZ100 AZ101 AZ102 AZ103 AZ104 AZ105 AZ106 AZ107 AZ108 AZ109 AZ110 AZ111 AZ112 AZ113 AZ114 AZ115 AZ116 AZ117 AZ118 AZ119 AZ120 AZ121 AZ122 AZ123 AZ124 AZ125 AZ126 AZ127 AZ128 AZ129 AZ130 AZ131 AZ132 AZ133 AZ134 AZ135 AZ136 AZ137 AZ138 AZ139 AZ140 AZ141 AZ142 AZ143 AZ144 AZ145 AZ146 AZ147 AZ148 AZ149 AZ150 AZ151 AZ152 AZ153 AZ154 AZ155 AZ156 AZ157 AZ158 AZ159 AZ160 AZ161 AZ162 AZ163 AZ164 AZ165 AZ166 AZ167 AZ168 AZ169 AZ170 AZ171 AZ172 AZ173 AZ174 AZ175 AZ176 AZ177 AZ178 AZ179 AZ180 AZ181 AZ182 AZ183 AZ184 AZ185 AZ186 AZ187 AZ188 AZ189 AZ190 AZ191 AZ192 AZ193 AZ194 AZ195 AZ196 AZ197 AZ198 AZ199 AZ200 AZ201 AZ202 AZ203 AZ204 AZ205 AZ206 AZ207 AZ208 AZ209 AZ210 AZ211 AZ212 AZ213 AZ214 AZ215 AZ216 AZ217 AZ218 AZ219 AZ220 AZ221 AZ222 AZ223 AZ224 AZ225 AZ226 AZ227 AZ228 AZ229 AZ230 AZ231 AZ232 AZ233 AZ234 AZ235 AZ236 AZ237 AZ238 AZ239 AZ240 AZ241 AZ242 AZ243 AZ244 AZ245 AZ246 AZ247 AZ248 AZ249 AZ250 AZ251 AZ252 AZ253 AZ254 AZ255 AZ256 AZ257 AZ258 AZ259 AZ260 AZ261 AZ262 AZ263 AZ264 AZ265 AZ266 AZ267 AZ268 AZ269 AZ270 AZ271 AZ272 AZ273 AZ274 AZ275 AZ276 AZ277 AZ278 AZ279 AZ280 AZ281 AZ282 AZ283 AZ284 AZ285 AZ286 AZ287 AZ288 AZ289 AZ290 AZ291 AZ292 AZ293 AZ294 AZ295 AZ296 AZ297 AZ298 AZ299 AZ300 AZ301 AZ302 AZ303 AZ304 AZ305 AZ306 AZ307 AZ308 AZ309 AZ310 AZ311 AZ312 AZ313 AZ314 AZ315 AZ316 AZ317 AZ318 AZ319 AZ320 AZ321 AZ322 AZ323 AZ324 AZ325 AZ326 AZ327 AZ328 AZ329 AZ330 AZ331 AZ332 AZ333 AZ334 AZ335 AZ336 AZ337 AZ338 AZ339 AZ340 AZ341 AZ342 AZ343 AZ344 AZ345">
    <cfRule type="cellIs" dxfId="63" priority="13" operator="greaterThanOrEqual">
      <formula>0.03</formula>
    </cfRule>
    <cfRule type="cellIs" dxfId="62" priority="14" operator="lessThanOrEqual">
      <formula>-0.03</formula>
    </cfRule>
  </conditionalFormatting>
  <conditionalFormatting sqref="BA5 BA6 BA7 BA8 BA9 BA10 BA11 BA12 BA13 BA14 BA15 BA16 BA17 BA18 BA19 BA20 BA21 BA22 BA23 BA24 BA25 BA26 BA27 BA28 BA29 BA30 BA31 BA32 BA33 BA34 BA35 BA36 BA37 BA38 BA39 BA40 BA41 BA42 BA43 BA44 BA45 BA46 BA47 BA48 BA49 BA50 BA51 BA52 BA53 BA54 BA55 BA56 BA57 BA58 BA59 BA60 BA61 BA62 BA63 BA64 BA65 BA66 BA67 BA68 BA69 BA70 BA71 BA72 BA73 BA74 BA75 BA76 BA77 BA78 BA79 BA80 BA81 BA82 BA83 BA84 BA85 BA86 BA87 BA88 BA89 BA90 BA91 BA92 BA93 BA94 BA95 BA96 BA97 BA98 BA99 BA100 BA101 BA102 BA103 BA104 BA105 BA106 BA107 BA108 BA109 BA110 BA111 BA112 BA113 BA114 BA115 BA116 BA117 BA118 BA119 BA120 BA121 BA122 BA123 BA124 BA125 BA126 BA127 BA128 BA129 BA130 BA131 BA132 BA133 BA134 BA135 BA136 BA137 BA138 BA139 BA140 BA141 BA142 BA143 BA144 BA145 BA146 BA147 BA148 BA149 BA150 BA151 BA152 BA153 BA154 BA155 BA156 BA157 BA158 BA159 BA160 BA161 BA162 BA163 BA164 BA165 BA166 BA167 BA168 BA169 BA170 BA171 BA172 BA173 BA174 BA175 BA176 BA177 BA178 BA179 BA180 BA181 BA182 BA183 BA184 BA185 BA186 BA187 BA188 BA189 BA190 BA191 BA192 BA193 BA194 BA195 BA196 BA197 BA198 BA199 BA200 BA201 BA202 BA203 BA204 BA205 BA206 BA207 BA208 BA209 BA210 BA211 BA212 BA213 BA214 BA215 BA216 BA217 BA218 BA219 BA220 BA221 BA222 BA223 BA224 BA225 BA226 BA227 BA228 BA229 BA230 BA231 BA232 BA233 BA234 BA235 BA236 BA237 BA238 BA239 BA240 BA241 BA242 BA243 BA244 BA245 BA246 BA247 BA248 BA249 BA250 BA251 BA252 BA253 BA254 BA255 BA256 BA257 BA258 BA259 BA260 BA261 BA262 BA263 BA264 BA265 BA266 BA267 BA268 BA269 BA270 BA271 BA272 BA273 BA274 BA275 BA276 BA277 BA278 BA279 BA280 BA281 BA282 BA283 BA284 BA285 BA286 BA287 BA288 BA289 BA290 BA291 BA292 BA293 BA294 BA295 BA296 BA297 BA298 BA299 BA300 BA301 BA302 BA303 BA304 BA305 BA306 BA307 BA308 BA309 BA310 BA311 BA312 BA313 BA314 BA315 BA316 BA317 BA318 BA319 BA320 BA321 BA322 BA323 BA324 BA325 BA326 BA327 BA328 BA329 BA330 BA331 BA332 BA333 BA334 BA335 BA336 BA337 BA338 BA339 BA340 BA341 BA342 BA343 BA344 BA345">
    <cfRule type="cellIs" dxfId="61" priority="17" operator="greaterThanOrEqual">
      <formula>0.03</formula>
    </cfRule>
    <cfRule type="cellIs" dxfId="60" priority="18" operator="lessThanOrEqual">
      <formula>-0.03</formula>
    </cfRule>
  </conditionalFormatting>
  <conditionalFormatting sqref="BB5 BB6 BB7 BB8 BB9 BB10 BB11 BB12 BB13 BB14 BB15 BB16 BB17 BB18 BB19 BB20 BB21 BB22 BB23 BB24 BB25 BB26 BB27 BB28 BB29 BB30 BB31 BB32 BB33 BB34 BB35 BB36 BB37 BB38 BB39 BB40 BB41 BB42 BB43 BB44 BB45 BB46 BB47 BB48 BB49 BB50 BB51 BB52 BB53 BB54 BB55 BB56 BB57 BB58 BB59 BB60 BB61 BB62 BB63 BB64 BB65 BB66 BB67 BB68 BB69 BB70 BB71 BB72 BB73 BB74 BB75 BB76 BB77 BB78 BB79 BB80 BB81 BB82 BB83 BB84 BB85 BB86 BB87 BB88 BB89 BB90 BB91 BB92 BB93 BB94 BB95 BB96 BB97 BB98 BB99 BB100 BB101 BB102 BB103 BB104 BB105 BB106 BB107 BB108 BB109 BB110 BB111 BB112 BB113 BB114 BB115 BB116 BB117 BB118 BB119 BB120 BB121 BB122 BB123 BB124 BB125 BB126 BB127 BB128 BB129 BB130 BB131 BB132 BB133 BB134 BB135 BB136 BB137 BB138 BB139 BB140 BB141 BB142 BB143 BB144 BB145 BB146 BB147 BB148 BB149 BB150 BB151 BB152 BB153 BB154 BB155 BB156 BB157 BB158 BB159 BB160 BB161 BB162 BB163 BB164 BB165 BB166 BB167 BB168 BB169 BB170 BB171 BB172 BB173 BB174 BB175 BB176 BB177 BB178 BB179 BB180 BB181 BB182 BB183 BB184 BB185 BB186 BB187 BB188 BB189 BB190 BB191 BB192 BB193 BB194 BB195 BB196 BB197 BB198 BB199 BB200 BB201 BB202 BB203 BB204 BB205 BB206 BB207 BB208 BB209 BB210 BB211 BB212 BB213 BB214 BB215 BB216 BB217 BB218 BB219 BB220 BB221 BB222 BB223 BB224 BB225 BB226 BB227 BB228 BB229 BB230 BB231 BB232 BB233 BB234 BB235 BB236 BB237 BB238 BB239 BB240 BB241 BB242 BB243 BB244 BB245 BB246 BB247 BB248 BB249 BB250 BB251 BB252 BB253 BB254 BB255 BB256 BB257 BB258 BB259 BB260 BB261 BB262 BB263 BB264 BB265 BB266 BB267 BB268 BB269 BB270 BB271 BB272 BB273 BB274 BB275 BB276 BB277 BB278 BB279 BB280 BB281 BB282 BB283 BB284 BB285 BB286 BB287 BB288 BB289 BB290 BB291 BB292 BB293 BB294 BB295 BB296 BB297 BB298 BB299 BB300 BB301 BB302 BB303 BB304 BB305 BB306 BB307 BB308 BB309 BB310 BB311 BB312 BB313 BB314 BB315 BB316 BB317 BB318 BB319 BB320 BB321 BB322 BB323 BB324 BB325 BB326 BB327 BB328 BB329 BB330 BB331 BB332 BB333 BB334 BB335 BB336 BB337 BB338 BB339 BB340 BB341 BB342 BB343 BB345">
    <cfRule type="cellIs" dxfId="59" priority="19" operator="greaterThanOrEqual">
      <formula>0.03</formula>
    </cfRule>
    <cfRule type="cellIs" dxfId="58" priority="20" operator="lessThanOrEqual">
      <formula>-0.03</formula>
    </cfRule>
  </conditionalFormatting>
  <conditionalFormatting sqref="BC5 BC6 BC7 BC8 BC9 BC10 BC11 BC12 BC13 BC14 BC15 BC16 BC17 BC18 BC19 BC20 BC21 BC22 BC23 BC24 BC25 BC26 BC27 BC28 BC29 BC30 BC31 BC32 BC33 BC34 BC35 BC36 BC37 BC38 BC39 BC40 BC41 BC42 BC43 BC44 BC45 BC46 BC47 BC48 BC49 BC50 BC51 BC52 BC53 BC54 BC55 BC56 BC57 BC58 BC59 BC60 BC61 BC62 BC63 BC64 BC65 BC66 BC67 BC68 BC69 BC70 BC71 BC72 BC73 BC74 BC75 BC76 BC77 BC78 BC79 BC80 BC81 BC82 BC83 BC84 BC85 BC86 BC87 BC88 BC89 BC90 BC91 BC92 BC93 BC94 BC95 BC96 BC97 BC98 BC99 BC100 BC101 BC102 BC103 BC104 BC105 BC106 BC107 BC108 BC109 BC110 BC111 BC112 BC113 BC114 BC115 BC116 BC117 BC118 BC119 BC120 BC121 BC122 BC123 BC124 BC125 BC126 BC127 BC128 BC129 BC130 BC131 BC132 BC133 BC134 BC135 BC136 BC137 BC138 BC139 BC140 BC141 BC142 BC143 BC144 BC145 BC146 BC147 BC148 BC149 BC150 BC151 BC152 BC153 BC154 BC155 BC156 BC157 BC158 BC159 BC160 BC161 BC162 BC163 BC164 BC165 BC166 BC167 BC168 BC169 BC170 BC171 BC172 BC173 BC174 BC175 BC176 BC177 BC178 BC179 BC180 BC181 BC182 BC183 BC184 BC185 BC186 BC187 BC188 BC189 BC190 BC191 BC192 BC193 BC194 BC195 BC196 BC197 BC198 BC199 BC200 BC201 BC202 BC203 BC204 BC205 BC206 BC207 BC208 BC209 BC210 BC211 BC212 BC213 BC214 BC215 BC216 BC217 BC218 BC219 BC220 BC221 BC222 BC223 BC224 BC225 BC226 BC227 BC228 BC229 BC230 BC231 BC232 BC233 BC234 BC235 BC236 BC237 BC238 BC239 BC240 BC241 BC242 BC243 BC244 BC245 BC246 BC247 BC248 BC249 BC250 BC251 BC252 BC253 BC254 BC255 BC256 BC257 BC258 BC259 BC260 BC261 BC262 BC263 BC264 BC265 BC266 BC267 BC268 BC269 BC270 BC271 BC272 BC273 BC274 BC275 BC276 BC277 BC278 BC279 BC280 BC281 BC282 BC283 BC284 BC285 BC286 BC287 BC288 BC289 BC290 BC291 BC292 BC293 BC294 BC295 BC296 BC297 BC298 BC299 BC300 BC301 BC302 BC303 BC304 BC305 BC306 BC307 BC308 BC309 BC310 BC311 BC312 BC313 BC314 BC315 BC316 BC317 BC318 BC319 BC320 BC321 BC322 BC323 BC324 BC325 BC326 BC327 BC328 BC329 BC330 BC331 BC332 BC333 BC334 BC335 BC336 BC337 BC338 BC339 BC340 BC341 BC342 BC343 BC345">
    <cfRule type="cellIs" dxfId="57" priority="23" operator="greaterThanOrEqual">
      <formula>0.03</formula>
    </cfRule>
    <cfRule type="cellIs" dxfId="56" priority="24" operator="lessThanOrEqual">
      <formula>-0.03</formula>
    </cfRule>
  </conditionalFormatting>
  <conditionalFormatting sqref="BD5 BD6 BD7 BD8 BD9 BD10 BD11 BD12 BD13 BD14 BD15 BD16 BD17 BD18 BD19 BD20 BD21 BD22 BD23 BD24 BD25 BD26 BD27 BD28 BD29 BD30 BD31 BD32 BD33 BD34 BD35 BD36 BD37 BD38 BD39 BD40 BD41 BD42 BD43 BD44 BD45 BD46 BD47 BD48 BD49 BD50 BD51 BD52 BD53 BD54 BD55 BD56 BD57 BD58 BD59 BD60 BD61 BD62 BD63 BD64 BD65 BD66 BD67 BD68 BD69 BD70 BD71 BD72 BD73 BD74 BD75 BD76 BD77 BD78 BD79 BD80 BD81 BD82 BD83 BD84 BD85 BD86 BD87 BD88 BD89 BD90 BD91 BD92 BD93 BD94 BD95 BD96 BD97 BD98 BD99 BD100 BD101 BD102 BD103 BD104 BD105 BD106 BD107 BD108 BD109 BD110 BD111 BD112 BD113 BD114 BD115 BD116 BD117 BD118 BD119 BD120 BD121 BD122 BD123 BD124 BD125 BD126 BD127 BD128 BD129 BD130 BD131 BD132 BD133 BD134 BD135 BD136 BD137 BD138 BD139 BD140 BD141 BD142 BD143 BD144 BD145 BD146 BD147 BD148 BD149 BD150 BD151 BD152 BD153 BD154 BD155 BD156 BD157 BD158 BD159 BD160 BD161 BD162 BD163 BD164 BD165 BD166 BD167 BD168 BD169 BD170 BD171 BD172 BD173 BD174 BD175 BD176 BD177 BD178 BD179 BD180 BD181 BD182 BD183 BD184 BD185 BD186 BD187 BD188 BD189 BD190 BD191 BD192 BD193 BD194 BD195 BD196 BD197 BD198 BD199 BD200 BD201 BD202 BD203 BD204 BD205 BD206 BD207 BD208 BD209 BD210 BD211 BD212 BD213 BD214 BD215 BD216 BD217 BD218 BD219 BD220 BD221 BD222 BD223 BD224 BD225 BD226 BD227 BD228 BD229 BD230 BD231 BD232 BD233 BD234 BD235 BD236 BD237 BD238 BD239 BD240 BD241 BD242 BD243 BD244 BD245 BD246 BD247 BD248 BD249 BD250 BD251 BD252 BD253 BD254 BD255 BD256 BD257 BD258 BD259 BD260 BD261 BD262 BD263 BD264 BD265 BD266 BD267 BD268 BD269 BD270 BD271 BD272 BD273 BD274 BD275 BD276 BD277 BD278 BD279 BD280 BD281 BD282 BD283 BD284 BD285 BD286 BD287 BD288 BD289 BD290 BD291 BD292 BD293 BD294 BD295 BD296 BD297 BD298 BD299 BD300 BD301 BD302 BD303 BD304 BD305 BD306 BD307 BD308 BD309 BD310 BD311 BD312 BD313 BD314 BD315 BD316 BD317 BD318 BD319 BD320 BD321 BD322 BD323 BD324 BD325 BD326 BD327 BD328 BD329 BD330 BD331 BD332 BD333 BD334 BD335 BD336 BD337 BD338 BD339 BD340 BD341 BD342 BD343 BD345">
    <cfRule type="cellIs" dxfId="55" priority="21" operator="greaterThanOrEqual">
      <formula>0.03</formula>
    </cfRule>
    <cfRule type="cellIs" dxfId="54" priority="22" operator="lessThanOrEqual">
      <formula>-0.03</formula>
    </cfRule>
  </conditionalFormatting>
  <conditionalFormatting sqref="BE5 BE6 BE7 BE8 BE9 BE10 BE11 BE12 BE13 BE14 BE15 BE16 BE17 BE18 BE19 BE20 BE21 BE22 BE23 BE24 BE25 BE26 BE27 BE28 BE29 BE30 BE31 BE32 BE33 BE34 BE35 BE36 BE37 BE38 BE39 BE40 BE41 BE42 BE43 BE44 BE45 BE46 BE47 BE48 BE49 BE50 BE51 BE52 BE53 BE54 BE55 BE56 BE57 BE58 BE59 BE60 BE61 BE62 BE63 BE64 BE65 BE66 BE67 BE68 BE69 BE70 BE71 BE72 BE73 BE74 BE75 BE76 BE77 BE78 BE79 BE80 BE81 BE82 BE83 BE84 BE85 BE86 BE87 BE88 BE89 BE90 BE91 BE92 BE93 BE94 BE95 BE96 BE97 BE98 BE99 BE100 BE101 BE102 BE103 BE104 BE105 BE106 BE107 BE108 BE109 BE110 BE111 BE112 BE113 BE114 BE115 BE116 BE117 BE118 BE119 BE120 BE121 BE122 BE123 BE124 BE125 BE126 BE127 BE128 BE129 BE130 BE131 BE132 BE133 BE134 BE135 BE136 BE137 BE138 BE139 BE140 BE141 BE142 BE143 BE144 BE145 BE146 BE147 BE148 BE149 BE150 BE151 BE152 BE153 BE154 BE155 BE156 BE157 BE158 BE159 BE160 BE161 BE162 BE163 BE164 BE165 BE166 BE167 BE168 BE169 BE170 BE171 BE172 BE173 BE174 BE175 BE176 BE177 BE178 BE179 BE180 BE181 BE182 BE183 BE184 BE185 BE186 BE187 BE188 BE189 BE190 BE191 BE192 BE193 BE194 BE195 BE196 BE197 BE198 BE199 BE200 BE201 BE202 BE203 BE204 BE205 BE206 BE207 BE208 BE209 BE210 BE211 BE212 BE213 BE214 BE215 BE216 BE217 BE218 BE219 BE220 BE221 BE222 BE223 BE224 BE225 BE226 BE227 BE228 BE229 BE230 BE231 BE232 BE233 BE234 BE235 BE236 BE237 BE238 BE239 BE240 BE241 BE242 BE243 BE244 BE245 BE246 BE247 BE248 BE249 BE250 BE251 BE252 BE253 BE254 BE255 BE256 BE257 BE258 BE259 BE260 BE261 BE262 BE263 BE264 BE265 BE266 BE267 BE268 BE269 BE270 BE271 BE272 BE273 BE274 BE275 BE276 BE277 BE278 BE279 BE280 BE281 BE282 BE283 BE284 BE285 BE286 BE287 BE288 BE289 BE290 BE291 BE292 BE293 BE294 BE295 BE296 BE297 BE298 BE299 BE300 BE301 BE302 BE303 BE304 BE305 BE306 BE307 BE308 BE309 BE310 BE311 BE312 BE313 BE314 BE315 BE316 BE317 BE318 BE319 BE320 BE321 BE322 BE323 BE324 BE325 BE326 BE327 BE328 BE329 BE330 BE331 BE332 BE333 BE334 BE335 BE336 BE337 BE338 BE339 BE340 BE343 BE344 BE345">
    <cfRule type="cellIs" dxfId="53" priority="1" operator="greaterThanOrEqual">
      <formula>0.03</formula>
    </cfRule>
    <cfRule type="cellIs" dxfId="52" priority="2" operator="lessThanOrEqual">
      <formula>-0.03</formula>
    </cfRule>
  </conditionalFormatting>
  <conditionalFormatting sqref="BG5 BG6 BG7 BG8 BG9 BG10 BG11 BG12 BG13 BG14 BG15 BG16 BG17 BG18 BG19 BG20 BG21 BG22 BG23 BG24 BG25 BG26 BG27 BG28 BG29 BG30 BG31 BG32 BG33 BG34 BG35 BG36 BG37 BG38 BG39 BG40 BG41 BG42 BG43 BG44 BG45 BG46 BG47 BG48 BG49 BG50 BG51 BG52 BG53 BG54 BG55 BG56 BG57 BG58 BG59 BG60 BG61 BG62 BG63 BG64 BG65 BG66 BG67 BG68 BG69 BG70 BG71 BG72 BG73 BG74 BG75 BG76 BG77 BG78 BG79 BG80 BG81 BG82 BG83 BG84 BG85 BG86 BG87 BG88 BG89 BG90 BG91 BG92 BG93 BG94 BG95 BG96 BG97 BG98 BG99 BG100 BG101 BG102 BG103 BG104 BG105 BG106 BG107 BG108 BG109 BG110 BG111 BG112 BG113 BG114 BG115 BG116 BG117 BG118 BG119 BG120 BG121 BG122 BG123 BG124 BG125 BG126 BG127 BG128 BG129 BG130 BG131 BG132 BG133 BG134 BG135 BG136 BG137 BG138 BG139 BG140 BG141 BG142 BG143 BG144 BG145 BG146 BG147 BG148 BG149 BG150 BG151 BG152 BG153 BG154 BG155 BG156 BG157 BG158 BG159 BG160 BG161 BG162 BG163 BG164 BG165 BG166 BG167 BG168 BG169 BG170 BG171 BG172 BG173 BG174 BG175 BG176 BG177 BG178 BG179 BG180 BG181 BG182 BG183 BG184 BG185 BG186 BG187 BG188 BG189 BG190 BG191 BG192 BG193 BG194 BG195 BG196 BG197 BG198 BG199 BG200 BG201 BG202 BG203 BG204 BG205 BG206 BG207 BG208 BG209 BG210 BG211 BG212 BG213 BG214 BG215 BG216 BG217 BG218 BG219 BG220 BG221 BG222 BG223 BG224 BG225 BG226 BG227 BG228 BG229 BG230 BG231 BG232 BG233 BG234 BG235 BG236 BG237 BG238 BG239 BG240 BG241 BG242 BG243 BG244 BG245 BG246 BG247 BG248 BG249 BG250 BG251 BG252 BG253 BG254 BG255 BG256 BG257 BG258 BG259 BG260 BG261 BG262 BG263 BG264 BG265 BG266 BG267 BG268 BG269 BG270 BG271 BG272 BG273 BG274 BG275 BG276 BG277 BG278 BG279 BG280 BG281 BG282 BG283 BG284 BG285 BG286 BG287 BG288 BG289 BG290 BG291 BG292 BG293 BG294 BG295 BG296 BG297 BG298 BG299 BG300 BG301 BG302 BG303 BG304 BG305 BG306 BG307 BG308 BG309 BG310 BG311 BG312 BG313 BG314 BG315 BG316 BG317 BG318 BG319 BG320 BG321 BG322 BG323 BG324 BG325 BG326 BG327 BG328 BG329 BG330 BG331 BG332 BG333 BG334 BG335 BG336 BG337 BG338 BG339 BG340 BG341 BG342 BG343 BG344 BG345">
    <cfRule type="cellIs" dxfId="51" priority="11" operator="greaterThanOrEqual">
      <formula>0.03</formula>
    </cfRule>
    <cfRule type="cellIs" dxfId="50" priority="12" operator="lessThanOrEqual">
      <formula>-0.03</formula>
    </cfRule>
  </conditionalFormatting>
  <conditionalFormatting sqref="BH5 BH6 BH7 BH8 BH9 BH10 BH11 BH12 BH13 BH14 BH15 BH16 BH17 BH18 BH19 BH20 BH21 BH22 BH23 BH24 BH25 BH26 BH27 BH28 BH29 BH30 BH31 BH32 BH33 BH34 BH35 BH36 BH37 BH38 BH39 BH40 BH41 BH42 BH43 BH44 BH45 BH46 BH47 BH48 BH49 BH50 BH51 BH52 BH53 BH54 BH55 BH56 BH57 BH58 BH59 BH60 BH61 BH62 BH63 BH64 BH65 BH66 BH67 BH68 BH69 BH70 BH71 BH72 BH73 BH74 BH75 BH76 BH77 BH78 BH79 BH80 BH81 BH82 BH83 BH84 BH85 BH86 BH87 BH88 BH89 BH90 BH91 BH92 BH93 BH94 BH95 BH96 BH97 BH98 BH99 BH100 BH101 BH102 BH103 BH104 BH105 BH106 BH107 BH108 BH109 BH110 BH111 BH112 BH113 BH114 BH115 BH116 BH117 BH118 BH119 BH120 BH121 BH122 BH123 BH124 BH125 BH126 BH127 BH128 BH129 BH130 BH131 BH132 BH133 BH134 BH135 BH136 BH137 BH138 BH139 BH140 BH141 BH142 BH143 BH144 BH145 BH146 BH147 BH148 BH149 BH150 BH151 BH152 BH153 BH154 BH155 BH156 BH157 BH158 BH159 BH160 BH161 BH162 BH163 BH164 BH165 BH166 BH167 BH168 BH169 BH170 BH171 BH172 BH173 BH174 BH175 BH176 BH177 BH178 BH179 BH180 BH181 BH182 BH183 BH184 BH185 BH186 BH187 BH188 BH189 BH190 BH191 BH192 BH193 BH194 BH195 BH196 BH197 BH198 BH199 BH200 BH201 BH202 BH203 BH204 BH205 BH206 BH207 BH208 BH209 BH210 BH211 BH212 BH213 BH214 BH215 BH216 BH217 BH218 BH219 BH220 BH221 BH222 BH223 BH224 BH225 BH226 BH227 BH228 BH229 BH230 BH231 BH232 BH233 BH234 BH235 BH236 BH237 BH238 BH239 BH240 BH241 BH242 BH243 BH244 BH245 BH246 BH247 BH248 BH249 BH250 BH251 BH252 BH253 BH254 BH255 BH256 BH257 BH258 BH259 BH260 BH261 BH262 BH263 BH264 BH265 BH266 BH267 BH268 BH269 BH270 BH271 BH272 BH273 BH274 BH275 BH276 BH277 BH278 BH279 BH280 BH281 BH282 BH283 BH284 BH285 BH286 BH287 BH288 BH289 BH290 BH291 BH292 BH293 BH294 BH295 BH296 BH297 BH298 BH299 BH300 BH301 BH302 BH303 BH304 BH305 BH306 BH307 BH308 BH309 BH310 BH311 BH312 BH313 BH314 BH315 BH316 BH317 BH318 BH319 BH320 BH321 BH322 BH323 BH324 BH325 BH326 BH327 BH328 BH329 BH330 BH331 BH332 BH333 BH334 BH335 BH336 BH337 BH338 BH339 BH340 BH341 BH342 BH343 BH344 BH345">
    <cfRule type="cellIs" dxfId="49" priority="9" operator="greaterThanOrEqual">
      <formula>0.03</formula>
    </cfRule>
    <cfRule type="cellIs" dxfId="48" priority="10" operator="lessThanOrEqual">
      <formula>-0.03</formula>
    </cfRule>
  </conditionalFormatting>
  <conditionalFormatting sqref="BI5 BI6 BI7 BI8 BI9 BI10 BI11 BI12 BI13 BI14 BI15 BI16 BI17 BI18 BI19 BI20 BI21 BI22 BI23 BI24 BI25 BI26 BI27 BI28 BI29 BI30 BI31 BI32 BI33 BI34 BI35 BI36 BI37 BI38 BI39 BI40 BI41 BI42 BI43 BI44 BI45 BI46 BI47 BI48 BI49 BI50 BI51 BI52 BI53 BI54 BI55 BI56 BI57 BI58 BI59 BI60 BI61 BI62 BI63 BI64 BI65 BI66 BI67 BI68 BI69 BI70 BI71 BI72 BI73 BI74 BI75 BI76 BI77 BI78 BI79 BI80 BI81 BI82 BI83 BI84 BI85 BI86 BI87 BI88 BI89 BI90 BI91 BI92 BI93 BI94 BI95 BI96 BI97 BI98 BI99 BI100 BI101 BI102 BI103 BI104 BI105 BI106 BI107 BI108 BI109 BI110 BI111 BI112 BI113 BI114 BI115 BI116 BI117 BI118 BI119 BI120 BI121 BI122 BI123 BI124 BI125 BI126 BI127 BI128 BI129 BI130 BI131 BI132 BI133 BI134 BI135 BI136 BI137 BI138 BI139 BI140 BI141 BI142 BI143 BI144 BI145 BI146 BI147 BI148 BI149 BI150 BI151 BI152 BI153 BI154 BI155 BI156 BI157 BI158 BI159 BI160 BI161 BI162 BI163 BI164 BI165 BI166 BI167 BI168 BI169 BI170 BI171 BI172 BI173 BI174 BI175 BI176 BI177 BI178 BI179 BI180 BI181 BI182 BI183 BI184 BI185 BI186 BI187 BI188 BI189 BI190 BI191 BI192 BI193 BI194 BI195 BI196 BI197 BI198 BI199 BI200 BI201 BI202 BI203 BI204 BI205 BI206 BI207 BI208 BI209 BI210 BI211 BI212 BI213 BI214 BI215 BI216 BI217 BI218 BI219 BI220 BI221 BI222 BI223 BI224 BI225 BI226 BI227 BI228 BI229 BI230 BI231 BI232 BI233 BI234 BI235 BI236 BI237 BI238 BI239 BI240 BI241 BI242 BI243 BI244 BI245 BI246 BI247 BI248 BI249 BI250 BI251 BI252 BI253 BI254 BI255 BI256 BI257 BI258 BI259 BI260 BI261 BI262 BI263 BI264 BI265 BI266 BI267 BI268 BI269 BI270 BI271 BI272 BI273 BI274 BI275 BI276 BI277 BI278 BI279 BI280 BI281 BI282 BI283 BI284 BI285 BI286 BI287 BI288 BI289 BI290 BI291 BI292 BI293 BI294 BI295 BI296 BI297 BI298 BI299 BI300 BI301 BI302 BI303 BI304 BI305 BI306 BI307 BI308 BI309 BI310 BI311 BI312 BI313 BI314 BI315 BI316 BI317 BI318 BI319 BI320 BI321 BI322 BI323 BI324 BI325 BI326 BI327 BI328 BI329 BI330 BI331 BI332 BI333 BI334 BI335 BI336 BI337 BI338 BI339 BI340 BI341 BI342 BI343 BI345">
    <cfRule type="cellIs" dxfId="47" priority="3" operator="greaterThanOrEqual">
      <formula>0.03</formula>
    </cfRule>
    <cfRule type="cellIs" dxfId="46" priority="4" operator="lessThanOrEqual">
      <formula>-0.03</formula>
    </cfRule>
  </conditionalFormatting>
  <conditionalFormatting sqref="BJ5 BJ6 BJ7 BJ8 BJ9 BJ10 BJ11 BJ12 BJ13 BJ14 BJ15 BJ16 BJ17 BJ18 BJ19 BJ20 BJ21 BJ22 BJ23 BJ24 BJ25 BJ26 BJ27 BJ28 BJ29 BJ30 BJ31 BJ32 BJ33 BJ34 BJ35 BJ36 BJ37 BJ38 BJ39 BJ40 BJ41 BJ42 BJ43 BJ44 BJ45 BJ46 BJ47 BJ48 BJ49 BJ50 BJ51 BJ52 BJ53 BJ54 BJ55 BJ56 BJ57 BJ58 BJ59 BJ60 BJ61 BJ62 BJ63 BJ64 BJ65 BJ66 BJ67 BJ68 BJ69 BJ70 BJ71 BJ72 BJ73 BJ74 BJ75 BJ76 BJ77 BJ78 BJ79 BJ80 BJ81 BJ82 BJ83 BJ84 BJ85 BJ86 BJ87 BJ88 BJ89 BJ90 BJ91 BJ92 BJ93 BJ94 BJ95 BJ96 BJ97 BJ98 BJ99 BJ100 BJ101 BJ102 BJ103 BJ104 BJ105 BJ106 BJ107 BJ108 BJ109 BJ110 BJ111 BJ112 BJ113 BJ114 BJ115 BJ116 BJ117 BJ118 BJ119 BJ120 BJ121 BJ122 BJ123 BJ124 BJ125 BJ126 BJ127 BJ128 BJ129 BJ130 BJ131 BJ132 BJ133 BJ134 BJ135 BJ136 BJ137 BJ138 BJ139 BJ140 BJ141 BJ142 BJ143 BJ144 BJ145 BJ146 BJ147 BJ148 BJ149 BJ150 BJ151 BJ152 BJ153 BJ154 BJ155 BJ156 BJ157 BJ158 BJ159 BJ160 BJ161 BJ162 BJ163 BJ164 BJ165 BJ166 BJ167 BJ168 BJ169 BJ170 BJ171 BJ172 BJ173 BJ174 BJ175 BJ176 BJ177 BJ178 BJ179 BJ180 BJ181 BJ182 BJ183 BJ184 BJ185 BJ186 BJ187 BJ188 BJ189 BJ190 BJ191 BJ192 BJ193 BJ194 BJ195 BJ196 BJ197 BJ198 BJ199 BJ200 BJ201 BJ202 BJ203 BJ204 BJ205 BJ206 BJ207 BJ208 BJ209 BJ210 BJ211 BJ212 BJ213 BJ214 BJ215 BJ216 BJ217 BJ218 BJ219 BJ220 BJ221 BJ222 BJ223 BJ224 BJ225 BJ226 BJ227 BJ228 BJ229 BJ230 BJ231 BJ232 BJ233 BJ234 BJ235 BJ236 BJ237 BJ238 BJ239 BJ240 BJ241 BJ242 BJ243 BJ244 BJ245 BJ246 BJ247 BJ248 BJ249 BJ250 BJ251 BJ252 BJ253 BJ254 BJ255 BJ256 BJ257 BJ258 BJ259 BJ260 BJ261 BJ262 BJ263 BJ264 BJ265 BJ266 BJ267 BJ268 BJ269 BJ270 BJ271 BJ272 BJ273 BJ274 BJ275 BJ276 BJ277 BJ278 BJ279 BJ280 BJ281 BJ282 BJ283 BJ284 BJ285 BJ286 BJ287 BJ288 BJ289 BJ290 BJ291 BJ292 BJ293 BJ294 BJ295 BJ296 BJ297 BJ298 BJ299 BJ300 BJ301 BJ302 BJ303 BJ304 BJ305 BJ306 BJ307 BJ308 BJ309 BJ310 BJ311 BJ312 BJ313 BJ314 BJ315 BJ316 BJ317 BJ318 BJ319 BJ320 BJ321 BJ322 BJ323 BJ324 BJ325 BJ326 BJ327 BJ328 BJ329 BJ330 BJ331 BJ332 BJ333 BJ334 BJ335 BJ336 BJ337 BJ338 BJ339 BJ340 BJ341 BJ342 BJ343 BJ345">
    <cfRule type="cellIs" dxfId="45" priority="5" operator="greaterThanOrEqual">
      <formula>0.03</formula>
    </cfRule>
    <cfRule type="cellIs" dxfId="44" priority="6"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BK44 BK45 BK46 BK47 BK48 BK49 BK50 BK51 BK52 BK53 BK54 BK55 BK56 BK57 BK58 BK59 BK60 BK61 BK62 BK63 BK64 BK65 BK66 BK67 BK68 BK69 BK70 BK71 BK72 BK73 BK74 BK75 BK76 BK77 BK78 BK79 BK80 BK81 BK82 BK83 BK84 BK85 BK86 BK87 BK88 BK89 BK90 BK91 BK92 BK93 BK94 BK95 BK96 BK97 BK98 BK99 BK100 BK101 BK102 BK103 BK104 BK105 BK106 BK107 BK108 BK109 BK110 BK111 BK112 BK113 BK114 BK115 BK116 BK117 BK118 BK119 BK120 BK121 BK122 BK123 BK124 BK125 BK126 BK127 BK128 BK129 BK130 BK131 BK132 BK133 BK134 BK135 BK136 BK137 BK138 BK139 BK140 BK141 BK142 BK143 BK144 BK145 BK146 BK147 BK148 BK149 BK150 BK151 BK152 BK153 BK154 BK155 BK156 BK157 BK158 BK159 BK160 BK161 BK162 BK163 BK164 BK165 BK166 BK167 BK168 BK169 BK170 BK171 BK172 BK173 BK174 BK175 BK176 BK177 BK178 BK179 BK180 BK181 BK182 BK183 BK184 BK185 BK186 BK187 BK188 BK189 BK190 BK191 BK192 BK193 BK194 BK195 BK196 BK197 BK198 BK199 BK200 BK201 BK202 BK203 BK204 BK205 BK206 BK207 BK208 BK209 BK210 BK211 BK212 BK213 BK214 BK215 BK216 BK217 BK218 BK219 BK220 BK221 BK222 BK223 BK224 BK225 BK226 BK227 BK228 BK229 BK230 BK231 BK232 BK233 BK234 BK235 BK236 BK237 BK238 BK239 BK240 BK241 BK242 BK243 BK244 BK245 BK246 BK247 BK248 BK249 BK250 BK251 BK252 BK253 BK254 BK255 BK256 BK257 BK258 BK259 BK260 BK261 BK262 BK263 BK264 BK265 BK266 BK267 BK268 BK269 BK270 BK271 BK272 BK273 BK274 BK275 BK276 BK277 BK278 BK279 BK280 BK281 BK282 BK283 BK284 BK285 BK286 BK287 BK288 BK289 BK290 BK291 BK292 BK293 BK294 BK295 BK296 BK297 BK298 BK299 BK300 BK301 BK302 BK303 BK304 BK305 BK306 BK307 BK308 BK309 BK310 BK311 BK312 BK313 BK314 BK315 BK316 BK317 BK318 BK319 BK320 BK321 BK322 BK323 BK324 BK325 BK326 BK327 BK328 BK329 BK330 BK331 BK332 BK333 BK334 BK335 BK336 BK337 BK338 BK339 BK340 BK341 BK342 BK343 BK345">
    <cfRule type="cellIs" dxfId="43" priority="15" operator="greaterThanOrEqual">
      <formula>0.03</formula>
    </cfRule>
    <cfRule type="cellIs" dxfId="42" priority="16"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BL44 BL45 BL46 BL47 BL48 BL49 BL50 BL51 BL52 BL53 BL54 BL55 BL56 BL57 BL58 BL59 BL60 BL61 BL62 BL63 BL64 BL65 BL66 BL67 BL68 BL69 BL70 BL71 BL72 BL73 BL74 BL75 BL76 BL77 BL78 BL79 BL80 BL81 BL82 BL83 BL84 BL85 BL86 BL87 BL88 BL89 BL90 BL91 BL92 BL93 BL94 BL95 BL96 BL97 BL98 BL99 BL100 BL101 BL102 BL103 BL104 BL105 BL106 BL107 BL108 BL109 BL110 BL111 BL112 BL113 BL114 BL115 BL116 BL117 BL118 BL119 BL120 BL121 BL122 BL123 BL124 BL125 BL126 BL127 BL128 BL129 BL130 BL131 BL132 BL133 BL134 BL135 BL136 BL137 BL138 BL139 BL140 BL141 BL142 BL143 BL144 BL145 BL146 BL147 BL148 BL149 BL150 BL151 BL152 BL153 BL154 BL155 BL156 BL157 BL158 BL159 BL160 BL161 BL162 BL163 BL164 BL165 BL166 BL167 BL168 BL169 BL170 BL171 BL172 BL173 BL174 BL175 BL176 BL177 BL178 BL179 BL180 BL181 BL182 BL183 BL184 BL185 BL186 BL187 BL188 BL189 BL190 BL191 BL192 BL193 BL194 BL195 BL196 BL197 BL198 BL199 BL200 BL201 BL202 BL203 BL204 BL205 BL206 BL207 BL208 BL209 BL210 BL211 BL212 BL213 BL214 BL215 BL216 BL217 BL218 BL219 BL220 BL221 BL222 BL223 BL224 BL225 BL226 BL227 BL228 BL229 BL230 BL231 BL232 BL233 BL234 BL235 BL236 BL237 BL238 BL239 BL240 BL241 BL242 BL243 BL244 BL245 BL246 BL247 BL248 BL249 BL250 BL251 BL252 BL253 BL254 BL255 BL256 BL257 BL258 BL259 BL260 BL261 BL262 BL263 BL264 BL265 BL266 BL267 BL268 BL269 BL270 BL271 BL272 BL273 BL274 BL275 BL276 BL277 BL278 BL279 BL280 BL281 BL282 BL283 BL284 BL285 BL286 BL287 BL288 BL289 BL290 BL291 BL292 BL293 BL294 BL295 BL296 BL297 BL298 BL299 BL300 BL301 BL302 BL303 BL304 BL305 BL306 BL307 BL308 BL309 BL310 BL311 BL312 BL313 BL314 BL315 BL316 BL317 BL318 BL319 BL320 BL321 BL322 BL323 BL324 BL325 BL326 BL327 BL328 BL329 BL330 BL331 BL332 BL333 BL334 BL335 BL336 BL337 BL338 BL339 BL340 BL343 BL344 BL345">
    <cfRule type="cellIs" dxfId="41" priority="7" operator="greaterThanOrEqual">
      <formula>0.03</formula>
    </cfRule>
    <cfRule type="cellIs" dxfId="40" priority="8" operator="lessThanOrEqual">
      <formula>-0.03</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outlinePr summaryBelow="0"/>
  </sheetPr>
  <dimension ref="A1:AW69"/>
  <sheetViews>
    <sheetView workbookViewId="0">
      <pane xSplit="2" ySplit="4" topLeftCell="X32" activePane="bottomRight" state="frozen"/>
      <selection pane="topRight"/>
      <selection pane="bottomLeft"/>
      <selection pane="bottomRight" activeCell="AD5" sqref="AD5:AJ53"/>
    </sheetView>
  </sheetViews>
  <sheetFormatPr defaultColWidth="9" defaultRowHeight="13.5" outlineLevelRow="2" x14ac:dyDescent="0.15"/>
  <cols>
    <col min="1" max="1" width="9.125"/>
    <col min="2" max="2" width="24.75" customWidth="1"/>
    <col min="3" max="4" width="10.75" customWidth="1"/>
    <col min="5" max="6" width="9.125"/>
    <col min="7" max="7" width="1.75" customWidth="1"/>
    <col min="8" max="9" width="9.125"/>
    <col min="10" max="12" width="10.75" customWidth="1"/>
    <col min="13" max="13" width="11.75" customWidth="1"/>
    <col min="14" max="14" width="12.75" customWidth="1"/>
    <col min="15" max="15" width="10.75" customWidth="1"/>
    <col min="16" max="19" width="12.75" customWidth="1"/>
    <col min="20" max="21" width="9.125"/>
    <col min="22" max="22" width="1.75" customWidth="1"/>
    <col min="23" max="24" width="9.125"/>
    <col min="25" max="27" width="10.75" customWidth="1"/>
    <col min="28" max="28" width="11.75" customWidth="1"/>
    <col min="29" max="29" width="12.75" customWidth="1"/>
    <col min="30" max="30" width="10.75" customWidth="1"/>
    <col min="31" max="34" width="12.75" customWidth="1"/>
    <col min="35" max="36" width="9.125"/>
    <col min="37" max="37" width="1.75" customWidth="1"/>
    <col min="38" max="43" width="9.125"/>
    <col min="44" max="44" width="1.75" customWidth="1"/>
  </cols>
  <sheetData>
    <row r="1" spans="1:49" x14ac:dyDescent="0.15">
      <c r="A1" s="95" t="s">
        <v>964</v>
      </c>
      <c r="B1" s="95"/>
      <c r="C1" s="95"/>
      <c r="D1" s="95"/>
      <c r="E1" s="95"/>
      <c r="F1" s="95"/>
      <c r="H1" s="91" t="str">
        <f>Summary!C1</f>
        <v>tmc13v11.0</v>
      </c>
      <c r="I1" s="91"/>
      <c r="J1" s="91"/>
      <c r="K1" s="91"/>
      <c r="L1" s="91"/>
      <c r="M1" s="91"/>
      <c r="N1" s="91"/>
      <c r="O1" s="91"/>
      <c r="P1" s="91"/>
      <c r="Q1" s="91"/>
      <c r="R1" s="91"/>
      <c r="S1" s="91"/>
      <c r="T1" s="91"/>
      <c r="U1" s="91"/>
      <c r="W1" s="92" t="str">
        <f>Summary!C2</f>
        <v>m54701_simplified</v>
      </c>
      <c r="X1" s="92"/>
      <c r="Y1" s="92"/>
      <c r="Z1" s="92"/>
      <c r="AA1" s="92"/>
      <c r="AB1" s="92"/>
      <c r="AC1" s="92"/>
      <c r="AD1" s="92"/>
      <c r="AE1" s="92"/>
      <c r="AF1" s="92"/>
      <c r="AG1" s="92"/>
      <c r="AH1" s="92"/>
      <c r="AI1" s="92"/>
      <c r="AJ1" s="92"/>
      <c r="AS1" s="80" t="s">
        <v>994</v>
      </c>
    </row>
    <row r="2" spans="1:49" ht="30" customHeight="1" thickBot="1" x14ac:dyDescent="0.2">
      <c r="A2" s="93" t="s">
        <v>185</v>
      </c>
      <c r="B2" s="94" t="s">
        <v>186</v>
      </c>
      <c r="C2" s="93" t="s">
        <v>188</v>
      </c>
      <c r="D2" s="94" t="s">
        <v>189</v>
      </c>
      <c r="E2" s="93" t="s">
        <v>190</v>
      </c>
      <c r="F2" s="94" t="s">
        <v>191</v>
      </c>
      <c r="H2" s="93" t="s">
        <v>965</v>
      </c>
      <c r="I2" s="94" t="s">
        <v>192</v>
      </c>
      <c r="J2" s="96" t="s">
        <v>193</v>
      </c>
      <c r="K2" s="96"/>
      <c r="L2" s="96"/>
      <c r="M2" s="96"/>
      <c r="N2" s="94" t="s">
        <v>194</v>
      </c>
      <c r="O2" s="93" t="s">
        <v>84</v>
      </c>
      <c r="P2" s="97" t="s">
        <v>195</v>
      </c>
      <c r="Q2" s="97"/>
      <c r="R2" s="97"/>
      <c r="S2" s="97"/>
      <c r="T2" s="93" t="s">
        <v>197</v>
      </c>
      <c r="U2" s="94" t="s">
        <v>198</v>
      </c>
      <c r="W2" s="93" t="s">
        <v>965</v>
      </c>
      <c r="X2" s="94" t="s">
        <v>192</v>
      </c>
      <c r="Y2" s="96" t="s">
        <v>193</v>
      </c>
      <c r="Z2" s="96"/>
      <c r="AA2" s="96"/>
      <c r="AB2" s="96"/>
      <c r="AC2" s="94" t="s">
        <v>194</v>
      </c>
      <c r="AD2" s="93" t="s">
        <v>84</v>
      </c>
      <c r="AE2" s="97" t="s">
        <v>195</v>
      </c>
      <c r="AF2" s="97"/>
      <c r="AG2" s="97"/>
      <c r="AH2" s="97"/>
      <c r="AI2" s="93" t="s">
        <v>197</v>
      </c>
      <c r="AJ2" s="94" t="s">
        <v>198</v>
      </c>
      <c r="AL2" s="96" t="s">
        <v>24</v>
      </c>
      <c r="AM2" s="96"/>
      <c r="AN2" s="96"/>
      <c r="AO2" s="96"/>
      <c r="AP2" s="94" t="s">
        <v>199</v>
      </c>
      <c r="AQ2" s="93" t="s">
        <v>199</v>
      </c>
      <c r="AS2" s="98" t="s">
        <v>84</v>
      </c>
      <c r="AT2" s="99" t="s">
        <v>195</v>
      </c>
      <c r="AU2" s="99"/>
      <c r="AV2" s="99"/>
      <c r="AW2" s="99"/>
    </row>
    <row r="3" spans="1:49" ht="27.75" thickBot="1" x14ac:dyDescent="0.2">
      <c r="A3" s="93"/>
      <c r="B3" s="94"/>
      <c r="C3" s="93"/>
      <c r="D3" s="94"/>
      <c r="E3" s="93"/>
      <c r="F3" s="94"/>
      <c r="H3" s="93"/>
      <c r="I3" s="94"/>
      <c r="J3" s="1" t="s">
        <v>27</v>
      </c>
      <c r="K3" s="1" t="s">
        <v>25</v>
      </c>
      <c r="L3" s="1" t="s">
        <v>201</v>
      </c>
      <c r="M3" s="1" t="s">
        <v>9</v>
      </c>
      <c r="N3" s="94"/>
      <c r="O3" s="93"/>
      <c r="P3" s="2" t="s">
        <v>27</v>
      </c>
      <c r="Q3" s="2" t="s">
        <v>25</v>
      </c>
      <c r="R3" s="2" t="s">
        <v>26</v>
      </c>
      <c r="S3" s="2" t="s">
        <v>9</v>
      </c>
      <c r="T3" s="93"/>
      <c r="U3" s="94"/>
      <c r="W3" s="93"/>
      <c r="X3" s="94"/>
      <c r="Y3" s="1" t="s">
        <v>27</v>
      </c>
      <c r="Z3" s="1" t="s">
        <v>25</v>
      </c>
      <c r="AA3" s="1" t="s">
        <v>201</v>
      </c>
      <c r="AB3" s="1" t="s">
        <v>9</v>
      </c>
      <c r="AC3" s="94"/>
      <c r="AD3" s="93"/>
      <c r="AE3" s="2" t="s">
        <v>27</v>
      </c>
      <c r="AF3" s="2" t="s">
        <v>25</v>
      </c>
      <c r="AG3" s="2" t="s">
        <v>26</v>
      </c>
      <c r="AH3" s="2" t="s">
        <v>9</v>
      </c>
      <c r="AI3" s="93"/>
      <c r="AJ3" s="94"/>
      <c r="AL3" s="1" t="s">
        <v>27</v>
      </c>
      <c r="AM3" s="1" t="s">
        <v>25</v>
      </c>
      <c r="AN3" s="1" t="s">
        <v>26</v>
      </c>
      <c r="AO3" s="1" t="s">
        <v>9</v>
      </c>
      <c r="AP3" s="94"/>
      <c r="AQ3" s="93"/>
      <c r="AS3" s="98"/>
      <c r="AT3" s="81" t="s">
        <v>27</v>
      </c>
      <c r="AU3" s="81" t="s">
        <v>25</v>
      </c>
      <c r="AV3" s="81" t="s">
        <v>26</v>
      </c>
      <c r="AW3" s="81" t="s">
        <v>9</v>
      </c>
    </row>
    <row r="4" spans="1:49" ht="147" hidden="1" x14ac:dyDescent="0.15">
      <c r="A4" s="3" t="s">
        <v>202</v>
      </c>
      <c r="B4" s="4" t="s">
        <v>203</v>
      </c>
      <c r="C4" s="3" t="s">
        <v>205</v>
      </c>
      <c r="D4" s="4" t="s">
        <v>206</v>
      </c>
      <c r="E4" s="3" t="s">
        <v>207</v>
      </c>
      <c r="F4" s="4" t="s">
        <v>208</v>
      </c>
      <c r="H4" s="3" t="s">
        <v>966</v>
      </c>
      <c r="I4" s="4" t="s">
        <v>209</v>
      </c>
      <c r="J4" s="3" t="s">
        <v>210</v>
      </c>
      <c r="K4" s="3" t="s">
        <v>211</v>
      </c>
      <c r="L4" s="3" t="s">
        <v>212</v>
      </c>
      <c r="M4" s="3" t="s">
        <v>213</v>
      </c>
      <c r="N4" s="4" t="s">
        <v>214</v>
      </c>
      <c r="O4" s="3" t="s">
        <v>215</v>
      </c>
      <c r="P4" s="4" t="s">
        <v>216</v>
      </c>
      <c r="Q4" s="4" t="s">
        <v>217</v>
      </c>
      <c r="R4" s="4" t="s">
        <v>218</v>
      </c>
      <c r="S4" s="4" t="s">
        <v>219</v>
      </c>
      <c r="T4" s="3" t="s">
        <v>224</v>
      </c>
      <c r="U4" s="4" t="s">
        <v>225</v>
      </c>
      <c r="W4" s="3" t="s">
        <v>967</v>
      </c>
      <c r="X4" s="4" t="s">
        <v>226</v>
      </c>
      <c r="Y4" s="3" t="s">
        <v>227</v>
      </c>
      <c r="Z4" s="3" t="s">
        <v>228</v>
      </c>
      <c r="AA4" s="3" t="s">
        <v>229</v>
      </c>
      <c r="AB4" s="3" t="s">
        <v>230</v>
      </c>
      <c r="AC4" s="4" t="s">
        <v>231</v>
      </c>
      <c r="AD4" s="3" t="s">
        <v>232</v>
      </c>
      <c r="AE4" s="4" t="s">
        <v>233</v>
      </c>
      <c r="AF4" s="4" t="s">
        <v>234</v>
      </c>
      <c r="AG4" s="4" t="s">
        <v>235</v>
      </c>
      <c r="AH4" s="4" t="s">
        <v>236</v>
      </c>
      <c r="AI4" s="3" t="s">
        <v>241</v>
      </c>
      <c r="AJ4" s="4" t="s">
        <v>242</v>
      </c>
      <c r="AL4" s="3" t="s">
        <v>968</v>
      </c>
      <c r="AM4" s="3" t="s">
        <v>969</v>
      </c>
      <c r="AN4" s="3" t="s">
        <v>970</v>
      </c>
      <c r="AO4" s="3" t="s">
        <v>971</v>
      </c>
      <c r="AP4" s="4" t="s">
        <v>243</v>
      </c>
      <c r="AQ4" s="3" t="s">
        <v>244</v>
      </c>
    </row>
    <row r="5" spans="1:49" x14ac:dyDescent="0.15">
      <c r="A5" s="5" t="s">
        <v>253</v>
      </c>
      <c r="B5" s="5" t="s">
        <v>48</v>
      </c>
      <c r="C5" s="5">
        <v>2925514</v>
      </c>
      <c r="D5" s="7">
        <v>11</v>
      </c>
      <c r="E5" s="6">
        <v>1</v>
      </c>
      <c r="F5" s="6"/>
      <c r="H5" s="53" t="str">
        <f t="shared" ref="H5:H36" si="0">IF(ISBLANK(P5),"·",P5/(C5*(D5*3+IF(AND(ISNUMBER(R5),R5&gt;0),24,0)+IF(AND(ISNUMBER(S5),S5&gt;0),8,0))))</f>
        <v>·</v>
      </c>
      <c r="I5" s="17" t="str">
        <f t="shared" ref="I5:I36" si="1">IF(OR(ISBLANK(P5),ISBLANK(F5)),"·",P5*F5/E5/1000000)</f>
        <v>·</v>
      </c>
      <c r="J5" s="18" t="str">
        <f t="shared" ref="J5:J36" si="2">IF(ISBLANK(P5),"·",P5/C5)</f>
        <v>·</v>
      </c>
      <c r="K5" s="18" t="str">
        <f t="shared" ref="K5:K36" si="3">IF(Q5="","·",Q5/C5)</f>
        <v>·</v>
      </c>
      <c r="L5" s="18" t="str">
        <f t="shared" ref="L5:L36" si="4">IF(ISBLANK(R5),"·",R5/C5)</f>
        <v>·</v>
      </c>
      <c r="M5" s="19"/>
      <c r="N5" s="18" t="str">
        <f t="shared" ref="N5:N36" si="5">IF(ISBLANK(P5),"·",P5/O5)</f>
        <v>·</v>
      </c>
      <c r="O5" s="20"/>
      <c r="P5" s="21"/>
      <c r="Q5" s="21"/>
      <c r="R5" s="21"/>
      <c r="S5" s="37"/>
      <c r="T5" s="49"/>
      <c r="U5" s="49"/>
      <c r="W5" s="53" t="str">
        <f t="shared" ref="W5:W36" si="6">IF(ISBLANK(AE5),"·",AE5/(C5*(D5*3+IF(AND(ISNUMBER(AG5),AG5&gt;0),24,0)+IF(AND(ISNUMBER(AH5),AH5&gt;0),8,0))))</f>
        <v>·</v>
      </c>
      <c r="X5" s="17" t="str">
        <f t="shared" ref="X5:X36" si="7">IF(OR(ISBLANK(AE5),ISBLANK(F5)),"·",AE5*F5/E5/1000000)</f>
        <v>·</v>
      </c>
      <c r="Y5" s="18" t="str">
        <f t="shared" ref="Y5:Y36" si="8">IF(ISBLANK(AE5),"·",AE5/C5)</f>
        <v>·</v>
      </c>
      <c r="Z5" s="18" t="str">
        <f t="shared" ref="Z5:Z36" si="9">IF(AF5="","·",AF5/C5)</f>
        <v>·</v>
      </c>
      <c r="AA5" s="18" t="str">
        <f t="shared" ref="AA5:AA36" si="10">IF(ISBLANK(AG5),"·",AG5/C5)</f>
        <v>·</v>
      </c>
      <c r="AB5" s="19"/>
      <c r="AC5" s="18" t="str">
        <f t="shared" ref="AC5:AC36" si="11">IF(ISBLANK(AE5),"·",AE5/AD5)</f>
        <v>·</v>
      </c>
      <c r="AD5" s="20"/>
      <c r="AE5" s="21"/>
      <c r="AF5" s="21"/>
      <c r="AG5" s="21"/>
      <c r="AH5" s="37"/>
      <c r="AI5" s="49"/>
      <c r="AJ5" s="49"/>
      <c r="AL5" s="54" t="e">
        <f t="shared" ref="AL5:AL36" si="12">Y5/J5</f>
        <v>#VALUE!</v>
      </c>
      <c r="AM5" s="54" t="e">
        <f t="shared" ref="AM5:AM36" si="13">Z5/K5</f>
        <v>#VALUE!</v>
      </c>
      <c r="AN5" s="54" t="e">
        <f t="shared" ref="AN5:AN36" si="14">AA5/L5</f>
        <v>#VALUE!</v>
      </c>
      <c r="AO5" s="61"/>
      <c r="AP5" s="53" t="e">
        <f t="shared" ref="AP5:AP36" si="15">(AF5/AE5)-(Q5/P5)</f>
        <v>#DIV/0!</v>
      </c>
      <c r="AQ5" s="53" t="e">
        <f t="array" ref="AQ5">AVERAGE(AF5:AF5/AE5:AE5)-AVERAGE(Q5:Q5/P5:P5)</f>
        <v>#DIV/0!</v>
      </c>
      <c r="AS5">
        <f>AD5-O5</f>
        <v>0</v>
      </c>
      <c r="AT5">
        <f t="shared" ref="AT5:AW5" si="16">AE5-P5</f>
        <v>0</v>
      </c>
      <c r="AU5">
        <f t="shared" si="16"/>
        <v>0</v>
      </c>
      <c r="AV5">
        <f t="shared" si="16"/>
        <v>0</v>
      </c>
      <c r="AW5">
        <f t="shared" si="16"/>
        <v>0</v>
      </c>
    </row>
    <row r="6" spans="1:49" x14ac:dyDescent="0.15">
      <c r="A6" s="8"/>
      <c r="B6" s="8" t="s">
        <v>56</v>
      </c>
      <c r="C6" s="8">
        <v>3493085</v>
      </c>
      <c r="D6" s="10">
        <v>12</v>
      </c>
      <c r="E6" s="9">
        <v>1</v>
      </c>
      <c r="F6" s="9"/>
      <c r="H6" s="55" t="str">
        <f t="shared" si="0"/>
        <v>·</v>
      </c>
      <c r="I6" s="22" t="str">
        <f t="shared" si="1"/>
        <v>·</v>
      </c>
      <c r="J6" s="23" t="str">
        <f t="shared" si="2"/>
        <v>·</v>
      </c>
      <c r="K6" s="23" t="str">
        <f t="shared" si="3"/>
        <v>·</v>
      </c>
      <c r="L6" s="23" t="str">
        <f t="shared" si="4"/>
        <v>·</v>
      </c>
      <c r="M6" s="24"/>
      <c r="N6" s="23" t="str">
        <f t="shared" si="5"/>
        <v>·</v>
      </c>
      <c r="O6" s="25"/>
      <c r="P6" s="26"/>
      <c r="Q6" s="26"/>
      <c r="R6" s="26"/>
      <c r="S6" s="40"/>
      <c r="T6" s="50"/>
      <c r="U6" s="50"/>
      <c r="W6" s="55" t="str">
        <f t="shared" si="6"/>
        <v>·</v>
      </c>
      <c r="X6" s="22" t="str">
        <f t="shared" si="7"/>
        <v>·</v>
      </c>
      <c r="Y6" s="23" t="str">
        <f t="shared" si="8"/>
        <v>·</v>
      </c>
      <c r="Z6" s="23" t="str">
        <f t="shared" si="9"/>
        <v>·</v>
      </c>
      <c r="AA6" s="23" t="str">
        <f t="shared" si="10"/>
        <v>·</v>
      </c>
      <c r="AB6" s="24"/>
      <c r="AC6" s="23" t="str">
        <f t="shared" si="11"/>
        <v>·</v>
      </c>
      <c r="AD6" s="25"/>
      <c r="AE6" s="26"/>
      <c r="AF6" s="26"/>
      <c r="AG6" s="26"/>
      <c r="AH6" s="40"/>
      <c r="AI6" s="50"/>
      <c r="AJ6" s="50"/>
      <c r="AL6" s="56" t="e">
        <f t="shared" si="12"/>
        <v>#VALUE!</v>
      </c>
      <c r="AM6" s="56" t="e">
        <f t="shared" si="13"/>
        <v>#VALUE!</v>
      </c>
      <c r="AN6" s="56" t="e">
        <f t="shared" si="14"/>
        <v>#VALUE!</v>
      </c>
      <c r="AO6" s="62"/>
      <c r="AP6" s="55" t="e">
        <f t="shared" si="15"/>
        <v>#DIV/0!</v>
      </c>
      <c r="AQ6" s="55" t="e">
        <f t="array" ref="AQ6">AVERAGE(AF6:AF6/AE6:AE6)-AVERAGE(Q6:Q6/P6:P6)</f>
        <v>#DIV/0!</v>
      </c>
      <c r="AS6">
        <f t="shared" ref="AS6:AS60" si="17">AD6-O6</f>
        <v>0</v>
      </c>
      <c r="AT6">
        <f t="shared" ref="AT6:AT60" si="18">AE6-P6</f>
        <v>0</v>
      </c>
      <c r="AU6">
        <f t="shared" ref="AU6:AU60" si="19">AF6-Q6</f>
        <v>0</v>
      </c>
      <c r="AV6">
        <f t="shared" ref="AV6:AV60" si="20">AG6-R6</f>
        <v>0</v>
      </c>
      <c r="AW6">
        <f t="shared" ref="AW6:AW60" si="21">AH6-S6</f>
        <v>0</v>
      </c>
    </row>
    <row r="7" spans="1:49" x14ac:dyDescent="0.15">
      <c r="A7" s="5"/>
      <c r="B7" s="5" t="s">
        <v>61</v>
      </c>
      <c r="C7" s="5">
        <v>2592758</v>
      </c>
      <c r="D7" s="7">
        <v>11</v>
      </c>
      <c r="E7" s="6">
        <v>1</v>
      </c>
      <c r="F7" s="6"/>
      <c r="H7" s="53" t="str">
        <f t="shared" si="0"/>
        <v>·</v>
      </c>
      <c r="I7" s="17" t="str">
        <f t="shared" si="1"/>
        <v>·</v>
      </c>
      <c r="J7" s="18" t="str">
        <f t="shared" si="2"/>
        <v>·</v>
      </c>
      <c r="K7" s="18" t="str">
        <f t="shared" si="3"/>
        <v>·</v>
      </c>
      <c r="L7" s="18" t="str">
        <f t="shared" si="4"/>
        <v>·</v>
      </c>
      <c r="M7" s="19"/>
      <c r="N7" s="18" t="str">
        <f t="shared" si="5"/>
        <v>·</v>
      </c>
      <c r="O7" s="20"/>
      <c r="P7" s="21"/>
      <c r="Q7" s="21"/>
      <c r="R7" s="21"/>
      <c r="S7" s="37"/>
      <c r="T7" s="49"/>
      <c r="U7" s="49"/>
      <c r="W7" s="53" t="str">
        <f t="shared" si="6"/>
        <v>·</v>
      </c>
      <c r="X7" s="17" t="str">
        <f t="shared" si="7"/>
        <v>·</v>
      </c>
      <c r="Y7" s="18" t="str">
        <f t="shared" si="8"/>
        <v>·</v>
      </c>
      <c r="Z7" s="18" t="str">
        <f t="shared" si="9"/>
        <v>·</v>
      </c>
      <c r="AA7" s="18" t="str">
        <f t="shared" si="10"/>
        <v>·</v>
      </c>
      <c r="AB7" s="19"/>
      <c r="AC7" s="18" t="str">
        <f t="shared" si="11"/>
        <v>·</v>
      </c>
      <c r="AD7" s="20"/>
      <c r="AE7" s="21"/>
      <c r="AF7" s="21"/>
      <c r="AG7" s="21"/>
      <c r="AH7" s="37"/>
      <c r="AI7" s="49"/>
      <c r="AJ7" s="49"/>
      <c r="AL7" s="54" t="e">
        <f t="shared" si="12"/>
        <v>#VALUE!</v>
      </c>
      <c r="AM7" s="54" t="e">
        <f t="shared" si="13"/>
        <v>#VALUE!</v>
      </c>
      <c r="AN7" s="54" t="e">
        <f t="shared" si="14"/>
        <v>#VALUE!</v>
      </c>
      <c r="AO7" s="61"/>
      <c r="AP7" s="53" t="e">
        <f t="shared" si="15"/>
        <v>#DIV/0!</v>
      </c>
      <c r="AQ7" s="53" t="e">
        <f t="array" ref="AQ7">AVERAGE(AF7:AF7/AE7:AE7)-AVERAGE(Q7:Q7/P7:P7)</f>
        <v>#DIV/0!</v>
      </c>
      <c r="AS7">
        <f t="shared" si="17"/>
        <v>0</v>
      </c>
      <c r="AT7">
        <f t="shared" si="18"/>
        <v>0</v>
      </c>
      <c r="AU7">
        <f t="shared" si="19"/>
        <v>0</v>
      </c>
      <c r="AV7">
        <f t="shared" si="20"/>
        <v>0</v>
      </c>
      <c r="AW7">
        <f t="shared" si="21"/>
        <v>0</v>
      </c>
    </row>
    <row r="8" spans="1:49" x14ac:dyDescent="0.15">
      <c r="A8" s="8"/>
      <c r="B8" s="8" t="s">
        <v>67</v>
      </c>
      <c r="C8" s="8">
        <v>272684</v>
      </c>
      <c r="D8" s="10">
        <v>12</v>
      </c>
      <c r="E8" s="9">
        <v>1</v>
      </c>
      <c r="F8" s="9"/>
      <c r="H8" s="55" t="str">
        <f t="shared" si="0"/>
        <v>·</v>
      </c>
      <c r="I8" s="22" t="str">
        <f t="shared" si="1"/>
        <v>·</v>
      </c>
      <c r="J8" s="23" t="str">
        <f t="shared" si="2"/>
        <v>·</v>
      </c>
      <c r="K8" s="23" t="str">
        <f t="shared" si="3"/>
        <v>·</v>
      </c>
      <c r="L8" s="23" t="str">
        <f t="shared" si="4"/>
        <v>·</v>
      </c>
      <c r="M8" s="24"/>
      <c r="N8" s="23" t="str">
        <f t="shared" si="5"/>
        <v>·</v>
      </c>
      <c r="O8" s="25"/>
      <c r="P8" s="26"/>
      <c r="Q8" s="26"/>
      <c r="R8" s="26"/>
      <c r="S8" s="40"/>
      <c r="T8" s="50"/>
      <c r="U8" s="50"/>
      <c r="W8" s="55" t="str">
        <f t="shared" si="6"/>
        <v>·</v>
      </c>
      <c r="X8" s="22" t="str">
        <f t="shared" si="7"/>
        <v>·</v>
      </c>
      <c r="Y8" s="23" t="str">
        <f t="shared" si="8"/>
        <v>·</v>
      </c>
      <c r="Z8" s="23" t="str">
        <f t="shared" si="9"/>
        <v>·</v>
      </c>
      <c r="AA8" s="23" t="str">
        <f t="shared" si="10"/>
        <v>·</v>
      </c>
      <c r="AB8" s="24"/>
      <c r="AC8" s="23" t="str">
        <f t="shared" si="11"/>
        <v>·</v>
      </c>
      <c r="AD8" s="25"/>
      <c r="AE8" s="26"/>
      <c r="AF8" s="26"/>
      <c r="AG8" s="26"/>
      <c r="AH8" s="40"/>
      <c r="AI8" s="50"/>
      <c r="AJ8" s="50"/>
      <c r="AL8" s="56" t="e">
        <f t="shared" si="12"/>
        <v>#VALUE!</v>
      </c>
      <c r="AM8" s="56" t="e">
        <f t="shared" si="13"/>
        <v>#VALUE!</v>
      </c>
      <c r="AN8" s="56" t="e">
        <f t="shared" si="14"/>
        <v>#VALUE!</v>
      </c>
      <c r="AO8" s="62"/>
      <c r="AP8" s="55" t="e">
        <f t="shared" si="15"/>
        <v>#DIV/0!</v>
      </c>
      <c r="AQ8" s="55" t="e">
        <f t="array" ref="AQ8">AVERAGE(AF8:AF8/AE8:AE8)-AVERAGE(Q8:Q8/P8:P8)</f>
        <v>#DIV/0!</v>
      </c>
      <c r="AS8">
        <f t="shared" si="17"/>
        <v>0</v>
      </c>
      <c r="AT8">
        <f t="shared" si="18"/>
        <v>0</v>
      </c>
      <c r="AU8">
        <f t="shared" si="19"/>
        <v>0</v>
      </c>
      <c r="AV8">
        <f t="shared" si="20"/>
        <v>0</v>
      </c>
      <c r="AW8">
        <f t="shared" si="21"/>
        <v>0</v>
      </c>
    </row>
    <row r="9" spans="1:49" x14ac:dyDescent="0.15">
      <c r="A9" s="5"/>
      <c r="B9" s="5" t="s">
        <v>70</v>
      </c>
      <c r="C9" s="5">
        <v>1596085</v>
      </c>
      <c r="D9" s="7">
        <v>12</v>
      </c>
      <c r="E9" s="6">
        <v>1</v>
      </c>
      <c r="F9" s="6"/>
      <c r="H9" s="53" t="str">
        <f t="shared" si="0"/>
        <v>·</v>
      </c>
      <c r="I9" s="17" t="str">
        <f t="shared" si="1"/>
        <v>·</v>
      </c>
      <c r="J9" s="18" t="str">
        <f t="shared" si="2"/>
        <v>·</v>
      </c>
      <c r="K9" s="18" t="str">
        <f t="shared" si="3"/>
        <v>·</v>
      </c>
      <c r="L9" s="18" t="str">
        <f t="shared" si="4"/>
        <v>·</v>
      </c>
      <c r="M9" s="19"/>
      <c r="N9" s="18" t="str">
        <f t="shared" si="5"/>
        <v>·</v>
      </c>
      <c r="O9" s="20"/>
      <c r="P9" s="21"/>
      <c r="Q9" s="21"/>
      <c r="R9" s="21"/>
      <c r="S9" s="37"/>
      <c r="T9" s="49"/>
      <c r="U9" s="49"/>
      <c r="W9" s="53" t="str">
        <f t="shared" si="6"/>
        <v>·</v>
      </c>
      <c r="X9" s="17" t="str">
        <f t="shared" si="7"/>
        <v>·</v>
      </c>
      <c r="Y9" s="18" t="str">
        <f t="shared" si="8"/>
        <v>·</v>
      </c>
      <c r="Z9" s="18" t="str">
        <f t="shared" si="9"/>
        <v>·</v>
      </c>
      <c r="AA9" s="18" t="str">
        <f t="shared" si="10"/>
        <v>·</v>
      </c>
      <c r="AB9" s="19"/>
      <c r="AC9" s="18" t="str">
        <f t="shared" si="11"/>
        <v>·</v>
      </c>
      <c r="AD9" s="20"/>
      <c r="AE9" s="21"/>
      <c r="AF9" s="21"/>
      <c r="AG9" s="21"/>
      <c r="AH9" s="37"/>
      <c r="AI9" s="49"/>
      <c r="AJ9" s="49"/>
      <c r="AL9" s="54" t="e">
        <f t="shared" si="12"/>
        <v>#VALUE!</v>
      </c>
      <c r="AM9" s="54" t="e">
        <f t="shared" si="13"/>
        <v>#VALUE!</v>
      </c>
      <c r="AN9" s="54" t="e">
        <f t="shared" si="14"/>
        <v>#VALUE!</v>
      </c>
      <c r="AO9" s="61"/>
      <c r="AP9" s="53" t="e">
        <f t="shared" si="15"/>
        <v>#DIV/0!</v>
      </c>
      <c r="AQ9" s="53" t="e">
        <f t="array" ref="AQ9">AVERAGE(AF9:AF9/AE9:AE9)-AVERAGE(Q9:Q9/P9:P9)</f>
        <v>#DIV/0!</v>
      </c>
      <c r="AS9">
        <f t="shared" si="17"/>
        <v>0</v>
      </c>
      <c r="AT9">
        <f t="shared" si="18"/>
        <v>0</v>
      </c>
      <c r="AU9">
        <f t="shared" si="19"/>
        <v>0</v>
      </c>
      <c r="AV9">
        <f t="shared" si="20"/>
        <v>0</v>
      </c>
      <c r="AW9">
        <f t="shared" si="21"/>
        <v>0</v>
      </c>
    </row>
    <row r="10" spans="1:49" x14ac:dyDescent="0.15">
      <c r="A10" s="8"/>
      <c r="B10" s="8" t="s">
        <v>74</v>
      </c>
      <c r="C10" s="8">
        <v>8907880</v>
      </c>
      <c r="D10" s="10">
        <v>14</v>
      </c>
      <c r="E10" s="9">
        <v>1</v>
      </c>
      <c r="F10" s="9"/>
      <c r="H10" s="55" t="str">
        <f t="shared" si="0"/>
        <v>·</v>
      </c>
      <c r="I10" s="22" t="str">
        <f t="shared" si="1"/>
        <v>·</v>
      </c>
      <c r="J10" s="23" t="str">
        <f t="shared" si="2"/>
        <v>·</v>
      </c>
      <c r="K10" s="23" t="str">
        <f t="shared" si="3"/>
        <v>·</v>
      </c>
      <c r="L10" s="23" t="str">
        <f t="shared" si="4"/>
        <v>·</v>
      </c>
      <c r="M10" s="24"/>
      <c r="N10" s="23" t="str">
        <f t="shared" si="5"/>
        <v>·</v>
      </c>
      <c r="O10" s="25"/>
      <c r="P10" s="26"/>
      <c r="Q10" s="26"/>
      <c r="R10" s="26"/>
      <c r="S10" s="40"/>
      <c r="T10" s="50"/>
      <c r="U10" s="50"/>
      <c r="W10" s="55" t="str">
        <f t="shared" si="6"/>
        <v>·</v>
      </c>
      <c r="X10" s="22" t="str">
        <f t="shared" si="7"/>
        <v>·</v>
      </c>
      <c r="Y10" s="23" t="str">
        <f t="shared" si="8"/>
        <v>·</v>
      </c>
      <c r="Z10" s="23" t="str">
        <f t="shared" si="9"/>
        <v>·</v>
      </c>
      <c r="AA10" s="23" t="str">
        <f t="shared" si="10"/>
        <v>·</v>
      </c>
      <c r="AB10" s="24"/>
      <c r="AC10" s="23" t="str">
        <f t="shared" si="11"/>
        <v>·</v>
      </c>
      <c r="AD10" s="25"/>
      <c r="AE10" s="26"/>
      <c r="AF10" s="26"/>
      <c r="AG10" s="26"/>
      <c r="AH10" s="40"/>
      <c r="AI10" s="50"/>
      <c r="AJ10" s="50"/>
      <c r="AL10" s="56" t="e">
        <f t="shared" si="12"/>
        <v>#VALUE!</v>
      </c>
      <c r="AM10" s="56" t="e">
        <f t="shared" si="13"/>
        <v>#VALUE!</v>
      </c>
      <c r="AN10" s="56" t="e">
        <f t="shared" si="14"/>
        <v>#VALUE!</v>
      </c>
      <c r="AO10" s="62"/>
      <c r="AP10" s="55" t="e">
        <f t="shared" si="15"/>
        <v>#DIV/0!</v>
      </c>
      <c r="AQ10" s="55" t="e">
        <f t="array" ref="AQ10">AVERAGE(AF10:AF10/AE10:AE10)-AVERAGE(Q10:Q10/P10:P10)</f>
        <v>#DIV/0!</v>
      </c>
      <c r="AS10">
        <f t="shared" si="17"/>
        <v>0</v>
      </c>
      <c r="AT10">
        <f t="shared" si="18"/>
        <v>0</v>
      </c>
      <c r="AU10">
        <f t="shared" si="19"/>
        <v>0</v>
      </c>
      <c r="AV10">
        <f t="shared" si="20"/>
        <v>0</v>
      </c>
      <c r="AW10">
        <f t="shared" si="21"/>
        <v>0</v>
      </c>
    </row>
    <row r="11" spans="1:49" x14ac:dyDescent="0.15">
      <c r="A11" s="5"/>
      <c r="B11" s="5" t="s">
        <v>79</v>
      </c>
      <c r="C11" s="5">
        <v>4061755</v>
      </c>
      <c r="D11" s="7">
        <v>11</v>
      </c>
      <c r="E11" s="6">
        <v>1</v>
      </c>
      <c r="F11" s="6"/>
      <c r="H11" s="53" t="str">
        <f t="shared" si="0"/>
        <v>·</v>
      </c>
      <c r="I11" s="17" t="str">
        <f t="shared" si="1"/>
        <v>·</v>
      </c>
      <c r="J11" s="18" t="str">
        <f t="shared" si="2"/>
        <v>·</v>
      </c>
      <c r="K11" s="18" t="str">
        <f t="shared" si="3"/>
        <v>·</v>
      </c>
      <c r="L11" s="18" t="str">
        <f t="shared" si="4"/>
        <v>·</v>
      </c>
      <c r="M11" s="19"/>
      <c r="N11" s="18" t="str">
        <f t="shared" si="5"/>
        <v>·</v>
      </c>
      <c r="O11" s="20"/>
      <c r="P11" s="21"/>
      <c r="Q11" s="21"/>
      <c r="R11" s="21"/>
      <c r="S11" s="37"/>
      <c r="T11" s="49"/>
      <c r="U11" s="49"/>
      <c r="W11" s="53" t="str">
        <f t="shared" si="6"/>
        <v>·</v>
      </c>
      <c r="X11" s="17" t="str">
        <f t="shared" si="7"/>
        <v>·</v>
      </c>
      <c r="Y11" s="18" t="str">
        <f t="shared" si="8"/>
        <v>·</v>
      </c>
      <c r="Z11" s="18" t="str">
        <f t="shared" si="9"/>
        <v>·</v>
      </c>
      <c r="AA11" s="18" t="str">
        <f t="shared" si="10"/>
        <v>·</v>
      </c>
      <c r="AB11" s="19"/>
      <c r="AC11" s="18" t="str">
        <f t="shared" si="11"/>
        <v>·</v>
      </c>
      <c r="AD11" s="20"/>
      <c r="AE11" s="21"/>
      <c r="AF11" s="21"/>
      <c r="AG11" s="21"/>
      <c r="AH11" s="37"/>
      <c r="AI11" s="49"/>
      <c r="AJ11" s="49"/>
      <c r="AL11" s="54" t="e">
        <f t="shared" si="12"/>
        <v>#VALUE!</v>
      </c>
      <c r="AM11" s="54" t="e">
        <f t="shared" si="13"/>
        <v>#VALUE!</v>
      </c>
      <c r="AN11" s="54" t="e">
        <f t="shared" si="14"/>
        <v>#VALUE!</v>
      </c>
      <c r="AO11" s="61"/>
      <c r="AP11" s="53" t="e">
        <f t="shared" si="15"/>
        <v>#DIV/0!</v>
      </c>
      <c r="AQ11" s="53" t="e">
        <f t="array" ref="AQ11">AVERAGE(AF11:AF11/AE11:AE11)-AVERAGE(Q11:Q11/P11:P11)</f>
        <v>#DIV/0!</v>
      </c>
      <c r="AS11">
        <f t="shared" si="17"/>
        <v>0</v>
      </c>
      <c r="AT11">
        <f t="shared" si="18"/>
        <v>0</v>
      </c>
      <c r="AU11">
        <f t="shared" si="19"/>
        <v>0</v>
      </c>
      <c r="AV11">
        <f t="shared" si="20"/>
        <v>0</v>
      </c>
      <c r="AW11">
        <f t="shared" si="21"/>
        <v>0</v>
      </c>
    </row>
    <row r="12" spans="1:49" x14ac:dyDescent="0.15">
      <c r="A12" s="8"/>
      <c r="B12" s="8" t="s">
        <v>82</v>
      </c>
      <c r="C12" s="8">
        <v>3614251</v>
      </c>
      <c r="D12" s="10">
        <v>12</v>
      </c>
      <c r="E12" s="9">
        <v>1</v>
      </c>
      <c r="F12" s="9"/>
      <c r="H12" s="55" t="str">
        <f t="shared" si="0"/>
        <v>·</v>
      </c>
      <c r="I12" s="22" t="str">
        <f t="shared" si="1"/>
        <v>·</v>
      </c>
      <c r="J12" s="23" t="str">
        <f t="shared" si="2"/>
        <v>·</v>
      </c>
      <c r="K12" s="23" t="str">
        <f t="shared" si="3"/>
        <v>·</v>
      </c>
      <c r="L12" s="23" t="str">
        <f t="shared" si="4"/>
        <v>·</v>
      </c>
      <c r="M12" s="24"/>
      <c r="N12" s="23" t="str">
        <f t="shared" si="5"/>
        <v>·</v>
      </c>
      <c r="O12" s="25"/>
      <c r="P12" s="26"/>
      <c r="Q12" s="26"/>
      <c r="R12" s="26"/>
      <c r="S12" s="40"/>
      <c r="T12" s="50"/>
      <c r="U12" s="50"/>
      <c r="W12" s="55" t="str">
        <f t="shared" si="6"/>
        <v>·</v>
      </c>
      <c r="X12" s="22" t="str">
        <f t="shared" si="7"/>
        <v>·</v>
      </c>
      <c r="Y12" s="23" t="str">
        <f t="shared" si="8"/>
        <v>·</v>
      </c>
      <c r="Z12" s="23" t="str">
        <f t="shared" si="9"/>
        <v>·</v>
      </c>
      <c r="AA12" s="23" t="str">
        <f t="shared" si="10"/>
        <v>·</v>
      </c>
      <c r="AB12" s="24"/>
      <c r="AC12" s="23" t="str">
        <f t="shared" si="11"/>
        <v>·</v>
      </c>
      <c r="AD12" s="25"/>
      <c r="AE12" s="26"/>
      <c r="AF12" s="26"/>
      <c r="AG12" s="26"/>
      <c r="AH12" s="40"/>
      <c r="AI12" s="50"/>
      <c r="AJ12" s="50"/>
      <c r="AL12" s="56" t="e">
        <f t="shared" si="12"/>
        <v>#VALUE!</v>
      </c>
      <c r="AM12" s="56" t="e">
        <f t="shared" si="13"/>
        <v>#VALUE!</v>
      </c>
      <c r="AN12" s="56" t="e">
        <f t="shared" si="14"/>
        <v>#VALUE!</v>
      </c>
      <c r="AO12" s="62"/>
      <c r="AP12" s="55" t="e">
        <f t="shared" si="15"/>
        <v>#DIV/0!</v>
      </c>
      <c r="AQ12" s="55" t="e">
        <f t="array" ref="AQ12">AVERAGE(AF12:AF12/AE12:AE12)-AVERAGE(Q12:Q12/P12:P12)</f>
        <v>#DIV/0!</v>
      </c>
      <c r="AS12">
        <f t="shared" si="17"/>
        <v>0</v>
      </c>
      <c r="AT12">
        <f t="shared" si="18"/>
        <v>0</v>
      </c>
      <c r="AU12">
        <f t="shared" si="19"/>
        <v>0</v>
      </c>
      <c r="AV12">
        <f t="shared" si="20"/>
        <v>0</v>
      </c>
      <c r="AW12">
        <f t="shared" si="21"/>
        <v>0</v>
      </c>
    </row>
    <row r="13" spans="1:49" x14ac:dyDescent="0.15">
      <c r="A13" s="5"/>
      <c r="B13" s="5" t="s">
        <v>85</v>
      </c>
      <c r="C13" s="5">
        <v>13903516</v>
      </c>
      <c r="D13" s="7">
        <v>12</v>
      </c>
      <c r="E13" s="6">
        <v>1</v>
      </c>
      <c r="F13" s="6"/>
      <c r="H13" s="53" t="str">
        <f t="shared" si="0"/>
        <v>·</v>
      </c>
      <c r="I13" s="17" t="str">
        <f t="shared" si="1"/>
        <v>·</v>
      </c>
      <c r="J13" s="18" t="str">
        <f t="shared" si="2"/>
        <v>·</v>
      </c>
      <c r="K13" s="18" t="str">
        <f t="shared" si="3"/>
        <v>·</v>
      </c>
      <c r="L13" s="18" t="str">
        <f t="shared" si="4"/>
        <v>·</v>
      </c>
      <c r="M13" s="19"/>
      <c r="N13" s="18" t="str">
        <f t="shared" si="5"/>
        <v>·</v>
      </c>
      <c r="O13" s="20"/>
      <c r="P13" s="21"/>
      <c r="Q13" s="21"/>
      <c r="R13" s="21"/>
      <c r="S13" s="37"/>
      <c r="T13" s="49"/>
      <c r="U13" s="49"/>
      <c r="W13" s="53" t="str">
        <f t="shared" si="6"/>
        <v>·</v>
      </c>
      <c r="X13" s="17" t="str">
        <f t="shared" si="7"/>
        <v>·</v>
      </c>
      <c r="Y13" s="18" t="str">
        <f t="shared" si="8"/>
        <v>·</v>
      </c>
      <c r="Z13" s="18" t="str">
        <f t="shared" si="9"/>
        <v>·</v>
      </c>
      <c r="AA13" s="18" t="str">
        <f t="shared" si="10"/>
        <v>·</v>
      </c>
      <c r="AB13" s="19"/>
      <c r="AC13" s="18" t="str">
        <f t="shared" si="11"/>
        <v>·</v>
      </c>
      <c r="AD13" s="20"/>
      <c r="AE13" s="21"/>
      <c r="AF13" s="21"/>
      <c r="AG13" s="21"/>
      <c r="AH13" s="37"/>
      <c r="AI13" s="49"/>
      <c r="AJ13" s="49"/>
      <c r="AL13" s="54" t="e">
        <f t="shared" si="12"/>
        <v>#VALUE!</v>
      </c>
      <c r="AM13" s="54" t="e">
        <f t="shared" si="13"/>
        <v>#VALUE!</v>
      </c>
      <c r="AN13" s="54" t="e">
        <f t="shared" si="14"/>
        <v>#VALUE!</v>
      </c>
      <c r="AO13" s="61"/>
      <c r="AP13" s="53" t="e">
        <f t="shared" si="15"/>
        <v>#DIV/0!</v>
      </c>
      <c r="AQ13" s="53" t="e">
        <f t="array" ref="AQ13">AVERAGE(AF13:AF13/AE13:AE13)-AVERAGE(Q13:Q13/P13:P13)</f>
        <v>#DIV/0!</v>
      </c>
      <c r="AS13">
        <f t="shared" si="17"/>
        <v>0</v>
      </c>
      <c r="AT13">
        <f t="shared" si="18"/>
        <v>0</v>
      </c>
      <c r="AU13">
        <f t="shared" si="19"/>
        <v>0</v>
      </c>
      <c r="AV13">
        <f t="shared" si="20"/>
        <v>0</v>
      </c>
      <c r="AW13">
        <f t="shared" si="21"/>
        <v>0</v>
      </c>
    </row>
    <row r="14" spans="1:49" x14ac:dyDescent="0.15">
      <c r="A14" s="8"/>
      <c r="B14" s="8" t="s">
        <v>88</v>
      </c>
      <c r="C14" s="8">
        <v>4848745</v>
      </c>
      <c r="D14" s="10">
        <v>12</v>
      </c>
      <c r="E14" s="9">
        <v>1</v>
      </c>
      <c r="F14" s="9"/>
      <c r="H14" s="55" t="str">
        <f t="shared" si="0"/>
        <v>·</v>
      </c>
      <c r="I14" s="22" t="str">
        <f t="shared" si="1"/>
        <v>·</v>
      </c>
      <c r="J14" s="23" t="str">
        <f t="shared" si="2"/>
        <v>·</v>
      </c>
      <c r="K14" s="23" t="str">
        <f t="shared" si="3"/>
        <v>·</v>
      </c>
      <c r="L14" s="23" t="str">
        <f t="shared" si="4"/>
        <v>·</v>
      </c>
      <c r="M14" s="24"/>
      <c r="N14" s="23" t="str">
        <f t="shared" si="5"/>
        <v>·</v>
      </c>
      <c r="O14" s="25"/>
      <c r="P14" s="26"/>
      <c r="Q14" s="26"/>
      <c r="R14" s="26"/>
      <c r="S14" s="40"/>
      <c r="T14" s="50"/>
      <c r="U14" s="50"/>
      <c r="W14" s="55" t="str">
        <f t="shared" si="6"/>
        <v>·</v>
      </c>
      <c r="X14" s="22" t="str">
        <f t="shared" si="7"/>
        <v>·</v>
      </c>
      <c r="Y14" s="23" t="str">
        <f t="shared" si="8"/>
        <v>·</v>
      </c>
      <c r="Z14" s="23" t="str">
        <f t="shared" si="9"/>
        <v>·</v>
      </c>
      <c r="AA14" s="23" t="str">
        <f t="shared" si="10"/>
        <v>·</v>
      </c>
      <c r="AB14" s="24"/>
      <c r="AC14" s="23" t="str">
        <f t="shared" si="11"/>
        <v>·</v>
      </c>
      <c r="AD14" s="25"/>
      <c r="AE14" s="26"/>
      <c r="AF14" s="26"/>
      <c r="AG14" s="26"/>
      <c r="AH14" s="40"/>
      <c r="AI14" s="50"/>
      <c r="AJ14" s="50"/>
      <c r="AL14" s="56" t="e">
        <f t="shared" si="12"/>
        <v>#VALUE!</v>
      </c>
      <c r="AM14" s="56" t="e">
        <f t="shared" si="13"/>
        <v>#VALUE!</v>
      </c>
      <c r="AN14" s="56" t="e">
        <f t="shared" si="14"/>
        <v>#VALUE!</v>
      </c>
      <c r="AO14" s="62"/>
      <c r="AP14" s="55" t="e">
        <f t="shared" si="15"/>
        <v>#DIV/0!</v>
      </c>
      <c r="AQ14" s="55" t="e">
        <f t="array" ref="AQ14">AVERAGE(AF14:AF14/AE14:AE14)-AVERAGE(Q14:Q14/P14:P14)</f>
        <v>#DIV/0!</v>
      </c>
      <c r="AS14">
        <f t="shared" si="17"/>
        <v>0</v>
      </c>
      <c r="AT14">
        <f t="shared" si="18"/>
        <v>0</v>
      </c>
      <c r="AU14">
        <f t="shared" si="19"/>
        <v>0</v>
      </c>
      <c r="AV14">
        <f t="shared" si="20"/>
        <v>0</v>
      </c>
      <c r="AW14">
        <f t="shared" si="21"/>
        <v>0</v>
      </c>
    </row>
    <row r="15" spans="1:49" x14ac:dyDescent="0.15">
      <c r="A15" s="5"/>
      <c r="B15" s="5" t="s">
        <v>91</v>
      </c>
      <c r="C15" s="5">
        <v>3096122</v>
      </c>
      <c r="D15" s="7">
        <v>12</v>
      </c>
      <c r="E15" s="6">
        <v>1</v>
      </c>
      <c r="F15" s="6"/>
      <c r="H15" s="53" t="str">
        <f t="shared" si="0"/>
        <v>·</v>
      </c>
      <c r="I15" s="17" t="str">
        <f t="shared" si="1"/>
        <v>·</v>
      </c>
      <c r="J15" s="18" t="str">
        <f t="shared" si="2"/>
        <v>·</v>
      </c>
      <c r="K15" s="18" t="str">
        <f t="shared" si="3"/>
        <v>·</v>
      </c>
      <c r="L15" s="18" t="str">
        <f t="shared" si="4"/>
        <v>·</v>
      </c>
      <c r="M15" s="19"/>
      <c r="N15" s="18" t="str">
        <f t="shared" si="5"/>
        <v>·</v>
      </c>
      <c r="O15" s="20"/>
      <c r="P15" s="21"/>
      <c r="Q15" s="21"/>
      <c r="R15" s="21"/>
      <c r="S15" s="37"/>
      <c r="T15" s="49"/>
      <c r="U15" s="49"/>
      <c r="W15" s="53" t="str">
        <f t="shared" si="6"/>
        <v>·</v>
      </c>
      <c r="X15" s="17" t="str">
        <f t="shared" si="7"/>
        <v>·</v>
      </c>
      <c r="Y15" s="18" t="str">
        <f t="shared" si="8"/>
        <v>·</v>
      </c>
      <c r="Z15" s="18" t="str">
        <f t="shared" si="9"/>
        <v>·</v>
      </c>
      <c r="AA15" s="18" t="str">
        <f t="shared" si="10"/>
        <v>·</v>
      </c>
      <c r="AB15" s="19"/>
      <c r="AC15" s="18" t="str">
        <f t="shared" si="11"/>
        <v>·</v>
      </c>
      <c r="AD15" s="20"/>
      <c r="AE15" s="21"/>
      <c r="AF15" s="21"/>
      <c r="AG15" s="21"/>
      <c r="AH15" s="37"/>
      <c r="AI15" s="49"/>
      <c r="AJ15" s="49"/>
      <c r="AL15" s="54" t="e">
        <f t="shared" si="12"/>
        <v>#VALUE!</v>
      </c>
      <c r="AM15" s="54" t="e">
        <f t="shared" si="13"/>
        <v>#VALUE!</v>
      </c>
      <c r="AN15" s="54" t="e">
        <f t="shared" si="14"/>
        <v>#VALUE!</v>
      </c>
      <c r="AO15" s="61"/>
      <c r="AP15" s="53" t="e">
        <f t="shared" si="15"/>
        <v>#DIV/0!</v>
      </c>
      <c r="AQ15" s="53" t="e">
        <f t="array" ref="AQ15">AVERAGE(AF15:AF15/AE15:AE15)-AVERAGE(Q15:Q15/P15:P15)</f>
        <v>#DIV/0!</v>
      </c>
      <c r="AS15">
        <f t="shared" si="17"/>
        <v>0</v>
      </c>
      <c r="AT15">
        <f t="shared" si="18"/>
        <v>0</v>
      </c>
      <c r="AU15">
        <f t="shared" si="19"/>
        <v>0</v>
      </c>
      <c r="AV15">
        <f t="shared" si="20"/>
        <v>0</v>
      </c>
      <c r="AW15">
        <f t="shared" si="21"/>
        <v>0</v>
      </c>
    </row>
    <row r="16" spans="1:49" x14ac:dyDescent="0.15">
      <c r="A16" s="8"/>
      <c r="B16" s="8" t="s">
        <v>94</v>
      </c>
      <c r="C16" s="8">
        <v>857966</v>
      </c>
      <c r="D16" s="10">
        <v>10</v>
      </c>
      <c r="E16" s="9">
        <v>1</v>
      </c>
      <c r="F16" s="9"/>
      <c r="H16" s="55" t="str">
        <f t="shared" si="0"/>
        <v>·</v>
      </c>
      <c r="I16" s="22" t="str">
        <f t="shared" si="1"/>
        <v>·</v>
      </c>
      <c r="J16" s="23" t="str">
        <f t="shared" si="2"/>
        <v>·</v>
      </c>
      <c r="K16" s="23" t="str">
        <f t="shared" si="3"/>
        <v>·</v>
      </c>
      <c r="L16" s="23" t="str">
        <f t="shared" si="4"/>
        <v>·</v>
      </c>
      <c r="M16" s="24"/>
      <c r="N16" s="23" t="str">
        <f t="shared" si="5"/>
        <v>·</v>
      </c>
      <c r="O16" s="25"/>
      <c r="P16" s="26"/>
      <c r="Q16" s="26"/>
      <c r="R16" s="26"/>
      <c r="S16" s="40"/>
      <c r="T16" s="50"/>
      <c r="U16" s="50"/>
      <c r="W16" s="55" t="str">
        <f t="shared" si="6"/>
        <v>·</v>
      </c>
      <c r="X16" s="22" t="str">
        <f t="shared" si="7"/>
        <v>·</v>
      </c>
      <c r="Y16" s="23" t="str">
        <f t="shared" si="8"/>
        <v>·</v>
      </c>
      <c r="Z16" s="23" t="str">
        <f t="shared" si="9"/>
        <v>·</v>
      </c>
      <c r="AA16" s="23" t="str">
        <f t="shared" si="10"/>
        <v>·</v>
      </c>
      <c r="AB16" s="24"/>
      <c r="AC16" s="23" t="str">
        <f t="shared" si="11"/>
        <v>·</v>
      </c>
      <c r="AD16" s="25"/>
      <c r="AE16" s="26"/>
      <c r="AF16" s="26"/>
      <c r="AG16" s="26"/>
      <c r="AH16" s="40"/>
      <c r="AI16" s="50"/>
      <c r="AJ16" s="50"/>
      <c r="AL16" s="56" t="e">
        <f t="shared" si="12"/>
        <v>#VALUE!</v>
      </c>
      <c r="AM16" s="56" t="e">
        <f t="shared" si="13"/>
        <v>#VALUE!</v>
      </c>
      <c r="AN16" s="56" t="e">
        <f t="shared" si="14"/>
        <v>#VALUE!</v>
      </c>
      <c r="AO16" s="62"/>
      <c r="AP16" s="55" t="e">
        <f t="shared" si="15"/>
        <v>#DIV/0!</v>
      </c>
      <c r="AQ16" s="55" t="e">
        <f t="array" ref="AQ16">AVERAGE(AF16:AF16/AE16:AE16)-AVERAGE(Q16:Q16/P16:P16)</f>
        <v>#DIV/0!</v>
      </c>
      <c r="AS16">
        <f t="shared" si="17"/>
        <v>0</v>
      </c>
      <c r="AT16">
        <f t="shared" si="18"/>
        <v>0</v>
      </c>
      <c r="AU16">
        <f t="shared" si="19"/>
        <v>0</v>
      </c>
      <c r="AV16">
        <f t="shared" si="20"/>
        <v>0</v>
      </c>
      <c r="AW16">
        <f t="shared" si="21"/>
        <v>0</v>
      </c>
    </row>
    <row r="17" spans="1:49" x14ac:dyDescent="0.15">
      <c r="A17" s="5"/>
      <c r="B17" s="5" t="s">
        <v>97</v>
      </c>
      <c r="C17" s="5">
        <v>3017285</v>
      </c>
      <c r="D17" s="7">
        <v>12</v>
      </c>
      <c r="E17" s="6">
        <v>1</v>
      </c>
      <c r="F17" s="6"/>
      <c r="H17" s="53" t="str">
        <f t="shared" si="0"/>
        <v>·</v>
      </c>
      <c r="I17" s="17" t="str">
        <f t="shared" si="1"/>
        <v>·</v>
      </c>
      <c r="J17" s="18" t="str">
        <f t="shared" si="2"/>
        <v>·</v>
      </c>
      <c r="K17" s="18" t="str">
        <f t="shared" si="3"/>
        <v>·</v>
      </c>
      <c r="L17" s="18" t="str">
        <f t="shared" si="4"/>
        <v>·</v>
      </c>
      <c r="M17" s="19"/>
      <c r="N17" s="18" t="str">
        <f t="shared" si="5"/>
        <v>·</v>
      </c>
      <c r="O17" s="20"/>
      <c r="P17" s="21"/>
      <c r="Q17" s="21"/>
      <c r="R17" s="21"/>
      <c r="S17" s="37"/>
      <c r="T17" s="49"/>
      <c r="U17" s="49"/>
      <c r="W17" s="53" t="str">
        <f t="shared" si="6"/>
        <v>·</v>
      </c>
      <c r="X17" s="17" t="str">
        <f t="shared" si="7"/>
        <v>·</v>
      </c>
      <c r="Y17" s="18" t="str">
        <f t="shared" si="8"/>
        <v>·</v>
      </c>
      <c r="Z17" s="18" t="str">
        <f t="shared" si="9"/>
        <v>·</v>
      </c>
      <c r="AA17" s="18" t="str">
        <f t="shared" si="10"/>
        <v>·</v>
      </c>
      <c r="AB17" s="19"/>
      <c r="AC17" s="18" t="str">
        <f t="shared" si="11"/>
        <v>·</v>
      </c>
      <c r="AD17" s="20"/>
      <c r="AE17" s="21"/>
      <c r="AF17" s="21"/>
      <c r="AG17" s="21"/>
      <c r="AH17" s="37"/>
      <c r="AI17" s="49"/>
      <c r="AJ17" s="49"/>
      <c r="AL17" s="54" t="e">
        <f t="shared" si="12"/>
        <v>#VALUE!</v>
      </c>
      <c r="AM17" s="54" t="e">
        <f t="shared" si="13"/>
        <v>#VALUE!</v>
      </c>
      <c r="AN17" s="54" t="e">
        <f t="shared" si="14"/>
        <v>#VALUE!</v>
      </c>
      <c r="AO17" s="61"/>
      <c r="AP17" s="53" t="e">
        <f t="shared" si="15"/>
        <v>#DIV/0!</v>
      </c>
      <c r="AQ17" s="53" t="e">
        <f t="array" ref="AQ17">AVERAGE(AF17:AF17/AE17:AE17)-AVERAGE(Q17:Q17/P17:P17)</f>
        <v>#DIV/0!</v>
      </c>
      <c r="AS17">
        <f t="shared" si="17"/>
        <v>0</v>
      </c>
      <c r="AT17">
        <f t="shared" si="18"/>
        <v>0</v>
      </c>
      <c r="AU17">
        <f t="shared" si="19"/>
        <v>0</v>
      </c>
      <c r="AV17">
        <f t="shared" si="20"/>
        <v>0</v>
      </c>
      <c r="AW17">
        <f t="shared" si="21"/>
        <v>0</v>
      </c>
    </row>
    <row r="18" spans="1:49" x14ac:dyDescent="0.15">
      <c r="A18" s="8"/>
      <c r="B18" s="8" t="s">
        <v>100</v>
      </c>
      <c r="C18" s="8">
        <v>805285</v>
      </c>
      <c r="D18" s="10">
        <v>10</v>
      </c>
      <c r="E18" s="9">
        <v>1</v>
      </c>
      <c r="F18" s="9"/>
      <c r="H18" s="55" t="str">
        <f t="shared" si="0"/>
        <v>·</v>
      </c>
      <c r="I18" s="22" t="str">
        <f t="shared" si="1"/>
        <v>·</v>
      </c>
      <c r="J18" s="23" t="str">
        <f t="shared" si="2"/>
        <v>·</v>
      </c>
      <c r="K18" s="23" t="str">
        <f t="shared" si="3"/>
        <v>·</v>
      </c>
      <c r="L18" s="23" t="str">
        <f t="shared" si="4"/>
        <v>·</v>
      </c>
      <c r="M18" s="24"/>
      <c r="N18" s="23" t="str">
        <f t="shared" si="5"/>
        <v>·</v>
      </c>
      <c r="O18" s="25"/>
      <c r="P18" s="26"/>
      <c r="Q18" s="26"/>
      <c r="R18" s="26"/>
      <c r="S18" s="40"/>
      <c r="T18" s="50"/>
      <c r="U18" s="50"/>
      <c r="W18" s="55" t="str">
        <f t="shared" si="6"/>
        <v>·</v>
      </c>
      <c r="X18" s="22" t="str">
        <f t="shared" si="7"/>
        <v>·</v>
      </c>
      <c r="Y18" s="23" t="str">
        <f t="shared" si="8"/>
        <v>·</v>
      </c>
      <c r="Z18" s="23" t="str">
        <f t="shared" si="9"/>
        <v>·</v>
      </c>
      <c r="AA18" s="23" t="str">
        <f t="shared" si="10"/>
        <v>·</v>
      </c>
      <c r="AB18" s="24"/>
      <c r="AC18" s="23" t="str">
        <f t="shared" si="11"/>
        <v>·</v>
      </c>
      <c r="AD18" s="25"/>
      <c r="AE18" s="26"/>
      <c r="AF18" s="26"/>
      <c r="AG18" s="26"/>
      <c r="AH18" s="40"/>
      <c r="AI18" s="50"/>
      <c r="AJ18" s="50"/>
      <c r="AL18" s="56" t="e">
        <f t="shared" si="12"/>
        <v>#VALUE!</v>
      </c>
      <c r="AM18" s="56" t="e">
        <f t="shared" si="13"/>
        <v>#VALUE!</v>
      </c>
      <c r="AN18" s="56" t="e">
        <f t="shared" si="14"/>
        <v>#VALUE!</v>
      </c>
      <c r="AO18" s="62"/>
      <c r="AP18" s="55" t="e">
        <f t="shared" si="15"/>
        <v>#DIV/0!</v>
      </c>
      <c r="AQ18" s="55" t="e">
        <f t="array" ref="AQ18">AVERAGE(AF18:AF18/AE18:AE18)-AVERAGE(Q18:Q18/P18:P18)</f>
        <v>#DIV/0!</v>
      </c>
      <c r="AS18">
        <f t="shared" si="17"/>
        <v>0</v>
      </c>
      <c r="AT18">
        <f t="shared" si="18"/>
        <v>0</v>
      </c>
      <c r="AU18">
        <f t="shared" si="19"/>
        <v>0</v>
      </c>
      <c r="AV18">
        <f t="shared" si="20"/>
        <v>0</v>
      </c>
      <c r="AW18">
        <f t="shared" si="21"/>
        <v>0</v>
      </c>
    </row>
    <row r="19" spans="1:49" x14ac:dyDescent="0.15">
      <c r="A19" s="5"/>
      <c r="B19" s="5" t="s">
        <v>102</v>
      </c>
      <c r="C19" s="5">
        <v>1000993</v>
      </c>
      <c r="D19" s="7">
        <v>10</v>
      </c>
      <c r="E19" s="6">
        <v>1</v>
      </c>
      <c r="F19" s="6"/>
      <c r="H19" s="53" t="str">
        <f t="shared" si="0"/>
        <v>·</v>
      </c>
      <c r="I19" s="17" t="str">
        <f t="shared" si="1"/>
        <v>·</v>
      </c>
      <c r="J19" s="18" t="str">
        <f t="shared" si="2"/>
        <v>·</v>
      </c>
      <c r="K19" s="18" t="str">
        <f t="shared" si="3"/>
        <v>·</v>
      </c>
      <c r="L19" s="18" t="str">
        <f t="shared" si="4"/>
        <v>·</v>
      </c>
      <c r="M19" s="19"/>
      <c r="N19" s="18" t="str">
        <f t="shared" si="5"/>
        <v>·</v>
      </c>
      <c r="O19" s="20"/>
      <c r="P19" s="21"/>
      <c r="Q19" s="21"/>
      <c r="R19" s="21"/>
      <c r="S19" s="37"/>
      <c r="T19" s="49"/>
      <c r="U19" s="49"/>
      <c r="W19" s="53" t="str">
        <f t="shared" si="6"/>
        <v>·</v>
      </c>
      <c r="X19" s="17" t="str">
        <f t="shared" si="7"/>
        <v>·</v>
      </c>
      <c r="Y19" s="18" t="str">
        <f t="shared" si="8"/>
        <v>·</v>
      </c>
      <c r="Z19" s="18" t="str">
        <f t="shared" si="9"/>
        <v>·</v>
      </c>
      <c r="AA19" s="18" t="str">
        <f t="shared" si="10"/>
        <v>·</v>
      </c>
      <c r="AB19" s="19"/>
      <c r="AC19" s="18" t="str">
        <f t="shared" si="11"/>
        <v>·</v>
      </c>
      <c r="AD19" s="20"/>
      <c r="AE19" s="21"/>
      <c r="AF19" s="21"/>
      <c r="AG19" s="21"/>
      <c r="AH19" s="37"/>
      <c r="AI19" s="49"/>
      <c r="AJ19" s="49"/>
      <c r="AL19" s="54" t="e">
        <f t="shared" si="12"/>
        <v>#VALUE!</v>
      </c>
      <c r="AM19" s="54" t="e">
        <f t="shared" si="13"/>
        <v>#VALUE!</v>
      </c>
      <c r="AN19" s="54" t="e">
        <f t="shared" si="14"/>
        <v>#VALUE!</v>
      </c>
      <c r="AO19" s="61"/>
      <c r="AP19" s="53" t="e">
        <f t="shared" si="15"/>
        <v>#DIV/0!</v>
      </c>
      <c r="AQ19" s="53" t="e">
        <f t="array" ref="AQ19">AVERAGE(AF19:AF19/AE19:AE19)-AVERAGE(Q19:Q19/P19:P19)</f>
        <v>#DIV/0!</v>
      </c>
      <c r="AS19">
        <f t="shared" si="17"/>
        <v>0</v>
      </c>
      <c r="AT19">
        <f t="shared" si="18"/>
        <v>0</v>
      </c>
      <c r="AU19">
        <f t="shared" si="19"/>
        <v>0</v>
      </c>
      <c r="AV19">
        <f t="shared" si="20"/>
        <v>0</v>
      </c>
      <c r="AW19">
        <f t="shared" si="21"/>
        <v>0</v>
      </c>
    </row>
    <row r="20" spans="1:49" x14ac:dyDescent="0.15">
      <c r="A20" s="8"/>
      <c r="B20" s="8" t="s">
        <v>105</v>
      </c>
      <c r="C20" s="8">
        <v>2770567</v>
      </c>
      <c r="D20" s="10">
        <v>12</v>
      </c>
      <c r="E20" s="9">
        <v>1</v>
      </c>
      <c r="F20" s="9"/>
      <c r="H20" s="55" t="str">
        <f t="shared" si="0"/>
        <v>·</v>
      </c>
      <c r="I20" s="22" t="str">
        <f t="shared" si="1"/>
        <v>·</v>
      </c>
      <c r="J20" s="23" t="str">
        <f t="shared" si="2"/>
        <v>·</v>
      </c>
      <c r="K20" s="23" t="str">
        <f t="shared" si="3"/>
        <v>·</v>
      </c>
      <c r="L20" s="23" t="str">
        <f t="shared" si="4"/>
        <v>·</v>
      </c>
      <c r="M20" s="24"/>
      <c r="N20" s="23" t="str">
        <f t="shared" si="5"/>
        <v>·</v>
      </c>
      <c r="O20" s="25"/>
      <c r="P20" s="26"/>
      <c r="Q20" s="26"/>
      <c r="R20" s="26"/>
      <c r="S20" s="40"/>
      <c r="T20" s="50"/>
      <c r="U20" s="50"/>
      <c r="W20" s="55" t="str">
        <f t="shared" si="6"/>
        <v>·</v>
      </c>
      <c r="X20" s="22" t="str">
        <f t="shared" si="7"/>
        <v>·</v>
      </c>
      <c r="Y20" s="23" t="str">
        <f t="shared" si="8"/>
        <v>·</v>
      </c>
      <c r="Z20" s="23" t="str">
        <f t="shared" si="9"/>
        <v>·</v>
      </c>
      <c r="AA20" s="23" t="str">
        <f t="shared" si="10"/>
        <v>·</v>
      </c>
      <c r="AB20" s="24"/>
      <c r="AC20" s="23" t="str">
        <f t="shared" si="11"/>
        <v>·</v>
      </c>
      <c r="AD20" s="25"/>
      <c r="AE20" s="26"/>
      <c r="AF20" s="26"/>
      <c r="AG20" s="26"/>
      <c r="AH20" s="40"/>
      <c r="AI20" s="50"/>
      <c r="AJ20" s="50"/>
      <c r="AL20" s="56" t="e">
        <f t="shared" si="12"/>
        <v>#VALUE!</v>
      </c>
      <c r="AM20" s="56" t="e">
        <f t="shared" si="13"/>
        <v>#VALUE!</v>
      </c>
      <c r="AN20" s="56" t="e">
        <f t="shared" si="14"/>
        <v>#VALUE!</v>
      </c>
      <c r="AO20" s="62"/>
      <c r="AP20" s="55" t="e">
        <f t="shared" si="15"/>
        <v>#DIV/0!</v>
      </c>
      <c r="AQ20" s="55" t="e">
        <f t="array" ref="AQ20">AVERAGE(AF20:AF20/AE20:AE20)-AVERAGE(Q20:Q20/P20:P20)</f>
        <v>#DIV/0!</v>
      </c>
      <c r="AS20">
        <f t="shared" si="17"/>
        <v>0</v>
      </c>
      <c r="AT20">
        <f t="shared" si="18"/>
        <v>0</v>
      </c>
      <c r="AU20">
        <f t="shared" si="19"/>
        <v>0</v>
      </c>
      <c r="AV20">
        <f t="shared" si="20"/>
        <v>0</v>
      </c>
      <c r="AW20">
        <f t="shared" si="21"/>
        <v>0</v>
      </c>
    </row>
    <row r="21" spans="1:49" x14ac:dyDescent="0.15">
      <c r="A21" s="5"/>
      <c r="B21" s="5" t="s">
        <v>108</v>
      </c>
      <c r="C21" s="5">
        <v>757691</v>
      </c>
      <c r="D21" s="7">
        <v>10</v>
      </c>
      <c r="E21" s="6">
        <v>1</v>
      </c>
      <c r="F21" s="6"/>
      <c r="H21" s="53" t="str">
        <f t="shared" si="0"/>
        <v>·</v>
      </c>
      <c r="I21" s="17" t="str">
        <f t="shared" si="1"/>
        <v>·</v>
      </c>
      <c r="J21" s="18" t="str">
        <f t="shared" si="2"/>
        <v>·</v>
      </c>
      <c r="K21" s="18" t="str">
        <f t="shared" si="3"/>
        <v>·</v>
      </c>
      <c r="L21" s="18" t="str">
        <f t="shared" si="4"/>
        <v>·</v>
      </c>
      <c r="M21" s="19"/>
      <c r="N21" s="18" t="str">
        <f t="shared" si="5"/>
        <v>·</v>
      </c>
      <c r="O21" s="20"/>
      <c r="P21" s="21"/>
      <c r="Q21" s="21"/>
      <c r="R21" s="21"/>
      <c r="S21" s="37"/>
      <c r="T21" s="49"/>
      <c r="U21" s="49"/>
      <c r="W21" s="53" t="str">
        <f t="shared" si="6"/>
        <v>·</v>
      </c>
      <c r="X21" s="17" t="str">
        <f t="shared" si="7"/>
        <v>·</v>
      </c>
      <c r="Y21" s="18" t="str">
        <f t="shared" si="8"/>
        <v>·</v>
      </c>
      <c r="Z21" s="18" t="str">
        <f t="shared" si="9"/>
        <v>·</v>
      </c>
      <c r="AA21" s="18" t="str">
        <f t="shared" si="10"/>
        <v>·</v>
      </c>
      <c r="AB21" s="19"/>
      <c r="AC21" s="18" t="str">
        <f t="shared" si="11"/>
        <v>·</v>
      </c>
      <c r="AD21" s="20"/>
      <c r="AE21" s="21"/>
      <c r="AF21" s="21"/>
      <c r="AG21" s="21"/>
      <c r="AH21" s="37"/>
      <c r="AI21" s="49"/>
      <c r="AJ21" s="49"/>
      <c r="AL21" s="54" t="e">
        <f t="shared" si="12"/>
        <v>#VALUE!</v>
      </c>
      <c r="AM21" s="54" t="e">
        <f t="shared" si="13"/>
        <v>#VALUE!</v>
      </c>
      <c r="AN21" s="54" t="e">
        <f t="shared" si="14"/>
        <v>#VALUE!</v>
      </c>
      <c r="AO21" s="61"/>
      <c r="AP21" s="53" t="e">
        <f t="shared" si="15"/>
        <v>#DIV/0!</v>
      </c>
      <c r="AQ21" s="53" t="e">
        <f t="array" ref="AQ21">AVERAGE(AF21:AF21/AE21:AE21)-AVERAGE(Q21:Q21/P21:P21)</f>
        <v>#DIV/0!</v>
      </c>
      <c r="AS21">
        <f t="shared" si="17"/>
        <v>0</v>
      </c>
      <c r="AT21">
        <f t="shared" si="18"/>
        <v>0</v>
      </c>
      <c r="AU21">
        <f t="shared" si="19"/>
        <v>0</v>
      </c>
      <c r="AV21">
        <f t="shared" si="20"/>
        <v>0</v>
      </c>
      <c r="AW21">
        <f t="shared" si="21"/>
        <v>0</v>
      </c>
    </row>
    <row r="22" spans="1:49" x14ac:dyDescent="0.15">
      <c r="A22" s="8"/>
      <c r="B22" s="8" t="s">
        <v>111</v>
      </c>
      <c r="C22" s="8">
        <v>1009132</v>
      </c>
      <c r="D22" s="10">
        <v>12</v>
      </c>
      <c r="E22" s="9">
        <v>1</v>
      </c>
      <c r="F22" s="9"/>
      <c r="H22" s="55" t="str">
        <f t="shared" si="0"/>
        <v>·</v>
      </c>
      <c r="I22" s="22" t="str">
        <f t="shared" si="1"/>
        <v>·</v>
      </c>
      <c r="J22" s="23" t="str">
        <f t="shared" si="2"/>
        <v>·</v>
      </c>
      <c r="K22" s="23" t="str">
        <f t="shared" si="3"/>
        <v>·</v>
      </c>
      <c r="L22" s="23" t="str">
        <f t="shared" si="4"/>
        <v>·</v>
      </c>
      <c r="M22" s="24"/>
      <c r="N22" s="23" t="str">
        <f t="shared" si="5"/>
        <v>·</v>
      </c>
      <c r="O22" s="25"/>
      <c r="P22" s="26"/>
      <c r="Q22" s="26"/>
      <c r="R22" s="26"/>
      <c r="S22" s="40"/>
      <c r="T22" s="50"/>
      <c r="U22" s="50"/>
      <c r="W22" s="55" t="str">
        <f t="shared" si="6"/>
        <v>·</v>
      </c>
      <c r="X22" s="22" t="str">
        <f t="shared" si="7"/>
        <v>·</v>
      </c>
      <c r="Y22" s="23" t="str">
        <f t="shared" si="8"/>
        <v>·</v>
      </c>
      <c r="Z22" s="23" t="str">
        <f t="shared" si="9"/>
        <v>·</v>
      </c>
      <c r="AA22" s="23" t="str">
        <f t="shared" si="10"/>
        <v>·</v>
      </c>
      <c r="AB22" s="24"/>
      <c r="AC22" s="23" t="str">
        <f t="shared" si="11"/>
        <v>·</v>
      </c>
      <c r="AD22" s="25"/>
      <c r="AE22" s="26"/>
      <c r="AF22" s="26"/>
      <c r="AG22" s="26"/>
      <c r="AH22" s="40"/>
      <c r="AI22" s="50"/>
      <c r="AJ22" s="50"/>
      <c r="AL22" s="56" t="e">
        <f t="shared" si="12"/>
        <v>#VALUE!</v>
      </c>
      <c r="AM22" s="56" t="e">
        <f t="shared" si="13"/>
        <v>#VALUE!</v>
      </c>
      <c r="AN22" s="56" t="e">
        <f t="shared" si="14"/>
        <v>#VALUE!</v>
      </c>
      <c r="AO22" s="62"/>
      <c r="AP22" s="55" t="e">
        <f t="shared" si="15"/>
        <v>#DIV/0!</v>
      </c>
      <c r="AQ22" s="55" t="e">
        <f t="array" ref="AQ22">AVERAGE(AF22:AF22/AE22:AE22)-AVERAGE(Q22:Q22/P22:P22)</f>
        <v>#DIV/0!</v>
      </c>
      <c r="AS22">
        <f t="shared" si="17"/>
        <v>0</v>
      </c>
      <c r="AT22">
        <f t="shared" si="18"/>
        <v>0</v>
      </c>
      <c r="AU22">
        <f t="shared" si="19"/>
        <v>0</v>
      </c>
      <c r="AV22">
        <f t="shared" si="20"/>
        <v>0</v>
      </c>
      <c r="AW22">
        <f t="shared" si="21"/>
        <v>0</v>
      </c>
    </row>
    <row r="23" spans="1:49" x14ac:dyDescent="0.15">
      <c r="A23" s="5"/>
      <c r="B23" s="5" t="s">
        <v>114</v>
      </c>
      <c r="C23" s="5">
        <v>4001754</v>
      </c>
      <c r="D23" s="7">
        <v>12</v>
      </c>
      <c r="E23" s="6">
        <v>1</v>
      </c>
      <c r="F23" s="6"/>
      <c r="H23" s="53" t="str">
        <f t="shared" si="0"/>
        <v>·</v>
      </c>
      <c r="I23" s="17" t="str">
        <f t="shared" si="1"/>
        <v>·</v>
      </c>
      <c r="J23" s="18" t="str">
        <f t="shared" si="2"/>
        <v>·</v>
      </c>
      <c r="K23" s="18" t="str">
        <f t="shared" si="3"/>
        <v>·</v>
      </c>
      <c r="L23" s="18" t="str">
        <f t="shared" si="4"/>
        <v>·</v>
      </c>
      <c r="M23" s="19"/>
      <c r="N23" s="18" t="str">
        <f t="shared" si="5"/>
        <v>·</v>
      </c>
      <c r="O23" s="20"/>
      <c r="P23" s="21"/>
      <c r="Q23" s="21"/>
      <c r="R23" s="21"/>
      <c r="S23" s="37"/>
      <c r="T23" s="49"/>
      <c r="U23" s="49"/>
      <c r="W23" s="53" t="str">
        <f t="shared" si="6"/>
        <v>·</v>
      </c>
      <c r="X23" s="17" t="str">
        <f t="shared" si="7"/>
        <v>·</v>
      </c>
      <c r="Y23" s="18" t="str">
        <f t="shared" si="8"/>
        <v>·</v>
      </c>
      <c r="Z23" s="18" t="str">
        <f t="shared" si="9"/>
        <v>·</v>
      </c>
      <c r="AA23" s="18" t="str">
        <f t="shared" si="10"/>
        <v>·</v>
      </c>
      <c r="AB23" s="19"/>
      <c r="AC23" s="18" t="str">
        <f t="shared" si="11"/>
        <v>·</v>
      </c>
      <c r="AD23" s="20"/>
      <c r="AE23" s="21"/>
      <c r="AF23" s="21"/>
      <c r="AG23" s="21"/>
      <c r="AH23" s="37"/>
      <c r="AI23" s="49"/>
      <c r="AJ23" s="49"/>
      <c r="AL23" s="54" t="e">
        <f t="shared" si="12"/>
        <v>#VALUE!</v>
      </c>
      <c r="AM23" s="54" t="e">
        <f t="shared" si="13"/>
        <v>#VALUE!</v>
      </c>
      <c r="AN23" s="54" t="e">
        <f t="shared" si="14"/>
        <v>#VALUE!</v>
      </c>
      <c r="AO23" s="61"/>
      <c r="AP23" s="53" t="e">
        <f t="shared" si="15"/>
        <v>#DIV/0!</v>
      </c>
      <c r="AQ23" s="53" t="e">
        <f t="array" ref="AQ23">AVERAGE(AF23:AF23/AE23:AE23)-AVERAGE(Q23:Q23/P23:P23)</f>
        <v>#DIV/0!</v>
      </c>
      <c r="AS23">
        <f t="shared" si="17"/>
        <v>0</v>
      </c>
      <c r="AT23">
        <f t="shared" si="18"/>
        <v>0</v>
      </c>
      <c r="AU23">
        <f t="shared" si="19"/>
        <v>0</v>
      </c>
      <c r="AV23">
        <f t="shared" si="20"/>
        <v>0</v>
      </c>
      <c r="AW23">
        <f t="shared" si="21"/>
        <v>0</v>
      </c>
    </row>
    <row r="24" spans="1:49" x14ac:dyDescent="0.15">
      <c r="A24" s="8"/>
      <c r="B24" s="8" t="s">
        <v>116</v>
      </c>
      <c r="C24" s="8">
        <v>1089091</v>
      </c>
      <c r="D24" s="10">
        <v>10</v>
      </c>
      <c r="E24" s="9">
        <v>1</v>
      </c>
      <c r="F24" s="9"/>
      <c r="H24" s="55" t="str">
        <f t="shared" si="0"/>
        <v>·</v>
      </c>
      <c r="I24" s="22" t="str">
        <f t="shared" si="1"/>
        <v>·</v>
      </c>
      <c r="J24" s="23" t="str">
        <f t="shared" si="2"/>
        <v>·</v>
      </c>
      <c r="K24" s="23" t="str">
        <f t="shared" si="3"/>
        <v>·</v>
      </c>
      <c r="L24" s="23" t="str">
        <f t="shared" si="4"/>
        <v>·</v>
      </c>
      <c r="M24" s="24"/>
      <c r="N24" s="23" t="str">
        <f t="shared" si="5"/>
        <v>·</v>
      </c>
      <c r="O24" s="25"/>
      <c r="P24" s="26"/>
      <c r="Q24" s="26"/>
      <c r="R24" s="26"/>
      <c r="S24" s="40"/>
      <c r="T24" s="50"/>
      <c r="U24" s="50"/>
      <c r="W24" s="55" t="str">
        <f t="shared" si="6"/>
        <v>·</v>
      </c>
      <c r="X24" s="22" t="str">
        <f t="shared" si="7"/>
        <v>·</v>
      </c>
      <c r="Y24" s="23" t="str">
        <f t="shared" si="8"/>
        <v>·</v>
      </c>
      <c r="Z24" s="23" t="str">
        <f t="shared" si="9"/>
        <v>·</v>
      </c>
      <c r="AA24" s="23" t="str">
        <f t="shared" si="10"/>
        <v>·</v>
      </c>
      <c r="AB24" s="24"/>
      <c r="AC24" s="23" t="str">
        <f t="shared" si="11"/>
        <v>·</v>
      </c>
      <c r="AD24" s="25"/>
      <c r="AE24" s="26"/>
      <c r="AF24" s="26"/>
      <c r="AG24" s="26"/>
      <c r="AH24" s="40"/>
      <c r="AI24" s="50"/>
      <c r="AJ24" s="50"/>
      <c r="AL24" s="56" t="e">
        <f t="shared" si="12"/>
        <v>#VALUE!</v>
      </c>
      <c r="AM24" s="56" t="e">
        <f t="shared" si="13"/>
        <v>#VALUE!</v>
      </c>
      <c r="AN24" s="56" t="e">
        <f t="shared" si="14"/>
        <v>#VALUE!</v>
      </c>
      <c r="AO24" s="62"/>
      <c r="AP24" s="55" t="e">
        <f t="shared" si="15"/>
        <v>#DIV/0!</v>
      </c>
      <c r="AQ24" s="55" t="e">
        <f t="array" ref="AQ24">AVERAGE(AF24:AF24/AE24:AE24)-AVERAGE(Q24:Q24/P24:P24)</f>
        <v>#DIV/0!</v>
      </c>
      <c r="AS24">
        <f t="shared" si="17"/>
        <v>0</v>
      </c>
      <c r="AT24">
        <f t="shared" si="18"/>
        <v>0</v>
      </c>
      <c r="AU24">
        <f t="shared" si="19"/>
        <v>0</v>
      </c>
      <c r="AV24">
        <f t="shared" si="20"/>
        <v>0</v>
      </c>
      <c r="AW24">
        <f t="shared" si="21"/>
        <v>0</v>
      </c>
    </row>
    <row r="25" spans="1:49" x14ac:dyDescent="0.15">
      <c r="A25" s="5"/>
      <c r="B25" s="5" t="s">
        <v>119</v>
      </c>
      <c r="C25" s="5">
        <v>3130215</v>
      </c>
      <c r="D25" s="7">
        <v>12</v>
      </c>
      <c r="E25" s="6">
        <v>1</v>
      </c>
      <c r="F25" s="6"/>
      <c r="H25" s="53" t="str">
        <f t="shared" si="0"/>
        <v>·</v>
      </c>
      <c r="I25" s="17" t="str">
        <f t="shared" si="1"/>
        <v>·</v>
      </c>
      <c r="J25" s="18" t="str">
        <f t="shared" si="2"/>
        <v>·</v>
      </c>
      <c r="K25" s="18" t="str">
        <f t="shared" si="3"/>
        <v>·</v>
      </c>
      <c r="L25" s="18" t="str">
        <f t="shared" si="4"/>
        <v>·</v>
      </c>
      <c r="M25" s="19"/>
      <c r="N25" s="18" t="str">
        <f t="shared" si="5"/>
        <v>·</v>
      </c>
      <c r="O25" s="20"/>
      <c r="P25" s="21"/>
      <c r="Q25" s="21"/>
      <c r="R25" s="21"/>
      <c r="S25" s="37"/>
      <c r="T25" s="49"/>
      <c r="U25" s="49"/>
      <c r="W25" s="53" t="str">
        <f t="shared" si="6"/>
        <v>·</v>
      </c>
      <c r="X25" s="17" t="str">
        <f t="shared" si="7"/>
        <v>·</v>
      </c>
      <c r="Y25" s="18" t="str">
        <f t="shared" si="8"/>
        <v>·</v>
      </c>
      <c r="Z25" s="18" t="str">
        <f t="shared" si="9"/>
        <v>·</v>
      </c>
      <c r="AA25" s="18" t="str">
        <f t="shared" si="10"/>
        <v>·</v>
      </c>
      <c r="AB25" s="19"/>
      <c r="AC25" s="18" t="str">
        <f t="shared" si="11"/>
        <v>·</v>
      </c>
      <c r="AD25" s="20"/>
      <c r="AE25" s="21"/>
      <c r="AF25" s="21"/>
      <c r="AG25" s="21"/>
      <c r="AH25" s="37"/>
      <c r="AI25" s="49"/>
      <c r="AJ25" s="49"/>
      <c r="AL25" s="54" t="e">
        <f t="shared" si="12"/>
        <v>#VALUE!</v>
      </c>
      <c r="AM25" s="54" t="e">
        <f t="shared" si="13"/>
        <v>#VALUE!</v>
      </c>
      <c r="AN25" s="54" t="e">
        <f t="shared" si="14"/>
        <v>#VALUE!</v>
      </c>
      <c r="AO25" s="61"/>
      <c r="AP25" s="53" t="e">
        <f t="shared" si="15"/>
        <v>#DIV/0!</v>
      </c>
      <c r="AQ25" s="53" t="e">
        <f t="array" ref="AQ25">AVERAGE(AF25:AF25/AE25:AE25)-AVERAGE(Q25:Q25/P25:P25)</f>
        <v>#DIV/0!</v>
      </c>
      <c r="AS25">
        <f t="shared" si="17"/>
        <v>0</v>
      </c>
      <c r="AT25">
        <f t="shared" si="18"/>
        <v>0</v>
      </c>
      <c r="AU25">
        <f t="shared" si="19"/>
        <v>0</v>
      </c>
      <c r="AV25">
        <f t="shared" si="20"/>
        <v>0</v>
      </c>
      <c r="AW25">
        <f t="shared" si="21"/>
        <v>0</v>
      </c>
    </row>
    <row r="26" spans="1:49" x14ac:dyDescent="0.15">
      <c r="A26" s="14"/>
      <c r="B26" s="14" t="s">
        <v>122</v>
      </c>
      <c r="C26" s="14">
        <v>1995189</v>
      </c>
      <c r="D26" s="16">
        <v>13</v>
      </c>
      <c r="E26" s="15">
        <v>1</v>
      </c>
      <c r="F26" s="15"/>
      <c r="H26" s="59" t="str">
        <f t="shared" si="0"/>
        <v>·</v>
      </c>
      <c r="I26" s="32" t="str">
        <f t="shared" si="1"/>
        <v>·</v>
      </c>
      <c r="J26" s="33" t="str">
        <f t="shared" si="2"/>
        <v>·</v>
      </c>
      <c r="K26" s="33" t="str">
        <f t="shared" si="3"/>
        <v>·</v>
      </c>
      <c r="L26" s="33" t="str">
        <f t="shared" si="4"/>
        <v>·</v>
      </c>
      <c r="M26" s="34"/>
      <c r="N26" s="33" t="str">
        <f t="shared" si="5"/>
        <v>·</v>
      </c>
      <c r="O26" s="35"/>
      <c r="P26" s="36"/>
      <c r="Q26" s="36"/>
      <c r="R26" s="36"/>
      <c r="S26" s="46"/>
      <c r="T26" s="52"/>
      <c r="U26" s="52"/>
      <c r="W26" s="59" t="str">
        <f t="shared" si="6"/>
        <v>·</v>
      </c>
      <c r="X26" s="32" t="str">
        <f t="shared" si="7"/>
        <v>·</v>
      </c>
      <c r="Y26" s="33" t="str">
        <f t="shared" si="8"/>
        <v>·</v>
      </c>
      <c r="Z26" s="33" t="str">
        <f t="shared" si="9"/>
        <v>·</v>
      </c>
      <c r="AA26" s="33" t="str">
        <f t="shared" si="10"/>
        <v>·</v>
      </c>
      <c r="AB26" s="34"/>
      <c r="AC26" s="33" t="str">
        <f t="shared" si="11"/>
        <v>·</v>
      </c>
      <c r="AD26" s="35"/>
      <c r="AE26" s="36"/>
      <c r="AF26" s="36"/>
      <c r="AG26" s="36"/>
      <c r="AH26" s="46"/>
      <c r="AI26" s="52"/>
      <c r="AJ26" s="52"/>
      <c r="AL26" s="60" t="e">
        <f t="shared" si="12"/>
        <v>#VALUE!</v>
      </c>
      <c r="AM26" s="60" t="e">
        <f t="shared" si="13"/>
        <v>#VALUE!</v>
      </c>
      <c r="AN26" s="60" t="e">
        <f t="shared" si="14"/>
        <v>#VALUE!</v>
      </c>
      <c r="AO26" s="64"/>
      <c r="AP26" s="59" t="e">
        <f t="shared" si="15"/>
        <v>#DIV/0!</v>
      </c>
      <c r="AQ26" s="59" t="e">
        <f t="array" ref="AQ26">AVERAGE(AF26:AF26/AE26:AE26)-AVERAGE(Q26:Q26/P26:P26)</f>
        <v>#DIV/0!</v>
      </c>
      <c r="AS26">
        <f t="shared" si="17"/>
        <v>0</v>
      </c>
      <c r="AT26">
        <f t="shared" si="18"/>
        <v>0</v>
      </c>
      <c r="AU26">
        <f t="shared" si="19"/>
        <v>0</v>
      </c>
      <c r="AV26">
        <f t="shared" si="20"/>
        <v>0</v>
      </c>
      <c r="AW26">
        <f t="shared" si="21"/>
        <v>0</v>
      </c>
    </row>
    <row r="27" spans="1:49" x14ac:dyDescent="0.15">
      <c r="A27" s="5" t="s">
        <v>260</v>
      </c>
      <c r="B27" s="5" t="s">
        <v>125</v>
      </c>
      <c r="C27" s="5">
        <v>1481746</v>
      </c>
      <c r="D27" s="7">
        <v>12</v>
      </c>
      <c r="E27" s="6">
        <v>1</v>
      </c>
      <c r="F27" s="6"/>
      <c r="H27" s="53" t="str">
        <f t="shared" si="0"/>
        <v>·</v>
      </c>
      <c r="I27" s="17" t="str">
        <f t="shared" si="1"/>
        <v>·</v>
      </c>
      <c r="J27" s="18" t="str">
        <f t="shared" si="2"/>
        <v>·</v>
      </c>
      <c r="K27" s="18" t="str">
        <f t="shared" si="3"/>
        <v>·</v>
      </c>
      <c r="L27" s="18" t="str">
        <f t="shared" si="4"/>
        <v>·</v>
      </c>
      <c r="M27" s="19"/>
      <c r="N27" s="18" t="str">
        <f t="shared" si="5"/>
        <v>·</v>
      </c>
      <c r="O27" s="20"/>
      <c r="P27" s="21"/>
      <c r="Q27" s="21"/>
      <c r="R27" s="21"/>
      <c r="S27" s="37"/>
      <c r="T27" s="49"/>
      <c r="U27" s="49"/>
      <c r="W27" s="53" t="str">
        <f t="shared" si="6"/>
        <v>·</v>
      </c>
      <c r="X27" s="17" t="str">
        <f t="shared" si="7"/>
        <v>·</v>
      </c>
      <c r="Y27" s="18" t="str">
        <f t="shared" si="8"/>
        <v>·</v>
      </c>
      <c r="Z27" s="18" t="str">
        <f t="shared" si="9"/>
        <v>·</v>
      </c>
      <c r="AA27" s="18" t="str">
        <f t="shared" si="10"/>
        <v>·</v>
      </c>
      <c r="AB27" s="19"/>
      <c r="AC27" s="18" t="str">
        <f t="shared" si="11"/>
        <v>·</v>
      </c>
      <c r="AD27" s="20"/>
      <c r="AE27" s="21"/>
      <c r="AF27" s="21"/>
      <c r="AG27" s="21"/>
      <c r="AH27" s="37"/>
      <c r="AI27" s="49"/>
      <c r="AJ27" s="49"/>
      <c r="AL27" s="54" t="e">
        <f t="shared" si="12"/>
        <v>#VALUE!</v>
      </c>
      <c r="AM27" s="54" t="e">
        <f t="shared" si="13"/>
        <v>#VALUE!</v>
      </c>
      <c r="AN27" s="54" t="e">
        <f t="shared" si="14"/>
        <v>#VALUE!</v>
      </c>
      <c r="AO27" s="61"/>
      <c r="AP27" s="53" t="e">
        <f t="shared" si="15"/>
        <v>#DIV/0!</v>
      </c>
      <c r="AQ27" s="53" t="e">
        <f t="array" ref="AQ27">AVERAGE(AF27:AF27/AE27:AE27)-AVERAGE(Q27:Q27/P27:P27)</f>
        <v>#DIV/0!</v>
      </c>
      <c r="AS27">
        <f t="shared" si="17"/>
        <v>0</v>
      </c>
      <c r="AT27">
        <f t="shared" si="18"/>
        <v>0</v>
      </c>
      <c r="AU27">
        <f t="shared" si="19"/>
        <v>0</v>
      </c>
      <c r="AV27">
        <f t="shared" si="20"/>
        <v>0</v>
      </c>
      <c r="AW27">
        <f t="shared" si="21"/>
        <v>0</v>
      </c>
    </row>
    <row r="28" spans="1:49" x14ac:dyDescent="0.15">
      <c r="A28" s="8"/>
      <c r="B28" s="8" t="s">
        <v>128</v>
      </c>
      <c r="C28" s="8">
        <v>1530552</v>
      </c>
      <c r="D28" s="10">
        <v>20</v>
      </c>
      <c r="E28" s="9">
        <v>1</v>
      </c>
      <c r="F28" s="9"/>
      <c r="H28" s="55" t="str">
        <f t="shared" si="0"/>
        <v>·</v>
      </c>
      <c r="I28" s="22" t="str">
        <f t="shared" si="1"/>
        <v>·</v>
      </c>
      <c r="J28" s="23" t="str">
        <f t="shared" si="2"/>
        <v>·</v>
      </c>
      <c r="K28" s="23" t="str">
        <f t="shared" si="3"/>
        <v>·</v>
      </c>
      <c r="L28" s="23" t="str">
        <f t="shared" si="4"/>
        <v>·</v>
      </c>
      <c r="M28" s="24"/>
      <c r="N28" s="23" t="str">
        <f t="shared" si="5"/>
        <v>·</v>
      </c>
      <c r="O28" s="25"/>
      <c r="P28" s="26"/>
      <c r="Q28" s="26"/>
      <c r="R28" s="26"/>
      <c r="S28" s="40"/>
      <c r="T28" s="50"/>
      <c r="U28" s="50"/>
      <c r="W28" s="55" t="str">
        <f t="shared" si="6"/>
        <v>·</v>
      </c>
      <c r="X28" s="22" t="str">
        <f t="shared" si="7"/>
        <v>·</v>
      </c>
      <c r="Y28" s="23" t="str">
        <f t="shared" si="8"/>
        <v>·</v>
      </c>
      <c r="Z28" s="23" t="str">
        <f t="shared" si="9"/>
        <v>·</v>
      </c>
      <c r="AA28" s="23" t="str">
        <f t="shared" si="10"/>
        <v>·</v>
      </c>
      <c r="AB28" s="24"/>
      <c r="AC28" s="23" t="str">
        <f t="shared" si="11"/>
        <v>·</v>
      </c>
      <c r="AD28" s="25"/>
      <c r="AE28" s="26"/>
      <c r="AF28" s="26"/>
      <c r="AG28" s="26"/>
      <c r="AH28" s="40"/>
      <c r="AI28" s="50"/>
      <c r="AJ28" s="50"/>
      <c r="AL28" s="56" t="e">
        <f t="shared" si="12"/>
        <v>#VALUE!</v>
      </c>
      <c r="AM28" s="56" t="e">
        <f t="shared" si="13"/>
        <v>#VALUE!</v>
      </c>
      <c r="AN28" s="56" t="e">
        <f t="shared" si="14"/>
        <v>#VALUE!</v>
      </c>
      <c r="AO28" s="62"/>
      <c r="AP28" s="55" t="e">
        <f t="shared" si="15"/>
        <v>#DIV/0!</v>
      </c>
      <c r="AQ28" s="55" t="e">
        <f t="array" ref="AQ28">AVERAGE(AF28:AF28/AE28:AE28)-AVERAGE(Q28:Q28/P28:P28)</f>
        <v>#DIV/0!</v>
      </c>
      <c r="AS28">
        <f t="shared" si="17"/>
        <v>0</v>
      </c>
      <c r="AT28">
        <f t="shared" si="18"/>
        <v>0</v>
      </c>
      <c r="AU28">
        <f t="shared" si="19"/>
        <v>0</v>
      </c>
      <c r="AV28">
        <f t="shared" si="20"/>
        <v>0</v>
      </c>
      <c r="AW28">
        <f t="shared" si="21"/>
        <v>0</v>
      </c>
    </row>
    <row r="29" spans="1:49" x14ac:dyDescent="0.15">
      <c r="A29" s="5"/>
      <c r="B29" s="5" t="s">
        <v>131</v>
      </c>
      <c r="C29" s="5">
        <v>272689</v>
      </c>
      <c r="D29" s="7">
        <v>20</v>
      </c>
      <c r="E29" s="6">
        <v>1</v>
      </c>
      <c r="F29" s="6"/>
      <c r="H29" s="53" t="str">
        <f t="shared" si="0"/>
        <v>·</v>
      </c>
      <c r="I29" s="17" t="str">
        <f t="shared" si="1"/>
        <v>·</v>
      </c>
      <c r="J29" s="18" t="str">
        <f t="shared" si="2"/>
        <v>·</v>
      </c>
      <c r="K29" s="18" t="str">
        <f t="shared" si="3"/>
        <v>·</v>
      </c>
      <c r="L29" s="18" t="str">
        <f t="shared" si="4"/>
        <v>·</v>
      </c>
      <c r="M29" s="19"/>
      <c r="N29" s="18" t="str">
        <f t="shared" si="5"/>
        <v>·</v>
      </c>
      <c r="O29" s="20"/>
      <c r="P29" s="21"/>
      <c r="Q29" s="21"/>
      <c r="R29" s="21"/>
      <c r="S29" s="37"/>
      <c r="T29" s="49"/>
      <c r="U29" s="49"/>
      <c r="W29" s="53" t="str">
        <f t="shared" si="6"/>
        <v>·</v>
      </c>
      <c r="X29" s="17" t="str">
        <f t="shared" si="7"/>
        <v>·</v>
      </c>
      <c r="Y29" s="18" t="str">
        <f t="shared" si="8"/>
        <v>·</v>
      </c>
      <c r="Z29" s="18" t="str">
        <f t="shared" si="9"/>
        <v>·</v>
      </c>
      <c r="AA29" s="18" t="str">
        <f t="shared" si="10"/>
        <v>·</v>
      </c>
      <c r="AB29" s="19"/>
      <c r="AC29" s="18" t="str">
        <f t="shared" si="11"/>
        <v>·</v>
      </c>
      <c r="AD29" s="20"/>
      <c r="AE29" s="21"/>
      <c r="AF29" s="21"/>
      <c r="AG29" s="21"/>
      <c r="AH29" s="37"/>
      <c r="AI29" s="49"/>
      <c r="AJ29" s="49"/>
      <c r="AL29" s="54" t="e">
        <f t="shared" si="12"/>
        <v>#VALUE!</v>
      </c>
      <c r="AM29" s="54" t="e">
        <f t="shared" si="13"/>
        <v>#VALUE!</v>
      </c>
      <c r="AN29" s="54" t="e">
        <f t="shared" si="14"/>
        <v>#VALUE!</v>
      </c>
      <c r="AO29" s="61"/>
      <c r="AP29" s="53" t="e">
        <f t="shared" si="15"/>
        <v>#DIV/0!</v>
      </c>
      <c r="AQ29" s="53" t="e">
        <f t="array" ref="AQ29">AVERAGE(AF29:AF29/AE29:AE29)-AVERAGE(Q29:Q29/P29:P29)</f>
        <v>#DIV/0!</v>
      </c>
      <c r="AS29">
        <f t="shared" si="17"/>
        <v>0</v>
      </c>
      <c r="AT29">
        <f t="shared" si="18"/>
        <v>0</v>
      </c>
      <c r="AU29">
        <f t="shared" si="19"/>
        <v>0</v>
      </c>
      <c r="AV29">
        <f t="shared" si="20"/>
        <v>0</v>
      </c>
      <c r="AW29">
        <f t="shared" si="21"/>
        <v>0</v>
      </c>
    </row>
    <row r="30" spans="1:49" x14ac:dyDescent="0.15">
      <c r="A30" s="8"/>
      <c r="B30" s="8" t="s">
        <v>134</v>
      </c>
      <c r="C30" s="8">
        <v>1602990</v>
      </c>
      <c r="D30" s="10">
        <v>20</v>
      </c>
      <c r="E30" s="9">
        <v>1</v>
      </c>
      <c r="F30" s="9"/>
      <c r="H30" s="55" t="str">
        <f t="shared" si="0"/>
        <v>·</v>
      </c>
      <c r="I30" s="22" t="str">
        <f t="shared" si="1"/>
        <v>·</v>
      </c>
      <c r="J30" s="23" t="str">
        <f t="shared" si="2"/>
        <v>·</v>
      </c>
      <c r="K30" s="23" t="str">
        <f t="shared" si="3"/>
        <v>·</v>
      </c>
      <c r="L30" s="23" t="str">
        <f t="shared" si="4"/>
        <v>·</v>
      </c>
      <c r="M30" s="24"/>
      <c r="N30" s="23" t="str">
        <f t="shared" si="5"/>
        <v>·</v>
      </c>
      <c r="O30" s="25"/>
      <c r="P30" s="26"/>
      <c r="Q30" s="26"/>
      <c r="R30" s="26"/>
      <c r="S30" s="40"/>
      <c r="T30" s="50"/>
      <c r="U30" s="50"/>
      <c r="W30" s="55" t="str">
        <f t="shared" si="6"/>
        <v>·</v>
      </c>
      <c r="X30" s="22" t="str">
        <f t="shared" si="7"/>
        <v>·</v>
      </c>
      <c r="Y30" s="23" t="str">
        <f t="shared" si="8"/>
        <v>·</v>
      </c>
      <c r="Z30" s="23" t="str">
        <f t="shared" si="9"/>
        <v>·</v>
      </c>
      <c r="AA30" s="23" t="str">
        <f t="shared" si="10"/>
        <v>·</v>
      </c>
      <c r="AB30" s="24"/>
      <c r="AC30" s="23" t="str">
        <f t="shared" si="11"/>
        <v>·</v>
      </c>
      <c r="AD30" s="25"/>
      <c r="AE30" s="26"/>
      <c r="AF30" s="26"/>
      <c r="AG30" s="26"/>
      <c r="AH30" s="40"/>
      <c r="AI30" s="50"/>
      <c r="AJ30" s="50"/>
      <c r="AL30" s="56" t="e">
        <f t="shared" si="12"/>
        <v>#VALUE!</v>
      </c>
      <c r="AM30" s="56" t="e">
        <f t="shared" si="13"/>
        <v>#VALUE!</v>
      </c>
      <c r="AN30" s="56" t="e">
        <f t="shared" si="14"/>
        <v>#VALUE!</v>
      </c>
      <c r="AO30" s="62"/>
      <c r="AP30" s="55" t="e">
        <f t="shared" si="15"/>
        <v>#DIV/0!</v>
      </c>
      <c r="AQ30" s="55" t="e">
        <f t="array" ref="AQ30">AVERAGE(AF30:AF30/AE30:AE30)-AVERAGE(Q30:Q30/P30:P30)</f>
        <v>#DIV/0!</v>
      </c>
      <c r="AS30">
        <f t="shared" si="17"/>
        <v>0</v>
      </c>
      <c r="AT30">
        <f t="shared" si="18"/>
        <v>0</v>
      </c>
      <c r="AU30">
        <f t="shared" si="19"/>
        <v>0</v>
      </c>
      <c r="AV30">
        <f t="shared" si="20"/>
        <v>0</v>
      </c>
      <c r="AW30">
        <f t="shared" si="21"/>
        <v>0</v>
      </c>
    </row>
    <row r="31" spans="1:49" x14ac:dyDescent="0.15">
      <c r="A31" s="5"/>
      <c r="B31" s="5" t="s">
        <v>137</v>
      </c>
      <c r="C31" s="5">
        <v>8929532</v>
      </c>
      <c r="D31" s="7">
        <v>20</v>
      </c>
      <c r="E31" s="6">
        <v>1</v>
      </c>
      <c r="F31" s="6"/>
      <c r="H31" s="53" t="str">
        <f t="shared" si="0"/>
        <v>·</v>
      </c>
      <c r="I31" s="17" t="str">
        <f t="shared" si="1"/>
        <v>·</v>
      </c>
      <c r="J31" s="18" t="str">
        <f t="shared" si="2"/>
        <v>·</v>
      </c>
      <c r="K31" s="18" t="str">
        <f t="shared" si="3"/>
        <v>·</v>
      </c>
      <c r="L31" s="18" t="str">
        <f t="shared" si="4"/>
        <v>·</v>
      </c>
      <c r="M31" s="19"/>
      <c r="N31" s="18" t="str">
        <f t="shared" si="5"/>
        <v>·</v>
      </c>
      <c r="O31" s="20"/>
      <c r="P31" s="21"/>
      <c r="Q31" s="21"/>
      <c r="R31" s="21"/>
      <c r="S31" s="37"/>
      <c r="T31" s="49"/>
      <c r="U31" s="49"/>
      <c r="W31" s="53" t="str">
        <f t="shared" si="6"/>
        <v>·</v>
      </c>
      <c r="X31" s="17" t="str">
        <f t="shared" si="7"/>
        <v>·</v>
      </c>
      <c r="Y31" s="18" t="str">
        <f t="shared" si="8"/>
        <v>·</v>
      </c>
      <c r="Z31" s="18" t="str">
        <f t="shared" si="9"/>
        <v>·</v>
      </c>
      <c r="AA31" s="18" t="str">
        <f t="shared" si="10"/>
        <v>·</v>
      </c>
      <c r="AB31" s="19"/>
      <c r="AC31" s="18" t="str">
        <f t="shared" si="11"/>
        <v>·</v>
      </c>
      <c r="AD31" s="20"/>
      <c r="AE31" s="21"/>
      <c r="AF31" s="21"/>
      <c r="AG31" s="21"/>
      <c r="AH31" s="37"/>
      <c r="AI31" s="49"/>
      <c r="AJ31" s="49"/>
      <c r="AL31" s="54" t="e">
        <f t="shared" si="12"/>
        <v>#VALUE!</v>
      </c>
      <c r="AM31" s="54" t="e">
        <f t="shared" si="13"/>
        <v>#VALUE!</v>
      </c>
      <c r="AN31" s="54" t="e">
        <f t="shared" si="14"/>
        <v>#VALUE!</v>
      </c>
      <c r="AO31" s="61"/>
      <c r="AP31" s="53" t="e">
        <f t="shared" si="15"/>
        <v>#DIV/0!</v>
      </c>
      <c r="AQ31" s="53" t="e">
        <f t="array" ref="AQ31">AVERAGE(AF31:AF31/AE31:AE31)-AVERAGE(Q31:Q31/P31:P31)</f>
        <v>#DIV/0!</v>
      </c>
      <c r="AS31">
        <f t="shared" si="17"/>
        <v>0</v>
      </c>
      <c r="AT31">
        <f t="shared" si="18"/>
        <v>0</v>
      </c>
      <c r="AU31">
        <f t="shared" si="19"/>
        <v>0</v>
      </c>
      <c r="AV31">
        <f t="shared" si="20"/>
        <v>0</v>
      </c>
      <c r="AW31">
        <f t="shared" si="21"/>
        <v>0</v>
      </c>
    </row>
    <row r="32" spans="1:49" x14ac:dyDescent="0.15">
      <c r="A32" s="8"/>
      <c r="B32" s="8" t="s">
        <v>140</v>
      </c>
      <c r="C32" s="8">
        <v>19702134</v>
      </c>
      <c r="D32" s="10">
        <v>14</v>
      </c>
      <c r="E32" s="9">
        <v>1</v>
      </c>
      <c r="F32" s="9"/>
      <c r="H32" s="55" t="str">
        <f t="shared" si="0"/>
        <v>·</v>
      </c>
      <c r="I32" s="22" t="str">
        <f t="shared" si="1"/>
        <v>·</v>
      </c>
      <c r="J32" s="23" t="str">
        <f t="shared" si="2"/>
        <v>·</v>
      </c>
      <c r="K32" s="23" t="str">
        <f t="shared" si="3"/>
        <v>·</v>
      </c>
      <c r="L32" s="23" t="str">
        <f t="shared" si="4"/>
        <v>·</v>
      </c>
      <c r="M32" s="24"/>
      <c r="N32" s="23" t="str">
        <f t="shared" si="5"/>
        <v>·</v>
      </c>
      <c r="O32" s="25"/>
      <c r="P32" s="26"/>
      <c r="Q32" s="26"/>
      <c r="R32" s="26"/>
      <c r="S32" s="40"/>
      <c r="T32" s="50"/>
      <c r="U32" s="50"/>
      <c r="W32" s="55" t="str">
        <f t="shared" si="6"/>
        <v>·</v>
      </c>
      <c r="X32" s="22" t="str">
        <f t="shared" si="7"/>
        <v>·</v>
      </c>
      <c r="Y32" s="23" t="str">
        <f t="shared" si="8"/>
        <v>·</v>
      </c>
      <c r="Z32" s="23" t="str">
        <f t="shared" si="9"/>
        <v>·</v>
      </c>
      <c r="AA32" s="23" t="str">
        <f t="shared" si="10"/>
        <v>·</v>
      </c>
      <c r="AB32" s="24"/>
      <c r="AC32" s="23" t="str">
        <f t="shared" si="11"/>
        <v>·</v>
      </c>
      <c r="AD32" s="25"/>
      <c r="AE32" s="26"/>
      <c r="AF32" s="26"/>
      <c r="AG32" s="26"/>
      <c r="AH32" s="40"/>
      <c r="AI32" s="50"/>
      <c r="AJ32" s="50"/>
      <c r="AL32" s="56" t="e">
        <f t="shared" si="12"/>
        <v>#VALUE!</v>
      </c>
      <c r="AM32" s="56" t="e">
        <f t="shared" si="13"/>
        <v>#VALUE!</v>
      </c>
      <c r="AN32" s="56" t="e">
        <f t="shared" si="14"/>
        <v>#VALUE!</v>
      </c>
      <c r="AO32" s="62"/>
      <c r="AP32" s="55" t="e">
        <f t="shared" si="15"/>
        <v>#DIV/0!</v>
      </c>
      <c r="AQ32" s="55" t="e">
        <f t="array" ref="AQ32">AVERAGE(AF32:AF32/AE32:AE32)-AVERAGE(Q32:Q32/P32:P32)</f>
        <v>#DIV/0!</v>
      </c>
      <c r="AS32">
        <f t="shared" si="17"/>
        <v>0</v>
      </c>
      <c r="AT32">
        <f t="shared" si="18"/>
        <v>0</v>
      </c>
      <c r="AU32">
        <f t="shared" si="19"/>
        <v>0</v>
      </c>
      <c r="AV32">
        <f t="shared" si="20"/>
        <v>0</v>
      </c>
      <c r="AW32">
        <f t="shared" si="21"/>
        <v>0</v>
      </c>
    </row>
    <row r="33" spans="1:49" x14ac:dyDescent="0.15">
      <c r="A33" s="5"/>
      <c r="B33" s="5" t="s">
        <v>143</v>
      </c>
      <c r="C33" s="5">
        <v>19714629</v>
      </c>
      <c r="D33" s="7">
        <v>20</v>
      </c>
      <c r="E33" s="6">
        <v>1</v>
      </c>
      <c r="F33" s="6"/>
      <c r="H33" s="53" t="str">
        <f t="shared" si="0"/>
        <v>·</v>
      </c>
      <c r="I33" s="17" t="str">
        <f t="shared" si="1"/>
        <v>·</v>
      </c>
      <c r="J33" s="18" t="str">
        <f t="shared" si="2"/>
        <v>·</v>
      </c>
      <c r="K33" s="18" t="str">
        <f t="shared" si="3"/>
        <v>·</v>
      </c>
      <c r="L33" s="18" t="str">
        <f t="shared" si="4"/>
        <v>·</v>
      </c>
      <c r="M33" s="19"/>
      <c r="N33" s="18" t="str">
        <f t="shared" si="5"/>
        <v>·</v>
      </c>
      <c r="O33" s="20"/>
      <c r="P33" s="21"/>
      <c r="Q33" s="21"/>
      <c r="R33" s="21"/>
      <c r="S33" s="37"/>
      <c r="T33" s="49"/>
      <c r="U33" s="49"/>
      <c r="W33" s="53" t="str">
        <f t="shared" si="6"/>
        <v>·</v>
      </c>
      <c r="X33" s="17" t="str">
        <f t="shared" si="7"/>
        <v>·</v>
      </c>
      <c r="Y33" s="18" t="str">
        <f t="shared" si="8"/>
        <v>·</v>
      </c>
      <c r="Z33" s="18" t="str">
        <f t="shared" si="9"/>
        <v>·</v>
      </c>
      <c r="AA33" s="18" t="str">
        <f t="shared" si="10"/>
        <v>·</v>
      </c>
      <c r="AB33" s="19"/>
      <c r="AC33" s="18" t="str">
        <f t="shared" si="11"/>
        <v>·</v>
      </c>
      <c r="AD33" s="20"/>
      <c r="AE33" s="21"/>
      <c r="AF33" s="21"/>
      <c r="AG33" s="21"/>
      <c r="AH33" s="37"/>
      <c r="AI33" s="49"/>
      <c r="AJ33" s="49"/>
      <c r="AL33" s="54" t="e">
        <f t="shared" si="12"/>
        <v>#VALUE!</v>
      </c>
      <c r="AM33" s="54" t="e">
        <f t="shared" si="13"/>
        <v>#VALUE!</v>
      </c>
      <c r="AN33" s="54" t="e">
        <f t="shared" si="14"/>
        <v>#VALUE!</v>
      </c>
      <c r="AO33" s="61"/>
      <c r="AP33" s="53" t="e">
        <f t="shared" si="15"/>
        <v>#DIV/0!</v>
      </c>
      <c r="AQ33" s="53" t="e">
        <f t="array" ref="AQ33">AVERAGE(AF33:AF33/AE33:AE33)-AVERAGE(Q33:Q33/P33:P33)</f>
        <v>#DIV/0!</v>
      </c>
      <c r="AS33">
        <f t="shared" si="17"/>
        <v>0</v>
      </c>
      <c r="AT33">
        <f t="shared" si="18"/>
        <v>0</v>
      </c>
      <c r="AU33">
        <f t="shared" si="19"/>
        <v>0</v>
      </c>
      <c r="AV33">
        <f t="shared" si="20"/>
        <v>0</v>
      </c>
      <c r="AW33">
        <f t="shared" si="21"/>
        <v>0</v>
      </c>
    </row>
    <row r="34" spans="1:49" x14ac:dyDescent="0.15">
      <c r="A34" s="8"/>
      <c r="B34" s="8" t="s">
        <v>146</v>
      </c>
      <c r="C34" s="8">
        <v>3630907</v>
      </c>
      <c r="D34" s="10">
        <v>20</v>
      </c>
      <c r="E34" s="9">
        <v>1</v>
      </c>
      <c r="F34" s="9"/>
      <c r="H34" s="55" t="str">
        <f t="shared" si="0"/>
        <v>·</v>
      </c>
      <c r="I34" s="22" t="str">
        <f t="shared" si="1"/>
        <v>·</v>
      </c>
      <c r="J34" s="23" t="str">
        <f t="shared" si="2"/>
        <v>·</v>
      </c>
      <c r="K34" s="23" t="str">
        <f t="shared" si="3"/>
        <v>·</v>
      </c>
      <c r="L34" s="23" t="str">
        <f t="shared" si="4"/>
        <v>·</v>
      </c>
      <c r="M34" s="24"/>
      <c r="N34" s="23" t="str">
        <f t="shared" si="5"/>
        <v>·</v>
      </c>
      <c r="O34" s="25"/>
      <c r="P34" s="26"/>
      <c r="Q34" s="26"/>
      <c r="R34" s="26"/>
      <c r="S34" s="40"/>
      <c r="T34" s="50"/>
      <c r="U34" s="50"/>
      <c r="W34" s="55" t="str">
        <f t="shared" si="6"/>
        <v>·</v>
      </c>
      <c r="X34" s="22" t="str">
        <f t="shared" si="7"/>
        <v>·</v>
      </c>
      <c r="Y34" s="23" t="str">
        <f t="shared" si="8"/>
        <v>·</v>
      </c>
      <c r="Z34" s="23" t="str">
        <f t="shared" si="9"/>
        <v>·</v>
      </c>
      <c r="AA34" s="23" t="str">
        <f t="shared" si="10"/>
        <v>·</v>
      </c>
      <c r="AB34" s="24"/>
      <c r="AC34" s="23" t="str">
        <f t="shared" si="11"/>
        <v>·</v>
      </c>
      <c r="AD34" s="25"/>
      <c r="AE34" s="26"/>
      <c r="AF34" s="26"/>
      <c r="AG34" s="26"/>
      <c r="AH34" s="40"/>
      <c r="AI34" s="50"/>
      <c r="AJ34" s="50"/>
      <c r="AL34" s="56" t="e">
        <f t="shared" si="12"/>
        <v>#VALUE!</v>
      </c>
      <c r="AM34" s="56" t="e">
        <f t="shared" si="13"/>
        <v>#VALUE!</v>
      </c>
      <c r="AN34" s="56" t="e">
        <f t="shared" si="14"/>
        <v>#VALUE!</v>
      </c>
      <c r="AO34" s="62"/>
      <c r="AP34" s="55" t="e">
        <f t="shared" si="15"/>
        <v>#DIV/0!</v>
      </c>
      <c r="AQ34" s="55" t="e">
        <f t="array" ref="AQ34">AVERAGE(AF34:AF34/AE34:AE34)-AVERAGE(Q34:Q34/P34:P34)</f>
        <v>#DIV/0!</v>
      </c>
      <c r="AS34">
        <f t="shared" si="17"/>
        <v>0</v>
      </c>
      <c r="AT34">
        <f t="shared" si="18"/>
        <v>0</v>
      </c>
      <c r="AU34">
        <f t="shared" si="19"/>
        <v>0</v>
      </c>
      <c r="AV34">
        <f t="shared" si="20"/>
        <v>0</v>
      </c>
      <c r="AW34">
        <f t="shared" si="21"/>
        <v>0</v>
      </c>
    </row>
    <row r="35" spans="1:49" x14ac:dyDescent="0.15">
      <c r="A35" s="5"/>
      <c r="B35" s="5" t="s">
        <v>149</v>
      </c>
      <c r="C35" s="5">
        <v>14025709</v>
      </c>
      <c r="D35" s="7">
        <v>20</v>
      </c>
      <c r="E35" s="6">
        <v>1</v>
      </c>
      <c r="F35" s="6"/>
      <c r="H35" s="53" t="str">
        <f t="shared" si="0"/>
        <v>·</v>
      </c>
      <c r="I35" s="17" t="str">
        <f t="shared" si="1"/>
        <v>·</v>
      </c>
      <c r="J35" s="18" t="str">
        <f t="shared" si="2"/>
        <v>·</v>
      </c>
      <c r="K35" s="18" t="str">
        <f t="shared" si="3"/>
        <v>·</v>
      </c>
      <c r="L35" s="18" t="str">
        <f t="shared" si="4"/>
        <v>·</v>
      </c>
      <c r="M35" s="19"/>
      <c r="N35" s="18" t="str">
        <f t="shared" si="5"/>
        <v>·</v>
      </c>
      <c r="O35" s="20"/>
      <c r="P35" s="21"/>
      <c r="Q35" s="21"/>
      <c r="R35" s="21"/>
      <c r="S35" s="37"/>
      <c r="T35" s="49"/>
      <c r="U35" s="49"/>
      <c r="W35" s="53" t="str">
        <f t="shared" si="6"/>
        <v>·</v>
      </c>
      <c r="X35" s="17" t="str">
        <f t="shared" si="7"/>
        <v>·</v>
      </c>
      <c r="Y35" s="18" t="str">
        <f t="shared" si="8"/>
        <v>·</v>
      </c>
      <c r="Z35" s="18" t="str">
        <f t="shared" si="9"/>
        <v>·</v>
      </c>
      <c r="AA35" s="18" t="str">
        <f t="shared" si="10"/>
        <v>·</v>
      </c>
      <c r="AB35" s="19"/>
      <c r="AC35" s="18" t="str">
        <f t="shared" si="11"/>
        <v>·</v>
      </c>
      <c r="AD35" s="20"/>
      <c r="AE35" s="21"/>
      <c r="AF35" s="21"/>
      <c r="AG35" s="21"/>
      <c r="AH35" s="37"/>
      <c r="AI35" s="49"/>
      <c r="AJ35" s="49"/>
      <c r="AL35" s="54" t="e">
        <f t="shared" si="12"/>
        <v>#VALUE!</v>
      </c>
      <c r="AM35" s="54" t="e">
        <f t="shared" si="13"/>
        <v>#VALUE!</v>
      </c>
      <c r="AN35" s="54" t="e">
        <f t="shared" si="14"/>
        <v>#VALUE!</v>
      </c>
      <c r="AO35" s="61"/>
      <c r="AP35" s="53" t="e">
        <f t="shared" si="15"/>
        <v>#DIV/0!</v>
      </c>
      <c r="AQ35" s="53" t="e">
        <f t="array" ref="AQ35">AVERAGE(AF35:AF35/AE35:AE35)-AVERAGE(Q35:Q35/P35:P35)</f>
        <v>#DIV/0!</v>
      </c>
      <c r="AS35">
        <f t="shared" si="17"/>
        <v>0</v>
      </c>
      <c r="AT35">
        <f t="shared" si="18"/>
        <v>0</v>
      </c>
      <c r="AU35">
        <f t="shared" si="19"/>
        <v>0</v>
      </c>
      <c r="AV35">
        <f t="shared" si="20"/>
        <v>0</v>
      </c>
      <c r="AW35">
        <f t="shared" si="21"/>
        <v>0</v>
      </c>
    </row>
    <row r="36" spans="1:49" x14ac:dyDescent="0.15">
      <c r="A36" s="8"/>
      <c r="B36" s="8" t="s">
        <v>152</v>
      </c>
      <c r="C36" s="8">
        <v>5001077</v>
      </c>
      <c r="D36" s="10">
        <v>20</v>
      </c>
      <c r="E36" s="9">
        <v>1</v>
      </c>
      <c r="F36" s="9"/>
      <c r="H36" s="55" t="str">
        <f t="shared" si="0"/>
        <v>·</v>
      </c>
      <c r="I36" s="22" t="str">
        <f t="shared" si="1"/>
        <v>·</v>
      </c>
      <c r="J36" s="23" t="str">
        <f t="shared" si="2"/>
        <v>·</v>
      </c>
      <c r="K36" s="23" t="str">
        <f t="shared" si="3"/>
        <v>·</v>
      </c>
      <c r="L36" s="23" t="str">
        <f t="shared" si="4"/>
        <v>·</v>
      </c>
      <c r="M36" s="24"/>
      <c r="N36" s="23" t="str">
        <f t="shared" si="5"/>
        <v>·</v>
      </c>
      <c r="O36" s="25"/>
      <c r="P36" s="26"/>
      <c r="Q36" s="26"/>
      <c r="R36" s="26"/>
      <c r="S36" s="40"/>
      <c r="T36" s="50"/>
      <c r="U36" s="50"/>
      <c r="W36" s="55" t="str">
        <f t="shared" si="6"/>
        <v>·</v>
      </c>
      <c r="X36" s="22" t="str">
        <f t="shared" si="7"/>
        <v>·</v>
      </c>
      <c r="Y36" s="23" t="str">
        <f t="shared" si="8"/>
        <v>·</v>
      </c>
      <c r="Z36" s="23" t="str">
        <f t="shared" si="9"/>
        <v>·</v>
      </c>
      <c r="AA36" s="23" t="str">
        <f t="shared" si="10"/>
        <v>·</v>
      </c>
      <c r="AB36" s="24"/>
      <c r="AC36" s="23" t="str">
        <f t="shared" si="11"/>
        <v>·</v>
      </c>
      <c r="AD36" s="25"/>
      <c r="AE36" s="26"/>
      <c r="AF36" s="26"/>
      <c r="AG36" s="26"/>
      <c r="AH36" s="40"/>
      <c r="AI36" s="50"/>
      <c r="AJ36" s="50"/>
      <c r="AL36" s="56" t="e">
        <f t="shared" si="12"/>
        <v>#VALUE!</v>
      </c>
      <c r="AM36" s="56" t="e">
        <f t="shared" si="13"/>
        <v>#VALUE!</v>
      </c>
      <c r="AN36" s="56" t="e">
        <f t="shared" si="14"/>
        <v>#VALUE!</v>
      </c>
      <c r="AO36" s="62"/>
      <c r="AP36" s="55" t="e">
        <f t="shared" si="15"/>
        <v>#DIV/0!</v>
      </c>
      <c r="AQ36" s="55" t="e">
        <f t="array" ref="AQ36">AVERAGE(AF36:AF36/AE36:AE36)-AVERAGE(Q36:Q36/P36:P36)</f>
        <v>#DIV/0!</v>
      </c>
      <c r="AS36">
        <f t="shared" si="17"/>
        <v>0</v>
      </c>
      <c r="AT36">
        <f t="shared" si="18"/>
        <v>0</v>
      </c>
      <c r="AU36">
        <f t="shared" si="19"/>
        <v>0</v>
      </c>
      <c r="AV36">
        <f t="shared" si="20"/>
        <v>0</v>
      </c>
      <c r="AW36">
        <f t="shared" si="21"/>
        <v>0</v>
      </c>
    </row>
    <row r="37" spans="1:49" x14ac:dyDescent="0.15">
      <c r="A37" s="5"/>
      <c r="B37" s="5" t="s">
        <v>154</v>
      </c>
      <c r="C37" s="5">
        <v>71948094</v>
      </c>
      <c r="D37" s="7">
        <v>14</v>
      </c>
      <c r="E37" s="6">
        <v>1</v>
      </c>
      <c r="F37" s="6"/>
      <c r="H37" s="53" t="str">
        <f t="shared" ref="H37:H60" si="22">IF(ISBLANK(P37),"·",P37/(C37*(D37*3+IF(AND(ISNUMBER(R37),R37&gt;0),24,0)+IF(AND(ISNUMBER(S37),S37&gt;0),8,0))))</f>
        <v>·</v>
      </c>
      <c r="I37" s="17" t="str">
        <f t="shared" ref="I37:I60" si="23">IF(OR(ISBLANK(P37),ISBLANK(F37)),"·",P37*F37/E37/1000000)</f>
        <v>·</v>
      </c>
      <c r="J37" s="18" t="str">
        <f t="shared" ref="J37:J60" si="24">IF(ISBLANK(P37),"·",P37/C37)</f>
        <v>·</v>
      </c>
      <c r="K37" s="18" t="str">
        <f t="shared" ref="K37:K60" si="25">IF(Q37="","·",Q37/C37)</f>
        <v>·</v>
      </c>
      <c r="L37" s="18" t="str">
        <f t="shared" ref="L37:L53" si="26">IF(ISBLANK(R37),"·",R37/C37)</f>
        <v>·</v>
      </c>
      <c r="M37" s="19"/>
      <c r="N37" s="18" t="str">
        <f t="shared" ref="N37:N60" si="27">IF(ISBLANK(P37),"·",P37/O37)</f>
        <v>·</v>
      </c>
      <c r="O37" s="20"/>
      <c r="P37" s="21"/>
      <c r="Q37" s="21"/>
      <c r="R37" s="21"/>
      <c r="S37" s="37"/>
      <c r="T37" s="49"/>
      <c r="U37" s="49"/>
      <c r="W37" s="53" t="str">
        <f t="shared" ref="W37:W60" si="28">IF(ISBLANK(AE37),"·",AE37/(C37*(D37*3+IF(AND(ISNUMBER(AG37),AG37&gt;0),24,0)+IF(AND(ISNUMBER(AH37),AH37&gt;0),8,0))))</f>
        <v>·</v>
      </c>
      <c r="X37" s="17" t="str">
        <f t="shared" ref="X37:X60" si="29">IF(OR(ISBLANK(AE37),ISBLANK(F37)),"·",AE37*F37/E37/1000000)</f>
        <v>·</v>
      </c>
      <c r="Y37" s="18" t="str">
        <f t="shared" ref="Y37:Y60" si="30">IF(ISBLANK(AE37),"·",AE37/C37)</f>
        <v>·</v>
      </c>
      <c r="Z37" s="18" t="str">
        <f t="shared" ref="Z37:Z60" si="31">IF(AF37="","·",AF37/C37)</f>
        <v>·</v>
      </c>
      <c r="AA37" s="18" t="str">
        <f t="shared" ref="AA37:AA53" si="32">IF(ISBLANK(AG37),"·",AG37/C37)</f>
        <v>·</v>
      </c>
      <c r="AB37" s="19"/>
      <c r="AC37" s="18" t="str">
        <f t="shared" ref="AC37:AC60" si="33">IF(ISBLANK(AE37),"·",AE37/AD37)</f>
        <v>·</v>
      </c>
      <c r="AD37" s="20"/>
      <c r="AE37" s="21"/>
      <c r="AF37" s="21"/>
      <c r="AG37" s="21"/>
      <c r="AH37" s="37"/>
      <c r="AI37" s="49"/>
      <c r="AJ37" s="49"/>
      <c r="AL37" s="54" t="e">
        <f t="shared" ref="AL37:AL53" si="34">Y37/J37</f>
        <v>#VALUE!</v>
      </c>
      <c r="AM37" s="54" t="e">
        <f t="shared" ref="AM37:AM53" si="35">Z37/K37</f>
        <v>#VALUE!</v>
      </c>
      <c r="AN37" s="54" t="e">
        <f t="shared" ref="AN37:AN53" si="36">AA37/L37</f>
        <v>#VALUE!</v>
      </c>
      <c r="AO37" s="61"/>
      <c r="AP37" s="53" t="e">
        <f t="shared" ref="AP37:AP60" si="37">(AF37/AE37)-(Q37/P37)</f>
        <v>#DIV/0!</v>
      </c>
      <c r="AQ37" s="53" t="e">
        <f t="array" ref="AQ37">AVERAGE(AF37:AF37/AE37:AE37)-AVERAGE(Q37:Q37/P37:P37)</f>
        <v>#DIV/0!</v>
      </c>
      <c r="AS37">
        <f t="shared" si="17"/>
        <v>0</v>
      </c>
      <c r="AT37">
        <f t="shared" si="18"/>
        <v>0</v>
      </c>
      <c r="AU37">
        <f t="shared" si="19"/>
        <v>0</v>
      </c>
      <c r="AV37">
        <f t="shared" si="20"/>
        <v>0</v>
      </c>
      <c r="AW37">
        <f t="shared" si="21"/>
        <v>0</v>
      </c>
    </row>
    <row r="38" spans="1:49" x14ac:dyDescent="0.15">
      <c r="A38" s="8"/>
      <c r="B38" s="8" t="s">
        <v>156</v>
      </c>
      <c r="C38" s="8">
        <v>72145549</v>
      </c>
      <c r="D38" s="10">
        <v>20</v>
      </c>
      <c r="E38" s="9">
        <v>1</v>
      </c>
      <c r="F38" s="9"/>
      <c r="H38" s="55" t="str">
        <f t="shared" si="22"/>
        <v>·</v>
      </c>
      <c r="I38" s="22" t="str">
        <f t="shared" si="23"/>
        <v>·</v>
      </c>
      <c r="J38" s="23" t="str">
        <f t="shared" si="24"/>
        <v>·</v>
      </c>
      <c r="K38" s="23" t="str">
        <f t="shared" si="25"/>
        <v>·</v>
      </c>
      <c r="L38" s="23" t="str">
        <f t="shared" si="26"/>
        <v>·</v>
      </c>
      <c r="M38" s="24"/>
      <c r="N38" s="23" t="str">
        <f t="shared" si="27"/>
        <v>·</v>
      </c>
      <c r="O38" s="25"/>
      <c r="P38" s="26"/>
      <c r="Q38" s="26"/>
      <c r="R38" s="26"/>
      <c r="S38" s="40"/>
      <c r="T38" s="50"/>
      <c r="U38" s="50"/>
      <c r="W38" s="55" t="str">
        <f t="shared" si="28"/>
        <v>·</v>
      </c>
      <c r="X38" s="22" t="str">
        <f t="shared" si="29"/>
        <v>·</v>
      </c>
      <c r="Y38" s="23" t="str">
        <f t="shared" si="30"/>
        <v>·</v>
      </c>
      <c r="Z38" s="23" t="str">
        <f t="shared" si="31"/>
        <v>·</v>
      </c>
      <c r="AA38" s="23" t="str">
        <f t="shared" si="32"/>
        <v>·</v>
      </c>
      <c r="AB38" s="24"/>
      <c r="AC38" s="23" t="str">
        <f t="shared" si="33"/>
        <v>·</v>
      </c>
      <c r="AD38" s="25"/>
      <c r="AE38" s="26"/>
      <c r="AF38" s="26"/>
      <c r="AG38" s="26"/>
      <c r="AH38" s="40"/>
      <c r="AI38" s="50"/>
      <c r="AJ38" s="50"/>
      <c r="AL38" s="56" t="e">
        <f t="shared" si="34"/>
        <v>#VALUE!</v>
      </c>
      <c r="AM38" s="56" t="e">
        <f t="shared" si="35"/>
        <v>#VALUE!</v>
      </c>
      <c r="AN38" s="56" t="e">
        <f t="shared" si="36"/>
        <v>#VALUE!</v>
      </c>
      <c r="AO38" s="62"/>
      <c r="AP38" s="55" t="e">
        <f t="shared" si="37"/>
        <v>#DIV/0!</v>
      </c>
      <c r="AQ38" s="55" t="e">
        <f t="array" ref="AQ38">AVERAGE(AF38:AF38/AE38:AE38)-AVERAGE(Q38:Q38/P38:P38)</f>
        <v>#DIV/0!</v>
      </c>
      <c r="AS38">
        <f t="shared" si="17"/>
        <v>0</v>
      </c>
      <c r="AT38">
        <f t="shared" si="18"/>
        <v>0</v>
      </c>
      <c r="AU38">
        <f t="shared" si="19"/>
        <v>0</v>
      </c>
      <c r="AV38">
        <f t="shared" si="20"/>
        <v>0</v>
      </c>
      <c r="AW38">
        <f t="shared" si="21"/>
        <v>0</v>
      </c>
    </row>
    <row r="39" spans="1:49" x14ac:dyDescent="0.15">
      <c r="A39" s="5"/>
      <c r="B39" s="5" t="s">
        <v>159</v>
      </c>
      <c r="C39" s="5">
        <v>4187594</v>
      </c>
      <c r="D39" s="7">
        <v>14</v>
      </c>
      <c r="E39" s="6">
        <v>1</v>
      </c>
      <c r="F39" s="6"/>
      <c r="H39" s="53" t="str">
        <f t="shared" si="22"/>
        <v>·</v>
      </c>
      <c r="I39" s="17" t="str">
        <f t="shared" si="23"/>
        <v>·</v>
      </c>
      <c r="J39" s="18" t="str">
        <f t="shared" si="24"/>
        <v>·</v>
      </c>
      <c r="K39" s="18" t="str">
        <f t="shared" si="25"/>
        <v>·</v>
      </c>
      <c r="L39" s="18" t="str">
        <f t="shared" si="26"/>
        <v>·</v>
      </c>
      <c r="M39" s="19"/>
      <c r="N39" s="18" t="str">
        <f t="shared" si="27"/>
        <v>·</v>
      </c>
      <c r="O39" s="20"/>
      <c r="P39" s="21"/>
      <c r="Q39" s="21"/>
      <c r="R39" s="21"/>
      <c r="S39" s="37"/>
      <c r="T39" s="49"/>
      <c r="U39" s="49"/>
      <c r="W39" s="53" t="str">
        <f t="shared" si="28"/>
        <v>·</v>
      </c>
      <c r="X39" s="17" t="str">
        <f t="shared" si="29"/>
        <v>·</v>
      </c>
      <c r="Y39" s="18" t="str">
        <f t="shared" si="30"/>
        <v>·</v>
      </c>
      <c r="Z39" s="18" t="str">
        <f t="shared" si="31"/>
        <v>·</v>
      </c>
      <c r="AA39" s="18" t="str">
        <f t="shared" si="32"/>
        <v>·</v>
      </c>
      <c r="AB39" s="19"/>
      <c r="AC39" s="18" t="str">
        <f t="shared" si="33"/>
        <v>·</v>
      </c>
      <c r="AD39" s="20"/>
      <c r="AE39" s="21"/>
      <c r="AF39" s="21"/>
      <c r="AG39" s="21"/>
      <c r="AH39" s="37"/>
      <c r="AI39" s="49"/>
      <c r="AJ39" s="49"/>
      <c r="AL39" s="54" t="e">
        <f t="shared" si="34"/>
        <v>#VALUE!</v>
      </c>
      <c r="AM39" s="54" t="e">
        <f t="shared" si="35"/>
        <v>#VALUE!</v>
      </c>
      <c r="AN39" s="54" t="e">
        <f t="shared" si="36"/>
        <v>#VALUE!</v>
      </c>
      <c r="AO39" s="61"/>
      <c r="AP39" s="53" t="e">
        <f t="shared" si="37"/>
        <v>#DIV/0!</v>
      </c>
      <c r="AQ39" s="53" t="e">
        <f t="array" ref="AQ39">AVERAGE(AF39:AF39/AE39:AE39)-AVERAGE(Q39:Q39/P39:P39)</f>
        <v>#DIV/0!</v>
      </c>
      <c r="AS39">
        <f t="shared" si="17"/>
        <v>0</v>
      </c>
      <c r="AT39">
        <f t="shared" si="18"/>
        <v>0</v>
      </c>
      <c r="AU39">
        <f t="shared" si="19"/>
        <v>0</v>
      </c>
      <c r="AV39">
        <f t="shared" si="20"/>
        <v>0</v>
      </c>
      <c r="AW39">
        <f t="shared" si="21"/>
        <v>0</v>
      </c>
    </row>
    <row r="40" spans="1:49" x14ac:dyDescent="0.15">
      <c r="A40" s="8"/>
      <c r="B40" s="8" t="s">
        <v>161</v>
      </c>
      <c r="C40" s="8">
        <v>4203962</v>
      </c>
      <c r="D40" s="10">
        <v>20</v>
      </c>
      <c r="E40" s="9">
        <v>1</v>
      </c>
      <c r="F40" s="9"/>
      <c r="H40" s="55" t="str">
        <f t="shared" si="22"/>
        <v>·</v>
      </c>
      <c r="I40" s="22" t="str">
        <f t="shared" si="23"/>
        <v>·</v>
      </c>
      <c r="J40" s="23" t="str">
        <f t="shared" si="24"/>
        <v>·</v>
      </c>
      <c r="K40" s="23" t="str">
        <f t="shared" si="25"/>
        <v>·</v>
      </c>
      <c r="L40" s="23" t="str">
        <f t="shared" si="26"/>
        <v>·</v>
      </c>
      <c r="M40" s="24"/>
      <c r="N40" s="23" t="str">
        <f t="shared" si="27"/>
        <v>·</v>
      </c>
      <c r="O40" s="25"/>
      <c r="P40" s="26"/>
      <c r="Q40" s="26"/>
      <c r="R40" s="26"/>
      <c r="S40" s="40"/>
      <c r="T40" s="50"/>
      <c r="U40" s="50"/>
      <c r="W40" s="55" t="str">
        <f t="shared" si="28"/>
        <v>·</v>
      </c>
      <c r="X40" s="22" t="str">
        <f t="shared" si="29"/>
        <v>·</v>
      </c>
      <c r="Y40" s="23" t="str">
        <f t="shared" si="30"/>
        <v>·</v>
      </c>
      <c r="Z40" s="23" t="str">
        <f t="shared" si="31"/>
        <v>·</v>
      </c>
      <c r="AA40" s="23" t="str">
        <f t="shared" si="32"/>
        <v>·</v>
      </c>
      <c r="AB40" s="24"/>
      <c r="AC40" s="23" t="str">
        <f t="shared" si="33"/>
        <v>·</v>
      </c>
      <c r="AD40" s="25"/>
      <c r="AE40" s="26"/>
      <c r="AF40" s="26"/>
      <c r="AG40" s="26"/>
      <c r="AH40" s="40"/>
      <c r="AI40" s="50"/>
      <c r="AJ40" s="50"/>
      <c r="AL40" s="56" t="e">
        <f t="shared" si="34"/>
        <v>#VALUE!</v>
      </c>
      <c r="AM40" s="56" t="e">
        <f t="shared" si="35"/>
        <v>#VALUE!</v>
      </c>
      <c r="AN40" s="56" t="e">
        <f t="shared" si="36"/>
        <v>#VALUE!</v>
      </c>
      <c r="AO40" s="62"/>
      <c r="AP40" s="55" t="e">
        <f t="shared" si="37"/>
        <v>#DIV/0!</v>
      </c>
      <c r="AQ40" s="55" t="e">
        <f t="array" ref="AQ40">AVERAGE(AF40:AF40/AE40:AE40)-AVERAGE(Q40:Q40/P40:P40)</f>
        <v>#DIV/0!</v>
      </c>
      <c r="AS40">
        <f t="shared" si="17"/>
        <v>0</v>
      </c>
      <c r="AT40">
        <f t="shared" si="18"/>
        <v>0</v>
      </c>
      <c r="AU40">
        <f t="shared" si="19"/>
        <v>0</v>
      </c>
      <c r="AV40">
        <f t="shared" si="20"/>
        <v>0</v>
      </c>
      <c r="AW40">
        <f t="shared" si="21"/>
        <v>0</v>
      </c>
    </row>
    <row r="41" spans="1:49" x14ac:dyDescent="0.15">
      <c r="A41" s="5"/>
      <c r="B41" s="5" t="s">
        <v>164</v>
      </c>
      <c r="C41" s="5">
        <v>1010591</v>
      </c>
      <c r="D41" s="7">
        <v>20</v>
      </c>
      <c r="E41" s="6">
        <v>1</v>
      </c>
      <c r="F41" s="6"/>
      <c r="H41" s="53" t="str">
        <f t="shared" si="22"/>
        <v>·</v>
      </c>
      <c r="I41" s="17" t="str">
        <f t="shared" si="23"/>
        <v>·</v>
      </c>
      <c r="J41" s="18" t="str">
        <f t="shared" si="24"/>
        <v>·</v>
      </c>
      <c r="K41" s="18" t="str">
        <f t="shared" si="25"/>
        <v>·</v>
      </c>
      <c r="L41" s="18" t="str">
        <f t="shared" si="26"/>
        <v>·</v>
      </c>
      <c r="M41" s="19"/>
      <c r="N41" s="18" t="str">
        <f t="shared" si="27"/>
        <v>·</v>
      </c>
      <c r="O41" s="20"/>
      <c r="P41" s="21"/>
      <c r="Q41" s="21"/>
      <c r="R41" s="21"/>
      <c r="S41" s="37"/>
      <c r="T41" s="49"/>
      <c r="U41" s="49"/>
      <c r="W41" s="53" t="str">
        <f t="shared" si="28"/>
        <v>·</v>
      </c>
      <c r="X41" s="17" t="str">
        <f t="shared" si="29"/>
        <v>·</v>
      </c>
      <c r="Y41" s="18" t="str">
        <f t="shared" si="30"/>
        <v>·</v>
      </c>
      <c r="Z41" s="18" t="str">
        <f t="shared" si="31"/>
        <v>·</v>
      </c>
      <c r="AA41" s="18" t="str">
        <f t="shared" si="32"/>
        <v>·</v>
      </c>
      <c r="AB41" s="19"/>
      <c r="AC41" s="18" t="str">
        <f t="shared" si="33"/>
        <v>·</v>
      </c>
      <c r="AD41" s="20"/>
      <c r="AE41" s="21"/>
      <c r="AF41" s="21"/>
      <c r="AG41" s="21"/>
      <c r="AH41" s="37"/>
      <c r="AI41" s="49"/>
      <c r="AJ41" s="49"/>
      <c r="AL41" s="54" t="e">
        <f t="shared" si="34"/>
        <v>#VALUE!</v>
      </c>
      <c r="AM41" s="54" t="e">
        <f t="shared" si="35"/>
        <v>#VALUE!</v>
      </c>
      <c r="AN41" s="54" t="e">
        <f t="shared" si="36"/>
        <v>#VALUE!</v>
      </c>
      <c r="AO41" s="61"/>
      <c r="AP41" s="53" t="e">
        <f t="shared" si="37"/>
        <v>#DIV/0!</v>
      </c>
      <c r="AQ41" s="53" t="e">
        <f t="array" ref="AQ41">AVERAGE(AF41:AF41/AE41:AE41)-AVERAGE(Q41:Q41/P41:P41)</f>
        <v>#DIV/0!</v>
      </c>
      <c r="AS41">
        <f t="shared" si="17"/>
        <v>0</v>
      </c>
      <c r="AT41">
        <f t="shared" si="18"/>
        <v>0</v>
      </c>
      <c r="AU41">
        <f t="shared" si="19"/>
        <v>0</v>
      </c>
      <c r="AV41">
        <f t="shared" si="20"/>
        <v>0</v>
      </c>
      <c r="AW41">
        <f t="shared" si="21"/>
        <v>0</v>
      </c>
    </row>
    <row r="42" spans="1:49" x14ac:dyDescent="0.15">
      <c r="A42" s="8"/>
      <c r="B42" s="8" t="s">
        <v>165</v>
      </c>
      <c r="C42" s="8">
        <v>47062002</v>
      </c>
      <c r="D42" s="10">
        <v>16</v>
      </c>
      <c r="E42" s="9">
        <v>1</v>
      </c>
      <c r="F42" s="9"/>
      <c r="H42" s="55" t="str">
        <f t="shared" si="22"/>
        <v>·</v>
      </c>
      <c r="I42" s="22" t="str">
        <f t="shared" si="23"/>
        <v>·</v>
      </c>
      <c r="J42" s="23" t="str">
        <f t="shared" si="24"/>
        <v>·</v>
      </c>
      <c r="K42" s="23" t="str">
        <f t="shared" si="25"/>
        <v>·</v>
      </c>
      <c r="L42" s="23" t="str">
        <f t="shared" si="26"/>
        <v>·</v>
      </c>
      <c r="M42" s="24"/>
      <c r="N42" s="23" t="str">
        <f t="shared" si="27"/>
        <v>·</v>
      </c>
      <c r="O42" s="25"/>
      <c r="P42" s="26"/>
      <c r="Q42" s="26"/>
      <c r="R42" s="26"/>
      <c r="S42" s="40"/>
      <c r="T42" s="50"/>
      <c r="U42" s="50"/>
      <c r="W42" s="55" t="str">
        <f t="shared" si="28"/>
        <v>·</v>
      </c>
      <c r="X42" s="22" t="str">
        <f t="shared" si="29"/>
        <v>·</v>
      </c>
      <c r="Y42" s="23" t="str">
        <f t="shared" si="30"/>
        <v>·</v>
      </c>
      <c r="Z42" s="23" t="str">
        <f t="shared" si="31"/>
        <v>·</v>
      </c>
      <c r="AA42" s="23" t="str">
        <f t="shared" si="32"/>
        <v>·</v>
      </c>
      <c r="AB42" s="24"/>
      <c r="AC42" s="23" t="str">
        <f t="shared" si="33"/>
        <v>·</v>
      </c>
      <c r="AD42" s="25"/>
      <c r="AE42" s="26"/>
      <c r="AF42" s="26"/>
      <c r="AG42" s="26"/>
      <c r="AH42" s="40"/>
      <c r="AI42" s="50"/>
      <c r="AJ42" s="50"/>
      <c r="AL42" s="56" t="e">
        <f t="shared" si="34"/>
        <v>#VALUE!</v>
      </c>
      <c r="AM42" s="56" t="e">
        <f t="shared" si="35"/>
        <v>#VALUE!</v>
      </c>
      <c r="AN42" s="56" t="e">
        <f t="shared" si="36"/>
        <v>#VALUE!</v>
      </c>
      <c r="AO42" s="62"/>
      <c r="AP42" s="55" t="e">
        <f t="shared" si="37"/>
        <v>#DIV/0!</v>
      </c>
      <c r="AQ42" s="55" t="e">
        <f t="array" ref="AQ42">AVERAGE(AF42:AF42/AE42:AE42)-AVERAGE(Q42:Q42/P42:P42)</f>
        <v>#DIV/0!</v>
      </c>
      <c r="AS42">
        <f t="shared" si="17"/>
        <v>0</v>
      </c>
      <c r="AT42">
        <f t="shared" si="18"/>
        <v>0</v>
      </c>
      <c r="AU42">
        <f t="shared" si="19"/>
        <v>0</v>
      </c>
      <c r="AV42">
        <f t="shared" si="20"/>
        <v>0</v>
      </c>
      <c r="AW42">
        <f t="shared" si="21"/>
        <v>0</v>
      </c>
    </row>
    <row r="43" spans="1:49" x14ac:dyDescent="0.15">
      <c r="A43" s="5"/>
      <c r="B43" s="5" t="s">
        <v>166</v>
      </c>
      <c r="C43" s="5">
        <v>47062018</v>
      </c>
      <c r="D43" s="7">
        <v>20</v>
      </c>
      <c r="E43" s="6">
        <v>1</v>
      </c>
      <c r="F43" s="6"/>
      <c r="H43" s="53" t="str">
        <f t="shared" si="22"/>
        <v>·</v>
      </c>
      <c r="I43" s="17" t="str">
        <f t="shared" si="23"/>
        <v>·</v>
      </c>
      <c r="J43" s="18" t="str">
        <f t="shared" si="24"/>
        <v>·</v>
      </c>
      <c r="K43" s="18" t="str">
        <f t="shared" si="25"/>
        <v>·</v>
      </c>
      <c r="L43" s="18" t="str">
        <f t="shared" si="26"/>
        <v>·</v>
      </c>
      <c r="M43" s="19"/>
      <c r="N43" s="18" t="str">
        <f t="shared" si="27"/>
        <v>·</v>
      </c>
      <c r="O43" s="20"/>
      <c r="P43" s="21"/>
      <c r="Q43" s="21"/>
      <c r="R43" s="21"/>
      <c r="S43" s="37"/>
      <c r="T43" s="49"/>
      <c r="U43" s="49"/>
      <c r="W43" s="53" t="str">
        <f t="shared" si="28"/>
        <v>·</v>
      </c>
      <c r="X43" s="17" t="str">
        <f t="shared" si="29"/>
        <v>·</v>
      </c>
      <c r="Y43" s="18" t="str">
        <f t="shared" si="30"/>
        <v>·</v>
      </c>
      <c r="Z43" s="18" t="str">
        <f t="shared" si="31"/>
        <v>·</v>
      </c>
      <c r="AA43" s="18" t="str">
        <f t="shared" si="32"/>
        <v>·</v>
      </c>
      <c r="AB43" s="19"/>
      <c r="AC43" s="18" t="str">
        <f t="shared" si="33"/>
        <v>·</v>
      </c>
      <c r="AD43" s="20"/>
      <c r="AE43" s="21"/>
      <c r="AF43" s="21"/>
      <c r="AG43" s="21"/>
      <c r="AH43" s="37"/>
      <c r="AI43" s="49"/>
      <c r="AJ43" s="49"/>
      <c r="AL43" s="54" t="e">
        <f t="shared" si="34"/>
        <v>#VALUE!</v>
      </c>
      <c r="AM43" s="54" t="e">
        <f t="shared" si="35"/>
        <v>#VALUE!</v>
      </c>
      <c r="AN43" s="54" t="e">
        <f t="shared" si="36"/>
        <v>#VALUE!</v>
      </c>
      <c r="AO43" s="61"/>
      <c r="AP43" s="53" t="e">
        <f t="shared" si="37"/>
        <v>#DIV/0!</v>
      </c>
      <c r="AQ43" s="53" t="e">
        <f t="array" ref="AQ43">AVERAGE(AF43:AF43/AE43:AE43)-AVERAGE(Q43:Q43/P43:P43)</f>
        <v>#DIV/0!</v>
      </c>
      <c r="AS43">
        <f t="shared" si="17"/>
        <v>0</v>
      </c>
      <c r="AT43">
        <f t="shared" si="18"/>
        <v>0</v>
      </c>
      <c r="AU43">
        <f t="shared" si="19"/>
        <v>0</v>
      </c>
      <c r="AV43">
        <f t="shared" si="20"/>
        <v>0</v>
      </c>
      <c r="AW43">
        <f t="shared" si="21"/>
        <v>0</v>
      </c>
    </row>
    <row r="44" spans="1:49" x14ac:dyDescent="0.15">
      <c r="A44" s="8"/>
      <c r="B44" s="8" t="s">
        <v>167</v>
      </c>
      <c r="C44" s="8">
        <v>43399204</v>
      </c>
      <c r="D44" s="10">
        <v>16</v>
      </c>
      <c r="E44" s="9">
        <v>1</v>
      </c>
      <c r="F44" s="9"/>
      <c r="H44" s="55" t="str">
        <f t="shared" si="22"/>
        <v>·</v>
      </c>
      <c r="I44" s="22" t="str">
        <f t="shared" si="23"/>
        <v>·</v>
      </c>
      <c r="J44" s="23" t="str">
        <f t="shared" si="24"/>
        <v>·</v>
      </c>
      <c r="K44" s="23" t="str">
        <f t="shared" si="25"/>
        <v>·</v>
      </c>
      <c r="L44" s="23" t="str">
        <f t="shared" si="26"/>
        <v>·</v>
      </c>
      <c r="M44" s="24"/>
      <c r="N44" s="23" t="str">
        <f t="shared" si="27"/>
        <v>·</v>
      </c>
      <c r="O44" s="25"/>
      <c r="P44" s="26"/>
      <c r="Q44" s="26"/>
      <c r="R44" s="26"/>
      <c r="S44" s="40"/>
      <c r="T44" s="50"/>
      <c r="U44" s="50"/>
      <c r="W44" s="55" t="str">
        <f t="shared" si="28"/>
        <v>·</v>
      </c>
      <c r="X44" s="22" t="str">
        <f t="shared" si="29"/>
        <v>·</v>
      </c>
      <c r="Y44" s="23" t="str">
        <f t="shared" si="30"/>
        <v>·</v>
      </c>
      <c r="Z44" s="23" t="str">
        <f t="shared" si="31"/>
        <v>·</v>
      </c>
      <c r="AA44" s="23" t="str">
        <f t="shared" si="32"/>
        <v>·</v>
      </c>
      <c r="AB44" s="24"/>
      <c r="AC44" s="23" t="str">
        <f t="shared" si="33"/>
        <v>·</v>
      </c>
      <c r="AD44" s="25"/>
      <c r="AE44" s="26"/>
      <c r="AF44" s="26"/>
      <c r="AG44" s="26"/>
      <c r="AH44" s="40"/>
      <c r="AI44" s="50"/>
      <c r="AJ44" s="50"/>
      <c r="AL44" s="56" t="e">
        <f t="shared" si="34"/>
        <v>#VALUE!</v>
      </c>
      <c r="AM44" s="56" t="e">
        <f t="shared" si="35"/>
        <v>#VALUE!</v>
      </c>
      <c r="AN44" s="56" t="e">
        <f t="shared" si="36"/>
        <v>#VALUE!</v>
      </c>
      <c r="AO44" s="62"/>
      <c r="AP44" s="55" t="e">
        <f t="shared" si="37"/>
        <v>#DIV/0!</v>
      </c>
      <c r="AQ44" s="55" t="e">
        <f t="array" ref="AQ44">AVERAGE(AF44:AF44/AE44:AE44)-AVERAGE(Q44:Q44/P44:P44)</f>
        <v>#DIV/0!</v>
      </c>
      <c r="AS44">
        <f t="shared" si="17"/>
        <v>0</v>
      </c>
      <c r="AT44">
        <f t="shared" si="18"/>
        <v>0</v>
      </c>
      <c r="AU44">
        <f t="shared" si="19"/>
        <v>0</v>
      </c>
      <c r="AV44">
        <f t="shared" si="20"/>
        <v>0</v>
      </c>
      <c r="AW44">
        <f t="shared" si="21"/>
        <v>0</v>
      </c>
    </row>
    <row r="45" spans="1:49" x14ac:dyDescent="0.15">
      <c r="A45" s="5"/>
      <c r="B45" s="5" t="s">
        <v>168</v>
      </c>
      <c r="C45" s="5">
        <v>43399207</v>
      </c>
      <c r="D45" s="7">
        <v>20</v>
      </c>
      <c r="E45" s="6">
        <v>1</v>
      </c>
      <c r="F45" s="6"/>
      <c r="H45" s="53" t="str">
        <f t="shared" si="22"/>
        <v>·</v>
      </c>
      <c r="I45" s="17" t="str">
        <f t="shared" si="23"/>
        <v>·</v>
      </c>
      <c r="J45" s="18" t="str">
        <f t="shared" si="24"/>
        <v>·</v>
      </c>
      <c r="K45" s="18" t="str">
        <f t="shared" si="25"/>
        <v>·</v>
      </c>
      <c r="L45" s="18" t="str">
        <f t="shared" si="26"/>
        <v>·</v>
      </c>
      <c r="M45" s="19"/>
      <c r="N45" s="18" t="str">
        <f t="shared" si="27"/>
        <v>·</v>
      </c>
      <c r="O45" s="20"/>
      <c r="P45" s="21"/>
      <c r="Q45" s="21"/>
      <c r="R45" s="21"/>
      <c r="S45" s="37"/>
      <c r="T45" s="49"/>
      <c r="U45" s="49"/>
      <c r="W45" s="53" t="str">
        <f t="shared" si="28"/>
        <v>·</v>
      </c>
      <c r="X45" s="17" t="str">
        <f t="shared" si="29"/>
        <v>·</v>
      </c>
      <c r="Y45" s="18" t="str">
        <f t="shared" si="30"/>
        <v>·</v>
      </c>
      <c r="Z45" s="18" t="str">
        <f t="shared" si="31"/>
        <v>·</v>
      </c>
      <c r="AA45" s="18" t="str">
        <f t="shared" si="32"/>
        <v>·</v>
      </c>
      <c r="AB45" s="19"/>
      <c r="AC45" s="18" t="str">
        <f t="shared" si="33"/>
        <v>·</v>
      </c>
      <c r="AD45" s="20"/>
      <c r="AE45" s="21"/>
      <c r="AF45" s="21"/>
      <c r="AG45" s="21"/>
      <c r="AH45" s="37"/>
      <c r="AI45" s="49"/>
      <c r="AJ45" s="49"/>
      <c r="AL45" s="54" t="e">
        <f t="shared" si="34"/>
        <v>#VALUE!</v>
      </c>
      <c r="AM45" s="54" t="e">
        <f t="shared" si="35"/>
        <v>#VALUE!</v>
      </c>
      <c r="AN45" s="54" t="e">
        <f t="shared" si="36"/>
        <v>#VALUE!</v>
      </c>
      <c r="AO45" s="61"/>
      <c r="AP45" s="53" t="e">
        <f t="shared" si="37"/>
        <v>#DIV/0!</v>
      </c>
      <c r="AQ45" s="53" t="e">
        <f t="array" ref="AQ45">AVERAGE(AF45:AF45/AE45:AE45)-AVERAGE(Q45:Q45/P45:P45)</f>
        <v>#DIV/0!</v>
      </c>
      <c r="AS45">
        <f t="shared" si="17"/>
        <v>0</v>
      </c>
      <c r="AT45">
        <f t="shared" si="18"/>
        <v>0</v>
      </c>
      <c r="AU45">
        <f t="shared" si="19"/>
        <v>0</v>
      </c>
      <c r="AV45">
        <f t="shared" si="20"/>
        <v>0</v>
      </c>
      <c r="AW45">
        <f t="shared" si="21"/>
        <v>0</v>
      </c>
    </row>
    <row r="46" spans="1:49" x14ac:dyDescent="0.15">
      <c r="A46" s="8"/>
      <c r="B46" s="8" t="s">
        <v>169</v>
      </c>
      <c r="C46" s="8">
        <v>499660</v>
      </c>
      <c r="D46" s="10">
        <v>12</v>
      </c>
      <c r="E46" s="9">
        <v>1</v>
      </c>
      <c r="F46" s="9"/>
      <c r="H46" s="55" t="str">
        <f t="shared" si="22"/>
        <v>·</v>
      </c>
      <c r="I46" s="22" t="str">
        <f t="shared" si="23"/>
        <v>·</v>
      </c>
      <c r="J46" s="23" t="str">
        <f t="shared" si="24"/>
        <v>·</v>
      </c>
      <c r="K46" s="23" t="str">
        <f t="shared" si="25"/>
        <v>·</v>
      </c>
      <c r="L46" s="23" t="str">
        <f t="shared" si="26"/>
        <v>·</v>
      </c>
      <c r="M46" s="24"/>
      <c r="N46" s="23" t="str">
        <f t="shared" si="27"/>
        <v>·</v>
      </c>
      <c r="O46" s="25"/>
      <c r="P46" s="26"/>
      <c r="Q46" s="26"/>
      <c r="R46" s="26"/>
      <c r="S46" s="40"/>
      <c r="T46" s="50"/>
      <c r="U46" s="50"/>
      <c r="W46" s="55" t="str">
        <f t="shared" si="28"/>
        <v>·</v>
      </c>
      <c r="X46" s="22" t="str">
        <f t="shared" si="29"/>
        <v>·</v>
      </c>
      <c r="Y46" s="23" t="str">
        <f t="shared" si="30"/>
        <v>·</v>
      </c>
      <c r="Z46" s="23" t="str">
        <f t="shared" si="31"/>
        <v>·</v>
      </c>
      <c r="AA46" s="23" t="str">
        <f t="shared" si="32"/>
        <v>·</v>
      </c>
      <c r="AB46" s="24"/>
      <c r="AC46" s="23" t="str">
        <f t="shared" si="33"/>
        <v>·</v>
      </c>
      <c r="AD46" s="25"/>
      <c r="AE46" s="26"/>
      <c r="AF46" s="26"/>
      <c r="AG46" s="26"/>
      <c r="AH46" s="40"/>
      <c r="AI46" s="50"/>
      <c r="AJ46" s="50"/>
      <c r="AL46" s="56" t="e">
        <f t="shared" si="34"/>
        <v>#VALUE!</v>
      </c>
      <c r="AM46" s="56" t="e">
        <f t="shared" si="35"/>
        <v>#VALUE!</v>
      </c>
      <c r="AN46" s="56" t="e">
        <f t="shared" si="36"/>
        <v>#VALUE!</v>
      </c>
      <c r="AO46" s="62"/>
      <c r="AP46" s="55" t="e">
        <f t="shared" si="37"/>
        <v>#DIV/0!</v>
      </c>
      <c r="AQ46" s="55" t="e">
        <f t="array" ref="AQ46">AVERAGE(AF46:AF46/AE46:AE46)-AVERAGE(Q46:Q46/P46:P46)</f>
        <v>#DIV/0!</v>
      </c>
      <c r="AS46">
        <f t="shared" si="17"/>
        <v>0</v>
      </c>
      <c r="AT46">
        <f t="shared" si="18"/>
        <v>0</v>
      </c>
      <c r="AU46">
        <f t="shared" si="19"/>
        <v>0</v>
      </c>
      <c r="AV46">
        <f t="shared" si="20"/>
        <v>0</v>
      </c>
      <c r="AW46">
        <f t="shared" si="21"/>
        <v>0</v>
      </c>
    </row>
    <row r="47" spans="1:49" x14ac:dyDescent="0.15">
      <c r="A47" s="5"/>
      <c r="B47" s="5" t="s">
        <v>170</v>
      </c>
      <c r="C47" s="5">
        <v>499886</v>
      </c>
      <c r="D47" s="7">
        <v>20</v>
      </c>
      <c r="E47" s="6">
        <v>1</v>
      </c>
      <c r="F47" s="6"/>
      <c r="H47" s="53" t="str">
        <f t="shared" si="22"/>
        <v>·</v>
      </c>
      <c r="I47" s="17" t="str">
        <f t="shared" si="23"/>
        <v>·</v>
      </c>
      <c r="J47" s="18" t="str">
        <f t="shared" si="24"/>
        <v>·</v>
      </c>
      <c r="K47" s="18" t="str">
        <f t="shared" si="25"/>
        <v>·</v>
      </c>
      <c r="L47" s="18" t="str">
        <f t="shared" si="26"/>
        <v>·</v>
      </c>
      <c r="M47" s="19"/>
      <c r="N47" s="18" t="str">
        <f t="shared" si="27"/>
        <v>·</v>
      </c>
      <c r="O47" s="20"/>
      <c r="P47" s="21"/>
      <c r="Q47" s="21"/>
      <c r="R47" s="21"/>
      <c r="S47" s="37"/>
      <c r="T47" s="49"/>
      <c r="U47" s="49"/>
      <c r="W47" s="53" t="str">
        <f t="shared" si="28"/>
        <v>·</v>
      </c>
      <c r="X47" s="17" t="str">
        <f t="shared" si="29"/>
        <v>·</v>
      </c>
      <c r="Y47" s="18" t="str">
        <f t="shared" si="30"/>
        <v>·</v>
      </c>
      <c r="Z47" s="18" t="str">
        <f t="shared" si="31"/>
        <v>·</v>
      </c>
      <c r="AA47" s="18" t="str">
        <f t="shared" si="32"/>
        <v>·</v>
      </c>
      <c r="AB47" s="19"/>
      <c r="AC47" s="18" t="str">
        <f t="shared" si="33"/>
        <v>·</v>
      </c>
      <c r="AD47" s="20"/>
      <c r="AE47" s="21"/>
      <c r="AF47" s="21"/>
      <c r="AG47" s="21"/>
      <c r="AH47" s="37"/>
      <c r="AI47" s="49"/>
      <c r="AJ47" s="49"/>
      <c r="AL47" s="54" t="e">
        <f t="shared" si="34"/>
        <v>#VALUE!</v>
      </c>
      <c r="AM47" s="54" t="e">
        <f t="shared" si="35"/>
        <v>#VALUE!</v>
      </c>
      <c r="AN47" s="54" t="e">
        <f t="shared" si="36"/>
        <v>#VALUE!</v>
      </c>
      <c r="AO47" s="61"/>
      <c r="AP47" s="53" t="e">
        <f t="shared" si="37"/>
        <v>#DIV/0!</v>
      </c>
      <c r="AQ47" s="53" t="e">
        <f t="array" ref="AQ47">AVERAGE(AF47:AF47/AE47:AE47)-AVERAGE(Q47:Q47/P47:P47)</f>
        <v>#DIV/0!</v>
      </c>
      <c r="AS47">
        <f t="shared" si="17"/>
        <v>0</v>
      </c>
      <c r="AT47">
        <f t="shared" si="18"/>
        <v>0</v>
      </c>
      <c r="AU47">
        <f t="shared" si="19"/>
        <v>0</v>
      </c>
      <c r="AV47">
        <f t="shared" si="20"/>
        <v>0</v>
      </c>
      <c r="AW47">
        <f t="shared" si="21"/>
        <v>0</v>
      </c>
    </row>
    <row r="48" spans="1:49" x14ac:dyDescent="0.15">
      <c r="A48" s="8"/>
      <c r="B48" s="8" t="s">
        <v>171</v>
      </c>
      <c r="C48" s="8">
        <v>63787119</v>
      </c>
      <c r="D48" s="10">
        <v>15</v>
      </c>
      <c r="E48" s="9">
        <v>1</v>
      </c>
      <c r="F48" s="9"/>
      <c r="H48" s="55" t="str">
        <f t="shared" si="22"/>
        <v>·</v>
      </c>
      <c r="I48" s="22" t="str">
        <f t="shared" si="23"/>
        <v>·</v>
      </c>
      <c r="J48" s="23" t="str">
        <f t="shared" si="24"/>
        <v>·</v>
      </c>
      <c r="K48" s="23" t="str">
        <f t="shared" si="25"/>
        <v>·</v>
      </c>
      <c r="L48" s="23" t="str">
        <f t="shared" si="26"/>
        <v>·</v>
      </c>
      <c r="M48" s="24"/>
      <c r="N48" s="23" t="str">
        <f t="shared" si="27"/>
        <v>·</v>
      </c>
      <c r="O48" s="25"/>
      <c r="P48" s="26"/>
      <c r="Q48" s="26"/>
      <c r="R48" s="26"/>
      <c r="S48" s="40"/>
      <c r="T48" s="50"/>
      <c r="U48" s="50"/>
      <c r="W48" s="55" t="str">
        <f t="shared" si="28"/>
        <v>·</v>
      </c>
      <c r="X48" s="22" t="str">
        <f t="shared" si="29"/>
        <v>·</v>
      </c>
      <c r="Y48" s="23" t="str">
        <f t="shared" si="30"/>
        <v>·</v>
      </c>
      <c r="Z48" s="23" t="str">
        <f t="shared" si="31"/>
        <v>·</v>
      </c>
      <c r="AA48" s="23" t="str">
        <f t="shared" si="32"/>
        <v>·</v>
      </c>
      <c r="AB48" s="24"/>
      <c r="AC48" s="23" t="str">
        <f t="shared" si="33"/>
        <v>·</v>
      </c>
      <c r="AD48" s="25"/>
      <c r="AE48" s="26"/>
      <c r="AF48" s="26"/>
      <c r="AG48" s="26"/>
      <c r="AH48" s="40"/>
      <c r="AI48" s="50"/>
      <c r="AJ48" s="50"/>
      <c r="AL48" s="56" t="e">
        <f t="shared" si="34"/>
        <v>#VALUE!</v>
      </c>
      <c r="AM48" s="56" t="e">
        <f t="shared" si="35"/>
        <v>#VALUE!</v>
      </c>
      <c r="AN48" s="56" t="e">
        <f t="shared" si="36"/>
        <v>#VALUE!</v>
      </c>
      <c r="AO48" s="62"/>
      <c r="AP48" s="55" t="e">
        <f t="shared" si="37"/>
        <v>#DIV/0!</v>
      </c>
      <c r="AQ48" s="55" t="e">
        <f t="array" ref="AQ48">AVERAGE(AF48:AF48/AE48:AE48)-AVERAGE(Q48:Q48/P48:P48)</f>
        <v>#DIV/0!</v>
      </c>
      <c r="AS48">
        <f t="shared" si="17"/>
        <v>0</v>
      </c>
      <c r="AT48">
        <f t="shared" si="18"/>
        <v>0</v>
      </c>
      <c r="AU48">
        <f t="shared" si="19"/>
        <v>0</v>
      </c>
      <c r="AV48">
        <f t="shared" si="20"/>
        <v>0</v>
      </c>
      <c r="AW48">
        <f t="shared" si="21"/>
        <v>0</v>
      </c>
    </row>
    <row r="49" spans="1:49" x14ac:dyDescent="0.15">
      <c r="A49" s="5"/>
      <c r="B49" s="5" t="s">
        <v>172</v>
      </c>
      <c r="C49" s="5">
        <v>63864641</v>
      </c>
      <c r="D49" s="7">
        <v>20</v>
      </c>
      <c r="E49" s="6">
        <v>1</v>
      </c>
      <c r="F49" s="6"/>
      <c r="H49" s="53" t="str">
        <f t="shared" si="22"/>
        <v>·</v>
      </c>
      <c r="I49" s="17" t="str">
        <f t="shared" si="23"/>
        <v>·</v>
      </c>
      <c r="J49" s="18" t="str">
        <f t="shared" si="24"/>
        <v>·</v>
      </c>
      <c r="K49" s="18" t="str">
        <f t="shared" si="25"/>
        <v>·</v>
      </c>
      <c r="L49" s="18" t="str">
        <f t="shared" si="26"/>
        <v>·</v>
      </c>
      <c r="M49" s="19"/>
      <c r="N49" s="18" t="str">
        <f t="shared" si="27"/>
        <v>·</v>
      </c>
      <c r="O49" s="20"/>
      <c r="P49" s="21"/>
      <c r="Q49" s="21"/>
      <c r="R49" s="21"/>
      <c r="S49" s="37"/>
      <c r="T49" s="49"/>
      <c r="U49" s="49"/>
      <c r="W49" s="53" t="str">
        <f t="shared" si="28"/>
        <v>·</v>
      </c>
      <c r="X49" s="17" t="str">
        <f t="shared" si="29"/>
        <v>·</v>
      </c>
      <c r="Y49" s="18" t="str">
        <f t="shared" si="30"/>
        <v>·</v>
      </c>
      <c r="Z49" s="18" t="str">
        <f t="shared" si="31"/>
        <v>·</v>
      </c>
      <c r="AA49" s="18" t="str">
        <f t="shared" si="32"/>
        <v>·</v>
      </c>
      <c r="AB49" s="19"/>
      <c r="AC49" s="18" t="str">
        <f t="shared" si="33"/>
        <v>·</v>
      </c>
      <c r="AD49" s="20"/>
      <c r="AE49" s="21"/>
      <c r="AF49" s="21"/>
      <c r="AG49" s="21"/>
      <c r="AH49" s="37"/>
      <c r="AI49" s="49"/>
      <c r="AJ49" s="49"/>
      <c r="AL49" s="54" t="e">
        <f t="shared" si="34"/>
        <v>#VALUE!</v>
      </c>
      <c r="AM49" s="54" t="e">
        <f t="shared" si="35"/>
        <v>#VALUE!</v>
      </c>
      <c r="AN49" s="54" t="e">
        <f t="shared" si="36"/>
        <v>#VALUE!</v>
      </c>
      <c r="AO49" s="61"/>
      <c r="AP49" s="53" t="e">
        <f t="shared" si="37"/>
        <v>#DIV/0!</v>
      </c>
      <c r="AQ49" s="53" t="e">
        <f t="array" ref="AQ49">AVERAGE(AF49:AF49/AE49:AE49)-AVERAGE(Q49:Q49/P49:P49)</f>
        <v>#DIV/0!</v>
      </c>
      <c r="AS49">
        <f t="shared" si="17"/>
        <v>0</v>
      </c>
      <c r="AT49">
        <f t="shared" si="18"/>
        <v>0</v>
      </c>
      <c r="AU49">
        <f t="shared" si="19"/>
        <v>0</v>
      </c>
      <c r="AV49">
        <f t="shared" si="20"/>
        <v>0</v>
      </c>
      <c r="AW49">
        <f t="shared" si="21"/>
        <v>0</v>
      </c>
    </row>
    <row r="50" spans="1:49" x14ac:dyDescent="0.15">
      <c r="A50" s="14"/>
      <c r="B50" s="14" t="s">
        <v>173</v>
      </c>
      <c r="C50" s="14">
        <v>2000297</v>
      </c>
      <c r="D50" s="16">
        <v>20</v>
      </c>
      <c r="E50" s="15">
        <v>1</v>
      </c>
      <c r="F50" s="15"/>
      <c r="H50" s="59" t="str">
        <f t="shared" si="22"/>
        <v>·</v>
      </c>
      <c r="I50" s="32" t="str">
        <f t="shared" si="23"/>
        <v>·</v>
      </c>
      <c r="J50" s="33" t="str">
        <f t="shared" si="24"/>
        <v>·</v>
      </c>
      <c r="K50" s="33" t="str">
        <f t="shared" si="25"/>
        <v>·</v>
      </c>
      <c r="L50" s="33" t="str">
        <f t="shared" si="26"/>
        <v>·</v>
      </c>
      <c r="M50" s="34"/>
      <c r="N50" s="33" t="str">
        <f t="shared" si="27"/>
        <v>·</v>
      </c>
      <c r="O50" s="35"/>
      <c r="P50" s="36"/>
      <c r="Q50" s="36"/>
      <c r="R50" s="36"/>
      <c r="S50" s="46"/>
      <c r="T50" s="52"/>
      <c r="U50" s="52"/>
      <c r="W50" s="59" t="str">
        <f t="shared" si="28"/>
        <v>·</v>
      </c>
      <c r="X50" s="32" t="str">
        <f t="shared" si="29"/>
        <v>·</v>
      </c>
      <c r="Y50" s="33" t="str">
        <f t="shared" si="30"/>
        <v>·</v>
      </c>
      <c r="Z50" s="33" t="str">
        <f t="shared" si="31"/>
        <v>·</v>
      </c>
      <c r="AA50" s="33" t="str">
        <f t="shared" si="32"/>
        <v>·</v>
      </c>
      <c r="AB50" s="34"/>
      <c r="AC50" s="33" t="str">
        <f t="shared" si="33"/>
        <v>·</v>
      </c>
      <c r="AD50" s="35"/>
      <c r="AE50" s="36"/>
      <c r="AF50" s="36"/>
      <c r="AG50" s="36"/>
      <c r="AH50" s="46"/>
      <c r="AI50" s="52"/>
      <c r="AJ50" s="52"/>
      <c r="AL50" s="60" t="e">
        <f t="shared" si="34"/>
        <v>#VALUE!</v>
      </c>
      <c r="AM50" s="60" t="e">
        <f t="shared" si="35"/>
        <v>#VALUE!</v>
      </c>
      <c r="AN50" s="60" t="e">
        <f t="shared" si="36"/>
        <v>#VALUE!</v>
      </c>
      <c r="AO50" s="64"/>
      <c r="AP50" s="59" t="e">
        <f t="shared" si="37"/>
        <v>#DIV/0!</v>
      </c>
      <c r="AQ50" s="59" t="e">
        <f t="array" ref="AQ50">AVERAGE(AF50:AF50/AE50:AE50)-AVERAGE(Q50:Q50/P50:P50)</f>
        <v>#DIV/0!</v>
      </c>
      <c r="AS50">
        <f t="shared" si="17"/>
        <v>0</v>
      </c>
      <c r="AT50">
        <f t="shared" si="18"/>
        <v>0</v>
      </c>
      <c r="AU50">
        <f t="shared" si="19"/>
        <v>0</v>
      </c>
      <c r="AV50">
        <f t="shared" si="20"/>
        <v>0</v>
      </c>
      <c r="AW50">
        <f t="shared" si="21"/>
        <v>0</v>
      </c>
    </row>
    <row r="51" spans="1:49" x14ac:dyDescent="0.15">
      <c r="A51" s="5" t="s">
        <v>261</v>
      </c>
      <c r="B51" s="5" t="s">
        <v>174</v>
      </c>
      <c r="C51" s="5">
        <v>19948121</v>
      </c>
      <c r="D51" s="7">
        <v>21</v>
      </c>
      <c r="E51" s="6">
        <v>1</v>
      </c>
      <c r="F51" s="6"/>
      <c r="H51" s="53" t="str">
        <f t="shared" si="22"/>
        <v>·</v>
      </c>
      <c r="I51" s="17" t="str">
        <f t="shared" si="23"/>
        <v>·</v>
      </c>
      <c r="J51" s="18" t="str">
        <f t="shared" si="24"/>
        <v>·</v>
      </c>
      <c r="K51" s="18" t="str">
        <f t="shared" si="25"/>
        <v>·</v>
      </c>
      <c r="L51" s="18" t="str">
        <f t="shared" si="26"/>
        <v>·</v>
      </c>
      <c r="M51" s="18" t="str">
        <f t="shared" ref="M51:M60" si="38">IF(ISBLANK(Q51),"·",S51/C51)</f>
        <v>·</v>
      </c>
      <c r="N51" s="18" t="str">
        <f t="shared" si="27"/>
        <v>·</v>
      </c>
      <c r="O51" s="20"/>
      <c r="P51" s="21"/>
      <c r="Q51" s="21"/>
      <c r="R51" s="21"/>
      <c r="S51" s="21"/>
      <c r="T51" s="49"/>
      <c r="U51" s="49"/>
      <c r="W51" s="53" t="str">
        <f t="shared" si="28"/>
        <v>·</v>
      </c>
      <c r="X51" s="17" t="str">
        <f t="shared" si="29"/>
        <v>·</v>
      </c>
      <c r="Y51" s="18" t="str">
        <f t="shared" si="30"/>
        <v>·</v>
      </c>
      <c r="Z51" s="18" t="str">
        <f t="shared" si="31"/>
        <v>·</v>
      </c>
      <c r="AA51" s="18" t="str">
        <f t="shared" si="32"/>
        <v>·</v>
      </c>
      <c r="AB51" s="18" t="str">
        <f t="shared" ref="AB51:AB60" si="39">IF(ISBLANK(AF51),"·",AH51/C51)</f>
        <v>·</v>
      </c>
      <c r="AC51" s="18" t="str">
        <f t="shared" si="33"/>
        <v>·</v>
      </c>
      <c r="AD51" s="20"/>
      <c r="AE51" s="21"/>
      <c r="AF51" s="21"/>
      <c r="AG51" s="21"/>
      <c r="AH51" s="21"/>
      <c r="AI51" s="49"/>
      <c r="AJ51" s="49"/>
      <c r="AL51" s="54" t="e">
        <f t="shared" si="34"/>
        <v>#VALUE!</v>
      </c>
      <c r="AM51" s="54" t="e">
        <f t="shared" si="35"/>
        <v>#VALUE!</v>
      </c>
      <c r="AN51" s="54" t="e">
        <f t="shared" si="36"/>
        <v>#VALUE!</v>
      </c>
      <c r="AO51" s="54" t="e">
        <f t="shared" ref="AO51:AO60" si="40">AB51/M51</f>
        <v>#VALUE!</v>
      </c>
      <c r="AP51" s="53" t="e">
        <f t="shared" si="37"/>
        <v>#DIV/0!</v>
      </c>
      <c r="AQ51" s="53" t="e">
        <f t="array" ref="AQ51">AVERAGE(AF51:AF51/AE51:AE51)-AVERAGE(Q51:Q51/P51:P51)</f>
        <v>#DIV/0!</v>
      </c>
      <c r="AS51">
        <f t="shared" si="17"/>
        <v>0</v>
      </c>
      <c r="AT51">
        <f t="shared" si="18"/>
        <v>0</v>
      </c>
      <c r="AU51">
        <f t="shared" si="19"/>
        <v>0</v>
      </c>
      <c r="AV51">
        <f t="shared" si="20"/>
        <v>0</v>
      </c>
      <c r="AW51">
        <f t="shared" si="21"/>
        <v>0</v>
      </c>
    </row>
    <row r="52" spans="1:49" x14ac:dyDescent="0.15">
      <c r="A52" s="8"/>
      <c r="B52" s="8" t="s">
        <v>175</v>
      </c>
      <c r="C52" s="8">
        <v>5255920</v>
      </c>
      <c r="D52" s="10">
        <v>20</v>
      </c>
      <c r="E52" s="9">
        <v>1</v>
      </c>
      <c r="F52" s="9"/>
      <c r="H52" s="55" t="str">
        <f t="shared" si="22"/>
        <v>·</v>
      </c>
      <c r="I52" s="22" t="str">
        <f t="shared" si="23"/>
        <v>·</v>
      </c>
      <c r="J52" s="23" t="str">
        <f t="shared" si="24"/>
        <v>·</v>
      </c>
      <c r="K52" s="23" t="str">
        <f t="shared" si="25"/>
        <v>·</v>
      </c>
      <c r="L52" s="23" t="str">
        <f t="shared" si="26"/>
        <v>·</v>
      </c>
      <c r="M52" s="23" t="str">
        <f t="shared" si="38"/>
        <v>·</v>
      </c>
      <c r="N52" s="23" t="str">
        <f t="shared" si="27"/>
        <v>·</v>
      </c>
      <c r="O52" s="25"/>
      <c r="P52" s="26"/>
      <c r="Q52" s="26"/>
      <c r="R52" s="26"/>
      <c r="S52" s="26"/>
      <c r="T52" s="50"/>
      <c r="U52" s="50"/>
      <c r="W52" s="55" t="str">
        <f t="shared" si="28"/>
        <v>·</v>
      </c>
      <c r="X52" s="22" t="str">
        <f t="shared" si="29"/>
        <v>·</v>
      </c>
      <c r="Y52" s="23" t="str">
        <f t="shared" si="30"/>
        <v>·</v>
      </c>
      <c r="Z52" s="23" t="str">
        <f t="shared" si="31"/>
        <v>·</v>
      </c>
      <c r="AA52" s="23" t="str">
        <f t="shared" si="32"/>
        <v>·</v>
      </c>
      <c r="AB52" s="23" t="str">
        <f t="shared" si="39"/>
        <v>·</v>
      </c>
      <c r="AC52" s="23" t="str">
        <f t="shared" si="33"/>
        <v>·</v>
      </c>
      <c r="AD52" s="25"/>
      <c r="AE52" s="26"/>
      <c r="AF52" s="26"/>
      <c r="AG52" s="26"/>
      <c r="AH52" s="26"/>
      <c r="AI52" s="50"/>
      <c r="AJ52" s="50"/>
      <c r="AL52" s="56" t="e">
        <f t="shared" si="34"/>
        <v>#VALUE!</v>
      </c>
      <c r="AM52" s="56" t="e">
        <f t="shared" si="35"/>
        <v>#VALUE!</v>
      </c>
      <c r="AN52" s="56" t="e">
        <f t="shared" si="36"/>
        <v>#VALUE!</v>
      </c>
      <c r="AO52" s="56" t="e">
        <f t="shared" si="40"/>
        <v>#VALUE!</v>
      </c>
      <c r="AP52" s="55" t="e">
        <f t="shared" si="37"/>
        <v>#DIV/0!</v>
      </c>
      <c r="AQ52" s="55" t="e">
        <f t="array" ref="AQ52">AVERAGE(AF52:AF52/AE52:AE52)-AVERAGE(Q52:Q52/P52:P52)</f>
        <v>#DIV/0!</v>
      </c>
      <c r="AS52">
        <f t="shared" si="17"/>
        <v>0</v>
      </c>
      <c r="AT52">
        <f t="shared" si="18"/>
        <v>0</v>
      </c>
      <c r="AU52">
        <f t="shared" si="19"/>
        <v>0</v>
      </c>
      <c r="AV52">
        <f t="shared" si="20"/>
        <v>0</v>
      </c>
      <c r="AW52">
        <f t="shared" si="21"/>
        <v>0</v>
      </c>
    </row>
    <row r="53" spans="1:49" x14ac:dyDescent="0.15">
      <c r="A53" s="11"/>
      <c r="B53" s="11" t="s">
        <v>176</v>
      </c>
      <c r="C53" s="11">
        <v>7148516</v>
      </c>
      <c r="D53" s="13">
        <v>21</v>
      </c>
      <c r="E53" s="12">
        <v>1</v>
      </c>
      <c r="F53" s="12"/>
      <c r="H53" s="57" t="str">
        <f t="shared" si="22"/>
        <v>·</v>
      </c>
      <c r="I53" s="27" t="str">
        <f t="shared" si="23"/>
        <v>·</v>
      </c>
      <c r="J53" s="28" t="str">
        <f t="shared" si="24"/>
        <v>·</v>
      </c>
      <c r="K53" s="28" t="str">
        <f t="shared" si="25"/>
        <v>·</v>
      </c>
      <c r="L53" s="28" t="str">
        <f t="shared" si="26"/>
        <v>·</v>
      </c>
      <c r="M53" s="28" t="str">
        <f t="shared" si="38"/>
        <v>·</v>
      </c>
      <c r="N53" s="28" t="str">
        <f t="shared" si="27"/>
        <v>·</v>
      </c>
      <c r="O53" s="30"/>
      <c r="P53" s="31"/>
      <c r="Q53" s="31"/>
      <c r="R53" s="31"/>
      <c r="S53" s="31"/>
      <c r="T53" s="51"/>
      <c r="U53" s="51"/>
      <c r="W53" s="57" t="str">
        <f t="shared" si="28"/>
        <v>·</v>
      </c>
      <c r="X53" s="27" t="str">
        <f t="shared" si="29"/>
        <v>·</v>
      </c>
      <c r="Y53" s="28" t="str">
        <f t="shared" si="30"/>
        <v>·</v>
      </c>
      <c r="Z53" s="28" t="str">
        <f t="shared" si="31"/>
        <v>·</v>
      </c>
      <c r="AA53" s="28" t="str">
        <f t="shared" si="32"/>
        <v>·</v>
      </c>
      <c r="AB53" s="28" t="str">
        <f t="shared" si="39"/>
        <v>·</v>
      </c>
      <c r="AC53" s="28" t="str">
        <f t="shared" si="33"/>
        <v>·</v>
      </c>
      <c r="AD53" s="30"/>
      <c r="AE53" s="31"/>
      <c r="AF53" s="31"/>
      <c r="AG53" s="31"/>
      <c r="AH53" s="31"/>
      <c r="AI53" s="51"/>
      <c r="AJ53" s="51"/>
      <c r="AL53" s="58" t="e">
        <f t="shared" si="34"/>
        <v>#VALUE!</v>
      </c>
      <c r="AM53" s="58" t="e">
        <f t="shared" si="35"/>
        <v>#VALUE!</v>
      </c>
      <c r="AN53" s="58" t="e">
        <f t="shared" si="36"/>
        <v>#VALUE!</v>
      </c>
      <c r="AO53" s="58" t="e">
        <f t="shared" si="40"/>
        <v>#VALUE!</v>
      </c>
      <c r="AP53" s="57" t="e">
        <f t="shared" si="37"/>
        <v>#DIV/0!</v>
      </c>
      <c r="AQ53" s="57" t="e">
        <f t="array" ref="AQ53">AVERAGE(AF53:AF53/AE53:AE53)-AVERAGE(Q53:Q53/P53:P53)</f>
        <v>#DIV/0!</v>
      </c>
      <c r="AS53">
        <f t="shared" si="17"/>
        <v>0</v>
      </c>
      <c r="AT53">
        <f t="shared" si="18"/>
        <v>0</v>
      </c>
      <c r="AU53">
        <f t="shared" si="19"/>
        <v>0</v>
      </c>
      <c r="AV53">
        <f t="shared" si="20"/>
        <v>0</v>
      </c>
      <c r="AW53">
        <f t="shared" si="21"/>
        <v>0</v>
      </c>
    </row>
    <row r="54" spans="1:49" x14ac:dyDescent="0.15">
      <c r="A54" s="8" t="s">
        <v>262</v>
      </c>
      <c r="B54" s="8" t="s">
        <v>177</v>
      </c>
      <c r="C54" s="8">
        <v>123940658</v>
      </c>
      <c r="D54" s="10">
        <v>18</v>
      </c>
      <c r="E54" s="9">
        <v>1500</v>
      </c>
      <c r="F54" s="9">
        <v>10</v>
      </c>
      <c r="H54" s="55" t="str">
        <f t="shared" si="22"/>
        <v>·</v>
      </c>
      <c r="I54" s="22" t="str">
        <f t="shared" si="23"/>
        <v>·</v>
      </c>
      <c r="J54" s="23" t="str">
        <f t="shared" si="24"/>
        <v>·</v>
      </c>
      <c r="K54" s="23" t="str">
        <f t="shared" si="25"/>
        <v>·</v>
      </c>
      <c r="L54" s="24"/>
      <c r="M54" s="23" t="str">
        <f t="shared" si="38"/>
        <v>·</v>
      </c>
      <c r="N54" s="23" t="str">
        <f t="shared" si="27"/>
        <v>·</v>
      </c>
      <c r="O54" s="25"/>
      <c r="P54" s="26"/>
      <c r="Q54" s="26"/>
      <c r="R54" s="40"/>
      <c r="S54" s="26"/>
      <c r="T54" s="50"/>
      <c r="U54" s="50"/>
      <c r="W54" s="55" t="str">
        <f t="shared" si="28"/>
        <v>·</v>
      </c>
      <c r="X54" s="22" t="str">
        <f t="shared" si="29"/>
        <v>·</v>
      </c>
      <c r="Y54" s="23" t="str">
        <f t="shared" si="30"/>
        <v>·</v>
      </c>
      <c r="Z54" s="23" t="str">
        <f t="shared" si="31"/>
        <v>·</v>
      </c>
      <c r="AA54" s="24"/>
      <c r="AB54" s="23" t="str">
        <f t="shared" si="39"/>
        <v>·</v>
      </c>
      <c r="AC54" s="23" t="str">
        <f t="shared" si="33"/>
        <v>·</v>
      </c>
      <c r="AD54" s="25"/>
      <c r="AE54" s="26"/>
      <c r="AF54" s="26"/>
      <c r="AG54" s="40"/>
      <c r="AH54" s="26"/>
      <c r="AI54" s="50"/>
      <c r="AJ54" s="50"/>
      <c r="AL54" s="56" t="e">
        <f t="shared" ref="AL54:AL65" si="41">Y54/J54</f>
        <v>#VALUE!</v>
      </c>
      <c r="AM54" s="56" t="e">
        <f t="shared" ref="AM54:AM65" si="42">Z54/K54</f>
        <v>#VALUE!</v>
      </c>
      <c r="AN54" s="62"/>
      <c r="AO54" s="56" t="e">
        <f t="shared" si="40"/>
        <v>#VALUE!</v>
      </c>
      <c r="AP54" s="55" t="e">
        <f t="shared" si="37"/>
        <v>#DIV/0!</v>
      </c>
      <c r="AQ54" s="55" t="e">
        <f t="array" ref="AQ54">AVERAGE(AF54:AF54/AE54:AE54)-AVERAGE(Q54:Q54/P54:P54)</f>
        <v>#DIV/0!</v>
      </c>
      <c r="AS54">
        <f t="shared" si="17"/>
        <v>0</v>
      </c>
      <c r="AT54">
        <f t="shared" si="18"/>
        <v>0</v>
      </c>
      <c r="AU54">
        <f t="shared" si="19"/>
        <v>0</v>
      </c>
      <c r="AV54">
        <f t="shared" si="20"/>
        <v>0</v>
      </c>
      <c r="AW54">
        <f t="shared" si="21"/>
        <v>0</v>
      </c>
    </row>
    <row r="55" spans="1:49" x14ac:dyDescent="0.15">
      <c r="A55" s="5"/>
      <c r="B55" s="5" t="s">
        <v>178</v>
      </c>
      <c r="C55" s="5">
        <v>125751705</v>
      </c>
      <c r="D55" s="7">
        <v>18</v>
      </c>
      <c r="E55" s="6">
        <v>1500</v>
      </c>
      <c r="F55" s="6">
        <v>10</v>
      </c>
      <c r="H55" s="53" t="str">
        <f t="shared" si="22"/>
        <v>·</v>
      </c>
      <c r="I55" s="17" t="str">
        <f t="shared" si="23"/>
        <v>·</v>
      </c>
      <c r="J55" s="18" t="str">
        <f t="shared" si="24"/>
        <v>·</v>
      </c>
      <c r="K55" s="18" t="str">
        <f t="shared" si="25"/>
        <v>·</v>
      </c>
      <c r="L55" s="19"/>
      <c r="M55" s="18" t="str">
        <f t="shared" si="38"/>
        <v>·</v>
      </c>
      <c r="N55" s="18" t="str">
        <f t="shared" si="27"/>
        <v>·</v>
      </c>
      <c r="O55" s="20"/>
      <c r="P55" s="21"/>
      <c r="Q55" s="21"/>
      <c r="R55" s="37"/>
      <c r="S55" s="21"/>
      <c r="T55" s="49"/>
      <c r="U55" s="49"/>
      <c r="W55" s="53" t="str">
        <f t="shared" si="28"/>
        <v>·</v>
      </c>
      <c r="X55" s="17" t="str">
        <f t="shared" si="29"/>
        <v>·</v>
      </c>
      <c r="Y55" s="18" t="str">
        <f t="shared" si="30"/>
        <v>·</v>
      </c>
      <c r="Z55" s="18" t="str">
        <f t="shared" si="31"/>
        <v>·</v>
      </c>
      <c r="AA55" s="19"/>
      <c r="AB55" s="18" t="str">
        <f t="shared" si="39"/>
        <v>·</v>
      </c>
      <c r="AC55" s="18" t="str">
        <f t="shared" si="33"/>
        <v>·</v>
      </c>
      <c r="AD55" s="20"/>
      <c r="AE55" s="21"/>
      <c r="AF55" s="21"/>
      <c r="AG55" s="37"/>
      <c r="AH55" s="21"/>
      <c r="AI55" s="49"/>
      <c r="AJ55" s="49"/>
      <c r="AL55" s="54" t="e">
        <f t="shared" si="41"/>
        <v>#VALUE!</v>
      </c>
      <c r="AM55" s="54" t="e">
        <f t="shared" si="42"/>
        <v>#VALUE!</v>
      </c>
      <c r="AN55" s="61"/>
      <c r="AO55" s="54" t="e">
        <f t="shared" si="40"/>
        <v>#VALUE!</v>
      </c>
      <c r="AP55" s="53" t="e">
        <f t="shared" si="37"/>
        <v>#DIV/0!</v>
      </c>
      <c r="AQ55" s="53" t="e">
        <f t="array" ref="AQ55">AVERAGE(AF55:AF55/AE55:AE55)-AVERAGE(Q55:Q55/P55:P55)</f>
        <v>#DIV/0!</v>
      </c>
      <c r="AS55">
        <f t="shared" si="17"/>
        <v>0</v>
      </c>
      <c r="AT55">
        <f t="shared" si="18"/>
        <v>0</v>
      </c>
      <c r="AU55">
        <f t="shared" si="19"/>
        <v>0</v>
      </c>
      <c r="AV55">
        <f t="shared" si="20"/>
        <v>0</v>
      </c>
      <c r="AW55">
        <f t="shared" si="21"/>
        <v>0</v>
      </c>
    </row>
    <row r="56" spans="1:49" x14ac:dyDescent="0.15">
      <c r="A56" s="8"/>
      <c r="B56" s="8" t="s">
        <v>179</v>
      </c>
      <c r="C56" s="8">
        <v>126093865</v>
      </c>
      <c r="D56" s="10">
        <v>18</v>
      </c>
      <c r="E56" s="9">
        <v>1500</v>
      </c>
      <c r="F56" s="9">
        <v>10</v>
      </c>
      <c r="H56" s="55" t="str">
        <f t="shared" si="22"/>
        <v>·</v>
      </c>
      <c r="I56" s="22" t="str">
        <f t="shared" si="23"/>
        <v>·</v>
      </c>
      <c r="J56" s="23" t="str">
        <f t="shared" si="24"/>
        <v>·</v>
      </c>
      <c r="K56" s="23" t="str">
        <f t="shared" si="25"/>
        <v>·</v>
      </c>
      <c r="L56" s="24"/>
      <c r="M56" s="23" t="str">
        <f t="shared" si="38"/>
        <v>·</v>
      </c>
      <c r="N56" s="23" t="str">
        <f t="shared" si="27"/>
        <v>·</v>
      </c>
      <c r="O56" s="25"/>
      <c r="P56" s="26"/>
      <c r="Q56" s="26"/>
      <c r="R56" s="40"/>
      <c r="S56" s="26"/>
      <c r="T56" s="50"/>
      <c r="U56" s="50"/>
      <c r="W56" s="55" t="str">
        <f t="shared" si="28"/>
        <v>·</v>
      </c>
      <c r="X56" s="22" t="str">
        <f t="shared" si="29"/>
        <v>·</v>
      </c>
      <c r="Y56" s="23" t="str">
        <f t="shared" si="30"/>
        <v>·</v>
      </c>
      <c r="Z56" s="23" t="str">
        <f t="shared" si="31"/>
        <v>·</v>
      </c>
      <c r="AA56" s="24"/>
      <c r="AB56" s="23" t="str">
        <f t="shared" si="39"/>
        <v>·</v>
      </c>
      <c r="AC56" s="23" t="str">
        <f t="shared" si="33"/>
        <v>·</v>
      </c>
      <c r="AD56" s="25"/>
      <c r="AE56" s="26"/>
      <c r="AF56" s="26"/>
      <c r="AG56" s="40"/>
      <c r="AH56" s="26"/>
      <c r="AI56" s="50"/>
      <c r="AJ56" s="50"/>
      <c r="AL56" s="56" t="e">
        <f t="shared" si="41"/>
        <v>#VALUE!</v>
      </c>
      <c r="AM56" s="56" t="e">
        <f t="shared" si="42"/>
        <v>#VALUE!</v>
      </c>
      <c r="AN56" s="62"/>
      <c r="AO56" s="56" t="e">
        <f t="shared" si="40"/>
        <v>#VALUE!</v>
      </c>
      <c r="AP56" s="55" t="e">
        <f t="shared" si="37"/>
        <v>#DIV/0!</v>
      </c>
      <c r="AQ56" s="55" t="e">
        <f t="array" ref="AQ56">AVERAGE(AF56:AF56/AE56:AE56)-AVERAGE(Q56:Q56/P56:P56)</f>
        <v>#DIV/0!</v>
      </c>
      <c r="AS56">
        <f t="shared" si="17"/>
        <v>0</v>
      </c>
      <c r="AT56">
        <f t="shared" si="18"/>
        <v>0</v>
      </c>
      <c r="AU56">
        <f t="shared" si="19"/>
        <v>0</v>
      </c>
      <c r="AV56">
        <f t="shared" si="20"/>
        <v>0</v>
      </c>
      <c r="AW56">
        <f t="shared" si="21"/>
        <v>0</v>
      </c>
    </row>
    <row r="57" spans="1:49" x14ac:dyDescent="0.15">
      <c r="A57" s="5"/>
      <c r="B57" s="5" t="s">
        <v>180</v>
      </c>
      <c r="C57" s="5">
        <v>2233793</v>
      </c>
      <c r="D57" s="7">
        <v>18</v>
      </c>
      <c r="E57" s="6">
        <v>74</v>
      </c>
      <c r="F57" s="6">
        <v>5</v>
      </c>
      <c r="H57" s="53" t="str">
        <f t="shared" si="22"/>
        <v>·</v>
      </c>
      <c r="I57" s="17" t="str">
        <f t="shared" si="23"/>
        <v>·</v>
      </c>
      <c r="J57" s="18" t="str">
        <f t="shared" si="24"/>
        <v>·</v>
      </c>
      <c r="K57" s="18" t="str">
        <f t="shared" si="25"/>
        <v>·</v>
      </c>
      <c r="L57" s="19"/>
      <c r="M57" s="18" t="str">
        <f t="shared" si="38"/>
        <v>·</v>
      </c>
      <c r="N57" s="18" t="str">
        <f t="shared" si="27"/>
        <v>·</v>
      </c>
      <c r="O57" s="20"/>
      <c r="P57" s="21"/>
      <c r="Q57" s="21"/>
      <c r="R57" s="37"/>
      <c r="S57" s="21"/>
      <c r="T57" s="49"/>
      <c r="U57" s="49"/>
      <c r="W57" s="53" t="str">
        <f t="shared" si="28"/>
        <v>·</v>
      </c>
      <c r="X57" s="17" t="str">
        <f t="shared" si="29"/>
        <v>·</v>
      </c>
      <c r="Y57" s="18" t="str">
        <f t="shared" si="30"/>
        <v>·</v>
      </c>
      <c r="Z57" s="18" t="str">
        <f t="shared" si="31"/>
        <v>·</v>
      </c>
      <c r="AA57" s="19"/>
      <c r="AB57" s="18" t="str">
        <f t="shared" si="39"/>
        <v>·</v>
      </c>
      <c r="AC57" s="18" t="str">
        <f t="shared" si="33"/>
        <v>·</v>
      </c>
      <c r="AD57" s="20"/>
      <c r="AE57" s="21"/>
      <c r="AF57" s="21"/>
      <c r="AG57" s="37"/>
      <c r="AH57" s="21"/>
      <c r="AI57" s="49"/>
      <c r="AJ57" s="49"/>
      <c r="AL57" s="54" t="e">
        <f t="shared" si="41"/>
        <v>#VALUE!</v>
      </c>
      <c r="AM57" s="54" t="e">
        <f t="shared" si="42"/>
        <v>#VALUE!</v>
      </c>
      <c r="AN57" s="61"/>
      <c r="AO57" s="54" t="e">
        <f t="shared" si="40"/>
        <v>#VALUE!</v>
      </c>
      <c r="AP57" s="53" t="e">
        <f t="shared" si="37"/>
        <v>#DIV/0!</v>
      </c>
      <c r="AQ57" s="53" t="e">
        <f t="array" ref="AQ57">AVERAGE(AF57:AF57/AE57:AE57)-AVERAGE(Q57:Q57/P57:P57)</f>
        <v>#DIV/0!</v>
      </c>
      <c r="AS57">
        <f t="shared" si="17"/>
        <v>0</v>
      </c>
      <c r="AT57">
        <f t="shared" si="18"/>
        <v>0</v>
      </c>
      <c r="AU57">
        <f t="shared" si="19"/>
        <v>0</v>
      </c>
      <c r="AV57">
        <f t="shared" si="20"/>
        <v>0</v>
      </c>
      <c r="AW57">
        <f t="shared" si="21"/>
        <v>0</v>
      </c>
    </row>
    <row r="58" spans="1:49" x14ac:dyDescent="0.15">
      <c r="A58" s="8"/>
      <c r="B58" s="8" t="s">
        <v>181</v>
      </c>
      <c r="C58" s="8">
        <v>2016190</v>
      </c>
      <c r="D58" s="10">
        <v>18</v>
      </c>
      <c r="E58" s="9">
        <v>74</v>
      </c>
      <c r="F58" s="9">
        <v>5</v>
      </c>
      <c r="H58" s="55" t="str">
        <f t="shared" si="22"/>
        <v>·</v>
      </c>
      <c r="I58" s="22" t="str">
        <f t="shared" si="23"/>
        <v>·</v>
      </c>
      <c r="J58" s="23" t="str">
        <f t="shared" si="24"/>
        <v>·</v>
      </c>
      <c r="K58" s="23" t="str">
        <f t="shared" si="25"/>
        <v>·</v>
      </c>
      <c r="L58" s="24"/>
      <c r="M58" s="23" t="str">
        <f t="shared" si="38"/>
        <v>·</v>
      </c>
      <c r="N58" s="23" t="str">
        <f t="shared" si="27"/>
        <v>·</v>
      </c>
      <c r="O58" s="25"/>
      <c r="P58" s="26"/>
      <c r="Q58" s="26"/>
      <c r="R58" s="40"/>
      <c r="S58" s="26"/>
      <c r="T58" s="50"/>
      <c r="U58" s="50"/>
      <c r="W58" s="55" t="str">
        <f t="shared" si="28"/>
        <v>·</v>
      </c>
      <c r="X58" s="22" t="str">
        <f t="shared" si="29"/>
        <v>·</v>
      </c>
      <c r="Y58" s="23" t="str">
        <f t="shared" si="30"/>
        <v>·</v>
      </c>
      <c r="Z58" s="23" t="str">
        <f t="shared" si="31"/>
        <v>·</v>
      </c>
      <c r="AA58" s="24"/>
      <c r="AB58" s="23" t="str">
        <f t="shared" si="39"/>
        <v>·</v>
      </c>
      <c r="AC58" s="23" t="str">
        <f t="shared" si="33"/>
        <v>·</v>
      </c>
      <c r="AD58" s="25"/>
      <c r="AE58" s="26"/>
      <c r="AF58" s="26"/>
      <c r="AG58" s="40"/>
      <c r="AH58" s="26"/>
      <c r="AI58" s="50"/>
      <c r="AJ58" s="50"/>
      <c r="AL58" s="56" t="e">
        <f t="shared" si="41"/>
        <v>#VALUE!</v>
      </c>
      <c r="AM58" s="56" t="e">
        <f t="shared" si="42"/>
        <v>#VALUE!</v>
      </c>
      <c r="AN58" s="62"/>
      <c r="AO58" s="56" t="e">
        <f t="shared" si="40"/>
        <v>#VALUE!</v>
      </c>
      <c r="AP58" s="55" t="e">
        <f t="shared" si="37"/>
        <v>#DIV/0!</v>
      </c>
      <c r="AQ58" s="55" t="e">
        <f t="array" ref="AQ58">AVERAGE(AF58:AF58/AE58:AE58)-AVERAGE(Q58:Q58/P58:P58)</f>
        <v>#DIV/0!</v>
      </c>
      <c r="AS58">
        <f t="shared" si="17"/>
        <v>0</v>
      </c>
      <c r="AT58">
        <f t="shared" si="18"/>
        <v>0</v>
      </c>
      <c r="AU58">
        <f t="shared" si="19"/>
        <v>0</v>
      </c>
      <c r="AV58">
        <f t="shared" si="20"/>
        <v>0</v>
      </c>
      <c r="AW58">
        <f t="shared" si="21"/>
        <v>0</v>
      </c>
    </row>
    <row r="59" spans="1:49" x14ac:dyDescent="0.15">
      <c r="A59" s="5"/>
      <c r="B59" s="5" t="s">
        <v>182</v>
      </c>
      <c r="C59" s="5">
        <v>14430189</v>
      </c>
      <c r="D59" s="7">
        <v>18</v>
      </c>
      <c r="E59" s="6">
        <v>500</v>
      </c>
      <c r="F59" s="6">
        <v>5</v>
      </c>
      <c r="H59" s="53" t="str">
        <f t="shared" si="22"/>
        <v>·</v>
      </c>
      <c r="I59" s="17" t="str">
        <f t="shared" si="23"/>
        <v>·</v>
      </c>
      <c r="J59" s="18" t="str">
        <f t="shared" si="24"/>
        <v>·</v>
      </c>
      <c r="K59" s="18" t="str">
        <f t="shared" si="25"/>
        <v>·</v>
      </c>
      <c r="L59" s="19"/>
      <c r="M59" s="18" t="str">
        <f t="shared" si="38"/>
        <v>·</v>
      </c>
      <c r="N59" s="18" t="str">
        <f t="shared" si="27"/>
        <v>·</v>
      </c>
      <c r="O59" s="20"/>
      <c r="P59" s="21"/>
      <c r="Q59" s="21"/>
      <c r="R59" s="37"/>
      <c r="S59" s="21"/>
      <c r="T59" s="49"/>
      <c r="U59" s="49"/>
      <c r="W59" s="53" t="str">
        <f t="shared" si="28"/>
        <v>·</v>
      </c>
      <c r="X59" s="17" t="str">
        <f t="shared" si="29"/>
        <v>·</v>
      </c>
      <c r="Y59" s="18" t="str">
        <f t="shared" si="30"/>
        <v>·</v>
      </c>
      <c r="Z59" s="18" t="str">
        <f t="shared" si="31"/>
        <v>·</v>
      </c>
      <c r="AA59" s="19"/>
      <c r="AB59" s="18" t="str">
        <f t="shared" si="39"/>
        <v>·</v>
      </c>
      <c r="AC59" s="18" t="str">
        <f t="shared" si="33"/>
        <v>·</v>
      </c>
      <c r="AD59" s="20"/>
      <c r="AE59" s="21"/>
      <c r="AF59" s="21"/>
      <c r="AG59" s="37"/>
      <c r="AH59" s="21"/>
      <c r="AI59" s="49"/>
      <c r="AJ59" s="49"/>
      <c r="AL59" s="54" t="e">
        <f t="shared" si="41"/>
        <v>#VALUE!</v>
      </c>
      <c r="AM59" s="54" t="e">
        <f t="shared" si="42"/>
        <v>#VALUE!</v>
      </c>
      <c r="AN59" s="61"/>
      <c r="AO59" s="54" t="e">
        <f t="shared" si="40"/>
        <v>#VALUE!</v>
      </c>
      <c r="AP59" s="53" t="e">
        <f t="shared" si="37"/>
        <v>#DIV/0!</v>
      </c>
      <c r="AQ59" s="53" t="e">
        <f t="array" ref="AQ59">AVERAGE(AF59:AF59/AE59:AE59)-AVERAGE(Q59:Q59/P59:P59)</f>
        <v>#DIV/0!</v>
      </c>
      <c r="AS59">
        <f t="shared" si="17"/>
        <v>0</v>
      </c>
      <c r="AT59">
        <f t="shared" si="18"/>
        <v>0</v>
      </c>
      <c r="AU59">
        <f t="shared" si="19"/>
        <v>0</v>
      </c>
      <c r="AV59">
        <f t="shared" si="20"/>
        <v>0</v>
      </c>
      <c r="AW59">
        <f t="shared" si="21"/>
        <v>0</v>
      </c>
    </row>
    <row r="60" spans="1:49" x14ac:dyDescent="0.15">
      <c r="A60" s="14"/>
      <c r="B60" s="14" t="s">
        <v>183</v>
      </c>
      <c r="C60" s="14">
        <v>8167066</v>
      </c>
      <c r="D60" s="16">
        <v>18</v>
      </c>
      <c r="E60" s="15">
        <v>300</v>
      </c>
      <c r="F60" s="15">
        <v>5</v>
      </c>
      <c r="H60" s="59" t="str">
        <f t="shared" si="22"/>
        <v>·</v>
      </c>
      <c r="I60" s="32" t="str">
        <f t="shared" si="23"/>
        <v>·</v>
      </c>
      <c r="J60" s="33" t="str">
        <f t="shared" si="24"/>
        <v>·</v>
      </c>
      <c r="K60" s="33" t="str">
        <f t="shared" si="25"/>
        <v>·</v>
      </c>
      <c r="L60" s="34"/>
      <c r="M60" s="33" t="str">
        <f t="shared" si="38"/>
        <v>·</v>
      </c>
      <c r="N60" s="33" t="str">
        <f t="shared" si="27"/>
        <v>·</v>
      </c>
      <c r="O60" s="35"/>
      <c r="P60" s="36"/>
      <c r="Q60" s="36"/>
      <c r="R60" s="46"/>
      <c r="S60" s="36"/>
      <c r="T60" s="52"/>
      <c r="U60" s="52"/>
      <c r="W60" s="59" t="str">
        <f t="shared" si="28"/>
        <v>·</v>
      </c>
      <c r="X60" s="32" t="str">
        <f t="shared" si="29"/>
        <v>·</v>
      </c>
      <c r="Y60" s="33" t="str">
        <f t="shared" si="30"/>
        <v>·</v>
      </c>
      <c r="Z60" s="33" t="str">
        <f t="shared" si="31"/>
        <v>·</v>
      </c>
      <c r="AA60" s="34"/>
      <c r="AB60" s="33" t="str">
        <f t="shared" si="39"/>
        <v>·</v>
      </c>
      <c r="AC60" s="33" t="str">
        <f t="shared" si="33"/>
        <v>·</v>
      </c>
      <c r="AD60" s="35"/>
      <c r="AE60" s="36"/>
      <c r="AF60" s="36"/>
      <c r="AG60" s="46"/>
      <c r="AH60" s="36"/>
      <c r="AI60" s="52"/>
      <c r="AJ60" s="52"/>
      <c r="AL60" s="60" t="e">
        <f t="shared" si="41"/>
        <v>#VALUE!</v>
      </c>
      <c r="AM60" s="60" t="e">
        <f t="shared" si="42"/>
        <v>#VALUE!</v>
      </c>
      <c r="AN60" s="64"/>
      <c r="AO60" s="60" t="e">
        <f t="shared" si="40"/>
        <v>#VALUE!</v>
      </c>
      <c r="AP60" s="59" t="e">
        <f t="shared" si="37"/>
        <v>#DIV/0!</v>
      </c>
      <c r="AQ60" s="59" t="e">
        <f t="array" ref="AQ60">AVERAGE(AF60:AF60/AE60:AE60)-AVERAGE(Q60:Q60/P60:P60)</f>
        <v>#DIV/0!</v>
      </c>
      <c r="AS60">
        <f t="shared" si="17"/>
        <v>0</v>
      </c>
      <c r="AT60">
        <f t="shared" si="18"/>
        <v>0</v>
      </c>
      <c r="AU60">
        <f t="shared" si="19"/>
        <v>0</v>
      </c>
      <c r="AV60">
        <f t="shared" si="20"/>
        <v>0</v>
      </c>
      <c r="AW60">
        <f t="shared" si="21"/>
        <v>0</v>
      </c>
    </row>
    <row r="61" spans="1:49" x14ac:dyDescent="0.15">
      <c r="B61" s="65" t="s">
        <v>10</v>
      </c>
      <c r="J61" s="66" t="e">
        <f>AVERAGE(J5:J26)</f>
        <v>#DIV/0!</v>
      </c>
      <c r="K61" s="66" t="e">
        <f>AVERAGE(K5:K26)</f>
        <v>#DIV/0!</v>
      </c>
      <c r="L61" s="66" t="e">
        <f>AVERAGE(L5:L26)</f>
        <v>#DIV/0!</v>
      </c>
      <c r="M61" s="67"/>
      <c r="Y61" s="66" t="e">
        <f>AVERAGE(Y5:Y26)</f>
        <v>#DIV/0!</v>
      </c>
      <c r="Z61" s="66" t="e">
        <f>AVERAGE(Z5:Z26)</f>
        <v>#DIV/0!</v>
      </c>
      <c r="AA61" s="66" t="e">
        <f>AVERAGE(AA5:AA26)</f>
        <v>#DIV/0!</v>
      </c>
      <c r="AB61" s="67"/>
      <c r="AL61" s="70" t="e">
        <f t="shared" si="41"/>
        <v>#DIV/0!</v>
      </c>
      <c r="AM61" s="70" t="e">
        <f t="shared" si="42"/>
        <v>#DIV/0!</v>
      </c>
      <c r="AN61" s="70" t="e">
        <f>AA61/L61</f>
        <v>#DIV/0!</v>
      </c>
      <c r="AO61" s="71"/>
      <c r="AQ61" s="69" t="e">
        <f>AVERAGE(AQ5:AQ26)</f>
        <v>#DIV/0!</v>
      </c>
    </row>
    <row r="62" spans="1:49" x14ac:dyDescent="0.15">
      <c r="B62" s="65" t="s">
        <v>11</v>
      </c>
      <c r="J62" s="66" t="e">
        <f>AVERAGE(J27:J50)</f>
        <v>#DIV/0!</v>
      </c>
      <c r="K62" s="66" t="e">
        <f>AVERAGE(K27:K50)</f>
        <v>#DIV/0!</v>
      </c>
      <c r="L62" s="66" t="e">
        <f>AVERAGE(L27:L50)</f>
        <v>#DIV/0!</v>
      </c>
      <c r="M62" s="67"/>
      <c r="Y62" s="66" t="e">
        <f>AVERAGE(Y27:Y50)</f>
        <v>#DIV/0!</v>
      </c>
      <c r="Z62" s="66" t="e">
        <f>AVERAGE(Z27:Z50)</f>
        <v>#DIV/0!</v>
      </c>
      <c r="AA62" s="66" t="e">
        <f>AVERAGE(AA27:AA50)</f>
        <v>#DIV/0!</v>
      </c>
      <c r="AB62" s="67"/>
      <c r="AL62" s="70" t="e">
        <f t="shared" si="41"/>
        <v>#DIV/0!</v>
      </c>
      <c r="AM62" s="70" t="e">
        <f t="shared" si="42"/>
        <v>#DIV/0!</v>
      </c>
      <c r="AN62" s="70" t="e">
        <f>AA62/L62</f>
        <v>#DIV/0!</v>
      </c>
      <c r="AO62" s="71"/>
      <c r="AQ62" s="69" t="e">
        <f>AVERAGE(AQ27:AQ50)</f>
        <v>#DIV/0!</v>
      </c>
    </row>
    <row r="63" spans="1:49" x14ac:dyDescent="0.15">
      <c r="B63" s="65" t="s">
        <v>12</v>
      </c>
      <c r="J63" s="66" t="e">
        <f>AVERAGE(J51:J53)</f>
        <v>#DIV/0!</v>
      </c>
      <c r="K63" s="66" t="e">
        <f>AVERAGE(K51:K53)</f>
        <v>#DIV/0!</v>
      </c>
      <c r="L63" s="66" t="e">
        <f>AVERAGE(L51:L53)</f>
        <v>#DIV/0!</v>
      </c>
      <c r="M63" s="66" t="e">
        <f>AVERAGE(M51:M53)</f>
        <v>#DIV/0!</v>
      </c>
      <c r="Y63" s="66" t="e">
        <f>AVERAGE(Y51:Y53)</f>
        <v>#DIV/0!</v>
      </c>
      <c r="Z63" s="66" t="e">
        <f>AVERAGE(Z51:Z53)</f>
        <v>#DIV/0!</v>
      </c>
      <c r="AA63" s="66" t="e">
        <f>AVERAGE(AA51:AA53)</f>
        <v>#DIV/0!</v>
      </c>
      <c r="AB63" s="66" t="e">
        <f>AVERAGE(AB51:AB53)</f>
        <v>#DIV/0!</v>
      </c>
      <c r="AL63" s="70" t="e">
        <f t="shared" si="41"/>
        <v>#DIV/0!</v>
      </c>
      <c r="AM63" s="70" t="e">
        <f t="shared" si="42"/>
        <v>#DIV/0!</v>
      </c>
      <c r="AN63" s="70" t="e">
        <f>AA63/L63</f>
        <v>#DIV/0!</v>
      </c>
      <c r="AO63" s="70" t="e">
        <f>AB63/M63</f>
        <v>#DIV/0!</v>
      </c>
      <c r="AQ63" s="69" t="e">
        <f>AVERAGE(AQ51:AQ53)</f>
        <v>#DIV/0!</v>
      </c>
    </row>
    <row r="64" spans="1:49" x14ac:dyDescent="0.15">
      <c r="B64" s="65" t="s">
        <v>13</v>
      </c>
      <c r="J64" s="66" t="e">
        <f>AVERAGE(J54:J60)</f>
        <v>#DIV/0!</v>
      </c>
      <c r="K64" s="66" t="e">
        <f>AVERAGE(K54:K60)</f>
        <v>#DIV/0!</v>
      </c>
      <c r="L64" s="67"/>
      <c r="M64" s="66" t="e">
        <f>AVERAGE(M54:M60)</f>
        <v>#DIV/0!</v>
      </c>
      <c r="Y64" s="66" t="e">
        <f>AVERAGE(Y54:Y60)</f>
        <v>#DIV/0!</v>
      </c>
      <c r="Z64" s="66" t="e">
        <f>AVERAGE(Z54:Z60)</f>
        <v>#DIV/0!</v>
      </c>
      <c r="AA64" s="67"/>
      <c r="AB64" s="66" t="e">
        <f>AVERAGE(AB54:AB60)</f>
        <v>#DIV/0!</v>
      </c>
      <c r="AL64" s="70" t="e">
        <f t="shared" si="41"/>
        <v>#DIV/0!</v>
      </c>
      <c r="AM64" s="70" t="e">
        <f t="shared" si="42"/>
        <v>#DIV/0!</v>
      </c>
      <c r="AN64" s="71"/>
      <c r="AO64" s="70" t="e">
        <f>AB64/M64</f>
        <v>#DIV/0!</v>
      </c>
      <c r="AQ64" s="69" t="e">
        <f>AVERAGE(AQ54:AQ60)</f>
        <v>#DIV/0!</v>
      </c>
    </row>
    <row r="65" spans="1:43" x14ac:dyDescent="0.15">
      <c r="B65" s="65" t="s">
        <v>14</v>
      </c>
      <c r="J65" s="66" t="e">
        <f>AVERAGE(J5:J60)</f>
        <v>#DIV/0!</v>
      </c>
      <c r="K65" s="66" t="e">
        <f>AVERAGE(K5:K60)</f>
        <v>#DIV/0!</v>
      </c>
      <c r="L65" s="66" t="e">
        <f>AVERAGE(L5:L53)</f>
        <v>#DIV/0!</v>
      </c>
      <c r="M65" s="66" t="e">
        <f>AVERAGE(M51:M60)</f>
        <v>#DIV/0!</v>
      </c>
      <c r="Y65" s="66" t="e">
        <f>AVERAGE(Y5:Y60)</f>
        <v>#DIV/0!</v>
      </c>
      <c r="Z65" s="66" t="e">
        <f>AVERAGE(Z5:Z60)</f>
        <v>#DIV/0!</v>
      </c>
      <c r="AA65" s="66" t="e">
        <f>AVERAGE(AA5:AA53)</f>
        <v>#DIV/0!</v>
      </c>
      <c r="AB65" s="66" t="e">
        <f>AVERAGE(AB51:AB60)</f>
        <v>#DIV/0!</v>
      </c>
      <c r="AL65" s="70" t="e">
        <f t="shared" si="41"/>
        <v>#DIV/0!</v>
      </c>
      <c r="AM65" s="70" t="e">
        <f t="shared" si="42"/>
        <v>#DIV/0!</v>
      </c>
      <c r="AN65" s="70" t="e">
        <f>AA65/L65</f>
        <v>#DIV/0!</v>
      </c>
      <c r="AO65" s="70" t="e">
        <f>AB65/M65</f>
        <v>#DIV/0!</v>
      </c>
      <c r="AQ65" s="69" t="e">
        <f>AVERAGE(AQ5:AQ60)</f>
        <v>#DIV/0!</v>
      </c>
    </row>
    <row r="66" spans="1:43" outlineLevel="2" x14ac:dyDescent="0.15">
      <c r="A66" s="65" t="s">
        <v>263</v>
      </c>
      <c r="B66" s="65" t="s">
        <v>264</v>
      </c>
      <c r="T66" s="68">
        <f>SUM(T5:T26,T27:T50,T51:T53,T54:T60)</f>
        <v>0</v>
      </c>
      <c r="U66" s="68">
        <f>SUM(U5:U26,U27:U50,U51:U53,U54:U60)</f>
        <v>0</v>
      </c>
      <c r="AI66" s="68">
        <f>SUM(AI5:AI26,AI27:AI50,AI51:AI53,AI54:AI60)</f>
        <v>0</v>
      </c>
      <c r="AJ66" s="68">
        <f>SUM(AJ5:AJ26,AJ27:AJ50,AJ51:AJ53,AJ54:AJ60)</f>
        <v>0</v>
      </c>
    </row>
    <row r="67" spans="1:43" outlineLevel="2" x14ac:dyDescent="0.15">
      <c r="B67" s="65" t="s">
        <v>265</v>
      </c>
      <c r="AI67" s="69" t="e">
        <f>AI66/T66</f>
        <v>#DIV/0!</v>
      </c>
      <c r="AJ67" s="69" t="e">
        <f>AJ66/U66</f>
        <v>#DIV/0!</v>
      </c>
    </row>
    <row r="68" spans="1:43" ht="27" outlineLevel="2" x14ac:dyDescent="0.15">
      <c r="B68" s="65" t="s">
        <v>266</v>
      </c>
      <c r="T68" s="68" t="e">
        <f>GEOMEAN(T5:T26,T27:T50,T51:T53,T54:T60)</f>
        <v>#NUM!</v>
      </c>
      <c r="U68" s="68" t="e">
        <f>GEOMEAN(U5:U26,U27:U50,U51:U53,U54:U60)</f>
        <v>#NUM!</v>
      </c>
      <c r="AI68" s="68" t="e">
        <f>GEOMEAN(AI5:AI26,AI27:AI50,AI51:AI53,AI54:AI60)</f>
        <v>#NUM!</v>
      </c>
      <c r="AJ68" s="68" t="e">
        <f>GEOMEAN(AJ5:AJ26,AJ27:AJ50,AJ51:AJ53,AJ54:AJ60)</f>
        <v>#NUM!</v>
      </c>
    </row>
    <row r="69" spans="1:43" ht="27" outlineLevel="2" collapsed="1" x14ac:dyDescent="0.15">
      <c r="B69" s="65" t="s">
        <v>267</v>
      </c>
      <c r="AI69" s="69" t="e">
        <f>AI68/T68</f>
        <v>#NUM!</v>
      </c>
      <c r="AJ69" s="69" t="e">
        <f>AJ68/U68</f>
        <v>#NUM!</v>
      </c>
    </row>
  </sheetData>
  <mergeCells count="30">
    <mergeCell ref="AS2:AS3"/>
    <mergeCell ref="AT2:AW2"/>
    <mergeCell ref="X2:X3"/>
    <mergeCell ref="AC2:AC3"/>
    <mergeCell ref="A1:F1"/>
    <mergeCell ref="H1:U1"/>
    <mergeCell ref="W1:AJ1"/>
    <mergeCell ref="J2:M2"/>
    <mergeCell ref="P2:S2"/>
    <mergeCell ref="Y2:AB2"/>
    <mergeCell ref="AE2:AH2"/>
    <mergeCell ref="AD2:AD3"/>
    <mergeCell ref="AI2:AI3"/>
    <mergeCell ref="AJ2:AJ3"/>
    <mergeCell ref="AP2:AP3"/>
    <mergeCell ref="AQ2:AQ3"/>
    <mergeCell ref="AL2:AO2"/>
    <mergeCell ref="A2:A3"/>
    <mergeCell ref="B2:B3"/>
    <mergeCell ref="C2:C3"/>
    <mergeCell ref="D2:D3"/>
    <mergeCell ref="E2:E3"/>
    <mergeCell ref="F2:F3"/>
    <mergeCell ref="H2:H3"/>
    <mergeCell ref="I2:I3"/>
    <mergeCell ref="N2:N3"/>
    <mergeCell ref="O2:O3"/>
    <mergeCell ref="T2:T3"/>
    <mergeCell ref="U2:U3"/>
    <mergeCell ref="W2:W3"/>
  </mergeCells>
  <phoneticPr fontId="3" type="noConversion"/>
  <conditionalFormatting sqref="AL5 AL6 AL7 AL8 AL9 AL10 AL11 AL12 AL13 AL14 AL15 AL16 AL17 AL18 AL19 AL20 AL21 AL22 AL23 AL24 AL25 AL26 AL27 AL28 AL29 AL30 AL31 AL32 AL33 AL34 AL35 AL36 AL37 AL38 AL39 AL40 AL41 AL42 AL43 AL44 AL45 AL46 AL47 AL48 AL49 AL50 AL51 AL52 AL53 AL54 AL55 AL56 AL57 AL58 AL59 AL60 AL61 AL62 AL63 AL64 AL65">
    <cfRule type="cellIs" dxfId="39" priority="5" operator="greaterThanOrEqual">
      <formula>1.03</formula>
    </cfRule>
    <cfRule type="cellIs" dxfId="38" priority="6" operator="lessThanOrEqual">
      <formula>0.97</formula>
    </cfRule>
  </conditionalFormatting>
  <conditionalFormatting sqref="AM5 AM6 AM7 AM8 AM9 AM10 AM11 AM12 AM13 AM14 AM15 AM16 AM17 AM18 AM19 AM20 AM21 AM22 AM23 AM24 AM25 AM26 AM27 AM28 AM29 AM30 AM31 AM32 AM33 AM34 AM35 AM36 AM37 AM38 AM39 AM40 AM41 AM42 AM43 AM44 AM45 AM46 AM47 AM48 AM49 AM50 AM51 AM52 AM53 AM54 AM55 AM56 AM57 AM58 AM59 AM60 AM61 AM62 AM63 AM64 AM65">
    <cfRule type="cellIs" dxfId="37" priority="1" operator="greaterThanOrEqual">
      <formula>1.03</formula>
    </cfRule>
    <cfRule type="cellIs" dxfId="36" priority="2" operator="lessThanOrEqual">
      <formula>0.97</formula>
    </cfRule>
  </conditionalFormatting>
  <conditionalFormatting sqref="AN5 AN6 AN7 AN8 AN9 AN10 AN11 AN12 AN13 AN14 AN15 AN16 AN17 AN18 AN19 AN20 AN21 AN22 AN23 AN24 AN25 AN26 AN27 AN28 AN29 AN30 AN31 AN32 AN33 AN34 AN35 AN36 AN37 AN38 AN39 AN40 AN41 AN42 AN43 AN44 AN45 AN46 AN47 AN48 AN49 AN50 AN51 AN52 AN53 AN61 AN62 AN63 AN65">
    <cfRule type="cellIs" dxfId="35" priority="7" operator="greaterThanOrEqual">
      <formula>1.03</formula>
    </cfRule>
    <cfRule type="cellIs" dxfId="34" priority="8" operator="lessThanOrEqual">
      <formula>0.97</formula>
    </cfRule>
  </conditionalFormatting>
  <conditionalFormatting sqref="AO51 AO52 AO53 AO54 AO55 AO56 AO57 AO58 AO59 AO60 AO63 AO64 AO65">
    <cfRule type="cellIs" dxfId="33" priority="3" operator="greaterThanOrEqual">
      <formula>1.03</formula>
    </cfRule>
    <cfRule type="cellIs" dxfId="32" priority="4" operator="lessThanOrEqual">
      <formula>0.97</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outlinePr summaryBelow="0"/>
  </sheetPr>
  <dimension ref="A1:CJ293"/>
  <sheetViews>
    <sheetView tabSelected="1" zoomScale="110" zoomScaleNormal="110" workbookViewId="0">
      <pane xSplit="2" ySplit="4" topLeftCell="BB224" activePane="bottomRight" state="frozen"/>
      <selection pane="topRight"/>
      <selection pane="bottomLeft"/>
      <selection pane="bottomRight" activeCell="BE235" sqref="BE235"/>
    </sheetView>
  </sheetViews>
  <sheetFormatPr defaultColWidth="9" defaultRowHeight="13.5" outlineLevelRow="2" x14ac:dyDescent="0.15"/>
  <cols>
    <col min="1" max="1" width="9.125"/>
    <col min="2" max="2" width="24.75" customWidth="1"/>
    <col min="3" max="3" width="9.125"/>
    <col min="4" max="5" width="10.75" customWidth="1"/>
    <col min="6" max="7" width="9.125"/>
    <col min="8" max="8" width="1.75" customWidth="1"/>
    <col min="9" max="9" width="9.125"/>
    <col min="10" max="12" width="10.75" customWidth="1"/>
    <col min="13" max="13" width="11.75" customWidth="1"/>
    <col min="14" max="14" width="12.75" customWidth="1"/>
    <col min="15" max="15" width="10.75" customWidth="1"/>
    <col min="16" max="19" width="12.75" customWidth="1"/>
    <col min="20" max="27" width="11.75" customWidth="1"/>
    <col min="28" max="29" width="9" customWidth="1"/>
    <col min="30" max="30" width="1.75" customWidth="1"/>
    <col min="31" max="31" width="9" customWidth="1"/>
    <col min="32" max="34" width="10.75" customWidth="1"/>
    <col min="35" max="35" width="11.75" customWidth="1"/>
    <col min="36" max="36" width="12.75" customWidth="1"/>
    <col min="37" max="37" width="10.75" customWidth="1"/>
    <col min="38" max="41" width="12.75" customWidth="1"/>
    <col min="42" max="49" width="11.75" customWidth="1"/>
    <col min="50" max="51" width="9.125"/>
    <col min="52" max="52" width="1.75" customWidth="1"/>
    <col min="53" max="54" width="9.125"/>
    <col min="55" max="55" width="1.75" customWidth="1"/>
    <col min="56" max="59" width="11.75" customWidth="1"/>
    <col min="60" max="60" width="1.75" customWidth="1"/>
    <col min="61" max="64" width="11.75" customWidth="1"/>
    <col min="65" max="65" width="1.75" customWidth="1"/>
    <col min="66" max="69" width="11.75" customWidth="1"/>
    <col min="70" max="70" width="1.75" customWidth="1"/>
    <col min="71" max="74" width="11.75" customWidth="1"/>
    <col min="75" max="75" width="1.75" customWidth="1"/>
    <col min="81" max="81" width="9" customWidth="1"/>
  </cols>
  <sheetData>
    <row r="1" spans="1:88" x14ac:dyDescent="0.15">
      <c r="A1" s="95" t="s">
        <v>972</v>
      </c>
      <c r="B1" s="95"/>
      <c r="C1" s="95"/>
      <c r="D1" s="95"/>
      <c r="E1" s="95"/>
      <c r="F1" s="95"/>
      <c r="G1" s="95"/>
      <c r="I1" s="91" t="str">
        <f>Summary!C1</f>
        <v>tmc13v11.0</v>
      </c>
      <c r="J1" s="91"/>
      <c r="K1" s="91"/>
      <c r="L1" s="91"/>
      <c r="M1" s="91"/>
      <c r="N1" s="91"/>
      <c r="O1" s="91"/>
      <c r="P1" s="91"/>
      <c r="Q1" s="91"/>
      <c r="R1" s="91"/>
      <c r="S1" s="91"/>
      <c r="T1" s="91"/>
      <c r="U1" s="91"/>
      <c r="V1" s="91"/>
      <c r="W1" s="91"/>
      <c r="X1" s="91"/>
      <c r="Y1" s="91"/>
      <c r="Z1" s="91"/>
      <c r="AA1" s="91"/>
      <c r="AB1" s="91"/>
      <c r="AC1" s="91"/>
      <c r="AE1" s="92" t="str">
        <f>Summary!C2</f>
        <v>m54701_simplified</v>
      </c>
      <c r="AF1" s="92"/>
      <c r="AG1" s="92"/>
      <c r="AH1" s="92"/>
      <c r="AI1" s="92"/>
      <c r="AJ1" s="92"/>
      <c r="AK1" s="92"/>
      <c r="AL1" s="92"/>
      <c r="AM1" s="92"/>
      <c r="AN1" s="92"/>
      <c r="AO1" s="92"/>
      <c r="AP1" s="92"/>
      <c r="AQ1" s="92"/>
      <c r="AR1" s="92"/>
      <c r="AS1" s="92"/>
      <c r="AT1" s="92"/>
      <c r="AU1" s="92"/>
      <c r="AV1" s="92"/>
      <c r="AW1" s="92"/>
      <c r="AX1" s="92"/>
      <c r="AY1" s="92"/>
      <c r="BX1" s="80" t="s">
        <v>994</v>
      </c>
    </row>
    <row r="2" spans="1:88" ht="30" customHeight="1" thickBot="1" x14ac:dyDescent="0.2">
      <c r="A2" s="93" t="s">
        <v>185</v>
      </c>
      <c r="B2" s="94" t="s">
        <v>186</v>
      </c>
      <c r="C2" s="93" t="s">
        <v>187</v>
      </c>
      <c r="D2" s="94" t="s">
        <v>188</v>
      </c>
      <c r="E2" s="93" t="s">
        <v>189</v>
      </c>
      <c r="F2" s="94" t="s">
        <v>190</v>
      </c>
      <c r="G2" s="93" t="s">
        <v>191</v>
      </c>
      <c r="I2" s="94" t="s">
        <v>192</v>
      </c>
      <c r="J2" s="96" t="s">
        <v>193</v>
      </c>
      <c r="K2" s="96"/>
      <c r="L2" s="96"/>
      <c r="M2" s="96"/>
      <c r="N2" s="94" t="s">
        <v>194</v>
      </c>
      <c r="O2" s="93" t="s">
        <v>84</v>
      </c>
      <c r="P2" s="97" t="s">
        <v>195</v>
      </c>
      <c r="Q2" s="97"/>
      <c r="R2" s="97"/>
      <c r="S2" s="97"/>
      <c r="T2" s="96" t="s">
        <v>196</v>
      </c>
      <c r="U2" s="96"/>
      <c r="V2" s="96"/>
      <c r="W2" s="96"/>
      <c r="X2" s="97" t="s">
        <v>973</v>
      </c>
      <c r="Y2" s="97"/>
      <c r="Z2" s="97"/>
      <c r="AA2" s="97"/>
      <c r="AB2" s="93" t="s">
        <v>197</v>
      </c>
      <c r="AC2" s="94" t="s">
        <v>198</v>
      </c>
      <c r="AE2" s="93" t="s">
        <v>192</v>
      </c>
      <c r="AF2" s="97" t="s">
        <v>193</v>
      </c>
      <c r="AG2" s="97"/>
      <c r="AH2" s="97"/>
      <c r="AI2" s="97"/>
      <c r="AJ2" s="93" t="s">
        <v>194</v>
      </c>
      <c r="AK2" s="94" t="s">
        <v>84</v>
      </c>
      <c r="AL2" s="96" t="s">
        <v>195</v>
      </c>
      <c r="AM2" s="96"/>
      <c r="AN2" s="96"/>
      <c r="AO2" s="96"/>
      <c r="AP2" s="97" t="s">
        <v>196</v>
      </c>
      <c r="AQ2" s="97"/>
      <c r="AR2" s="97"/>
      <c r="AS2" s="97"/>
      <c r="AT2" s="96" t="s">
        <v>973</v>
      </c>
      <c r="AU2" s="96"/>
      <c r="AV2" s="96"/>
      <c r="AW2" s="96"/>
      <c r="AX2" s="94" t="s">
        <v>197</v>
      </c>
      <c r="AY2" s="93" t="s">
        <v>198</v>
      </c>
      <c r="BA2" s="94" t="s">
        <v>199</v>
      </c>
      <c r="BB2" s="93" t="s">
        <v>199</v>
      </c>
      <c r="BD2" s="97" t="s">
        <v>5</v>
      </c>
      <c r="BE2" s="97"/>
      <c r="BF2" s="97"/>
      <c r="BG2" s="97"/>
      <c r="BI2" s="96" t="s">
        <v>30</v>
      </c>
      <c r="BJ2" s="96"/>
      <c r="BK2" s="96"/>
      <c r="BL2" s="96"/>
      <c r="BN2" s="97" t="s">
        <v>200</v>
      </c>
      <c r="BO2" s="97"/>
      <c r="BP2" s="97"/>
      <c r="BQ2" s="97"/>
      <c r="BS2" s="96" t="s">
        <v>974</v>
      </c>
      <c r="BT2" s="96"/>
      <c r="BU2" s="96"/>
      <c r="BV2" s="96"/>
      <c r="BX2" s="98" t="s">
        <v>84</v>
      </c>
      <c r="BY2" s="99" t="s">
        <v>195</v>
      </c>
      <c r="BZ2" s="99"/>
      <c r="CA2" s="99"/>
      <c r="CB2" s="99"/>
      <c r="CC2" s="99" t="s">
        <v>196</v>
      </c>
      <c r="CD2" s="99"/>
      <c r="CE2" s="99"/>
      <c r="CF2" s="99"/>
      <c r="CG2" s="99" t="s">
        <v>973</v>
      </c>
      <c r="CH2" s="99"/>
      <c r="CI2" s="99"/>
      <c r="CJ2" s="99"/>
    </row>
    <row r="3" spans="1:88" ht="27.75" thickBot="1" x14ac:dyDescent="0.2">
      <c r="A3" s="93"/>
      <c r="B3" s="94"/>
      <c r="C3" s="93"/>
      <c r="D3" s="94"/>
      <c r="E3" s="93"/>
      <c r="F3" s="94"/>
      <c r="G3" s="93"/>
      <c r="I3" s="94"/>
      <c r="J3" s="1" t="s">
        <v>27</v>
      </c>
      <c r="K3" s="1" t="s">
        <v>25</v>
      </c>
      <c r="L3" s="1" t="s">
        <v>201</v>
      </c>
      <c r="M3" s="1" t="s">
        <v>9</v>
      </c>
      <c r="N3" s="94"/>
      <c r="O3" s="93"/>
      <c r="P3" s="2" t="s">
        <v>27</v>
      </c>
      <c r="Q3" s="2" t="s">
        <v>25</v>
      </c>
      <c r="R3" s="2" t="s">
        <v>26</v>
      </c>
      <c r="S3" s="2" t="s">
        <v>9</v>
      </c>
      <c r="T3" s="1" t="s">
        <v>6</v>
      </c>
      <c r="U3" s="1" t="s">
        <v>7</v>
      </c>
      <c r="V3" s="1" t="s">
        <v>8</v>
      </c>
      <c r="W3" s="1" t="s">
        <v>9</v>
      </c>
      <c r="X3" s="2" t="s">
        <v>6</v>
      </c>
      <c r="Y3" s="2" t="s">
        <v>7</v>
      </c>
      <c r="Z3" s="2" t="s">
        <v>8</v>
      </c>
      <c r="AA3" s="2" t="s">
        <v>9</v>
      </c>
      <c r="AB3" s="93"/>
      <c r="AC3" s="94"/>
      <c r="AE3" s="93"/>
      <c r="AF3" s="2" t="s">
        <v>27</v>
      </c>
      <c r="AG3" s="2" t="s">
        <v>25</v>
      </c>
      <c r="AH3" s="2" t="s">
        <v>201</v>
      </c>
      <c r="AI3" s="2" t="s">
        <v>9</v>
      </c>
      <c r="AJ3" s="93"/>
      <c r="AK3" s="94"/>
      <c r="AL3" s="1" t="s">
        <v>27</v>
      </c>
      <c r="AM3" s="1" t="s">
        <v>25</v>
      </c>
      <c r="AN3" s="1" t="s">
        <v>26</v>
      </c>
      <c r="AO3" s="1" t="s">
        <v>9</v>
      </c>
      <c r="AP3" s="2" t="s">
        <v>6</v>
      </c>
      <c r="AQ3" s="2" t="s">
        <v>7</v>
      </c>
      <c r="AR3" s="2" t="s">
        <v>8</v>
      </c>
      <c r="AS3" s="2" t="s">
        <v>9</v>
      </c>
      <c r="AT3" s="1" t="s">
        <v>6</v>
      </c>
      <c r="AU3" s="1" t="s">
        <v>7</v>
      </c>
      <c r="AV3" s="1" t="s">
        <v>8</v>
      </c>
      <c r="AW3" s="1" t="s">
        <v>9</v>
      </c>
      <c r="AX3" s="94"/>
      <c r="AY3" s="93"/>
      <c r="BA3" s="94"/>
      <c r="BB3" s="93"/>
      <c r="BD3" s="2" t="s">
        <v>6</v>
      </c>
      <c r="BE3" s="2" t="s">
        <v>7</v>
      </c>
      <c r="BF3" s="2" t="s">
        <v>8</v>
      </c>
      <c r="BG3" s="2" t="s">
        <v>9</v>
      </c>
      <c r="BI3" s="1" t="s">
        <v>6</v>
      </c>
      <c r="BJ3" s="1" t="s">
        <v>7</v>
      </c>
      <c r="BK3" s="1" t="s">
        <v>8</v>
      </c>
      <c r="BL3" s="1" t="s">
        <v>9</v>
      </c>
      <c r="BN3" s="2" t="s">
        <v>6</v>
      </c>
      <c r="BO3" s="2" t="s">
        <v>7</v>
      </c>
      <c r="BP3" s="2" t="s">
        <v>8</v>
      </c>
      <c r="BQ3" s="2" t="s">
        <v>9</v>
      </c>
      <c r="BS3" s="1" t="s">
        <v>6</v>
      </c>
      <c r="BT3" s="1" t="s">
        <v>7</v>
      </c>
      <c r="BU3" s="1" t="s">
        <v>8</v>
      </c>
      <c r="BV3" s="1" t="s">
        <v>9</v>
      </c>
      <c r="BX3" s="98"/>
      <c r="BY3" s="81" t="s">
        <v>27</v>
      </c>
      <c r="BZ3" s="81" t="s">
        <v>25</v>
      </c>
      <c r="CA3" s="81" t="s">
        <v>26</v>
      </c>
      <c r="CB3" s="81" t="s">
        <v>9</v>
      </c>
      <c r="CC3" s="81" t="s">
        <v>6</v>
      </c>
      <c r="CD3" s="81" t="s">
        <v>7</v>
      </c>
      <c r="CE3" s="81" t="s">
        <v>8</v>
      </c>
      <c r="CF3" s="81" t="s">
        <v>9</v>
      </c>
      <c r="CG3" s="81" t="s">
        <v>6</v>
      </c>
      <c r="CH3" s="81" t="s">
        <v>7</v>
      </c>
      <c r="CI3" s="81" t="s">
        <v>8</v>
      </c>
      <c r="CJ3" s="81" t="s">
        <v>9</v>
      </c>
    </row>
    <row r="4" spans="1:88" ht="147" hidden="1" x14ac:dyDescent="0.15">
      <c r="A4" s="3" t="s">
        <v>202</v>
      </c>
      <c r="B4" s="4" t="s">
        <v>203</v>
      </c>
      <c r="C4" s="3" t="s">
        <v>204</v>
      </c>
      <c r="D4" s="4" t="s">
        <v>205</v>
      </c>
      <c r="E4" s="3" t="s">
        <v>206</v>
      </c>
      <c r="F4" s="4" t="s">
        <v>207</v>
      </c>
      <c r="G4" s="3" t="s">
        <v>208</v>
      </c>
      <c r="I4" s="4" t="s">
        <v>209</v>
      </c>
      <c r="J4" s="3" t="s">
        <v>210</v>
      </c>
      <c r="K4" s="3" t="s">
        <v>211</v>
      </c>
      <c r="L4" s="3" t="s">
        <v>212</v>
      </c>
      <c r="M4" s="3" t="s">
        <v>213</v>
      </c>
      <c r="N4" s="4" t="s">
        <v>214</v>
      </c>
      <c r="O4" s="3" t="s">
        <v>215</v>
      </c>
      <c r="P4" s="4" t="s">
        <v>216</v>
      </c>
      <c r="Q4" s="4" t="s">
        <v>217</v>
      </c>
      <c r="R4" s="4" t="s">
        <v>218</v>
      </c>
      <c r="S4" s="4" t="s">
        <v>219</v>
      </c>
      <c r="T4" s="3" t="s">
        <v>220</v>
      </c>
      <c r="U4" s="3" t="s">
        <v>221</v>
      </c>
      <c r="V4" s="3" t="s">
        <v>222</v>
      </c>
      <c r="W4" s="3" t="s">
        <v>223</v>
      </c>
      <c r="X4" s="4" t="s">
        <v>975</v>
      </c>
      <c r="Y4" s="4" t="s">
        <v>976</v>
      </c>
      <c r="Z4" s="4" t="s">
        <v>977</v>
      </c>
      <c r="AA4" s="4" t="s">
        <v>978</v>
      </c>
      <c r="AB4" s="3" t="s">
        <v>224</v>
      </c>
      <c r="AC4" s="4" t="s">
        <v>225</v>
      </c>
      <c r="AE4" s="3" t="s">
        <v>226</v>
      </c>
      <c r="AF4" s="4" t="s">
        <v>227</v>
      </c>
      <c r="AG4" s="4" t="s">
        <v>228</v>
      </c>
      <c r="AH4" s="4" t="s">
        <v>229</v>
      </c>
      <c r="AI4" s="4" t="s">
        <v>230</v>
      </c>
      <c r="AJ4" s="3" t="s">
        <v>231</v>
      </c>
      <c r="AK4" s="4" t="s">
        <v>232</v>
      </c>
      <c r="AL4" s="3" t="s">
        <v>233</v>
      </c>
      <c r="AM4" s="3" t="s">
        <v>234</v>
      </c>
      <c r="AN4" s="3" t="s">
        <v>235</v>
      </c>
      <c r="AO4" s="3" t="s">
        <v>236</v>
      </c>
      <c r="AP4" s="4" t="s">
        <v>237</v>
      </c>
      <c r="AQ4" s="4" t="s">
        <v>238</v>
      </c>
      <c r="AR4" s="4" t="s">
        <v>239</v>
      </c>
      <c r="AS4" s="4" t="s">
        <v>240</v>
      </c>
      <c r="AT4" s="3" t="s">
        <v>979</v>
      </c>
      <c r="AU4" s="3" t="s">
        <v>980</v>
      </c>
      <c r="AV4" s="3" t="s">
        <v>981</v>
      </c>
      <c r="AW4" s="3" t="s">
        <v>982</v>
      </c>
      <c r="AX4" s="4" t="s">
        <v>241</v>
      </c>
      <c r="AY4" s="3" t="s">
        <v>242</v>
      </c>
      <c r="BA4" s="4" t="s">
        <v>243</v>
      </c>
      <c r="BB4" s="3" t="s">
        <v>244</v>
      </c>
      <c r="BD4" s="4" t="s">
        <v>245</v>
      </c>
      <c r="BE4" s="4" t="s">
        <v>246</v>
      </c>
      <c r="BF4" s="4" t="s">
        <v>247</v>
      </c>
      <c r="BG4" s="4" t="s">
        <v>248</v>
      </c>
      <c r="BI4" s="3" t="s">
        <v>983</v>
      </c>
      <c r="BJ4" s="3" t="s">
        <v>984</v>
      </c>
      <c r="BK4" s="3" t="s">
        <v>985</v>
      </c>
      <c r="BL4" s="3" t="s">
        <v>986</v>
      </c>
      <c r="BN4" s="4" t="s">
        <v>249</v>
      </c>
      <c r="BO4" s="4" t="s">
        <v>250</v>
      </c>
      <c r="BP4" s="4" t="s">
        <v>251</v>
      </c>
      <c r="BQ4" s="4" t="s">
        <v>252</v>
      </c>
      <c r="BS4" s="3" t="s">
        <v>987</v>
      </c>
      <c r="BT4" s="3" t="s">
        <v>988</v>
      </c>
      <c r="BU4" s="3" t="s">
        <v>989</v>
      </c>
      <c r="BV4" s="3" t="s">
        <v>990</v>
      </c>
    </row>
    <row r="5" spans="1:88" x14ac:dyDescent="0.15">
      <c r="A5" s="5" t="s">
        <v>253</v>
      </c>
      <c r="B5" s="5" t="s">
        <v>48</v>
      </c>
      <c r="C5" s="6" t="s">
        <v>254</v>
      </c>
      <c r="D5" s="5">
        <v>2925514</v>
      </c>
      <c r="E5" s="7">
        <v>11</v>
      </c>
      <c r="F5" s="6">
        <v>1</v>
      </c>
      <c r="G5" s="6"/>
      <c r="I5" s="17" t="str">
        <f t="shared" ref="I5:I68" si="0">IF(OR(ISBLANK(P5),ISBLANK(G5)),"·",P5*G5/F5/1000000)</f>
        <v>·</v>
      </c>
      <c r="J5" s="18">
        <f t="shared" ref="J5:J68" si="1">IF(ISBLANK(P5),"·",P5/D5)</f>
        <v>5.0693696902493031</v>
      </c>
      <c r="K5" s="18">
        <f t="shared" ref="K5:K68" si="2">IF(Q5="","·",Q5/D5)</f>
        <v>0.89312715645865992</v>
      </c>
      <c r="L5" s="18">
        <f t="shared" ref="L5:L68" si="3">IF(ISBLANK(R5),"·",R5/D5)</f>
        <v>4.1759198554510419</v>
      </c>
      <c r="M5" s="19"/>
      <c r="N5" s="18">
        <f t="shared" ref="N5:N68" si="4">IF(ISBLANK(P5),"·",P5/O5)</f>
        <v>5.0693696902493031</v>
      </c>
      <c r="O5" s="20">
        <v>2925514</v>
      </c>
      <c r="P5" s="21">
        <v>14830512</v>
      </c>
      <c r="Q5" s="21">
        <v>2612856</v>
      </c>
      <c r="R5" s="21">
        <v>12216712</v>
      </c>
      <c r="S5" s="37"/>
      <c r="T5" s="38">
        <v>52.663499999999999</v>
      </c>
      <c r="U5" s="38">
        <v>56.465400000000002</v>
      </c>
      <c r="V5" s="38">
        <v>56.251600000000003</v>
      </c>
      <c r="W5" s="39"/>
      <c r="X5" s="38">
        <v>48.130800000000001</v>
      </c>
      <c r="Y5" s="38">
        <v>48.130800000000001</v>
      </c>
      <c r="Z5" s="38">
        <v>48.130800000000001</v>
      </c>
      <c r="AA5" s="39"/>
      <c r="AB5" s="49">
        <v>3.7029999999999998</v>
      </c>
      <c r="AC5" s="49">
        <v>2.8119999999999998</v>
      </c>
      <c r="AE5" s="17" t="str">
        <f t="shared" ref="AE5:AE68" si="5">IF(OR(ISBLANK(AL5),ISBLANK(G5)),"·",AL5*G5/F5/1000000)</f>
        <v>·</v>
      </c>
      <c r="AF5" s="18">
        <f t="shared" ref="AF5:AF68" si="6">IF(ISBLANK(AL5),"·",AL5/D5)</f>
        <v>5.0736082616593183</v>
      </c>
      <c r="AG5" s="18">
        <f t="shared" ref="AG5:AG68" si="7">IF(AM5="","·",AM5/D5)</f>
        <v>0.89312715645865992</v>
      </c>
      <c r="AH5" s="18">
        <f t="shared" ref="AH5:AH68" si="8">IF(ISBLANK(AN5),"·",AN5/D5)</f>
        <v>4.1801584268610572</v>
      </c>
      <c r="AI5" s="19"/>
      <c r="AJ5" s="18">
        <f t="shared" ref="AJ5:AJ68" si="9">IF(ISBLANK(AL5),"·",AL5/AK5)</f>
        <v>5.0736082616593183</v>
      </c>
      <c r="AK5" s="20">
        <v>2925514</v>
      </c>
      <c r="AL5" s="21">
        <v>14842912</v>
      </c>
      <c r="AM5" s="21">
        <v>2612856</v>
      </c>
      <c r="AN5" s="21">
        <v>12229112</v>
      </c>
      <c r="AO5" s="37"/>
      <c r="AP5" s="38">
        <v>52.662500000000001</v>
      </c>
      <c r="AQ5" s="38">
        <v>56.473399999999998</v>
      </c>
      <c r="AR5" s="38">
        <v>56.251800000000003</v>
      </c>
      <c r="AS5" s="39"/>
      <c r="AT5" s="38">
        <v>48.130800000000001</v>
      </c>
      <c r="AU5" s="38">
        <v>48.130800000000001</v>
      </c>
      <c r="AV5" s="38">
        <v>48.130800000000001</v>
      </c>
      <c r="AW5" s="39"/>
      <c r="AX5" s="49">
        <v>3.7959999999999998</v>
      </c>
      <c r="AY5" s="49">
        <v>2.718</v>
      </c>
      <c r="BA5" s="53">
        <f t="shared" ref="BA5:BA68" si="10">(AM5/AL5)-(Q5/P5)</f>
        <v>-1.4718444121969432E-4</v>
      </c>
      <c r="BB5" s="53">
        <f t="array" ref="BB5">AVERAGE(AM5:AM9/AL5:AL9)-AVERAGE(Q5:Q9/P5:P9)</f>
        <v>-1.6234031926398163E-3</v>
      </c>
      <c r="BD5" s="54">
        <f>IF(OR(ISBLANK(R5:R9),ISBLANK(AN5:AN9),ISBLANK(T5:T9),ISBLANK(AP5:AP9)),"·",bdRateExtend(R5:R9,T5:T9,AN5:AN9,AP5:AP9))</f>
        <v>9.227832061372343E-3</v>
      </c>
      <c r="BE5" s="54">
        <f>IF(OR(ISBLANK(R5:R9),ISBLANK(AN5:AN9),ISBLANK(U5:U9),ISBLANK(AQ5:AQ9)),"·",bdRateExtend(R5:R9,U5:U9,AN5:AN9,AQ5:AQ9))</f>
        <v>1.3808026908768589E-2</v>
      </c>
      <c r="BF5" s="54">
        <f>IF(OR(ISBLANK(R5:R9),ISBLANK(AN5:AN9),ISBLANK(V5:V9),ISBLANK(AR5:AR9)),"·",bdRateExtend(R5:R9,V5:V9,AN5:AN9,AR5:AR9))</f>
        <v>-1.8792625203097768E-2</v>
      </c>
      <c r="BG5" s="61"/>
      <c r="BI5" s="54">
        <f>IF(OR(ISBLANK(R5:R9),ISBLANK(AN5:AN9),ISBLANK(X5:X9),ISBLANK(AT5:AT9)),"·",bdRateExtend(R5:R9,X5:X9,AN5:AN9,AT5:AT9))</f>
        <v>8.6865051632003532E-3</v>
      </c>
      <c r="BJ5" s="54">
        <f>IF(OR(ISBLANK(R5:R9),ISBLANK(AN5:AN9),ISBLANK(Y5:Y9),ISBLANK(AU5:AU9)),"·",bdRateExtend(R5:R9,Y5:Y9,AN5:AN9,AU5:AU9))</f>
        <v>8.6865051632003532E-3</v>
      </c>
      <c r="BK5" s="54">
        <f>IF(OR(ISBLANK(R5:R9),ISBLANK(AN5:AN9),ISBLANK(Z5:Z9),ISBLANK(AV5:AV9)),"·",bdRateExtend(R5:R9,Z5:Z9,AN5:AN9,AV5:AV9))</f>
        <v>8.6865051632003532E-3</v>
      </c>
      <c r="BL5" s="61"/>
      <c r="BN5" s="54">
        <f>IF(OR(ISBLANK(P5:P9),ISBLANK(AL5:AL9),ISBLANK(T5:T9),ISBLANK(AP5:AP9)),"·",bdRateExtend(P5:P9,T5:T9,AL5:AL9,AP5:AP9))</f>
        <v>3.0498569794317199E-3</v>
      </c>
      <c r="BO5" s="54">
        <f>IF(OR(ISBLANK(P5:P9),ISBLANK(AL5:AL9),ISBLANK(U5:U9),ISBLANK(AQ5:AQ9)),"·",bdRateExtend(P5:P9,U5:U9,AL5:AL9,AQ5:AQ9))</f>
        <v>4.4962909539520979E-3</v>
      </c>
      <c r="BP5" s="54">
        <f>IF(OR(ISBLANK(P5:P9),ISBLANK(AL5:AL9),ISBLANK(V5:V9),ISBLANK(AR5:AR9)),"·",bdRateExtend(P5:P9,V5:V9,AL5:AL9,AR5:AR9))</f>
        <v>-4.2832687421960891E-3</v>
      </c>
      <c r="BQ5" s="61"/>
      <c r="BS5" s="54">
        <f>IF(OR(ISBLANK(P5:P9),ISBLANK(AL5:AL9),ISBLANK(X5:X9),ISBLANK(AT5:AT9)),"·",bdRateExtend(P5:P9,X5:X9,AL5:AL9,AT5:AT9))</f>
        <v>3.0320565952990375E-3</v>
      </c>
      <c r="BT5" s="54">
        <f>IF(OR(ISBLANK(P5:P9),ISBLANK(AL5:AL9),ISBLANK(Y5:Y9),ISBLANK(AU5:AU9)),"·",bdRateExtend(P5:P9,Y5:Y9,AL5:AL9,AU5:AU9))</f>
        <v>3.0320565952990375E-3</v>
      </c>
      <c r="BU5" s="54">
        <f>IF(OR(ISBLANK(P5:P9),ISBLANK(AL5:AL9),ISBLANK(Z5:Z9),ISBLANK(AV5:AV9)),"·",bdRateExtend(P5:P9,Z5:Z9,AL5:AL9,AV5:AV9))</f>
        <v>3.0320565952990375E-3</v>
      </c>
      <c r="BV5" s="61"/>
      <c r="BX5">
        <f>AK5-O5</f>
        <v>0</v>
      </c>
      <c r="BY5">
        <f t="shared" ref="BY5:CJ5" si="11">AL5-P5</f>
        <v>12400</v>
      </c>
      <c r="BZ5">
        <f t="shared" si="11"/>
        <v>0</v>
      </c>
      <c r="CA5">
        <f t="shared" si="11"/>
        <v>12400</v>
      </c>
      <c r="CB5">
        <f t="shared" si="11"/>
        <v>0</v>
      </c>
      <c r="CC5">
        <f t="shared" si="11"/>
        <v>-9.9999999999766942E-4</v>
      </c>
      <c r="CD5">
        <f t="shared" si="11"/>
        <v>7.9999999999955662E-3</v>
      </c>
      <c r="CE5">
        <f t="shared" si="11"/>
        <v>1.9999999999953388E-4</v>
      </c>
      <c r="CF5">
        <f t="shared" si="11"/>
        <v>0</v>
      </c>
      <c r="CG5">
        <f t="shared" si="11"/>
        <v>0</v>
      </c>
      <c r="CH5">
        <f t="shared" si="11"/>
        <v>0</v>
      </c>
      <c r="CI5">
        <f t="shared" si="11"/>
        <v>0</v>
      </c>
      <c r="CJ5">
        <f t="shared" si="11"/>
        <v>0</v>
      </c>
    </row>
    <row r="6" spans="1:88" outlineLevel="1" x14ac:dyDescent="0.15">
      <c r="A6" s="8"/>
      <c r="B6" s="8" t="s">
        <v>48</v>
      </c>
      <c r="C6" s="9" t="s">
        <v>255</v>
      </c>
      <c r="D6" s="8">
        <v>2925514</v>
      </c>
      <c r="E6" s="10">
        <v>11</v>
      </c>
      <c r="F6" s="9">
        <v>1</v>
      </c>
      <c r="G6" s="9"/>
      <c r="I6" s="22" t="str">
        <f t="shared" si="0"/>
        <v>·</v>
      </c>
      <c r="J6" s="23">
        <f t="shared" si="1"/>
        <v>3.5273473311014749</v>
      </c>
      <c r="K6" s="23">
        <f t="shared" si="2"/>
        <v>0.89312715645865992</v>
      </c>
      <c r="L6" s="23">
        <f t="shared" si="3"/>
        <v>2.6338974963032138</v>
      </c>
      <c r="M6" s="24"/>
      <c r="N6" s="23">
        <f t="shared" si="4"/>
        <v>3.5273473311014749</v>
      </c>
      <c r="O6" s="25">
        <v>2925514</v>
      </c>
      <c r="P6" s="26">
        <v>10319304</v>
      </c>
      <c r="Q6" s="26">
        <v>2612856</v>
      </c>
      <c r="R6" s="26">
        <v>7705504</v>
      </c>
      <c r="S6" s="40"/>
      <c r="T6" s="41">
        <v>48.121099999999998</v>
      </c>
      <c r="U6" s="41">
        <v>51.726999999999997</v>
      </c>
      <c r="V6" s="41">
        <v>52.2605</v>
      </c>
      <c r="W6" s="42"/>
      <c r="X6" s="41">
        <v>42.110199999999999</v>
      </c>
      <c r="Y6" s="41">
        <v>42.110199999999999</v>
      </c>
      <c r="Z6" s="41">
        <v>42.110199999999999</v>
      </c>
      <c r="AA6" s="42"/>
      <c r="AB6" s="50">
        <v>3.7029999999999998</v>
      </c>
      <c r="AC6" s="50">
        <v>2.6869999999999998</v>
      </c>
      <c r="AE6" s="22" t="str">
        <f t="shared" si="5"/>
        <v>·</v>
      </c>
      <c r="AF6" s="23">
        <f t="shared" si="6"/>
        <v>3.5347826057233021</v>
      </c>
      <c r="AG6" s="23">
        <f t="shared" si="7"/>
        <v>0.89312715645865992</v>
      </c>
      <c r="AH6" s="23">
        <f t="shared" si="8"/>
        <v>2.6413327709250409</v>
      </c>
      <c r="AI6" s="24"/>
      <c r="AJ6" s="23">
        <f t="shared" si="9"/>
        <v>3.5347826057233021</v>
      </c>
      <c r="AK6" s="25">
        <v>2925514</v>
      </c>
      <c r="AL6" s="26">
        <v>10341056</v>
      </c>
      <c r="AM6" s="26">
        <v>2612856</v>
      </c>
      <c r="AN6" s="26">
        <v>7727256</v>
      </c>
      <c r="AO6" s="40"/>
      <c r="AP6" s="41">
        <v>48.119799999999998</v>
      </c>
      <c r="AQ6" s="41">
        <v>51.729199999999999</v>
      </c>
      <c r="AR6" s="41">
        <v>52.255400000000002</v>
      </c>
      <c r="AS6" s="42"/>
      <c r="AT6" s="41">
        <v>42.110199999999999</v>
      </c>
      <c r="AU6" s="41">
        <v>42.110199999999999</v>
      </c>
      <c r="AV6" s="41">
        <v>42.110199999999999</v>
      </c>
      <c r="AW6" s="42"/>
      <c r="AX6" s="50">
        <v>3.6869999999999998</v>
      </c>
      <c r="AY6" s="50">
        <v>2.7810000000000001</v>
      </c>
      <c r="BA6" s="55">
        <f t="shared" si="10"/>
        <v>-5.3259780645864563E-4</v>
      </c>
      <c r="BB6" s="55"/>
      <c r="BD6" s="56"/>
      <c r="BE6" s="56"/>
      <c r="BF6" s="56"/>
      <c r="BG6" s="62"/>
      <c r="BI6" s="56"/>
      <c r="BJ6" s="56"/>
      <c r="BK6" s="56"/>
      <c r="BL6" s="62"/>
      <c r="BN6" s="56"/>
      <c r="BO6" s="56"/>
      <c r="BP6" s="56"/>
      <c r="BQ6" s="62"/>
      <c r="BS6" s="56"/>
      <c r="BT6" s="56"/>
      <c r="BU6" s="56"/>
      <c r="BV6" s="62"/>
      <c r="BX6">
        <f t="shared" ref="BX6:BX69" si="12">AK6-O6</f>
        <v>0</v>
      </c>
      <c r="BY6">
        <f t="shared" ref="BY6:BY69" si="13">AL6-P6</f>
        <v>21752</v>
      </c>
      <c r="BZ6">
        <f t="shared" ref="BZ6:BZ69" si="14">AM6-Q6</f>
        <v>0</v>
      </c>
      <c r="CA6">
        <f t="shared" ref="CA6:CA69" si="15">AN6-R6</f>
        <v>21752</v>
      </c>
      <c r="CB6">
        <f t="shared" ref="CB6:CB69" si="16">AO6-S6</f>
        <v>0</v>
      </c>
      <c r="CC6">
        <f t="shared" ref="CC6:CC69" si="17">AP6-T6</f>
        <v>-1.300000000000523E-3</v>
      </c>
      <c r="CD6">
        <f t="shared" ref="CD6:CD69" si="18">AQ6-U6</f>
        <v>2.2000000000019782E-3</v>
      </c>
      <c r="CE6">
        <f t="shared" ref="CE6:CE69" si="19">AR6-V6</f>
        <v>-5.0999999999987722E-3</v>
      </c>
      <c r="CF6">
        <f t="shared" ref="CF6:CF69" si="20">AS6-W6</f>
        <v>0</v>
      </c>
      <c r="CG6">
        <f t="shared" ref="CG6:CG69" si="21">AT6-X6</f>
        <v>0</v>
      </c>
      <c r="CH6">
        <f t="shared" ref="CH6:CH69" si="22">AU6-Y6</f>
        <v>0</v>
      </c>
      <c r="CI6">
        <f t="shared" ref="CI6:CI69" si="23">AV6-Z6</f>
        <v>0</v>
      </c>
      <c r="CJ6">
        <f t="shared" ref="CJ6:CJ69" si="24">AW6-AA6</f>
        <v>0</v>
      </c>
    </row>
    <row r="7" spans="1:88" outlineLevel="1" x14ac:dyDescent="0.15">
      <c r="A7" s="5"/>
      <c r="B7" s="5" t="s">
        <v>48</v>
      </c>
      <c r="C7" s="6" t="s">
        <v>256</v>
      </c>
      <c r="D7" s="5">
        <v>2925514</v>
      </c>
      <c r="E7" s="7">
        <v>11</v>
      </c>
      <c r="F7" s="6">
        <v>1</v>
      </c>
      <c r="G7" s="6"/>
      <c r="I7" s="17" t="str">
        <f t="shared" si="0"/>
        <v>·</v>
      </c>
      <c r="J7" s="18">
        <f t="shared" si="1"/>
        <v>1.9524746762449265</v>
      </c>
      <c r="K7" s="18">
        <f t="shared" si="2"/>
        <v>0.89312715645865992</v>
      </c>
      <c r="L7" s="18">
        <f t="shared" si="3"/>
        <v>1.0590248414466654</v>
      </c>
      <c r="M7" s="19"/>
      <c r="N7" s="18">
        <f t="shared" si="4"/>
        <v>1.9524746762449265</v>
      </c>
      <c r="O7" s="20">
        <v>2925514</v>
      </c>
      <c r="P7" s="21">
        <v>5711992</v>
      </c>
      <c r="Q7" s="21">
        <v>2612856</v>
      </c>
      <c r="R7" s="21">
        <v>3098192</v>
      </c>
      <c r="S7" s="37"/>
      <c r="T7" s="38">
        <v>41.509900000000002</v>
      </c>
      <c r="U7" s="38">
        <v>46.295299999999997</v>
      </c>
      <c r="V7" s="38">
        <v>47.761899999999997</v>
      </c>
      <c r="W7" s="39"/>
      <c r="X7" s="38">
        <v>34.151400000000002</v>
      </c>
      <c r="Y7" s="38">
        <v>34.151400000000002</v>
      </c>
      <c r="Z7" s="38">
        <v>34.151400000000002</v>
      </c>
      <c r="AA7" s="39"/>
      <c r="AB7" s="49">
        <v>3.6709999999999998</v>
      </c>
      <c r="AC7" s="49">
        <v>2.7029999999999998</v>
      </c>
      <c r="AE7" s="17" t="str">
        <f t="shared" si="5"/>
        <v>·</v>
      </c>
      <c r="AF7" s="18">
        <f t="shared" si="6"/>
        <v>1.9600630863499542</v>
      </c>
      <c r="AG7" s="18">
        <f t="shared" si="7"/>
        <v>0.89312715645865992</v>
      </c>
      <c r="AH7" s="18">
        <f t="shared" si="8"/>
        <v>1.0666132515516931</v>
      </c>
      <c r="AI7" s="19"/>
      <c r="AJ7" s="18">
        <f t="shared" si="9"/>
        <v>1.9600630863499542</v>
      </c>
      <c r="AK7" s="20">
        <v>2925514</v>
      </c>
      <c r="AL7" s="21">
        <v>5734192</v>
      </c>
      <c r="AM7" s="21">
        <v>2612856</v>
      </c>
      <c r="AN7" s="21">
        <v>3120392</v>
      </c>
      <c r="AO7" s="37"/>
      <c r="AP7" s="38">
        <v>41.519599999999997</v>
      </c>
      <c r="AQ7" s="38">
        <v>46.296500000000002</v>
      </c>
      <c r="AR7" s="38">
        <v>47.820900000000002</v>
      </c>
      <c r="AS7" s="39"/>
      <c r="AT7" s="38">
        <v>34.151400000000002</v>
      </c>
      <c r="AU7" s="38">
        <v>34.151400000000002</v>
      </c>
      <c r="AV7" s="38">
        <v>34.151400000000002</v>
      </c>
      <c r="AW7" s="39"/>
      <c r="AX7" s="49">
        <v>3.625</v>
      </c>
      <c r="AY7" s="49">
        <v>2.6869999999999998</v>
      </c>
      <c r="BA7" s="53">
        <f t="shared" si="10"/>
        <v>-1.7709594979981036E-3</v>
      </c>
      <c r="BB7" s="53"/>
      <c r="BD7" s="54"/>
      <c r="BE7" s="54"/>
      <c r="BF7" s="54"/>
      <c r="BG7" s="61"/>
      <c r="BI7" s="54"/>
      <c r="BJ7" s="54"/>
      <c r="BK7" s="54"/>
      <c r="BL7" s="61"/>
      <c r="BN7" s="54"/>
      <c r="BO7" s="54"/>
      <c r="BP7" s="54"/>
      <c r="BQ7" s="61"/>
      <c r="BS7" s="54"/>
      <c r="BT7" s="54"/>
      <c r="BU7" s="54"/>
      <c r="BV7" s="61"/>
      <c r="BX7">
        <f t="shared" si="12"/>
        <v>0</v>
      </c>
      <c r="BY7">
        <f t="shared" si="13"/>
        <v>22200</v>
      </c>
      <c r="BZ7">
        <f t="shared" si="14"/>
        <v>0</v>
      </c>
      <c r="CA7">
        <f t="shared" si="15"/>
        <v>22200</v>
      </c>
      <c r="CB7">
        <f t="shared" si="16"/>
        <v>0</v>
      </c>
      <c r="CC7">
        <f t="shared" si="17"/>
        <v>9.6999999999951569E-3</v>
      </c>
      <c r="CD7">
        <f t="shared" si="18"/>
        <v>1.2000000000043087E-3</v>
      </c>
      <c r="CE7">
        <f t="shared" si="19"/>
        <v>5.9000000000004604E-2</v>
      </c>
      <c r="CF7">
        <f t="shared" si="20"/>
        <v>0</v>
      </c>
      <c r="CG7">
        <f t="shared" si="21"/>
        <v>0</v>
      </c>
      <c r="CH7">
        <f t="shared" si="22"/>
        <v>0</v>
      </c>
      <c r="CI7">
        <f t="shared" si="23"/>
        <v>0</v>
      </c>
      <c r="CJ7">
        <f t="shared" si="24"/>
        <v>0</v>
      </c>
    </row>
    <row r="8" spans="1:88" outlineLevel="1" x14ac:dyDescent="0.15">
      <c r="A8" s="8"/>
      <c r="B8" s="8" t="s">
        <v>48</v>
      </c>
      <c r="C8" s="9" t="s">
        <v>257</v>
      </c>
      <c r="D8" s="8">
        <v>2925514</v>
      </c>
      <c r="E8" s="10">
        <v>11</v>
      </c>
      <c r="F8" s="9">
        <v>1</v>
      </c>
      <c r="G8" s="9"/>
      <c r="I8" s="22" t="str">
        <f t="shared" si="0"/>
        <v>·</v>
      </c>
      <c r="J8" s="23">
        <f t="shared" si="1"/>
        <v>1.2972216164407349</v>
      </c>
      <c r="K8" s="23">
        <f t="shared" si="2"/>
        <v>0.89312715645865992</v>
      </c>
      <c r="L8" s="23">
        <f t="shared" si="3"/>
        <v>0.40377178164247379</v>
      </c>
      <c r="M8" s="24"/>
      <c r="N8" s="23">
        <f t="shared" si="4"/>
        <v>1.2972216164407349</v>
      </c>
      <c r="O8" s="25">
        <v>2925514</v>
      </c>
      <c r="P8" s="26">
        <v>3795040</v>
      </c>
      <c r="Q8" s="26">
        <v>2612856</v>
      </c>
      <c r="R8" s="26">
        <v>1181240</v>
      </c>
      <c r="S8" s="40"/>
      <c r="T8" s="41">
        <v>36.183700000000002</v>
      </c>
      <c r="U8" s="41">
        <v>41.981900000000003</v>
      </c>
      <c r="V8" s="41">
        <v>43.149900000000002</v>
      </c>
      <c r="W8" s="42"/>
      <c r="X8" s="41">
        <v>28.130800000000001</v>
      </c>
      <c r="Y8" s="41">
        <v>28.130800000000001</v>
      </c>
      <c r="Z8" s="41">
        <v>28.130800000000001</v>
      </c>
      <c r="AA8" s="42"/>
      <c r="AB8" s="50">
        <v>3.64</v>
      </c>
      <c r="AC8" s="50">
        <v>2.609</v>
      </c>
      <c r="AE8" s="22" t="str">
        <f t="shared" si="5"/>
        <v>·</v>
      </c>
      <c r="AF8" s="23">
        <f t="shared" si="6"/>
        <v>1.3020809334701526</v>
      </c>
      <c r="AG8" s="23">
        <f t="shared" si="7"/>
        <v>0.89312715645865992</v>
      </c>
      <c r="AH8" s="23">
        <f t="shared" si="8"/>
        <v>0.40863109867189151</v>
      </c>
      <c r="AI8" s="24"/>
      <c r="AJ8" s="23">
        <f t="shared" si="9"/>
        <v>1.3020809334701526</v>
      </c>
      <c r="AK8" s="25">
        <v>2925514</v>
      </c>
      <c r="AL8" s="26">
        <v>3809256</v>
      </c>
      <c r="AM8" s="26">
        <v>2612856</v>
      </c>
      <c r="AN8" s="26">
        <v>1195456</v>
      </c>
      <c r="AO8" s="40"/>
      <c r="AP8" s="41">
        <v>36.1751</v>
      </c>
      <c r="AQ8" s="41">
        <v>41.8994</v>
      </c>
      <c r="AR8" s="41">
        <v>43.352499999999999</v>
      </c>
      <c r="AS8" s="42"/>
      <c r="AT8" s="41">
        <v>28.130800000000001</v>
      </c>
      <c r="AU8" s="41">
        <v>28.130800000000001</v>
      </c>
      <c r="AV8" s="41">
        <v>28.130800000000001</v>
      </c>
      <c r="AW8" s="42"/>
      <c r="AX8" s="50">
        <v>3.6560000000000001</v>
      </c>
      <c r="AY8" s="50">
        <v>2.5779999999999998</v>
      </c>
      <c r="BA8" s="55">
        <f t="shared" si="10"/>
        <v>-2.5694275254386501E-3</v>
      </c>
      <c r="BB8" s="55"/>
      <c r="BD8" s="56"/>
      <c r="BE8" s="56"/>
      <c r="BF8" s="56"/>
      <c r="BG8" s="62"/>
      <c r="BI8" s="56"/>
      <c r="BJ8" s="56"/>
      <c r="BK8" s="56"/>
      <c r="BL8" s="62"/>
      <c r="BN8" s="56"/>
      <c r="BO8" s="56"/>
      <c r="BP8" s="56"/>
      <c r="BQ8" s="62"/>
      <c r="BS8" s="56"/>
      <c r="BT8" s="56"/>
      <c r="BU8" s="56"/>
      <c r="BV8" s="62"/>
      <c r="BX8">
        <f t="shared" si="12"/>
        <v>0</v>
      </c>
      <c r="BY8">
        <f t="shared" si="13"/>
        <v>14216</v>
      </c>
      <c r="BZ8">
        <f t="shared" si="14"/>
        <v>0</v>
      </c>
      <c r="CA8">
        <f t="shared" si="15"/>
        <v>14216</v>
      </c>
      <c r="CB8">
        <f t="shared" si="16"/>
        <v>0</v>
      </c>
      <c r="CC8">
        <f t="shared" si="17"/>
        <v>-8.6000000000012733E-3</v>
      </c>
      <c r="CD8">
        <f t="shared" si="18"/>
        <v>-8.2500000000003126E-2</v>
      </c>
      <c r="CE8">
        <f t="shared" si="19"/>
        <v>0.20259999999999678</v>
      </c>
      <c r="CF8">
        <f t="shared" si="20"/>
        <v>0</v>
      </c>
      <c r="CG8">
        <f t="shared" si="21"/>
        <v>0</v>
      </c>
      <c r="CH8">
        <f t="shared" si="22"/>
        <v>0</v>
      </c>
      <c r="CI8">
        <f t="shared" si="23"/>
        <v>0</v>
      </c>
      <c r="CJ8">
        <f t="shared" si="24"/>
        <v>0</v>
      </c>
    </row>
    <row r="9" spans="1:88" outlineLevel="1" x14ac:dyDescent="0.15">
      <c r="A9" s="5"/>
      <c r="B9" s="11" t="s">
        <v>48</v>
      </c>
      <c r="C9" s="12" t="s">
        <v>258</v>
      </c>
      <c r="D9" s="11">
        <v>2925514</v>
      </c>
      <c r="E9" s="13">
        <v>11</v>
      </c>
      <c r="F9" s="12">
        <v>1</v>
      </c>
      <c r="G9" s="12"/>
      <c r="I9" s="27" t="str">
        <f t="shared" si="0"/>
        <v>·</v>
      </c>
      <c r="J9" s="28">
        <f t="shared" si="1"/>
        <v>1.0157968821889076</v>
      </c>
      <c r="K9" s="28">
        <f t="shared" si="2"/>
        <v>0.89312715645865992</v>
      </c>
      <c r="L9" s="28">
        <f t="shared" si="3"/>
        <v>0.12234704739064657</v>
      </c>
      <c r="M9" s="29"/>
      <c r="N9" s="28">
        <f t="shared" si="4"/>
        <v>1.0157968821889076</v>
      </c>
      <c r="O9" s="30">
        <v>2925514</v>
      </c>
      <c r="P9" s="31">
        <v>2971728</v>
      </c>
      <c r="Q9" s="31">
        <v>2612856</v>
      </c>
      <c r="R9" s="31">
        <v>357928</v>
      </c>
      <c r="S9" s="43"/>
      <c r="T9" s="44">
        <v>29.854500000000002</v>
      </c>
      <c r="U9" s="44">
        <v>36.003100000000003</v>
      </c>
      <c r="V9" s="44">
        <v>38.9574</v>
      </c>
      <c r="W9" s="45"/>
      <c r="X9" s="44">
        <v>21.686399999999999</v>
      </c>
      <c r="Y9" s="44">
        <v>21.686399999999999</v>
      </c>
      <c r="Z9" s="44">
        <v>21.686399999999999</v>
      </c>
      <c r="AA9" s="45"/>
      <c r="AB9" s="51">
        <v>3.609</v>
      </c>
      <c r="AC9" s="51">
        <v>2.5779999999999998</v>
      </c>
      <c r="AE9" s="27" t="str">
        <f t="shared" si="5"/>
        <v>·</v>
      </c>
      <c r="AF9" s="28">
        <f t="shared" si="6"/>
        <v>1.0193873623575207</v>
      </c>
      <c r="AG9" s="28">
        <f t="shared" si="7"/>
        <v>0.89312715645865992</v>
      </c>
      <c r="AH9" s="28">
        <f t="shared" si="8"/>
        <v>0.12593752755925966</v>
      </c>
      <c r="AI9" s="29"/>
      <c r="AJ9" s="28">
        <f t="shared" si="9"/>
        <v>1.0193873623575207</v>
      </c>
      <c r="AK9" s="30">
        <v>2925514</v>
      </c>
      <c r="AL9" s="31">
        <v>2982232</v>
      </c>
      <c r="AM9" s="31">
        <v>2612856</v>
      </c>
      <c r="AN9" s="31">
        <v>368432</v>
      </c>
      <c r="AO9" s="43"/>
      <c r="AP9" s="44">
        <v>29.867100000000001</v>
      </c>
      <c r="AQ9" s="44">
        <v>36.042099999999998</v>
      </c>
      <c r="AR9" s="44">
        <v>39.343499999999999</v>
      </c>
      <c r="AS9" s="45"/>
      <c r="AT9" s="44">
        <v>21.686399999999999</v>
      </c>
      <c r="AU9" s="44">
        <v>21.686399999999999</v>
      </c>
      <c r="AV9" s="44">
        <v>21.686399999999999</v>
      </c>
      <c r="AW9" s="45"/>
      <c r="AX9" s="51">
        <v>3.5619999999999998</v>
      </c>
      <c r="AY9" s="51">
        <v>2.6560000000000001</v>
      </c>
      <c r="BA9" s="57">
        <f t="shared" si="10"/>
        <v>-3.0968466920839877E-3</v>
      </c>
      <c r="BB9" s="57"/>
      <c r="BD9" s="58"/>
      <c r="BE9" s="58"/>
      <c r="BF9" s="58"/>
      <c r="BG9" s="63"/>
      <c r="BI9" s="58"/>
      <c r="BJ9" s="58"/>
      <c r="BK9" s="58"/>
      <c r="BL9" s="63"/>
      <c r="BN9" s="58"/>
      <c r="BO9" s="58"/>
      <c r="BP9" s="58"/>
      <c r="BQ9" s="63"/>
      <c r="BS9" s="58"/>
      <c r="BT9" s="58"/>
      <c r="BU9" s="58"/>
      <c r="BV9" s="63"/>
      <c r="BX9">
        <f t="shared" si="12"/>
        <v>0</v>
      </c>
      <c r="BY9">
        <f t="shared" si="13"/>
        <v>10504</v>
      </c>
      <c r="BZ9">
        <f t="shared" si="14"/>
        <v>0</v>
      </c>
      <c r="CA9">
        <f t="shared" si="15"/>
        <v>10504</v>
      </c>
      <c r="CB9">
        <f t="shared" si="16"/>
        <v>0</v>
      </c>
      <c r="CC9">
        <f t="shared" si="17"/>
        <v>1.2599999999999056E-2</v>
      </c>
      <c r="CD9">
        <f t="shared" si="18"/>
        <v>3.8999999999994373E-2</v>
      </c>
      <c r="CE9">
        <f t="shared" si="19"/>
        <v>0.386099999999999</v>
      </c>
      <c r="CF9">
        <f t="shared" si="20"/>
        <v>0</v>
      </c>
      <c r="CG9">
        <f t="shared" si="21"/>
        <v>0</v>
      </c>
      <c r="CH9">
        <f t="shared" si="22"/>
        <v>0</v>
      </c>
      <c r="CI9">
        <f t="shared" si="23"/>
        <v>0</v>
      </c>
      <c r="CJ9">
        <f t="shared" si="24"/>
        <v>0</v>
      </c>
    </row>
    <row r="10" spans="1:88" x14ac:dyDescent="0.15">
      <c r="A10" s="8"/>
      <c r="B10" s="8" t="s">
        <v>56</v>
      </c>
      <c r="C10" s="9" t="s">
        <v>254</v>
      </c>
      <c r="D10" s="8">
        <v>3493085</v>
      </c>
      <c r="E10" s="10">
        <v>12</v>
      </c>
      <c r="F10" s="9">
        <v>1</v>
      </c>
      <c r="G10" s="9"/>
      <c r="I10" s="22" t="str">
        <f t="shared" si="0"/>
        <v>·</v>
      </c>
      <c r="J10" s="23">
        <f t="shared" si="1"/>
        <v>6.5095764918403072</v>
      </c>
      <c r="K10" s="23">
        <f t="shared" si="2"/>
        <v>3.5692277743026581</v>
      </c>
      <c r="L10" s="23">
        <f t="shared" si="3"/>
        <v>2.9401082424275389</v>
      </c>
      <c r="M10" s="24"/>
      <c r="N10" s="23">
        <f t="shared" si="4"/>
        <v>6.5095764918403072</v>
      </c>
      <c r="O10" s="25">
        <v>3493085</v>
      </c>
      <c r="P10" s="26">
        <v>22738504</v>
      </c>
      <c r="Q10" s="26">
        <v>12467616</v>
      </c>
      <c r="R10" s="26">
        <v>10270048</v>
      </c>
      <c r="S10" s="40"/>
      <c r="T10" s="41">
        <v>52.548099999999998</v>
      </c>
      <c r="U10" s="41">
        <v>56.719700000000003</v>
      </c>
      <c r="V10" s="41">
        <v>56.473799999999997</v>
      </c>
      <c r="W10" s="42"/>
      <c r="X10" s="41">
        <v>48.130800000000001</v>
      </c>
      <c r="Y10" s="41">
        <v>48.130800000000001</v>
      </c>
      <c r="Z10" s="41">
        <v>48.130800000000001</v>
      </c>
      <c r="AA10" s="42"/>
      <c r="AB10" s="50">
        <v>5.6559999999999997</v>
      </c>
      <c r="AC10" s="50">
        <v>4.609</v>
      </c>
      <c r="AE10" s="22" t="str">
        <f t="shared" si="5"/>
        <v>·</v>
      </c>
      <c r="AF10" s="23">
        <f t="shared" si="6"/>
        <v>6.5097459695369562</v>
      </c>
      <c r="AG10" s="23">
        <f t="shared" si="7"/>
        <v>3.5692277743026581</v>
      </c>
      <c r="AH10" s="23">
        <f t="shared" si="8"/>
        <v>2.9402777201241883</v>
      </c>
      <c r="AI10" s="24"/>
      <c r="AJ10" s="23">
        <f t="shared" si="9"/>
        <v>6.5097459695369562</v>
      </c>
      <c r="AK10" s="25">
        <v>3493085</v>
      </c>
      <c r="AL10" s="26">
        <v>22739096</v>
      </c>
      <c r="AM10" s="26">
        <v>12467616</v>
      </c>
      <c r="AN10" s="26">
        <v>10270640</v>
      </c>
      <c r="AO10" s="40"/>
      <c r="AP10" s="41">
        <v>52.545200000000001</v>
      </c>
      <c r="AQ10" s="41">
        <v>56.715699999999998</v>
      </c>
      <c r="AR10" s="41">
        <v>56.463299999999997</v>
      </c>
      <c r="AS10" s="42"/>
      <c r="AT10" s="41">
        <v>48.130800000000001</v>
      </c>
      <c r="AU10" s="41">
        <v>48.130800000000001</v>
      </c>
      <c r="AV10" s="41">
        <v>48.130800000000001</v>
      </c>
      <c r="AW10" s="42"/>
      <c r="AX10" s="50">
        <v>5.7030000000000003</v>
      </c>
      <c r="AY10" s="50">
        <v>4.6399999999999997</v>
      </c>
      <c r="BA10" s="55">
        <f t="shared" si="10"/>
        <v>-1.4274800281821598E-5</v>
      </c>
      <c r="BB10" s="55">
        <f t="array" ref="BB10">AVERAGE(AM10:AM14/AL10:AL14)-AVERAGE(Q10:Q14/P10:P14)</f>
        <v>-1.5266928336288288E-4</v>
      </c>
      <c r="BD10" s="56">
        <f>IF(OR(ISBLANK(R10:R14),ISBLANK(AN10:AN14),ISBLANK(T10:T14),ISBLANK(AP10:AP14)),"·",bdRateExtend(R10:R14,T10:T14,AN10:AN14,AP10:AP14))</f>
        <v>5.5450573720066121E-3</v>
      </c>
      <c r="BE10" s="56">
        <f>IF(OR(ISBLANK(R10:R14),ISBLANK(AN10:AN14),ISBLANK(U10:U14),ISBLANK(AQ10:AQ14)),"·",bdRateExtend(R10:R14,U10:U14,AN10:AN14,AQ10:AQ14))</f>
        <v>2.4332052256258008E-2</v>
      </c>
      <c r="BF10" s="56">
        <f>IF(OR(ISBLANK(R10:R14),ISBLANK(AN10:AN14),ISBLANK(V10:V14),ISBLANK(AR10:AR14)),"·",bdRateExtend(R10:R14,V10:V14,AN10:AN14,AR10:AR14))</f>
        <v>-2.4846848829780832E-2</v>
      </c>
      <c r="BG10" s="62"/>
      <c r="BI10" s="56">
        <f>IF(OR(ISBLANK(R10:R14),ISBLANK(AN10:AN14),ISBLANK(X10:X14),ISBLANK(AT10:AT14)),"·",bdRateExtend(R10:R14,X10:X14,AN10:AN14,AT10:AT14))</f>
        <v>3.2904306656003079E-3</v>
      </c>
      <c r="BJ10" s="56">
        <f>IF(OR(ISBLANK(R10:R14),ISBLANK(AN10:AN14),ISBLANK(Y10:Y14),ISBLANK(AU10:AU14)),"·",bdRateExtend(R10:R14,Y10:Y14,AN10:AN14,AU10:AU14))</f>
        <v>3.2904306656003079E-3</v>
      </c>
      <c r="BK10" s="56">
        <f>IF(OR(ISBLANK(R10:R14),ISBLANK(AN10:AN14),ISBLANK(Z10:Z14),ISBLANK(AV10:AV14)),"·",bdRateExtend(R10:R14,Z10:Z14,AN10:AN14,AV10:AV14))</f>
        <v>3.2904306656003079E-3</v>
      </c>
      <c r="BL10" s="62"/>
      <c r="BN10" s="56">
        <f>IF(OR(ISBLANK(P10:P14),ISBLANK(AL10:AL14),ISBLANK(T10:T14),ISBLANK(AP10:AP14)),"·",bdRateExtend(P10:P14,T10:T14,AL10:AL14,AP10:AP14))</f>
        <v>2.1369351607192222E-4</v>
      </c>
      <c r="BO10" s="56">
        <f>IF(OR(ISBLANK(P10:P14),ISBLANK(AL10:AL14),ISBLANK(U10:U14),ISBLANK(AQ10:AQ14)),"·",bdRateExtend(P10:P14,U10:U14,AL10:AL14,AQ10:AQ14))</f>
        <v>1.1554542920986233E-3</v>
      </c>
      <c r="BP10" s="56">
        <f>IF(OR(ISBLANK(P10:P14),ISBLANK(AL10:AL14),ISBLANK(V10:V14),ISBLANK(AR10:AR14)),"·",bdRateExtend(P10:P14,V10:V14,AL10:AL14,AR10:AR14))</f>
        <v>-9.9194531351365356E-4</v>
      </c>
      <c r="BQ10" s="62"/>
      <c r="BS10" s="56">
        <f>IF(OR(ISBLANK(P10:P14),ISBLANK(AL10:AL14),ISBLANK(X10:X14),ISBLANK(AT10:AT14)),"·",bdRateExtend(P10:P14,X10:X14,AL10:AL14,AT10:AT14))</f>
        <v>2.2832022997043566E-4</v>
      </c>
      <c r="BT10" s="56">
        <f>IF(OR(ISBLANK(P10:P14),ISBLANK(AL10:AL14),ISBLANK(Y10:Y14),ISBLANK(AU10:AU14)),"·",bdRateExtend(P10:P14,Y10:Y14,AL10:AL14,AU10:AU14))</f>
        <v>2.2832022997043566E-4</v>
      </c>
      <c r="BU10" s="56">
        <f>IF(OR(ISBLANK(P10:P14),ISBLANK(AL10:AL14),ISBLANK(Z10:Z14),ISBLANK(AV10:AV14)),"·",bdRateExtend(P10:P14,Z10:Z14,AL10:AL14,AV10:AV14))</f>
        <v>2.2832022997043566E-4</v>
      </c>
      <c r="BV10" s="62"/>
      <c r="BX10">
        <f t="shared" si="12"/>
        <v>0</v>
      </c>
      <c r="BY10">
        <f t="shared" si="13"/>
        <v>592</v>
      </c>
      <c r="BZ10">
        <f t="shared" si="14"/>
        <v>0</v>
      </c>
      <c r="CA10">
        <f t="shared" si="15"/>
        <v>592</v>
      </c>
      <c r="CB10">
        <f t="shared" si="16"/>
        <v>0</v>
      </c>
      <c r="CC10">
        <f t="shared" si="17"/>
        <v>-2.899999999996794E-3</v>
      </c>
      <c r="CD10">
        <f t="shared" si="18"/>
        <v>-4.0000000000048885E-3</v>
      </c>
      <c r="CE10">
        <f t="shared" si="19"/>
        <v>-1.0500000000000398E-2</v>
      </c>
      <c r="CF10">
        <f t="shared" si="20"/>
        <v>0</v>
      </c>
      <c r="CG10">
        <f t="shared" si="21"/>
        <v>0</v>
      </c>
      <c r="CH10">
        <f t="shared" si="22"/>
        <v>0</v>
      </c>
      <c r="CI10">
        <f t="shared" si="23"/>
        <v>0</v>
      </c>
      <c r="CJ10">
        <f t="shared" si="24"/>
        <v>0</v>
      </c>
    </row>
    <row r="11" spans="1:88" outlineLevel="1" x14ac:dyDescent="0.15">
      <c r="A11" s="5"/>
      <c r="B11" s="5" t="s">
        <v>56</v>
      </c>
      <c r="C11" s="6" t="s">
        <v>255</v>
      </c>
      <c r="D11" s="5">
        <v>3493085</v>
      </c>
      <c r="E11" s="7">
        <v>12</v>
      </c>
      <c r="F11" s="6">
        <v>1</v>
      </c>
      <c r="G11" s="6"/>
      <c r="I11" s="17" t="str">
        <f t="shared" si="0"/>
        <v>·</v>
      </c>
      <c r="J11" s="18">
        <f t="shared" si="1"/>
        <v>5.3844827709603402</v>
      </c>
      <c r="K11" s="18">
        <f t="shared" si="2"/>
        <v>3.5692277743026581</v>
      </c>
      <c r="L11" s="18">
        <f t="shared" si="3"/>
        <v>1.8150145215475719</v>
      </c>
      <c r="M11" s="19"/>
      <c r="N11" s="18">
        <f t="shared" si="4"/>
        <v>5.3844827709603402</v>
      </c>
      <c r="O11" s="20">
        <v>3493085</v>
      </c>
      <c r="P11" s="21">
        <v>18808456</v>
      </c>
      <c r="Q11" s="21">
        <v>12467616</v>
      </c>
      <c r="R11" s="21">
        <v>6340000</v>
      </c>
      <c r="S11" s="37"/>
      <c r="T11" s="38">
        <v>47.896599999999999</v>
      </c>
      <c r="U11" s="38">
        <v>52.764400000000002</v>
      </c>
      <c r="V11" s="38">
        <v>52.598999999999997</v>
      </c>
      <c r="W11" s="39"/>
      <c r="X11" s="38">
        <v>42.110199999999999</v>
      </c>
      <c r="Y11" s="38">
        <v>42.110199999999999</v>
      </c>
      <c r="Z11" s="38">
        <v>42.110199999999999</v>
      </c>
      <c r="AA11" s="39"/>
      <c r="AB11" s="49">
        <v>5.64</v>
      </c>
      <c r="AC11" s="49">
        <v>4.5</v>
      </c>
      <c r="AE11" s="17" t="str">
        <f t="shared" si="5"/>
        <v>·</v>
      </c>
      <c r="AF11" s="18">
        <f t="shared" si="6"/>
        <v>5.3855454419231137</v>
      </c>
      <c r="AG11" s="18">
        <f t="shared" si="7"/>
        <v>3.5692277743026581</v>
      </c>
      <c r="AH11" s="18">
        <f t="shared" si="8"/>
        <v>1.8160771925103454</v>
      </c>
      <c r="AI11" s="19"/>
      <c r="AJ11" s="18">
        <f t="shared" si="9"/>
        <v>5.3855454419231137</v>
      </c>
      <c r="AK11" s="20">
        <v>3493085</v>
      </c>
      <c r="AL11" s="21">
        <v>18812168</v>
      </c>
      <c r="AM11" s="21">
        <v>12467616</v>
      </c>
      <c r="AN11" s="21">
        <v>6343712</v>
      </c>
      <c r="AO11" s="37"/>
      <c r="AP11" s="38">
        <v>47.900300000000001</v>
      </c>
      <c r="AQ11" s="38">
        <v>52.772300000000001</v>
      </c>
      <c r="AR11" s="38">
        <v>52.588799999999999</v>
      </c>
      <c r="AS11" s="39"/>
      <c r="AT11" s="38">
        <v>42.110199999999999</v>
      </c>
      <c r="AU11" s="38">
        <v>42.110199999999999</v>
      </c>
      <c r="AV11" s="38">
        <v>42.110199999999999</v>
      </c>
      <c r="AW11" s="39"/>
      <c r="AX11" s="49">
        <v>5.609</v>
      </c>
      <c r="AY11" s="49">
        <v>4.5460000000000003</v>
      </c>
      <c r="BA11" s="53">
        <f t="shared" si="10"/>
        <v>-1.3079748434907668E-4</v>
      </c>
      <c r="BB11" s="53"/>
      <c r="BD11" s="54"/>
      <c r="BE11" s="54"/>
      <c r="BF11" s="54"/>
      <c r="BG11" s="61"/>
      <c r="BI11" s="54"/>
      <c r="BJ11" s="54"/>
      <c r="BK11" s="54"/>
      <c r="BL11" s="61"/>
      <c r="BN11" s="54"/>
      <c r="BO11" s="54"/>
      <c r="BP11" s="54"/>
      <c r="BQ11" s="61"/>
      <c r="BS11" s="54"/>
      <c r="BT11" s="54"/>
      <c r="BU11" s="54"/>
      <c r="BV11" s="61"/>
      <c r="BX11">
        <f t="shared" si="12"/>
        <v>0</v>
      </c>
      <c r="BY11">
        <f t="shared" si="13"/>
        <v>3712</v>
      </c>
      <c r="BZ11">
        <f t="shared" si="14"/>
        <v>0</v>
      </c>
      <c r="CA11">
        <f t="shared" si="15"/>
        <v>3712</v>
      </c>
      <c r="CB11">
        <f t="shared" si="16"/>
        <v>0</v>
      </c>
      <c r="CC11">
        <f t="shared" si="17"/>
        <v>3.700000000002035E-3</v>
      </c>
      <c r="CD11">
        <f t="shared" si="18"/>
        <v>7.899999999999352E-3</v>
      </c>
      <c r="CE11">
        <f t="shared" si="19"/>
        <v>-1.0199999999997544E-2</v>
      </c>
      <c r="CF11">
        <f t="shared" si="20"/>
        <v>0</v>
      </c>
      <c r="CG11">
        <f t="shared" si="21"/>
        <v>0</v>
      </c>
      <c r="CH11">
        <f t="shared" si="22"/>
        <v>0</v>
      </c>
      <c r="CI11">
        <f t="shared" si="23"/>
        <v>0</v>
      </c>
      <c r="CJ11">
        <f t="shared" si="24"/>
        <v>0</v>
      </c>
    </row>
    <row r="12" spans="1:88" outlineLevel="1" x14ac:dyDescent="0.15">
      <c r="A12" s="8"/>
      <c r="B12" s="8" t="s">
        <v>56</v>
      </c>
      <c r="C12" s="9" t="s">
        <v>256</v>
      </c>
      <c r="D12" s="8">
        <v>3493085</v>
      </c>
      <c r="E12" s="10">
        <v>12</v>
      </c>
      <c r="F12" s="9">
        <v>1</v>
      </c>
      <c r="G12" s="9"/>
      <c r="I12" s="22" t="str">
        <f t="shared" si="0"/>
        <v>·</v>
      </c>
      <c r="J12" s="23">
        <f t="shared" si="1"/>
        <v>4.2257843711218017</v>
      </c>
      <c r="K12" s="23">
        <f t="shared" si="2"/>
        <v>3.5692277743026581</v>
      </c>
      <c r="L12" s="23">
        <f t="shared" si="3"/>
        <v>0.65631612170903375</v>
      </c>
      <c r="M12" s="24"/>
      <c r="N12" s="23">
        <f t="shared" si="4"/>
        <v>4.2257843711218017</v>
      </c>
      <c r="O12" s="25">
        <v>3493085</v>
      </c>
      <c r="P12" s="26">
        <v>14761024</v>
      </c>
      <c r="Q12" s="26">
        <v>12467616</v>
      </c>
      <c r="R12" s="26">
        <v>2292568</v>
      </c>
      <c r="S12" s="40"/>
      <c r="T12" s="41">
        <v>41.229199999999999</v>
      </c>
      <c r="U12" s="41">
        <v>48.2926</v>
      </c>
      <c r="V12" s="41">
        <v>48.255000000000003</v>
      </c>
      <c r="W12" s="42"/>
      <c r="X12" s="41">
        <v>34.151400000000002</v>
      </c>
      <c r="Y12" s="41">
        <v>34.151400000000002</v>
      </c>
      <c r="Z12" s="41">
        <v>34.151400000000002</v>
      </c>
      <c r="AA12" s="42"/>
      <c r="AB12" s="50">
        <v>5.6710000000000003</v>
      </c>
      <c r="AC12" s="50">
        <v>4.5309999999999997</v>
      </c>
      <c r="AE12" s="22" t="str">
        <f t="shared" si="5"/>
        <v>·</v>
      </c>
      <c r="AF12" s="23">
        <f t="shared" si="6"/>
        <v>4.2256309250991606</v>
      </c>
      <c r="AG12" s="23">
        <f t="shared" si="7"/>
        <v>3.5692277743026581</v>
      </c>
      <c r="AH12" s="23">
        <f t="shared" si="8"/>
        <v>0.65616267568639186</v>
      </c>
      <c r="AI12" s="24"/>
      <c r="AJ12" s="23">
        <f t="shared" si="9"/>
        <v>4.2256309250991606</v>
      </c>
      <c r="AK12" s="25">
        <v>3493085</v>
      </c>
      <c r="AL12" s="26">
        <v>14760488</v>
      </c>
      <c r="AM12" s="26">
        <v>12467616</v>
      </c>
      <c r="AN12" s="26">
        <v>2292032</v>
      </c>
      <c r="AO12" s="40"/>
      <c r="AP12" s="41">
        <v>41.2378</v>
      </c>
      <c r="AQ12" s="41">
        <v>48.283999999999999</v>
      </c>
      <c r="AR12" s="41">
        <v>48.287199999999999</v>
      </c>
      <c r="AS12" s="42"/>
      <c r="AT12" s="41">
        <v>34.151400000000002</v>
      </c>
      <c r="AU12" s="41">
        <v>34.151400000000002</v>
      </c>
      <c r="AV12" s="41">
        <v>34.151400000000002</v>
      </c>
      <c r="AW12" s="42"/>
      <c r="AX12" s="50">
        <v>5.6710000000000003</v>
      </c>
      <c r="AY12" s="50">
        <v>4.5460000000000003</v>
      </c>
      <c r="BA12" s="55">
        <f t="shared" si="10"/>
        <v>3.0671216737165885E-5</v>
      </c>
      <c r="BB12" s="55"/>
      <c r="BD12" s="56"/>
      <c r="BE12" s="56"/>
      <c r="BF12" s="56"/>
      <c r="BG12" s="62"/>
      <c r="BI12" s="56"/>
      <c r="BJ12" s="56"/>
      <c r="BK12" s="56"/>
      <c r="BL12" s="62"/>
      <c r="BN12" s="56"/>
      <c r="BO12" s="56"/>
      <c r="BP12" s="56"/>
      <c r="BQ12" s="62"/>
      <c r="BS12" s="56"/>
      <c r="BT12" s="56"/>
      <c r="BU12" s="56"/>
      <c r="BV12" s="62"/>
      <c r="BX12">
        <f t="shared" si="12"/>
        <v>0</v>
      </c>
      <c r="BY12">
        <f t="shared" si="13"/>
        <v>-536</v>
      </c>
      <c r="BZ12">
        <f t="shared" si="14"/>
        <v>0</v>
      </c>
      <c r="CA12">
        <f t="shared" si="15"/>
        <v>-536</v>
      </c>
      <c r="CB12">
        <f t="shared" si="16"/>
        <v>0</v>
      </c>
      <c r="CC12">
        <f t="shared" si="17"/>
        <v>8.6000000000012733E-3</v>
      </c>
      <c r="CD12">
        <f t="shared" si="18"/>
        <v>-8.6000000000012733E-3</v>
      </c>
      <c r="CE12">
        <f t="shared" si="19"/>
        <v>3.219999999999601E-2</v>
      </c>
      <c r="CF12">
        <f t="shared" si="20"/>
        <v>0</v>
      </c>
      <c r="CG12">
        <f t="shared" si="21"/>
        <v>0</v>
      </c>
      <c r="CH12">
        <f t="shared" si="22"/>
        <v>0</v>
      </c>
      <c r="CI12">
        <f t="shared" si="23"/>
        <v>0</v>
      </c>
      <c r="CJ12">
        <f t="shared" si="24"/>
        <v>0</v>
      </c>
    </row>
    <row r="13" spans="1:88" outlineLevel="1" x14ac:dyDescent="0.15">
      <c r="A13" s="5"/>
      <c r="B13" s="5" t="s">
        <v>56</v>
      </c>
      <c r="C13" s="6" t="s">
        <v>257</v>
      </c>
      <c r="D13" s="5">
        <v>3493085</v>
      </c>
      <c r="E13" s="7">
        <v>12</v>
      </c>
      <c r="F13" s="6">
        <v>1</v>
      </c>
      <c r="G13" s="6"/>
      <c r="I13" s="17" t="str">
        <f t="shared" si="0"/>
        <v>·</v>
      </c>
      <c r="J13" s="18">
        <f t="shared" si="1"/>
        <v>3.7966027165099048</v>
      </c>
      <c r="K13" s="18">
        <f t="shared" si="2"/>
        <v>3.5692277743026581</v>
      </c>
      <c r="L13" s="18">
        <f t="shared" si="3"/>
        <v>0.22713446709713619</v>
      </c>
      <c r="M13" s="19"/>
      <c r="N13" s="18">
        <f t="shared" si="4"/>
        <v>3.7966027165099048</v>
      </c>
      <c r="O13" s="20">
        <v>3493085</v>
      </c>
      <c r="P13" s="21">
        <v>13261856</v>
      </c>
      <c r="Q13" s="21">
        <v>12467616</v>
      </c>
      <c r="R13" s="21">
        <v>793400</v>
      </c>
      <c r="S13" s="37"/>
      <c r="T13" s="38">
        <v>35.9497</v>
      </c>
      <c r="U13" s="38">
        <v>43.976900000000001</v>
      </c>
      <c r="V13" s="38">
        <v>43.933799999999998</v>
      </c>
      <c r="W13" s="39"/>
      <c r="X13" s="38">
        <v>28.130800000000001</v>
      </c>
      <c r="Y13" s="38">
        <v>28.130800000000001</v>
      </c>
      <c r="Z13" s="38">
        <v>28.130800000000001</v>
      </c>
      <c r="AA13" s="39"/>
      <c r="AB13" s="49">
        <v>5.64</v>
      </c>
      <c r="AC13" s="49">
        <v>4.5149999999999997</v>
      </c>
      <c r="AE13" s="17" t="str">
        <f t="shared" si="5"/>
        <v>·</v>
      </c>
      <c r="AF13" s="18">
        <f t="shared" si="6"/>
        <v>3.7990899162201894</v>
      </c>
      <c r="AG13" s="18">
        <f t="shared" si="7"/>
        <v>3.5692277743026581</v>
      </c>
      <c r="AH13" s="18">
        <f t="shared" si="8"/>
        <v>0.22962166680742094</v>
      </c>
      <c r="AI13" s="19"/>
      <c r="AJ13" s="18">
        <f t="shared" si="9"/>
        <v>3.7990899162201894</v>
      </c>
      <c r="AK13" s="20">
        <v>3493085</v>
      </c>
      <c r="AL13" s="21">
        <v>13270544</v>
      </c>
      <c r="AM13" s="21">
        <v>12467616</v>
      </c>
      <c r="AN13" s="21">
        <v>802088</v>
      </c>
      <c r="AO13" s="37"/>
      <c r="AP13" s="38">
        <v>35.930900000000001</v>
      </c>
      <c r="AQ13" s="38">
        <v>43.735100000000003</v>
      </c>
      <c r="AR13" s="38">
        <v>44.115299999999998</v>
      </c>
      <c r="AS13" s="39"/>
      <c r="AT13" s="38">
        <v>28.130800000000001</v>
      </c>
      <c r="AU13" s="38">
        <v>28.130800000000001</v>
      </c>
      <c r="AV13" s="38">
        <v>28.130800000000001</v>
      </c>
      <c r="AW13" s="39"/>
      <c r="AX13" s="49">
        <v>5.5780000000000003</v>
      </c>
      <c r="AY13" s="49">
        <v>4.5309999999999997</v>
      </c>
      <c r="BA13" s="53">
        <f t="shared" si="10"/>
        <v>-6.1547468630385183E-4</v>
      </c>
      <c r="BB13" s="53"/>
      <c r="BD13" s="54"/>
      <c r="BE13" s="54"/>
      <c r="BF13" s="54"/>
      <c r="BG13" s="61"/>
      <c r="BI13" s="54"/>
      <c r="BJ13" s="54"/>
      <c r="BK13" s="54"/>
      <c r="BL13" s="61"/>
      <c r="BN13" s="54"/>
      <c r="BO13" s="54"/>
      <c r="BP13" s="54"/>
      <c r="BQ13" s="61"/>
      <c r="BS13" s="54"/>
      <c r="BT13" s="54"/>
      <c r="BU13" s="54"/>
      <c r="BV13" s="61"/>
      <c r="BX13">
        <f t="shared" si="12"/>
        <v>0</v>
      </c>
      <c r="BY13">
        <f t="shared" si="13"/>
        <v>8688</v>
      </c>
      <c r="BZ13">
        <f t="shared" si="14"/>
        <v>0</v>
      </c>
      <c r="CA13">
        <f t="shared" si="15"/>
        <v>8688</v>
      </c>
      <c r="CB13">
        <f t="shared" si="16"/>
        <v>0</v>
      </c>
      <c r="CC13">
        <f t="shared" si="17"/>
        <v>-1.8799999999998818E-2</v>
      </c>
      <c r="CD13">
        <f t="shared" si="18"/>
        <v>-0.24179999999999779</v>
      </c>
      <c r="CE13">
        <f t="shared" si="19"/>
        <v>0.18149999999999977</v>
      </c>
      <c r="CF13">
        <f t="shared" si="20"/>
        <v>0</v>
      </c>
      <c r="CG13">
        <f t="shared" si="21"/>
        <v>0</v>
      </c>
      <c r="CH13">
        <f t="shared" si="22"/>
        <v>0</v>
      </c>
      <c r="CI13">
        <f t="shared" si="23"/>
        <v>0</v>
      </c>
      <c r="CJ13">
        <f t="shared" si="24"/>
        <v>0</v>
      </c>
    </row>
    <row r="14" spans="1:88" outlineLevel="1" x14ac:dyDescent="0.15">
      <c r="A14" s="8"/>
      <c r="B14" s="14" t="s">
        <v>56</v>
      </c>
      <c r="C14" s="15" t="s">
        <v>258</v>
      </c>
      <c r="D14" s="14">
        <v>3493085</v>
      </c>
      <c r="E14" s="16">
        <v>12</v>
      </c>
      <c r="F14" s="15">
        <v>1</v>
      </c>
      <c r="G14" s="15"/>
      <c r="I14" s="32" t="str">
        <f t="shared" si="0"/>
        <v>·</v>
      </c>
      <c r="J14" s="33">
        <f t="shared" si="1"/>
        <v>3.6314902156689572</v>
      </c>
      <c r="K14" s="33">
        <f t="shared" si="2"/>
        <v>3.5692277743026581</v>
      </c>
      <c r="L14" s="33">
        <f t="shared" si="3"/>
        <v>6.2021966256189012E-2</v>
      </c>
      <c r="M14" s="34"/>
      <c r="N14" s="33">
        <f t="shared" si="4"/>
        <v>3.6314902156689572</v>
      </c>
      <c r="O14" s="35">
        <v>3493085</v>
      </c>
      <c r="P14" s="36">
        <v>12685104</v>
      </c>
      <c r="Q14" s="36">
        <v>12467616</v>
      </c>
      <c r="R14" s="36">
        <v>216648</v>
      </c>
      <c r="S14" s="46"/>
      <c r="T14" s="47">
        <v>29.672000000000001</v>
      </c>
      <c r="U14" s="47">
        <v>38.167000000000002</v>
      </c>
      <c r="V14" s="47">
        <v>38.459400000000002</v>
      </c>
      <c r="W14" s="48"/>
      <c r="X14" s="47">
        <v>21.686399999999999</v>
      </c>
      <c r="Y14" s="47">
        <v>21.686399999999999</v>
      </c>
      <c r="Z14" s="47">
        <v>21.686399999999999</v>
      </c>
      <c r="AA14" s="48"/>
      <c r="AB14" s="52">
        <v>5.5620000000000003</v>
      </c>
      <c r="AC14" s="52">
        <v>4.625</v>
      </c>
      <c r="AE14" s="32" t="str">
        <f t="shared" si="5"/>
        <v>·</v>
      </c>
      <c r="AF14" s="33">
        <f t="shared" si="6"/>
        <v>3.6316138885827285</v>
      </c>
      <c r="AG14" s="33">
        <f t="shared" si="7"/>
        <v>3.5692277743026581</v>
      </c>
      <c r="AH14" s="33">
        <f t="shared" si="8"/>
        <v>6.2145639169960076E-2</v>
      </c>
      <c r="AI14" s="34"/>
      <c r="AJ14" s="33">
        <f t="shared" si="9"/>
        <v>3.6316138885827285</v>
      </c>
      <c r="AK14" s="35">
        <v>3493085</v>
      </c>
      <c r="AL14" s="36">
        <v>12685536</v>
      </c>
      <c r="AM14" s="36">
        <v>12467616</v>
      </c>
      <c r="AN14" s="36">
        <v>217080</v>
      </c>
      <c r="AO14" s="46"/>
      <c r="AP14" s="47">
        <v>29.6145</v>
      </c>
      <c r="AQ14" s="47">
        <v>38.127000000000002</v>
      </c>
      <c r="AR14" s="47">
        <v>38.978099999999998</v>
      </c>
      <c r="AS14" s="48"/>
      <c r="AT14" s="47">
        <v>21.686399999999999</v>
      </c>
      <c r="AU14" s="47">
        <v>21.686399999999999</v>
      </c>
      <c r="AV14" s="47">
        <v>21.686399999999999</v>
      </c>
      <c r="AW14" s="48"/>
      <c r="AX14" s="52">
        <v>5.5460000000000003</v>
      </c>
      <c r="AY14" s="52">
        <v>4.468</v>
      </c>
      <c r="BA14" s="59">
        <f t="shared" si="10"/>
        <v>-3.347066261671916E-5</v>
      </c>
      <c r="BB14" s="59"/>
      <c r="BD14" s="60"/>
      <c r="BE14" s="60"/>
      <c r="BF14" s="60"/>
      <c r="BG14" s="64"/>
      <c r="BI14" s="60"/>
      <c r="BJ14" s="60"/>
      <c r="BK14" s="60"/>
      <c r="BL14" s="64"/>
      <c r="BN14" s="60"/>
      <c r="BO14" s="60"/>
      <c r="BP14" s="60"/>
      <c r="BQ14" s="64"/>
      <c r="BS14" s="60"/>
      <c r="BT14" s="60"/>
      <c r="BU14" s="60"/>
      <c r="BV14" s="64"/>
      <c r="BX14">
        <f t="shared" si="12"/>
        <v>0</v>
      </c>
      <c r="BY14">
        <f t="shared" si="13"/>
        <v>432</v>
      </c>
      <c r="BZ14">
        <f t="shared" si="14"/>
        <v>0</v>
      </c>
      <c r="CA14">
        <f t="shared" si="15"/>
        <v>432</v>
      </c>
      <c r="CB14">
        <f t="shared" si="16"/>
        <v>0</v>
      </c>
      <c r="CC14">
        <f t="shared" si="17"/>
        <v>-5.7500000000000995E-2</v>
      </c>
      <c r="CD14">
        <f t="shared" si="18"/>
        <v>-3.9999999999999147E-2</v>
      </c>
      <c r="CE14">
        <f t="shared" si="19"/>
        <v>0.5186999999999955</v>
      </c>
      <c r="CF14">
        <f t="shared" si="20"/>
        <v>0</v>
      </c>
      <c r="CG14">
        <f t="shared" si="21"/>
        <v>0</v>
      </c>
      <c r="CH14">
        <f t="shared" si="22"/>
        <v>0</v>
      </c>
      <c r="CI14">
        <f t="shared" si="23"/>
        <v>0</v>
      </c>
      <c r="CJ14">
        <f t="shared" si="24"/>
        <v>0</v>
      </c>
    </row>
    <row r="15" spans="1:88" x14ac:dyDescent="0.15">
      <c r="A15" s="5"/>
      <c r="B15" s="5" t="s">
        <v>61</v>
      </c>
      <c r="C15" s="6" t="s">
        <v>254</v>
      </c>
      <c r="D15" s="5">
        <v>2592758</v>
      </c>
      <c r="E15" s="7">
        <v>11</v>
      </c>
      <c r="F15" s="6">
        <v>1</v>
      </c>
      <c r="G15" s="6"/>
      <c r="I15" s="17" t="str">
        <f t="shared" si="0"/>
        <v>·</v>
      </c>
      <c r="J15" s="18">
        <f t="shared" si="1"/>
        <v>5.1899328822821102</v>
      </c>
      <c r="K15" s="18">
        <f t="shared" si="2"/>
        <v>0.87847149637567412</v>
      </c>
      <c r="L15" s="18">
        <f t="shared" si="3"/>
        <v>4.3111590051983253</v>
      </c>
      <c r="M15" s="19"/>
      <c r="N15" s="18">
        <f t="shared" si="4"/>
        <v>5.1899328822821102</v>
      </c>
      <c r="O15" s="20">
        <v>2592758</v>
      </c>
      <c r="P15" s="21">
        <v>13456240</v>
      </c>
      <c r="Q15" s="21">
        <v>2277664</v>
      </c>
      <c r="R15" s="21">
        <v>11177792</v>
      </c>
      <c r="S15" s="37"/>
      <c r="T15" s="38">
        <v>52.615900000000003</v>
      </c>
      <c r="U15" s="38">
        <v>56.826999999999998</v>
      </c>
      <c r="V15" s="38">
        <v>56.240600000000001</v>
      </c>
      <c r="W15" s="39"/>
      <c r="X15" s="38">
        <v>48.130800000000001</v>
      </c>
      <c r="Y15" s="38">
        <v>48.130800000000001</v>
      </c>
      <c r="Z15" s="38">
        <v>48.130800000000001</v>
      </c>
      <c r="AA15" s="39"/>
      <c r="AB15" s="49">
        <v>3.14</v>
      </c>
      <c r="AC15" s="49">
        <v>2.25</v>
      </c>
      <c r="AE15" s="17" t="str">
        <f t="shared" si="5"/>
        <v>·</v>
      </c>
      <c r="AF15" s="18">
        <f t="shared" si="6"/>
        <v>5.1984828510798158</v>
      </c>
      <c r="AG15" s="18">
        <f t="shared" si="7"/>
        <v>0.87847149637567412</v>
      </c>
      <c r="AH15" s="18">
        <f t="shared" si="8"/>
        <v>4.3197089739960308</v>
      </c>
      <c r="AI15" s="19"/>
      <c r="AJ15" s="18">
        <f t="shared" si="9"/>
        <v>5.1984828510798158</v>
      </c>
      <c r="AK15" s="20">
        <v>2592758</v>
      </c>
      <c r="AL15" s="21">
        <v>13478408</v>
      </c>
      <c r="AM15" s="21">
        <v>2277664</v>
      </c>
      <c r="AN15" s="21">
        <v>11199960</v>
      </c>
      <c r="AO15" s="37"/>
      <c r="AP15" s="38">
        <v>52.615900000000003</v>
      </c>
      <c r="AQ15" s="38">
        <v>56.830599999999997</v>
      </c>
      <c r="AR15" s="38">
        <v>56.234999999999999</v>
      </c>
      <c r="AS15" s="39"/>
      <c r="AT15" s="38">
        <v>48.130800000000001</v>
      </c>
      <c r="AU15" s="38">
        <v>48.130800000000001</v>
      </c>
      <c r="AV15" s="38">
        <v>48.130800000000001</v>
      </c>
      <c r="AW15" s="39"/>
      <c r="AX15" s="49">
        <v>3.093</v>
      </c>
      <c r="AY15" s="49">
        <v>2.2650000000000001</v>
      </c>
      <c r="BA15" s="53">
        <f t="shared" si="10"/>
        <v>-2.7839013864056072E-4</v>
      </c>
      <c r="BB15" s="53">
        <f t="array" ref="BB15">AVERAGE(AM15:AM19/AL15:AL19)-AVERAGE(Q15:Q19/P15:P19)</f>
        <v>-2.5178433352561203E-3</v>
      </c>
      <c r="BD15" s="54">
        <f>IF(OR(ISBLANK(R15:R19),ISBLANK(AN15:AN19),ISBLANK(T15:T19),ISBLANK(AP15:AP19)),"·",bdRateExtend(R15:R19,T15:T19,AN15:AN19,AP15:AP19))</f>
        <v>5.3854756744975418E-3</v>
      </c>
      <c r="BE15" s="54">
        <f>IF(OR(ISBLANK(R15:R19),ISBLANK(AN15:AN19),ISBLANK(U15:U19),ISBLANK(AQ15:AQ19)),"·",bdRateExtend(R15:R19,U15:U19,AN15:AN19,AQ15:AQ19))</f>
        <v>1.3926993346059735E-2</v>
      </c>
      <c r="BF15" s="54">
        <f>IF(OR(ISBLANK(R15:R19),ISBLANK(AN15:AN19),ISBLANK(V15:V19),ISBLANK(AR15:AR19)),"·",bdRateExtend(R15:R19,V15:V19,AN15:AN19,AR15:AR19))</f>
        <v>7.1427930658547023E-2</v>
      </c>
      <c r="BG15" s="61"/>
      <c r="BI15" s="54">
        <f>IF(OR(ISBLANK(R15:R19),ISBLANK(AN15:AN19),ISBLANK(X15:X19),ISBLANK(AT15:AT19)),"·",bdRateExtend(R15:R19,X15:X19,AN15:AN19,AT15:AT19))</f>
        <v>1.2866092580312793E-2</v>
      </c>
      <c r="BJ15" s="54">
        <f>IF(OR(ISBLANK(R15:R19),ISBLANK(AN15:AN19),ISBLANK(Y15:Y19),ISBLANK(AU15:AU19)),"·",bdRateExtend(R15:R19,Y15:Y19,AN15:AN19,AU15:AU19))</f>
        <v>1.2866092580312793E-2</v>
      </c>
      <c r="BK15" s="54">
        <f>IF(OR(ISBLANK(R15:R19),ISBLANK(AN15:AN19),ISBLANK(Z15:Z19),ISBLANK(AV15:AV19)),"·",bdRateExtend(R15:R19,Z15:Z19,AN15:AN19,AV15:AV19))</f>
        <v>1.2866092580312793E-2</v>
      </c>
      <c r="BL15" s="61"/>
      <c r="BN15" s="54">
        <f>IF(OR(ISBLANK(P15:P19),ISBLANK(AL15:AL19),ISBLANK(T15:T19),ISBLANK(AP15:AP19)),"·",bdRateExtend(P15:P19,T15:T19,AL15:AL19,AP15:AP19))</f>
        <v>2.7650801230882927E-3</v>
      </c>
      <c r="BO15" s="54">
        <f>IF(OR(ISBLANK(P15:P19),ISBLANK(AL15:AL19),ISBLANK(U15:U19),ISBLANK(AQ15:AQ19)),"·",bdRateExtend(P15:P19,U15:U19,AL15:AL19,AQ15:AQ19))</f>
        <v>6.2429393586678206E-3</v>
      </c>
      <c r="BP15" s="54">
        <f>IF(OR(ISBLANK(P15:P19),ISBLANK(AL15:AL19),ISBLANK(V15:V19),ISBLANK(AR15:AR19)),"·",bdRateExtend(P15:P19,V15:V19,AL15:AL19,AR15:AR19))</f>
        <v>2.0299961716561787E-2</v>
      </c>
      <c r="BQ15" s="61"/>
      <c r="BS15" s="54">
        <f>IF(OR(ISBLANK(P15:P19),ISBLANK(AL15:AL19),ISBLANK(X15:X19),ISBLANK(AT15:AT19)),"·",bdRateExtend(P15:P19,X15:X19,AL15:AL19,AT15:AT19))</f>
        <v>4.9037923567836206E-3</v>
      </c>
      <c r="BT15" s="54">
        <f>IF(OR(ISBLANK(P15:P19),ISBLANK(AL15:AL19),ISBLANK(Y15:Y19),ISBLANK(AU15:AU19)),"·",bdRateExtend(P15:P19,Y15:Y19,AL15:AL19,AU15:AU19))</f>
        <v>4.9037923567836206E-3</v>
      </c>
      <c r="BU15" s="54">
        <f>IF(OR(ISBLANK(P15:P19),ISBLANK(AL15:AL19),ISBLANK(Z15:Z19),ISBLANK(AV15:AV19)),"·",bdRateExtend(P15:P19,Z15:Z19,AL15:AL19,AV15:AV19))</f>
        <v>4.9037923567836206E-3</v>
      </c>
      <c r="BV15" s="61"/>
      <c r="BX15">
        <f t="shared" si="12"/>
        <v>0</v>
      </c>
      <c r="BY15">
        <f t="shared" si="13"/>
        <v>22168</v>
      </c>
      <c r="BZ15">
        <f t="shared" si="14"/>
        <v>0</v>
      </c>
      <c r="CA15">
        <f t="shared" si="15"/>
        <v>22168</v>
      </c>
      <c r="CB15">
        <f t="shared" si="16"/>
        <v>0</v>
      </c>
      <c r="CC15">
        <f t="shared" si="17"/>
        <v>0</v>
      </c>
      <c r="CD15">
        <f t="shared" si="18"/>
        <v>3.5999999999987153E-3</v>
      </c>
      <c r="CE15">
        <f t="shared" si="19"/>
        <v>-5.6000000000011596E-3</v>
      </c>
      <c r="CF15">
        <f t="shared" si="20"/>
        <v>0</v>
      </c>
      <c r="CG15">
        <f t="shared" si="21"/>
        <v>0</v>
      </c>
      <c r="CH15">
        <f t="shared" si="22"/>
        <v>0</v>
      </c>
      <c r="CI15">
        <f t="shared" si="23"/>
        <v>0</v>
      </c>
      <c r="CJ15">
        <f t="shared" si="24"/>
        <v>0</v>
      </c>
    </row>
    <row r="16" spans="1:88" outlineLevel="1" x14ac:dyDescent="0.15">
      <c r="A16" s="8"/>
      <c r="B16" s="8" t="s">
        <v>61</v>
      </c>
      <c r="C16" s="9" t="s">
        <v>255</v>
      </c>
      <c r="D16" s="8">
        <v>2592758</v>
      </c>
      <c r="E16" s="10">
        <v>11</v>
      </c>
      <c r="F16" s="9">
        <v>1</v>
      </c>
      <c r="G16" s="9"/>
      <c r="I16" s="22" t="str">
        <f t="shared" si="0"/>
        <v>·</v>
      </c>
      <c r="J16" s="23">
        <f t="shared" si="1"/>
        <v>3.6548077375520585</v>
      </c>
      <c r="K16" s="23">
        <f t="shared" si="2"/>
        <v>0.87847149637567412</v>
      </c>
      <c r="L16" s="23">
        <f t="shared" si="3"/>
        <v>2.7760338604682735</v>
      </c>
      <c r="M16" s="24"/>
      <c r="N16" s="23">
        <f t="shared" si="4"/>
        <v>3.6548077375520585</v>
      </c>
      <c r="O16" s="25">
        <v>2592758</v>
      </c>
      <c r="P16" s="26">
        <v>9476032</v>
      </c>
      <c r="Q16" s="26">
        <v>2277664</v>
      </c>
      <c r="R16" s="26">
        <v>7197584</v>
      </c>
      <c r="S16" s="40"/>
      <c r="T16" s="41">
        <v>47.924500000000002</v>
      </c>
      <c r="U16" s="41">
        <v>52.084800000000001</v>
      </c>
      <c r="V16" s="41">
        <v>52.266500000000001</v>
      </c>
      <c r="W16" s="42"/>
      <c r="X16" s="41">
        <v>42.110199999999999</v>
      </c>
      <c r="Y16" s="41">
        <v>42.110199999999999</v>
      </c>
      <c r="Z16" s="41">
        <v>42.110199999999999</v>
      </c>
      <c r="AA16" s="42"/>
      <c r="AB16" s="50">
        <v>3.0150000000000001</v>
      </c>
      <c r="AC16" s="50">
        <v>2.3119999999999998</v>
      </c>
      <c r="AE16" s="22" t="str">
        <f t="shared" si="5"/>
        <v>·</v>
      </c>
      <c r="AF16" s="23">
        <f t="shared" si="6"/>
        <v>3.6669091369113507</v>
      </c>
      <c r="AG16" s="23">
        <f t="shared" si="7"/>
        <v>0.87847149637567412</v>
      </c>
      <c r="AH16" s="23">
        <f t="shared" si="8"/>
        <v>2.7881352598275657</v>
      </c>
      <c r="AI16" s="24"/>
      <c r="AJ16" s="23">
        <f t="shared" si="9"/>
        <v>3.6669091369113507</v>
      </c>
      <c r="AK16" s="25">
        <v>2592758</v>
      </c>
      <c r="AL16" s="26">
        <v>9507408</v>
      </c>
      <c r="AM16" s="26">
        <v>2277664</v>
      </c>
      <c r="AN16" s="26">
        <v>7228960</v>
      </c>
      <c r="AO16" s="40"/>
      <c r="AP16" s="41">
        <v>47.923900000000003</v>
      </c>
      <c r="AQ16" s="41">
        <v>52.073700000000002</v>
      </c>
      <c r="AR16" s="41">
        <v>52.2729</v>
      </c>
      <c r="AS16" s="42"/>
      <c r="AT16" s="41">
        <v>42.110199999999999</v>
      </c>
      <c r="AU16" s="41">
        <v>42.110199999999999</v>
      </c>
      <c r="AV16" s="41">
        <v>42.110199999999999</v>
      </c>
      <c r="AW16" s="42"/>
      <c r="AX16" s="50">
        <v>3.125</v>
      </c>
      <c r="AY16" s="50">
        <v>2.2650000000000001</v>
      </c>
      <c r="BA16" s="55">
        <f t="shared" si="10"/>
        <v>-7.9322900046632783E-4</v>
      </c>
      <c r="BB16" s="55"/>
      <c r="BD16" s="56"/>
      <c r="BE16" s="56"/>
      <c r="BF16" s="56"/>
      <c r="BG16" s="62"/>
      <c r="BI16" s="56"/>
      <c r="BJ16" s="56"/>
      <c r="BK16" s="56"/>
      <c r="BL16" s="62"/>
      <c r="BN16" s="56"/>
      <c r="BO16" s="56"/>
      <c r="BP16" s="56"/>
      <c r="BQ16" s="62"/>
      <c r="BS16" s="56"/>
      <c r="BT16" s="56"/>
      <c r="BU16" s="56"/>
      <c r="BV16" s="62"/>
      <c r="BX16">
        <f t="shared" si="12"/>
        <v>0</v>
      </c>
      <c r="BY16">
        <f t="shared" si="13"/>
        <v>31376</v>
      </c>
      <c r="BZ16">
        <f t="shared" si="14"/>
        <v>0</v>
      </c>
      <c r="CA16">
        <f t="shared" si="15"/>
        <v>31376</v>
      </c>
      <c r="CB16">
        <f t="shared" si="16"/>
        <v>0</v>
      </c>
      <c r="CC16">
        <f t="shared" si="17"/>
        <v>-5.9999999999860165E-4</v>
      </c>
      <c r="CD16">
        <f t="shared" si="18"/>
        <v>-1.1099999999999E-2</v>
      </c>
      <c r="CE16">
        <f t="shared" si="19"/>
        <v>6.3999999999992951E-3</v>
      </c>
      <c r="CF16">
        <f t="shared" si="20"/>
        <v>0</v>
      </c>
      <c r="CG16">
        <f t="shared" si="21"/>
        <v>0</v>
      </c>
      <c r="CH16">
        <f t="shared" si="22"/>
        <v>0</v>
      </c>
      <c r="CI16">
        <f t="shared" si="23"/>
        <v>0</v>
      </c>
      <c r="CJ16">
        <f t="shared" si="24"/>
        <v>0</v>
      </c>
    </row>
    <row r="17" spans="1:88" outlineLevel="1" x14ac:dyDescent="0.15">
      <c r="A17" s="5"/>
      <c r="B17" s="5" t="s">
        <v>61</v>
      </c>
      <c r="C17" s="6" t="s">
        <v>256</v>
      </c>
      <c r="D17" s="5">
        <v>2592758</v>
      </c>
      <c r="E17" s="7">
        <v>11</v>
      </c>
      <c r="F17" s="6">
        <v>1</v>
      </c>
      <c r="G17" s="6"/>
      <c r="I17" s="17" t="str">
        <f t="shared" si="0"/>
        <v>·</v>
      </c>
      <c r="J17" s="18">
        <f t="shared" si="1"/>
        <v>2.0275737265105342</v>
      </c>
      <c r="K17" s="18">
        <f t="shared" si="2"/>
        <v>0.87847149637567412</v>
      </c>
      <c r="L17" s="18">
        <f t="shared" si="3"/>
        <v>1.1487998494267495</v>
      </c>
      <c r="M17" s="19"/>
      <c r="N17" s="18">
        <f t="shared" si="4"/>
        <v>2.0275737265105342</v>
      </c>
      <c r="O17" s="20">
        <v>2592758</v>
      </c>
      <c r="P17" s="21">
        <v>5257008</v>
      </c>
      <c r="Q17" s="21">
        <v>2277664</v>
      </c>
      <c r="R17" s="21">
        <v>2978560</v>
      </c>
      <c r="S17" s="37"/>
      <c r="T17" s="38">
        <v>41.264499999999998</v>
      </c>
      <c r="U17" s="38">
        <v>46.987900000000003</v>
      </c>
      <c r="V17" s="38">
        <v>48.142299999999999</v>
      </c>
      <c r="W17" s="39"/>
      <c r="X17" s="38">
        <v>34.151400000000002</v>
      </c>
      <c r="Y17" s="38">
        <v>34.151400000000002</v>
      </c>
      <c r="Z17" s="38">
        <v>34.151400000000002</v>
      </c>
      <c r="AA17" s="39"/>
      <c r="AB17" s="49">
        <v>3.109</v>
      </c>
      <c r="AC17" s="49">
        <v>2.1709999999999998</v>
      </c>
      <c r="AE17" s="17" t="str">
        <f t="shared" si="5"/>
        <v>·</v>
      </c>
      <c r="AF17" s="18">
        <f t="shared" si="6"/>
        <v>2.039724494148702</v>
      </c>
      <c r="AG17" s="18">
        <f t="shared" si="7"/>
        <v>0.87847149637567412</v>
      </c>
      <c r="AH17" s="18">
        <f t="shared" si="8"/>
        <v>1.1609506170649169</v>
      </c>
      <c r="AI17" s="19"/>
      <c r="AJ17" s="18">
        <f t="shared" si="9"/>
        <v>2.039724494148702</v>
      </c>
      <c r="AK17" s="20">
        <v>2592758</v>
      </c>
      <c r="AL17" s="21">
        <v>5288512</v>
      </c>
      <c r="AM17" s="21">
        <v>2277664</v>
      </c>
      <c r="AN17" s="21">
        <v>3010064</v>
      </c>
      <c r="AO17" s="37"/>
      <c r="AP17" s="38">
        <v>41.288699999999999</v>
      </c>
      <c r="AQ17" s="38">
        <v>46.950099999999999</v>
      </c>
      <c r="AR17" s="38">
        <v>48.036999999999999</v>
      </c>
      <c r="AS17" s="39"/>
      <c r="AT17" s="38">
        <v>34.151400000000002</v>
      </c>
      <c r="AU17" s="38">
        <v>34.151400000000002</v>
      </c>
      <c r="AV17" s="38">
        <v>34.151400000000002</v>
      </c>
      <c r="AW17" s="39"/>
      <c r="AX17" s="49">
        <v>3.0459999999999998</v>
      </c>
      <c r="AY17" s="49">
        <v>2.1709999999999998</v>
      </c>
      <c r="BA17" s="53">
        <f t="shared" si="10"/>
        <v>-2.5809715911587761E-3</v>
      </c>
      <c r="BB17" s="53"/>
      <c r="BD17" s="54"/>
      <c r="BE17" s="54"/>
      <c r="BF17" s="54"/>
      <c r="BG17" s="61"/>
      <c r="BI17" s="54"/>
      <c r="BJ17" s="54"/>
      <c r="BK17" s="54"/>
      <c r="BL17" s="61"/>
      <c r="BN17" s="54"/>
      <c r="BO17" s="54"/>
      <c r="BP17" s="54"/>
      <c r="BQ17" s="61"/>
      <c r="BS17" s="54"/>
      <c r="BT17" s="54"/>
      <c r="BU17" s="54"/>
      <c r="BV17" s="61"/>
      <c r="BX17">
        <f t="shared" si="12"/>
        <v>0</v>
      </c>
      <c r="BY17">
        <f t="shared" si="13"/>
        <v>31504</v>
      </c>
      <c r="BZ17">
        <f t="shared" si="14"/>
        <v>0</v>
      </c>
      <c r="CA17">
        <f t="shared" si="15"/>
        <v>31504</v>
      </c>
      <c r="CB17">
        <f t="shared" si="16"/>
        <v>0</v>
      </c>
      <c r="CC17">
        <f t="shared" si="17"/>
        <v>2.4200000000000443E-2</v>
      </c>
      <c r="CD17">
        <f t="shared" si="18"/>
        <v>-3.7800000000004275E-2</v>
      </c>
      <c r="CE17">
        <f t="shared" si="19"/>
        <v>-0.10529999999999973</v>
      </c>
      <c r="CF17">
        <f t="shared" si="20"/>
        <v>0</v>
      </c>
      <c r="CG17">
        <f t="shared" si="21"/>
        <v>0</v>
      </c>
      <c r="CH17">
        <f t="shared" si="22"/>
        <v>0</v>
      </c>
      <c r="CI17">
        <f t="shared" si="23"/>
        <v>0</v>
      </c>
      <c r="CJ17">
        <f t="shared" si="24"/>
        <v>0</v>
      </c>
    </row>
    <row r="18" spans="1:88" outlineLevel="1" x14ac:dyDescent="0.15">
      <c r="A18" s="8"/>
      <c r="B18" s="8" t="s">
        <v>61</v>
      </c>
      <c r="C18" s="9" t="s">
        <v>257</v>
      </c>
      <c r="D18" s="8">
        <v>2592758</v>
      </c>
      <c r="E18" s="10">
        <v>11</v>
      </c>
      <c r="F18" s="9">
        <v>1</v>
      </c>
      <c r="G18" s="9"/>
      <c r="I18" s="22" t="str">
        <f t="shared" si="0"/>
        <v>·</v>
      </c>
      <c r="J18" s="23">
        <f t="shared" si="1"/>
        <v>1.3408146845945514</v>
      </c>
      <c r="K18" s="23">
        <f t="shared" si="2"/>
        <v>0.87847149637567412</v>
      </c>
      <c r="L18" s="23">
        <f t="shared" si="3"/>
        <v>0.46204080751076654</v>
      </c>
      <c r="M18" s="24"/>
      <c r="N18" s="23">
        <f t="shared" si="4"/>
        <v>1.3408146845945514</v>
      </c>
      <c r="O18" s="25">
        <v>2592758</v>
      </c>
      <c r="P18" s="26">
        <v>3476408</v>
      </c>
      <c r="Q18" s="26">
        <v>2277664</v>
      </c>
      <c r="R18" s="26">
        <v>1197960</v>
      </c>
      <c r="S18" s="40"/>
      <c r="T18" s="41">
        <v>35.802199999999999</v>
      </c>
      <c r="U18" s="41">
        <v>42.582099999999997</v>
      </c>
      <c r="V18" s="41">
        <v>44.304200000000002</v>
      </c>
      <c r="W18" s="42"/>
      <c r="X18" s="41">
        <v>28.130800000000001</v>
      </c>
      <c r="Y18" s="41">
        <v>28.130800000000001</v>
      </c>
      <c r="Z18" s="41">
        <v>28.130800000000001</v>
      </c>
      <c r="AA18" s="42"/>
      <c r="AB18" s="50">
        <v>3.0619999999999998</v>
      </c>
      <c r="AC18" s="50">
        <v>2.1709999999999998</v>
      </c>
      <c r="AE18" s="22" t="str">
        <f t="shared" si="5"/>
        <v>·</v>
      </c>
      <c r="AF18" s="23">
        <f t="shared" si="6"/>
        <v>1.3494263637408506</v>
      </c>
      <c r="AG18" s="23">
        <f t="shared" si="7"/>
        <v>0.87847149637567412</v>
      </c>
      <c r="AH18" s="23">
        <f t="shared" si="8"/>
        <v>0.47065248665706555</v>
      </c>
      <c r="AI18" s="24"/>
      <c r="AJ18" s="23">
        <f t="shared" si="9"/>
        <v>1.3494263637408506</v>
      </c>
      <c r="AK18" s="25">
        <v>2592758</v>
      </c>
      <c r="AL18" s="26">
        <v>3498736</v>
      </c>
      <c r="AM18" s="26">
        <v>2277664</v>
      </c>
      <c r="AN18" s="26">
        <v>1220288</v>
      </c>
      <c r="AO18" s="40"/>
      <c r="AP18" s="41">
        <v>35.868400000000001</v>
      </c>
      <c r="AQ18" s="41">
        <v>42.567799999999998</v>
      </c>
      <c r="AR18" s="41">
        <v>44.018599999999999</v>
      </c>
      <c r="AS18" s="42"/>
      <c r="AT18" s="41">
        <v>28.130800000000001</v>
      </c>
      <c r="AU18" s="41">
        <v>28.130800000000001</v>
      </c>
      <c r="AV18" s="41">
        <v>28.130800000000001</v>
      </c>
      <c r="AW18" s="42"/>
      <c r="AX18" s="50">
        <v>3.0779999999999998</v>
      </c>
      <c r="AY18" s="50">
        <v>2.14</v>
      </c>
      <c r="BA18" s="55">
        <f t="shared" si="10"/>
        <v>-4.1811675066768528E-3</v>
      </c>
      <c r="BB18" s="55"/>
      <c r="BD18" s="56"/>
      <c r="BE18" s="56"/>
      <c r="BF18" s="56"/>
      <c r="BG18" s="62"/>
      <c r="BI18" s="56"/>
      <c r="BJ18" s="56"/>
      <c r="BK18" s="56"/>
      <c r="BL18" s="62"/>
      <c r="BN18" s="56"/>
      <c r="BO18" s="56"/>
      <c r="BP18" s="56"/>
      <c r="BQ18" s="62"/>
      <c r="BS18" s="56"/>
      <c r="BT18" s="56"/>
      <c r="BU18" s="56"/>
      <c r="BV18" s="62"/>
      <c r="BX18">
        <f t="shared" si="12"/>
        <v>0</v>
      </c>
      <c r="BY18">
        <f t="shared" si="13"/>
        <v>22328</v>
      </c>
      <c r="BZ18">
        <f t="shared" si="14"/>
        <v>0</v>
      </c>
      <c r="CA18">
        <f t="shared" si="15"/>
        <v>22328</v>
      </c>
      <c r="CB18">
        <f t="shared" si="16"/>
        <v>0</v>
      </c>
      <c r="CC18">
        <f t="shared" si="17"/>
        <v>6.6200000000002035E-2</v>
      </c>
      <c r="CD18">
        <f t="shared" si="18"/>
        <v>-1.4299999999998647E-2</v>
      </c>
      <c r="CE18">
        <f t="shared" si="19"/>
        <v>-0.2856000000000023</v>
      </c>
      <c r="CF18">
        <f t="shared" si="20"/>
        <v>0</v>
      </c>
      <c r="CG18">
        <f t="shared" si="21"/>
        <v>0</v>
      </c>
      <c r="CH18">
        <f t="shared" si="22"/>
        <v>0</v>
      </c>
      <c r="CI18">
        <f t="shared" si="23"/>
        <v>0</v>
      </c>
      <c r="CJ18">
        <f t="shared" si="24"/>
        <v>0</v>
      </c>
    </row>
    <row r="19" spans="1:88" outlineLevel="1" x14ac:dyDescent="0.15">
      <c r="A19" s="5"/>
      <c r="B19" s="11" t="s">
        <v>61</v>
      </c>
      <c r="C19" s="12" t="s">
        <v>258</v>
      </c>
      <c r="D19" s="11">
        <v>2592758</v>
      </c>
      <c r="E19" s="13">
        <v>11</v>
      </c>
      <c r="F19" s="12">
        <v>1</v>
      </c>
      <c r="G19" s="12"/>
      <c r="I19" s="27" t="str">
        <f t="shared" si="0"/>
        <v>·</v>
      </c>
      <c r="J19" s="28">
        <f t="shared" si="1"/>
        <v>1.0190445849554799</v>
      </c>
      <c r="K19" s="28">
        <f t="shared" si="2"/>
        <v>0.87847149637567412</v>
      </c>
      <c r="L19" s="28">
        <f t="shared" si="3"/>
        <v>0.14027070787169493</v>
      </c>
      <c r="M19" s="29"/>
      <c r="N19" s="28">
        <f t="shared" si="4"/>
        <v>1.0190445849554799</v>
      </c>
      <c r="O19" s="30">
        <v>2592758</v>
      </c>
      <c r="P19" s="31">
        <v>2642136</v>
      </c>
      <c r="Q19" s="31">
        <v>2277664</v>
      </c>
      <c r="R19" s="31">
        <v>363688</v>
      </c>
      <c r="S19" s="43"/>
      <c r="T19" s="44">
        <v>29.4605</v>
      </c>
      <c r="U19" s="44">
        <v>38.638800000000003</v>
      </c>
      <c r="V19" s="44">
        <v>41.063499999999998</v>
      </c>
      <c r="W19" s="45"/>
      <c r="X19" s="44">
        <v>21.686399999999999</v>
      </c>
      <c r="Y19" s="44">
        <v>21.686399999999999</v>
      </c>
      <c r="Z19" s="44">
        <v>21.686399999999999</v>
      </c>
      <c r="AA19" s="45"/>
      <c r="AB19" s="51">
        <v>2.9209999999999998</v>
      </c>
      <c r="AC19" s="51">
        <v>2.234</v>
      </c>
      <c r="AE19" s="27" t="str">
        <f t="shared" si="5"/>
        <v>·</v>
      </c>
      <c r="AF19" s="28">
        <f t="shared" si="6"/>
        <v>1.0246972528866944</v>
      </c>
      <c r="AG19" s="28">
        <f t="shared" si="7"/>
        <v>0.87847149637567412</v>
      </c>
      <c r="AH19" s="28">
        <f t="shared" si="8"/>
        <v>0.14592337580290948</v>
      </c>
      <c r="AI19" s="29"/>
      <c r="AJ19" s="28">
        <f t="shared" si="9"/>
        <v>1.0246972528866944</v>
      </c>
      <c r="AK19" s="30">
        <v>2592758</v>
      </c>
      <c r="AL19" s="31">
        <v>2656792</v>
      </c>
      <c r="AM19" s="31">
        <v>2277664</v>
      </c>
      <c r="AN19" s="31">
        <v>378344</v>
      </c>
      <c r="AO19" s="43"/>
      <c r="AP19" s="44">
        <v>29.6449</v>
      </c>
      <c r="AQ19" s="44">
        <v>38.689300000000003</v>
      </c>
      <c r="AR19" s="44">
        <v>39.481000000000002</v>
      </c>
      <c r="AS19" s="45"/>
      <c r="AT19" s="44">
        <v>21.686399999999999</v>
      </c>
      <c r="AU19" s="44">
        <v>21.686399999999999</v>
      </c>
      <c r="AV19" s="44">
        <v>21.686399999999999</v>
      </c>
      <c r="AW19" s="45"/>
      <c r="AX19" s="51">
        <v>3.0619999999999998</v>
      </c>
      <c r="AY19" s="51">
        <v>2.218</v>
      </c>
      <c r="BA19" s="57">
        <f t="shared" si="10"/>
        <v>-4.7554584393378896E-3</v>
      </c>
      <c r="BB19" s="57"/>
      <c r="BD19" s="58"/>
      <c r="BE19" s="58"/>
      <c r="BF19" s="58"/>
      <c r="BG19" s="63"/>
      <c r="BI19" s="58"/>
      <c r="BJ19" s="58"/>
      <c r="BK19" s="58"/>
      <c r="BL19" s="63"/>
      <c r="BN19" s="58"/>
      <c r="BO19" s="58"/>
      <c r="BP19" s="58"/>
      <c r="BQ19" s="63"/>
      <c r="BS19" s="58"/>
      <c r="BT19" s="58"/>
      <c r="BU19" s="58"/>
      <c r="BV19" s="63"/>
      <c r="BX19">
        <f t="shared" si="12"/>
        <v>0</v>
      </c>
      <c r="BY19">
        <f t="shared" si="13"/>
        <v>14656</v>
      </c>
      <c r="BZ19">
        <f t="shared" si="14"/>
        <v>0</v>
      </c>
      <c r="CA19">
        <f t="shared" si="15"/>
        <v>14656</v>
      </c>
      <c r="CB19">
        <f t="shared" si="16"/>
        <v>0</v>
      </c>
      <c r="CC19">
        <f t="shared" si="17"/>
        <v>0.18440000000000012</v>
      </c>
      <c r="CD19">
        <f t="shared" si="18"/>
        <v>5.0499999999999545E-2</v>
      </c>
      <c r="CE19">
        <f t="shared" si="19"/>
        <v>-1.582499999999996</v>
      </c>
      <c r="CF19">
        <f t="shared" si="20"/>
        <v>0</v>
      </c>
      <c r="CG19">
        <f t="shared" si="21"/>
        <v>0</v>
      </c>
      <c r="CH19">
        <f t="shared" si="22"/>
        <v>0</v>
      </c>
      <c r="CI19">
        <f t="shared" si="23"/>
        <v>0</v>
      </c>
      <c r="CJ19">
        <f t="shared" si="24"/>
        <v>0</v>
      </c>
    </row>
    <row r="20" spans="1:88" x14ac:dyDescent="0.15">
      <c r="A20" s="8"/>
      <c r="B20" s="8" t="s">
        <v>67</v>
      </c>
      <c r="C20" s="9" t="s">
        <v>254</v>
      </c>
      <c r="D20" s="8">
        <v>272684</v>
      </c>
      <c r="E20" s="10">
        <v>12</v>
      </c>
      <c r="F20" s="9">
        <v>1</v>
      </c>
      <c r="G20" s="9"/>
      <c r="I20" s="22" t="str">
        <f t="shared" si="0"/>
        <v>·</v>
      </c>
      <c r="J20" s="23">
        <f t="shared" si="1"/>
        <v>17.446597526807587</v>
      </c>
      <c r="K20" s="23">
        <f t="shared" si="2"/>
        <v>11.739009256135306</v>
      </c>
      <c r="L20" s="23">
        <f t="shared" si="3"/>
        <v>5.7056813014331604</v>
      </c>
      <c r="M20" s="24"/>
      <c r="N20" s="23">
        <f t="shared" si="4"/>
        <v>17.446597526807587</v>
      </c>
      <c r="O20" s="25">
        <v>272684</v>
      </c>
      <c r="P20" s="26">
        <v>4757408</v>
      </c>
      <c r="Q20" s="26">
        <v>3201040</v>
      </c>
      <c r="R20" s="26">
        <v>1555848</v>
      </c>
      <c r="S20" s="40"/>
      <c r="T20" s="41">
        <v>52.904800000000002</v>
      </c>
      <c r="U20" s="41">
        <v>54.732900000000001</v>
      </c>
      <c r="V20" s="41">
        <v>56.292499999999997</v>
      </c>
      <c r="W20" s="42"/>
      <c r="X20" s="41">
        <v>48.130800000000001</v>
      </c>
      <c r="Y20" s="41">
        <v>48.130800000000001</v>
      </c>
      <c r="Z20" s="41">
        <v>48.130800000000001</v>
      </c>
      <c r="AA20" s="42"/>
      <c r="AB20" s="50">
        <v>0.60899999999999999</v>
      </c>
      <c r="AC20" s="50">
        <v>0.53100000000000003</v>
      </c>
      <c r="AE20" s="22" t="str">
        <f t="shared" si="5"/>
        <v>·</v>
      </c>
      <c r="AF20" s="23">
        <f t="shared" si="6"/>
        <v>17.475524783265612</v>
      </c>
      <c r="AG20" s="23">
        <f t="shared" si="7"/>
        <v>11.739009256135306</v>
      </c>
      <c r="AH20" s="23">
        <f t="shared" si="8"/>
        <v>5.7346085578911854</v>
      </c>
      <c r="AI20" s="24"/>
      <c r="AJ20" s="23">
        <f t="shared" si="9"/>
        <v>17.475524783265612</v>
      </c>
      <c r="AK20" s="25">
        <v>272684</v>
      </c>
      <c r="AL20" s="26">
        <v>4765296</v>
      </c>
      <c r="AM20" s="26">
        <v>3201040</v>
      </c>
      <c r="AN20" s="26">
        <v>1563736</v>
      </c>
      <c r="AO20" s="40"/>
      <c r="AP20" s="41">
        <v>52.904800000000002</v>
      </c>
      <c r="AQ20" s="41">
        <v>54.7258</v>
      </c>
      <c r="AR20" s="41">
        <v>56.291400000000003</v>
      </c>
      <c r="AS20" s="42"/>
      <c r="AT20" s="41">
        <v>48.130800000000001</v>
      </c>
      <c r="AU20" s="41">
        <v>48.130800000000001</v>
      </c>
      <c r="AV20" s="41">
        <v>48.130800000000001</v>
      </c>
      <c r="AW20" s="42"/>
      <c r="AX20" s="50">
        <v>0.60899999999999999</v>
      </c>
      <c r="AY20" s="50">
        <v>0.54600000000000004</v>
      </c>
      <c r="BA20" s="55">
        <f t="shared" si="10"/>
        <v>-1.1137756584106429E-3</v>
      </c>
      <c r="BB20" s="55">
        <f t="array" ref="BB20">AVERAGE(AM20:AM24/AL20:AL24)-AVERAGE(Q20:Q24/P20:P24)</f>
        <v>-2.495024845128202E-3</v>
      </c>
      <c r="BD20" s="56">
        <f>IF(OR(ISBLANK(R20:R24),ISBLANK(AN20:AN24),ISBLANK(T20:T24),ISBLANK(AP20:AP24)),"·",bdRateExtend(R20:R24,T20:T24,AN20:AN24,AP20:AP24))</f>
        <v>4.511220886734213E-2</v>
      </c>
      <c r="BE20" s="56">
        <f>IF(OR(ISBLANK(R20:R24),ISBLANK(AN20:AN24),ISBLANK(U20:U24),ISBLANK(AQ20:AQ24)),"·",bdRateExtend(R20:R24,U20:U24,AN20:AN24,AQ20:AQ24))</f>
        <v>6.1447087743371043E-2</v>
      </c>
      <c r="BF20" s="56">
        <f>IF(OR(ISBLANK(R20:R24),ISBLANK(AN20:AN24),ISBLANK(V20:V24),ISBLANK(AR20:AR24)),"·",bdRateExtend(R20:R24,V20:V24,AN20:AN24,AR20:AR24))</f>
        <v>2.6768068030782688E-2</v>
      </c>
      <c r="BG20" s="62"/>
      <c r="BI20" s="56">
        <f>IF(OR(ISBLANK(R20:R24),ISBLANK(AN20:AN24),ISBLANK(X20:X24),ISBLANK(AT20:AT24)),"·",bdRateExtend(R20:R24,X20:X24,AN20:AN24,AT20:AT24))</f>
        <v>3.7140326314699434E-2</v>
      </c>
      <c r="BJ20" s="56">
        <f>IF(OR(ISBLANK(R20:R24),ISBLANK(AN20:AN24),ISBLANK(Y20:Y24),ISBLANK(AU20:AU24)),"·",bdRateExtend(R20:R24,Y20:Y24,AN20:AN24,AU20:AU24))</f>
        <v>3.7140326314699434E-2</v>
      </c>
      <c r="BK20" s="56">
        <f>IF(OR(ISBLANK(R20:R24),ISBLANK(AN20:AN24),ISBLANK(Z20:Z24),ISBLANK(AV20:AV24)),"·",bdRateExtend(R20:R24,Z20:Z24,AN20:AN24,AV20:AV24))</f>
        <v>3.7140326314699434E-2</v>
      </c>
      <c r="BL20" s="62"/>
      <c r="BN20" s="56">
        <f>IF(OR(ISBLANK(P20:P24),ISBLANK(AL20:AL24),ISBLANK(T20:T24),ISBLANK(AP20:AP24)),"·",bdRateExtend(P20:P24,T20:T24,AL20:AL24,AP20:AP24))</f>
        <v>3.2453486063641623E-3</v>
      </c>
      <c r="BO20" s="56">
        <f>IF(OR(ISBLANK(P20:P24),ISBLANK(AL20:AL24),ISBLANK(U20:U24),ISBLANK(AQ20:AQ24)),"·",bdRateExtend(P20:P24,U20:U24,AL20:AL24,AQ20:AQ24))</f>
        <v>3.9235485614523835E-3</v>
      </c>
      <c r="BP20" s="56">
        <f>IF(OR(ISBLANK(P20:P24),ISBLANK(AL20:AL24),ISBLANK(V20:V24),ISBLANK(AR20:AR24)),"·",bdRateExtend(P20:P24,V20:V24,AL20:AL24,AR20:AR24))</f>
        <v>2.7202327825663897E-3</v>
      </c>
      <c r="BQ20" s="62"/>
      <c r="BS20" s="56">
        <f>IF(OR(ISBLANK(P20:P24),ISBLANK(AL20:AL24),ISBLANK(X20:X24),ISBLANK(AT20:AT24)),"·",bdRateExtend(P20:P24,X20:X24,AL20:AL24,AT20:AT24))</f>
        <v>2.9797425409403555E-3</v>
      </c>
      <c r="BT20" s="56">
        <f>IF(OR(ISBLANK(P20:P24),ISBLANK(AL20:AL24),ISBLANK(Y20:Y24),ISBLANK(AU20:AU24)),"·",bdRateExtend(P20:P24,Y20:Y24,AL20:AL24,AU20:AU24))</f>
        <v>2.9797425409403555E-3</v>
      </c>
      <c r="BU20" s="56">
        <f>IF(OR(ISBLANK(P20:P24),ISBLANK(AL20:AL24),ISBLANK(Z20:Z24),ISBLANK(AV20:AV24)),"·",bdRateExtend(P20:P24,Z20:Z24,AL20:AL24,AV20:AV24))</f>
        <v>2.9797425409403555E-3</v>
      </c>
      <c r="BV20" s="62"/>
      <c r="BX20">
        <f t="shared" si="12"/>
        <v>0</v>
      </c>
      <c r="BY20">
        <f t="shared" si="13"/>
        <v>7888</v>
      </c>
      <c r="BZ20">
        <f t="shared" si="14"/>
        <v>0</v>
      </c>
      <c r="CA20">
        <f t="shared" si="15"/>
        <v>7888</v>
      </c>
      <c r="CB20">
        <f t="shared" si="16"/>
        <v>0</v>
      </c>
      <c r="CC20">
        <f t="shared" si="17"/>
        <v>0</v>
      </c>
      <c r="CD20">
        <f t="shared" si="18"/>
        <v>-7.1000000000012164E-3</v>
      </c>
      <c r="CE20">
        <f t="shared" si="19"/>
        <v>-1.0999999999938836E-3</v>
      </c>
      <c r="CF20">
        <f t="shared" si="20"/>
        <v>0</v>
      </c>
      <c r="CG20">
        <f t="shared" si="21"/>
        <v>0</v>
      </c>
      <c r="CH20">
        <f t="shared" si="22"/>
        <v>0</v>
      </c>
      <c r="CI20">
        <f t="shared" si="23"/>
        <v>0</v>
      </c>
      <c r="CJ20">
        <f t="shared" si="24"/>
        <v>0</v>
      </c>
    </row>
    <row r="21" spans="1:88" outlineLevel="1" x14ac:dyDescent="0.15">
      <c r="A21" s="5"/>
      <c r="B21" s="5" t="s">
        <v>67</v>
      </c>
      <c r="C21" s="6" t="s">
        <v>255</v>
      </c>
      <c r="D21" s="5">
        <v>272684</v>
      </c>
      <c r="E21" s="7">
        <v>12</v>
      </c>
      <c r="F21" s="6">
        <v>1</v>
      </c>
      <c r="G21" s="6"/>
      <c r="I21" s="17" t="str">
        <f t="shared" si="0"/>
        <v>·</v>
      </c>
      <c r="J21" s="18">
        <f t="shared" si="1"/>
        <v>15.49817371022869</v>
      </c>
      <c r="K21" s="18">
        <f t="shared" si="2"/>
        <v>11.739009256135306</v>
      </c>
      <c r="L21" s="18">
        <f t="shared" si="3"/>
        <v>3.7572574848542635</v>
      </c>
      <c r="M21" s="19"/>
      <c r="N21" s="18">
        <f t="shared" si="4"/>
        <v>15.49817371022869</v>
      </c>
      <c r="O21" s="20">
        <v>272684</v>
      </c>
      <c r="P21" s="21">
        <v>4226104</v>
      </c>
      <c r="Q21" s="21">
        <v>3201040</v>
      </c>
      <c r="R21" s="21">
        <v>1024544</v>
      </c>
      <c r="S21" s="37"/>
      <c r="T21" s="38">
        <v>48.250100000000003</v>
      </c>
      <c r="U21" s="38">
        <v>51.239199999999997</v>
      </c>
      <c r="V21" s="38">
        <v>51.0214</v>
      </c>
      <c r="W21" s="39"/>
      <c r="X21" s="38">
        <v>42.110199999999999</v>
      </c>
      <c r="Y21" s="38">
        <v>42.110199999999999</v>
      </c>
      <c r="Z21" s="38">
        <v>42.110199999999999</v>
      </c>
      <c r="AA21" s="39"/>
      <c r="AB21" s="49">
        <v>0.57799999999999996</v>
      </c>
      <c r="AC21" s="49">
        <v>0.56200000000000006</v>
      </c>
      <c r="AE21" s="17" t="str">
        <f t="shared" si="5"/>
        <v>·</v>
      </c>
      <c r="AF21" s="18">
        <f t="shared" si="6"/>
        <v>15.534611491690015</v>
      </c>
      <c r="AG21" s="18">
        <f t="shared" si="7"/>
        <v>11.739009256135306</v>
      </c>
      <c r="AH21" s="18">
        <f t="shared" si="8"/>
        <v>3.7936952663155887</v>
      </c>
      <c r="AI21" s="19"/>
      <c r="AJ21" s="18">
        <f t="shared" si="9"/>
        <v>15.534611491690015</v>
      </c>
      <c r="AK21" s="20">
        <v>272684</v>
      </c>
      <c r="AL21" s="21">
        <v>4236040</v>
      </c>
      <c r="AM21" s="21">
        <v>3201040</v>
      </c>
      <c r="AN21" s="21">
        <v>1034480</v>
      </c>
      <c r="AO21" s="37"/>
      <c r="AP21" s="38">
        <v>48.256100000000004</v>
      </c>
      <c r="AQ21" s="38">
        <v>51.230400000000003</v>
      </c>
      <c r="AR21" s="38">
        <v>51.0334</v>
      </c>
      <c r="AS21" s="39"/>
      <c r="AT21" s="38">
        <v>42.110199999999999</v>
      </c>
      <c r="AU21" s="38">
        <v>42.110199999999999</v>
      </c>
      <c r="AV21" s="38">
        <v>42.110199999999999</v>
      </c>
      <c r="AW21" s="39"/>
      <c r="AX21" s="49">
        <v>0.56200000000000006</v>
      </c>
      <c r="AY21" s="49">
        <v>0.56200000000000006</v>
      </c>
      <c r="BA21" s="53">
        <f t="shared" si="10"/>
        <v>-1.7766523355448038E-3</v>
      </c>
      <c r="BB21" s="53"/>
      <c r="BD21" s="54"/>
      <c r="BE21" s="54"/>
      <c r="BF21" s="54"/>
      <c r="BG21" s="61"/>
      <c r="BI21" s="54"/>
      <c r="BJ21" s="54"/>
      <c r="BK21" s="54"/>
      <c r="BL21" s="61"/>
      <c r="BN21" s="54"/>
      <c r="BO21" s="54"/>
      <c r="BP21" s="54"/>
      <c r="BQ21" s="61"/>
      <c r="BS21" s="54"/>
      <c r="BT21" s="54"/>
      <c r="BU21" s="54"/>
      <c r="BV21" s="61"/>
      <c r="BX21">
        <f t="shared" si="12"/>
        <v>0</v>
      </c>
      <c r="BY21">
        <f t="shared" si="13"/>
        <v>9936</v>
      </c>
      <c r="BZ21">
        <f t="shared" si="14"/>
        <v>0</v>
      </c>
      <c r="CA21">
        <f t="shared" si="15"/>
        <v>9936</v>
      </c>
      <c r="CB21">
        <f t="shared" si="16"/>
        <v>0</v>
      </c>
      <c r="CC21">
        <f t="shared" si="17"/>
        <v>6.0000000000002274E-3</v>
      </c>
      <c r="CD21">
        <f t="shared" si="18"/>
        <v>-8.7999999999937017E-3</v>
      </c>
      <c r="CE21">
        <f t="shared" si="19"/>
        <v>1.2000000000000455E-2</v>
      </c>
      <c r="CF21">
        <f t="shared" si="20"/>
        <v>0</v>
      </c>
      <c r="CG21">
        <f t="shared" si="21"/>
        <v>0</v>
      </c>
      <c r="CH21">
        <f t="shared" si="22"/>
        <v>0</v>
      </c>
      <c r="CI21">
        <f t="shared" si="23"/>
        <v>0</v>
      </c>
      <c r="CJ21">
        <f t="shared" si="24"/>
        <v>0</v>
      </c>
    </row>
    <row r="22" spans="1:88" outlineLevel="1" x14ac:dyDescent="0.15">
      <c r="A22" s="8"/>
      <c r="B22" s="8" t="s">
        <v>67</v>
      </c>
      <c r="C22" s="9" t="s">
        <v>256</v>
      </c>
      <c r="D22" s="8">
        <v>272684</v>
      </c>
      <c r="E22" s="10">
        <v>12</v>
      </c>
      <c r="F22" s="9">
        <v>1</v>
      </c>
      <c r="G22" s="9"/>
      <c r="I22" s="22" t="str">
        <f t="shared" si="0"/>
        <v>·</v>
      </c>
      <c r="J22" s="23">
        <f t="shared" si="1"/>
        <v>13.528743894031185</v>
      </c>
      <c r="K22" s="23">
        <f t="shared" si="2"/>
        <v>11.739009256135306</v>
      </c>
      <c r="L22" s="23">
        <f t="shared" si="3"/>
        <v>1.7878276686567602</v>
      </c>
      <c r="M22" s="24"/>
      <c r="N22" s="23">
        <f t="shared" si="4"/>
        <v>13.528743894031185</v>
      </c>
      <c r="O22" s="25">
        <v>272684</v>
      </c>
      <c r="P22" s="26">
        <v>3689072</v>
      </c>
      <c r="Q22" s="26">
        <v>3201040</v>
      </c>
      <c r="R22" s="26">
        <v>487512</v>
      </c>
      <c r="S22" s="40"/>
      <c r="T22" s="41">
        <v>41.391100000000002</v>
      </c>
      <c r="U22" s="41">
        <v>46.374899999999997</v>
      </c>
      <c r="V22" s="41">
        <v>46.107700000000001</v>
      </c>
      <c r="W22" s="42"/>
      <c r="X22" s="41">
        <v>34.151400000000002</v>
      </c>
      <c r="Y22" s="41">
        <v>34.151400000000002</v>
      </c>
      <c r="Z22" s="41">
        <v>34.151400000000002</v>
      </c>
      <c r="AA22" s="42"/>
      <c r="AB22" s="50">
        <v>0.59299999999999997</v>
      </c>
      <c r="AC22" s="50">
        <v>0.54600000000000004</v>
      </c>
      <c r="AE22" s="22" t="str">
        <f t="shared" si="5"/>
        <v>·</v>
      </c>
      <c r="AF22" s="23">
        <f t="shared" si="6"/>
        <v>13.571283977057693</v>
      </c>
      <c r="AG22" s="23">
        <f t="shared" si="7"/>
        <v>11.739009256135306</v>
      </c>
      <c r="AH22" s="23">
        <f t="shared" si="8"/>
        <v>1.830367751683267</v>
      </c>
      <c r="AI22" s="24"/>
      <c r="AJ22" s="23">
        <f t="shared" si="9"/>
        <v>13.571283977057693</v>
      </c>
      <c r="AK22" s="25">
        <v>272684</v>
      </c>
      <c r="AL22" s="26">
        <v>3700672</v>
      </c>
      <c r="AM22" s="26">
        <v>3201040</v>
      </c>
      <c r="AN22" s="26">
        <v>499112</v>
      </c>
      <c r="AO22" s="40"/>
      <c r="AP22" s="41">
        <v>41.400300000000001</v>
      </c>
      <c r="AQ22" s="41">
        <v>46.384399999999999</v>
      </c>
      <c r="AR22" s="41">
        <v>46.099899999999998</v>
      </c>
      <c r="AS22" s="42"/>
      <c r="AT22" s="41">
        <v>34.151400000000002</v>
      </c>
      <c r="AU22" s="41">
        <v>34.151400000000002</v>
      </c>
      <c r="AV22" s="41">
        <v>34.151400000000002</v>
      </c>
      <c r="AW22" s="42"/>
      <c r="AX22" s="50">
        <v>0.56200000000000006</v>
      </c>
      <c r="AY22" s="50">
        <v>0.53100000000000003</v>
      </c>
      <c r="BA22" s="55">
        <f t="shared" si="10"/>
        <v>-2.7198901526244157E-3</v>
      </c>
      <c r="BB22" s="55"/>
      <c r="BD22" s="56"/>
      <c r="BE22" s="56"/>
      <c r="BF22" s="56"/>
      <c r="BG22" s="62"/>
      <c r="BI22" s="56"/>
      <c r="BJ22" s="56"/>
      <c r="BK22" s="56"/>
      <c r="BL22" s="62"/>
      <c r="BN22" s="56"/>
      <c r="BO22" s="56"/>
      <c r="BP22" s="56"/>
      <c r="BQ22" s="62"/>
      <c r="BS22" s="56"/>
      <c r="BT22" s="56"/>
      <c r="BU22" s="56"/>
      <c r="BV22" s="62"/>
      <c r="BX22">
        <f t="shared" si="12"/>
        <v>0</v>
      </c>
      <c r="BY22">
        <f t="shared" si="13"/>
        <v>11600</v>
      </c>
      <c r="BZ22">
        <f t="shared" si="14"/>
        <v>0</v>
      </c>
      <c r="CA22">
        <f t="shared" si="15"/>
        <v>11600</v>
      </c>
      <c r="CB22">
        <f t="shared" si="16"/>
        <v>0</v>
      </c>
      <c r="CC22">
        <f t="shared" si="17"/>
        <v>9.1999999999998749E-3</v>
      </c>
      <c r="CD22">
        <f t="shared" si="18"/>
        <v>9.5000000000027285E-3</v>
      </c>
      <c r="CE22">
        <f t="shared" si="19"/>
        <v>-7.8000000000031378E-3</v>
      </c>
      <c r="CF22">
        <f t="shared" si="20"/>
        <v>0</v>
      </c>
      <c r="CG22">
        <f t="shared" si="21"/>
        <v>0</v>
      </c>
      <c r="CH22">
        <f t="shared" si="22"/>
        <v>0</v>
      </c>
      <c r="CI22">
        <f t="shared" si="23"/>
        <v>0</v>
      </c>
      <c r="CJ22">
        <f t="shared" si="24"/>
        <v>0</v>
      </c>
    </row>
    <row r="23" spans="1:88" outlineLevel="1" x14ac:dyDescent="0.15">
      <c r="A23" s="5"/>
      <c r="B23" s="5" t="s">
        <v>67</v>
      </c>
      <c r="C23" s="6" t="s">
        <v>257</v>
      </c>
      <c r="D23" s="5">
        <v>272684</v>
      </c>
      <c r="E23" s="7">
        <v>12</v>
      </c>
      <c r="F23" s="6">
        <v>1</v>
      </c>
      <c r="G23" s="6"/>
      <c r="I23" s="17" t="str">
        <f t="shared" si="0"/>
        <v>·</v>
      </c>
      <c r="J23" s="18">
        <f t="shared" si="1"/>
        <v>12.582007011779202</v>
      </c>
      <c r="K23" s="18">
        <f t="shared" si="2"/>
        <v>11.739009256135306</v>
      </c>
      <c r="L23" s="18">
        <f t="shared" si="3"/>
        <v>0.84109078640477619</v>
      </c>
      <c r="M23" s="19"/>
      <c r="N23" s="18">
        <f t="shared" si="4"/>
        <v>12.582007011779202</v>
      </c>
      <c r="O23" s="20">
        <v>272684</v>
      </c>
      <c r="P23" s="21">
        <v>3430912</v>
      </c>
      <c r="Q23" s="21">
        <v>3201040</v>
      </c>
      <c r="R23" s="21">
        <v>229352</v>
      </c>
      <c r="S23" s="37"/>
      <c r="T23" s="38">
        <v>35.9512</v>
      </c>
      <c r="U23" s="38">
        <v>42.450499999999998</v>
      </c>
      <c r="V23" s="38">
        <v>41.591000000000001</v>
      </c>
      <c r="W23" s="39"/>
      <c r="X23" s="38">
        <v>28.130800000000001</v>
      </c>
      <c r="Y23" s="38">
        <v>28.130800000000001</v>
      </c>
      <c r="Z23" s="38">
        <v>28.130800000000001</v>
      </c>
      <c r="AA23" s="39"/>
      <c r="AB23" s="49">
        <v>0.56200000000000006</v>
      </c>
      <c r="AC23" s="49">
        <v>0.54600000000000004</v>
      </c>
      <c r="AE23" s="17" t="str">
        <f t="shared" si="5"/>
        <v>·</v>
      </c>
      <c r="AF23" s="18">
        <f t="shared" si="6"/>
        <v>12.629329186897655</v>
      </c>
      <c r="AG23" s="18">
        <f t="shared" si="7"/>
        <v>11.739009256135306</v>
      </c>
      <c r="AH23" s="18">
        <f t="shared" si="8"/>
        <v>0.88841296152322835</v>
      </c>
      <c r="AI23" s="19"/>
      <c r="AJ23" s="18">
        <f t="shared" si="9"/>
        <v>12.629329186897655</v>
      </c>
      <c r="AK23" s="20">
        <v>272684</v>
      </c>
      <c r="AL23" s="21">
        <v>3443816</v>
      </c>
      <c r="AM23" s="21">
        <v>3201040</v>
      </c>
      <c r="AN23" s="21">
        <v>242256</v>
      </c>
      <c r="AO23" s="37"/>
      <c r="AP23" s="38">
        <v>35.885399999999997</v>
      </c>
      <c r="AQ23" s="38">
        <v>42.330300000000001</v>
      </c>
      <c r="AR23" s="38">
        <v>41.557899999999997</v>
      </c>
      <c r="AS23" s="39"/>
      <c r="AT23" s="38">
        <v>28.130800000000001</v>
      </c>
      <c r="AU23" s="38">
        <v>28.130800000000001</v>
      </c>
      <c r="AV23" s="38">
        <v>28.130800000000001</v>
      </c>
      <c r="AW23" s="39"/>
      <c r="AX23" s="49">
        <v>0.56200000000000006</v>
      </c>
      <c r="AY23" s="49">
        <v>0.51500000000000001</v>
      </c>
      <c r="BA23" s="53">
        <f t="shared" si="10"/>
        <v>-3.4959558321510098E-3</v>
      </c>
      <c r="BB23" s="53"/>
      <c r="BD23" s="54"/>
      <c r="BE23" s="54"/>
      <c r="BF23" s="54"/>
      <c r="BG23" s="61"/>
      <c r="BI23" s="54"/>
      <c r="BJ23" s="54"/>
      <c r="BK23" s="54"/>
      <c r="BL23" s="61"/>
      <c r="BN23" s="54"/>
      <c r="BO23" s="54"/>
      <c r="BP23" s="54"/>
      <c r="BQ23" s="61"/>
      <c r="BS23" s="54"/>
      <c r="BT23" s="54"/>
      <c r="BU23" s="54"/>
      <c r="BV23" s="61"/>
      <c r="BX23">
        <f t="shared" si="12"/>
        <v>0</v>
      </c>
      <c r="BY23">
        <f t="shared" si="13"/>
        <v>12904</v>
      </c>
      <c r="BZ23">
        <f t="shared" si="14"/>
        <v>0</v>
      </c>
      <c r="CA23">
        <f t="shared" si="15"/>
        <v>12904</v>
      </c>
      <c r="CB23">
        <f t="shared" si="16"/>
        <v>0</v>
      </c>
      <c r="CC23">
        <f t="shared" si="17"/>
        <v>-6.5800000000002967E-2</v>
      </c>
      <c r="CD23">
        <f t="shared" si="18"/>
        <v>-0.12019999999999698</v>
      </c>
      <c r="CE23">
        <f t="shared" si="19"/>
        <v>-3.310000000000457E-2</v>
      </c>
      <c r="CF23">
        <f t="shared" si="20"/>
        <v>0</v>
      </c>
      <c r="CG23">
        <f t="shared" si="21"/>
        <v>0</v>
      </c>
      <c r="CH23">
        <f t="shared" si="22"/>
        <v>0</v>
      </c>
      <c r="CI23">
        <f t="shared" si="23"/>
        <v>0</v>
      </c>
      <c r="CJ23">
        <f t="shared" si="24"/>
        <v>0</v>
      </c>
    </row>
    <row r="24" spans="1:88" outlineLevel="1" x14ac:dyDescent="0.15">
      <c r="A24" s="8"/>
      <c r="B24" s="14" t="s">
        <v>67</v>
      </c>
      <c r="C24" s="15" t="s">
        <v>258</v>
      </c>
      <c r="D24" s="14">
        <v>272684</v>
      </c>
      <c r="E24" s="16">
        <v>12</v>
      </c>
      <c r="F24" s="15">
        <v>1</v>
      </c>
      <c r="G24" s="15"/>
      <c r="I24" s="32" t="str">
        <f t="shared" si="0"/>
        <v>·</v>
      </c>
      <c r="J24" s="33">
        <f t="shared" si="1"/>
        <v>12.031949069252322</v>
      </c>
      <c r="K24" s="33">
        <f t="shared" si="2"/>
        <v>11.739009256135306</v>
      </c>
      <c r="L24" s="33">
        <f t="shared" si="3"/>
        <v>0.2910328438778953</v>
      </c>
      <c r="M24" s="34"/>
      <c r="N24" s="33">
        <f t="shared" si="4"/>
        <v>12.031949069252322</v>
      </c>
      <c r="O24" s="35">
        <v>272684</v>
      </c>
      <c r="P24" s="36">
        <v>3280920</v>
      </c>
      <c r="Q24" s="36">
        <v>3201040</v>
      </c>
      <c r="R24" s="36">
        <v>79360</v>
      </c>
      <c r="S24" s="46"/>
      <c r="T24" s="47">
        <v>30.1858</v>
      </c>
      <c r="U24" s="47">
        <v>37.835999999999999</v>
      </c>
      <c r="V24" s="47">
        <v>36.869900000000001</v>
      </c>
      <c r="W24" s="48"/>
      <c r="X24" s="47">
        <v>21.686399999999999</v>
      </c>
      <c r="Y24" s="47">
        <v>21.686399999999999</v>
      </c>
      <c r="Z24" s="47">
        <v>21.686399999999999</v>
      </c>
      <c r="AA24" s="48"/>
      <c r="AB24" s="52">
        <v>0.59299999999999997</v>
      </c>
      <c r="AC24" s="52">
        <v>0.54600000000000004</v>
      </c>
      <c r="AE24" s="32" t="str">
        <f t="shared" si="5"/>
        <v>·</v>
      </c>
      <c r="AF24" s="33">
        <f t="shared" si="6"/>
        <v>12.073638350618298</v>
      </c>
      <c r="AG24" s="33">
        <f t="shared" si="7"/>
        <v>11.739009256135306</v>
      </c>
      <c r="AH24" s="33">
        <f t="shared" si="8"/>
        <v>0.33272212524387201</v>
      </c>
      <c r="AI24" s="34"/>
      <c r="AJ24" s="33">
        <f t="shared" si="9"/>
        <v>12.073638350618298</v>
      </c>
      <c r="AK24" s="35">
        <v>272684</v>
      </c>
      <c r="AL24" s="36">
        <v>3292288</v>
      </c>
      <c r="AM24" s="36">
        <v>3201040</v>
      </c>
      <c r="AN24" s="36">
        <v>90728</v>
      </c>
      <c r="AO24" s="46"/>
      <c r="AP24" s="47">
        <v>29.951699999999999</v>
      </c>
      <c r="AQ24" s="47">
        <v>37.154400000000003</v>
      </c>
      <c r="AR24" s="47">
        <v>37.331299999999999</v>
      </c>
      <c r="AS24" s="48"/>
      <c r="AT24" s="47">
        <v>21.686399999999999</v>
      </c>
      <c r="AU24" s="47">
        <v>21.686399999999999</v>
      </c>
      <c r="AV24" s="47">
        <v>21.686399999999999</v>
      </c>
      <c r="AW24" s="48"/>
      <c r="AX24" s="52">
        <v>0.57799999999999996</v>
      </c>
      <c r="AY24" s="52">
        <v>0.53100000000000003</v>
      </c>
      <c r="BA24" s="59">
        <f t="shared" si="10"/>
        <v>-3.3688502469104709E-3</v>
      </c>
      <c r="BB24" s="59"/>
      <c r="BD24" s="60"/>
      <c r="BE24" s="60"/>
      <c r="BF24" s="60"/>
      <c r="BG24" s="64"/>
      <c r="BI24" s="60"/>
      <c r="BJ24" s="60"/>
      <c r="BK24" s="60"/>
      <c r="BL24" s="64"/>
      <c r="BN24" s="60"/>
      <c r="BO24" s="60"/>
      <c r="BP24" s="60"/>
      <c r="BQ24" s="64"/>
      <c r="BS24" s="60"/>
      <c r="BT24" s="60"/>
      <c r="BU24" s="60"/>
      <c r="BV24" s="64"/>
      <c r="BX24">
        <f t="shared" si="12"/>
        <v>0</v>
      </c>
      <c r="BY24">
        <f t="shared" si="13"/>
        <v>11368</v>
      </c>
      <c r="BZ24">
        <f t="shared" si="14"/>
        <v>0</v>
      </c>
      <c r="CA24">
        <f t="shared" si="15"/>
        <v>11368</v>
      </c>
      <c r="CB24">
        <f t="shared" si="16"/>
        <v>0</v>
      </c>
      <c r="CC24">
        <f t="shared" si="17"/>
        <v>-0.23410000000000153</v>
      </c>
      <c r="CD24">
        <f t="shared" si="18"/>
        <v>-0.68159999999999599</v>
      </c>
      <c r="CE24">
        <f t="shared" si="19"/>
        <v>0.46139999999999759</v>
      </c>
      <c r="CF24">
        <f t="shared" si="20"/>
        <v>0</v>
      </c>
      <c r="CG24">
        <f t="shared" si="21"/>
        <v>0</v>
      </c>
      <c r="CH24">
        <f t="shared" si="22"/>
        <v>0</v>
      </c>
      <c r="CI24">
        <f t="shared" si="23"/>
        <v>0</v>
      </c>
      <c r="CJ24">
        <f t="shared" si="24"/>
        <v>0</v>
      </c>
    </row>
    <row r="25" spans="1:88" x14ac:dyDescent="0.15">
      <c r="A25" s="5"/>
      <c r="B25" s="5" t="s">
        <v>70</v>
      </c>
      <c r="C25" s="6" t="s">
        <v>254</v>
      </c>
      <c r="D25" s="5">
        <v>1596085</v>
      </c>
      <c r="E25" s="7">
        <v>12</v>
      </c>
      <c r="F25" s="6">
        <v>1</v>
      </c>
      <c r="G25" s="6"/>
      <c r="I25" s="17" t="str">
        <f t="shared" si="0"/>
        <v>·</v>
      </c>
      <c r="J25" s="18">
        <f t="shared" si="1"/>
        <v>14.978746119410934</v>
      </c>
      <c r="K25" s="18">
        <f t="shared" si="2"/>
        <v>6.9863096263670164</v>
      </c>
      <c r="L25" s="18">
        <f t="shared" si="3"/>
        <v>7.9920605732150856</v>
      </c>
      <c r="M25" s="19"/>
      <c r="N25" s="18">
        <f t="shared" si="4"/>
        <v>14.978746119410934</v>
      </c>
      <c r="O25" s="20">
        <v>1596085</v>
      </c>
      <c r="P25" s="21">
        <v>23907352</v>
      </c>
      <c r="Q25" s="21">
        <v>11150744</v>
      </c>
      <c r="R25" s="21">
        <v>12756008</v>
      </c>
      <c r="S25" s="37"/>
      <c r="T25" s="38">
        <v>53.425899999999999</v>
      </c>
      <c r="U25" s="38">
        <v>55.3842</v>
      </c>
      <c r="V25" s="38">
        <v>54.771299999999997</v>
      </c>
      <c r="W25" s="39"/>
      <c r="X25" s="38">
        <v>48.130800000000001</v>
      </c>
      <c r="Y25" s="38">
        <v>48.130800000000001</v>
      </c>
      <c r="Z25" s="38">
        <v>48.130800000000001</v>
      </c>
      <c r="AA25" s="39"/>
      <c r="AB25" s="49">
        <v>3.4369999999999998</v>
      </c>
      <c r="AC25" s="49">
        <v>3.093</v>
      </c>
      <c r="AE25" s="17" t="str">
        <f t="shared" si="5"/>
        <v>·</v>
      </c>
      <c r="AF25" s="18">
        <f t="shared" si="6"/>
        <v>15.070731195393728</v>
      </c>
      <c r="AG25" s="18">
        <f t="shared" si="7"/>
        <v>6.9863096263670164</v>
      </c>
      <c r="AH25" s="18">
        <f t="shared" si="8"/>
        <v>8.0840456491978809</v>
      </c>
      <c r="AI25" s="19"/>
      <c r="AJ25" s="18">
        <f t="shared" si="9"/>
        <v>15.070731195393728</v>
      </c>
      <c r="AK25" s="20">
        <v>1596085</v>
      </c>
      <c r="AL25" s="21">
        <v>24054168</v>
      </c>
      <c r="AM25" s="21">
        <v>11150744</v>
      </c>
      <c r="AN25" s="21">
        <v>12902824</v>
      </c>
      <c r="AO25" s="37"/>
      <c r="AP25" s="38">
        <v>53.427399999999999</v>
      </c>
      <c r="AQ25" s="38">
        <v>55.360399999999998</v>
      </c>
      <c r="AR25" s="38">
        <v>54.751100000000001</v>
      </c>
      <c r="AS25" s="39"/>
      <c r="AT25" s="38">
        <v>48.130800000000001</v>
      </c>
      <c r="AU25" s="38">
        <v>48.130800000000001</v>
      </c>
      <c r="AV25" s="38">
        <v>48.130800000000001</v>
      </c>
      <c r="AW25" s="39"/>
      <c r="AX25" s="49">
        <v>3.5310000000000001</v>
      </c>
      <c r="AY25" s="49">
        <v>3.093</v>
      </c>
      <c r="BA25" s="53">
        <f t="shared" si="10"/>
        <v>-2.8467899050244605E-3</v>
      </c>
      <c r="BB25" s="53">
        <f t="array" ref="BB25">AVERAGE(AM25:AM29/AL25:AL29)-AVERAGE(Q25:Q29/P25:P29)</f>
        <v>-3.3724228033327197E-3</v>
      </c>
      <c r="BD25" s="54">
        <f>IF(OR(ISBLANK(R25:R29),ISBLANK(AN25:AN29),ISBLANK(T25:T29),ISBLANK(AP25:AP29)),"·",bdRateExtend(R25:R29,T25:T29,AN25:AN29,AP25:AP29))</f>
        <v>1.7072449425960867E-2</v>
      </c>
      <c r="BE25" s="54">
        <f>IF(OR(ISBLANK(R25:R29),ISBLANK(AN25:AN29),ISBLANK(U25:U29),ISBLANK(AQ25:AQ29)),"·",bdRateExtend(R25:R29,U25:U29,AN25:AN29,AQ25:AQ29))</f>
        <v>2.9965462062951698E-2</v>
      </c>
      <c r="BF25" s="54">
        <f>IF(OR(ISBLANK(R25:R29),ISBLANK(AN25:AN29),ISBLANK(V25:V29),ISBLANK(AR25:AR29)),"·",bdRateExtend(R25:R29,V25:V29,AN25:AN29,AR25:AR29))</f>
        <v>1.8747380000835756E-2</v>
      </c>
      <c r="BG25" s="61"/>
      <c r="BI25" s="54">
        <f>IF(OR(ISBLANK(R25:R29),ISBLANK(AN25:AN29),ISBLANK(X25:X29),ISBLANK(AT25:AT29)),"·",bdRateExtend(R25:R29,X25:X29,AN25:AN29,AT25:AT29))</f>
        <v>1.9349692795310292E-2</v>
      </c>
      <c r="BJ25" s="54">
        <f>IF(OR(ISBLANK(R25:R29),ISBLANK(AN25:AN29),ISBLANK(Y25:Y29),ISBLANK(AU25:AU29)),"·",bdRateExtend(R25:R29,Y25:Y29,AN25:AN29,AU25:AU29))</f>
        <v>1.9349692795310292E-2</v>
      </c>
      <c r="BK25" s="54">
        <f>IF(OR(ISBLANK(R25:R29),ISBLANK(AN25:AN29),ISBLANK(Z25:Z29),ISBLANK(AV25:AV29)),"·",bdRateExtend(R25:R29,Z25:Z29,AN25:AN29,AV25:AV29))</f>
        <v>1.9349692795310292E-2</v>
      </c>
      <c r="BL25" s="61"/>
      <c r="BN25" s="54">
        <f>IF(OR(ISBLANK(P25:P29),ISBLANK(AL25:AL29),ISBLANK(T25:T29),ISBLANK(AP25:AP29)),"·",bdRateExtend(P25:P29,T25:T29,AL25:AL29,AP25:AP29))</f>
        <v>6.0704570003973224E-3</v>
      </c>
      <c r="BO25" s="54">
        <f>IF(OR(ISBLANK(P25:P29),ISBLANK(AL25:AL29),ISBLANK(U25:U29),ISBLANK(AQ25:AQ29)),"·",bdRateExtend(P25:P29,U25:U29,AL25:AL29,AQ25:AQ29))</f>
        <v>9.5987698635675578E-3</v>
      </c>
      <c r="BP25" s="54">
        <f>IF(OR(ISBLANK(P25:P29),ISBLANK(AL25:AL29),ISBLANK(V25:V29),ISBLANK(AR25:AR29)),"·",bdRateExtend(P25:P29,V25:V29,AL25:AL29,AR25:AR29))</f>
        <v>7.2899451495658241E-3</v>
      </c>
      <c r="BQ25" s="61"/>
      <c r="BS25" s="54">
        <f>IF(OR(ISBLANK(P25:P29),ISBLANK(AL25:AL29),ISBLANK(X25:X29),ISBLANK(AT25:AT29)),"·",bdRateExtend(P25:P29,X25:X29,AL25:AL29,AT25:AT29))</f>
        <v>6.640208517342483E-3</v>
      </c>
      <c r="BT25" s="54">
        <f>IF(OR(ISBLANK(P25:P29),ISBLANK(AL25:AL29),ISBLANK(Y25:Y29),ISBLANK(AU25:AU29)),"·",bdRateExtend(P25:P29,Y25:Y29,AL25:AL29,AU25:AU29))</f>
        <v>6.640208517342483E-3</v>
      </c>
      <c r="BU25" s="54">
        <f>IF(OR(ISBLANK(P25:P29),ISBLANK(AL25:AL29),ISBLANK(Z25:Z29),ISBLANK(AV25:AV29)),"·",bdRateExtend(P25:P29,Z25:Z29,AL25:AL29,AV25:AV29))</f>
        <v>6.640208517342483E-3</v>
      </c>
      <c r="BV25" s="61"/>
      <c r="BX25">
        <f t="shared" si="12"/>
        <v>0</v>
      </c>
      <c r="BY25">
        <f t="shared" si="13"/>
        <v>146816</v>
      </c>
      <c r="BZ25">
        <f t="shared" si="14"/>
        <v>0</v>
      </c>
      <c r="CA25">
        <f t="shared" si="15"/>
        <v>146816</v>
      </c>
      <c r="CB25">
        <f t="shared" si="16"/>
        <v>0</v>
      </c>
      <c r="CC25">
        <f t="shared" si="17"/>
        <v>1.5000000000000568E-3</v>
      </c>
      <c r="CD25">
        <f t="shared" si="18"/>
        <v>-2.3800000000001376E-2</v>
      </c>
      <c r="CE25">
        <f t="shared" si="19"/>
        <v>-2.0199999999995555E-2</v>
      </c>
      <c r="CF25">
        <f t="shared" si="20"/>
        <v>0</v>
      </c>
      <c r="CG25">
        <f t="shared" si="21"/>
        <v>0</v>
      </c>
      <c r="CH25">
        <f t="shared" si="22"/>
        <v>0</v>
      </c>
      <c r="CI25">
        <f t="shared" si="23"/>
        <v>0</v>
      </c>
      <c r="CJ25">
        <f t="shared" si="24"/>
        <v>0</v>
      </c>
    </row>
    <row r="26" spans="1:88" outlineLevel="1" x14ac:dyDescent="0.15">
      <c r="A26" s="8"/>
      <c r="B26" s="8" t="s">
        <v>70</v>
      </c>
      <c r="C26" s="9" t="s">
        <v>255</v>
      </c>
      <c r="D26" s="8">
        <v>1596085</v>
      </c>
      <c r="E26" s="10">
        <v>12</v>
      </c>
      <c r="F26" s="9">
        <v>1</v>
      </c>
      <c r="G26" s="9"/>
      <c r="I26" s="22" t="str">
        <f t="shared" si="0"/>
        <v>·</v>
      </c>
      <c r="J26" s="23">
        <f t="shared" si="1"/>
        <v>12.77212178549388</v>
      </c>
      <c r="K26" s="23">
        <f t="shared" si="2"/>
        <v>6.9863096263670164</v>
      </c>
      <c r="L26" s="23">
        <f t="shared" si="3"/>
        <v>5.7854362392980327</v>
      </c>
      <c r="M26" s="24"/>
      <c r="N26" s="23">
        <f t="shared" si="4"/>
        <v>12.77212178549388</v>
      </c>
      <c r="O26" s="25">
        <v>1596085</v>
      </c>
      <c r="P26" s="26">
        <v>20385392</v>
      </c>
      <c r="Q26" s="26">
        <v>11150744</v>
      </c>
      <c r="R26" s="26">
        <v>9234048</v>
      </c>
      <c r="S26" s="40"/>
      <c r="T26" s="41">
        <v>48.342199999999998</v>
      </c>
      <c r="U26" s="41">
        <v>51.128399999999999</v>
      </c>
      <c r="V26" s="41">
        <v>50.4651</v>
      </c>
      <c r="W26" s="42"/>
      <c r="X26" s="41">
        <v>42.110199999999999</v>
      </c>
      <c r="Y26" s="41">
        <v>42.110199999999999</v>
      </c>
      <c r="Z26" s="41">
        <v>42.110199999999999</v>
      </c>
      <c r="AA26" s="42"/>
      <c r="AB26" s="50">
        <v>3.484</v>
      </c>
      <c r="AC26" s="50">
        <v>3.0310000000000001</v>
      </c>
      <c r="AE26" s="22" t="str">
        <f t="shared" si="5"/>
        <v>·</v>
      </c>
      <c r="AF26" s="23">
        <f t="shared" si="6"/>
        <v>12.879278985768302</v>
      </c>
      <c r="AG26" s="23">
        <f t="shared" si="7"/>
        <v>6.9863096263670164</v>
      </c>
      <c r="AH26" s="23">
        <f t="shared" si="8"/>
        <v>5.8925934395724537</v>
      </c>
      <c r="AI26" s="24"/>
      <c r="AJ26" s="23">
        <f t="shared" si="9"/>
        <v>12.879278985768302</v>
      </c>
      <c r="AK26" s="25">
        <v>1596085</v>
      </c>
      <c r="AL26" s="26">
        <v>20556424</v>
      </c>
      <c r="AM26" s="26">
        <v>11150744</v>
      </c>
      <c r="AN26" s="26">
        <v>9405080</v>
      </c>
      <c r="AO26" s="40"/>
      <c r="AP26" s="41">
        <v>48.349499999999999</v>
      </c>
      <c r="AQ26" s="41">
        <v>51.098300000000002</v>
      </c>
      <c r="AR26" s="41">
        <v>50.4373</v>
      </c>
      <c r="AS26" s="42"/>
      <c r="AT26" s="41">
        <v>42.110199999999999</v>
      </c>
      <c r="AU26" s="41">
        <v>42.110199999999999</v>
      </c>
      <c r="AV26" s="41">
        <v>42.110199999999999</v>
      </c>
      <c r="AW26" s="42"/>
      <c r="AX26" s="50">
        <v>3.484</v>
      </c>
      <c r="AY26" s="50">
        <v>3.0310000000000001</v>
      </c>
      <c r="BA26" s="55">
        <f t="shared" si="10"/>
        <v>-4.5510812141867918E-3</v>
      </c>
      <c r="BB26" s="55"/>
      <c r="BD26" s="56"/>
      <c r="BE26" s="56"/>
      <c r="BF26" s="56"/>
      <c r="BG26" s="62"/>
      <c r="BI26" s="56"/>
      <c r="BJ26" s="56"/>
      <c r="BK26" s="56"/>
      <c r="BL26" s="62"/>
      <c r="BN26" s="56"/>
      <c r="BO26" s="56"/>
      <c r="BP26" s="56"/>
      <c r="BQ26" s="62"/>
      <c r="BS26" s="56"/>
      <c r="BT26" s="56"/>
      <c r="BU26" s="56"/>
      <c r="BV26" s="62"/>
      <c r="BX26">
        <f t="shared" si="12"/>
        <v>0</v>
      </c>
      <c r="BY26">
        <f t="shared" si="13"/>
        <v>171032</v>
      </c>
      <c r="BZ26">
        <f t="shared" si="14"/>
        <v>0</v>
      </c>
      <c r="CA26">
        <f t="shared" si="15"/>
        <v>171032</v>
      </c>
      <c r="CB26">
        <f t="shared" si="16"/>
        <v>0</v>
      </c>
      <c r="CC26">
        <f t="shared" si="17"/>
        <v>7.3000000000007503E-3</v>
      </c>
      <c r="CD26">
        <f t="shared" si="18"/>
        <v>-3.0099999999997351E-2</v>
      </c>
      <c r="CE26">
        <f t="shared" si="19"/>
        <v>-2.7799999999999159E-2</v>
      </c>
      <c r="CF26">
        <f t="shared" si="20"/>
        <v>0</v>
      </c>
      <c r="CG26">
        <f t="shared" si="21"/>
        <v>0</v>
      </c>
      <c r="CH26">
        <f t="shared" si="22"/>
        <v>0</v>
      </c>
      <c r="CI26">
        <f t="shared" si="23"/>
        <v>0</v>
      </c>
      <c r="CJ26">
        <f t="shared" si="24"/>
        <v>0</v>
      </c>
    </row>
    <row r="27" spans="1:88" outlineLevel="1" x14ac:dyDescent="0.15">
      <c r="A27" s="5"/>
      <c r="B27" s="5" t="s">
        <v>70</v>
      </c>
      <c r="C27" s="6" t="s">
        <v>256</v>
      </c>
      <c r="D27" s="5">
        <v>1596085</v>
      </c>
      <c r="E27" s="7">
        <v>12</v>
      </c>
      <c r="F27" s="6">
        <v>1</v>
      </c>
      <c r="G27" s="6"/>
      <c r="I27" s="17" t="str">
        <f t="shared" si="0"/>
        <v>·</v>
      </c>
      <c r="J27" s="18">
        <f t="shared" si="1"/>
        <v>10.403967207260266</v>
      </c>
      <c r="K27" s="18">
        <f t="shared" si="2"/>
        <v>6.9863096263670164</v>
      </c>
      <c r="L27" s="18">
        <f t="shared" si="3"/>
        <v>3.417281661064417</v>
      </c>
      <c r="M27" s="19"/>
      <c r="N27" s="18">
        <f t="shared" si="4"/>
        <v>10.403967207260266</v>
      </c>
      <c r="O27" s="20">
        <v>1596085</v>
      </c>
      <c r="P27" s="21">
        <v>16605616</v>
      </c>
      <c r="Q27" s="21">
        <v>11150744</v>
      </c>
      <c r="R27" s="21">
        <v>5454272</v>
      </c>
      <c r="S27" s="37"/>
      <c r="T27" s="38">
        <v>41.147399999999998</v>
      </c>
      <c r="U27" s="38">
        <v>45.699100000000001</v>
      </c>
      <c r="V27" s="38">
        <v>44.8399</v>
      </c>
      <c r="W27" s="39"/>
      <c r="X27" s="38">
        <v>34.151400000000002</v>
      </c>
      <c r="Y27" s="38">
        <v>34.151400000000002</v>
      </c>
      <c r="Z27" s="38">
        <v>34.151400000000002</v>
      </c>
      <c r="AA27" s="39"/>
      <c r="AB27" s="49">
        <v>3.359</v>
      </c>
      <c r="AC27" s="49">
        <v>3</v>
      </c>
      <c r="AE27" s="17" t="str">
        <f t="shared" si="5"/>
        <v>·</v>
      </c>
      <c r="AF27" s="18">
        <f t="shared" si="6"/>
        <v>10.493150427452171</v>
      </c>
      <c r="AG27" s="18">
        <f t="shared" si="7"/>
        <v>6.9863096263670164</v>
      </c>
      <c r="AH27" s="18">
        <f t="shared" si="8"/>
        <v>3.5064648812563242</v>
      </c>
      <c r="AI27" s="19"/>
      <c r="AJ27" s="18">
        <f t="shared" si="9"/>
        <v>10.493150427452171</v>
      </c>
      <c r="AK27" s="20">
        <v>1596085</v>
      </c>
      <c r="AL27" s="21">
        <v>16747960</v>
      </c>
      <c r="AM27" s="21">
        <v>11150744</v>
      </c>
      <c r="AN27" s="21">
        <v>5596616</v>
      </c>
      <c r="AO27" s="37"/>
      <c r="AP27" s="38">
        <v>41.169800000000002</v>
      </c>
      <c r="AQ27" s="38">
        <v>45.584800000000001</v>
      </c>
      <c r="AR27" s="38">
        <v>44.780299999999997</v>
      </c>
      <c r="AS27" s="39"/>
      <c r="AT27" s="38">
        <v>34.151400000000002</v>
      </c>
      <c r="AU27" s="38">
        <v>34.151400000000002</v>
      </c>
      <c r="AV27" s="38">
        <v>34.151400000000002</v>
      </c>
      <c r="AW27" s="39"/>
      <c r="AX27" s="49">
        <v>3.4529999999999998</v>
      </c>
      <c r="AY27" s="49">
        <v>2.9209999999999998</v>
      </c>
      <c r="BA27" s="53">
        <f t="shared" si="10"/>
        <v>-5.707239599600511E-3</v>
      </c>
      <c r="BB27" s="53"/>
      <c r="BD27" s="54"/>
      <c r="BE27" s="54"/>
      <c r="BF27" s="54"/>
      <c r="BG27" s="61"/>
      <c r="BI27" s="54"/>
      <c r="BJ27" s="54"/>
      <c r="BK27" s="54"/>
      <c r="BL27" s="61"/>
      <c r="BN27" s="54"/>
      <c r="BO27" s="54"/>
      <c r="BP27" s="54"/>
      <c r="BQ27" s="61"/>
      <c r="BS27" s="54"/>
      <c r="BT27" s="54"/>
      <c r="BU27" s="54"/>
      <c r="BV27" s="61"/>
      <c r="BX27">
        <f t="shared" si="12"/>
        <v>0</v>
      </c>
      <c r="BY27">
        <f t="shared" si="13"/>
        <v>142344</v>
      </c>
      <c r="BZ27">
        <f t="shared" si="14"/>
        <v>0</v>
      </c>
      <c r="CA27">
        <f t="shared" si="15"/>
        <v>142344</v>
      </c>
      <c r="CB27">
        <f t="shared" si="16"/>
        <v>0</v>
      </c>
      <c r="CC27">
        <f t="shared" si="17"/>
        <v>2.2400000000004638E-2</v>
      </c>
      <c r="CD27">
        <f t="shared" si="18"/>
        <v>-0.11430000000000007</v>
      </c>
      <c r="CE27">
        <f t="shared" si="19"/>
        <v>-5.9600000000003206E-2</v>
      </c>
      <c r="CF27">
        <f t="shared" si="20"/>
        <v>0</v>
      </c>
      <c r="CG27">
        <f t="shared" si="21"/>
        <v>0</v>
      </c>
      <c r="CH27">
        <f t="shared" si="22"/>
        <v>0</v>
      </c>
      <c r="CI27">
        <f t="shared" si="23"/>
        <v>0</v>
      </c>
      <c r="CJ27">
        <f t="shared" si="24"/>
        <v>0</v>
      </c>
    </row>
    <row r="28" spans="1:88" outlineLevel="1" x14ac:dyDescent="0.15">
      <c r="A28" s="8"/>
      <c r="B28" s="8" t="s">
        <v>70</v>
      </c>
      <c r="C28" s="9" t="s">
        <v>257</v>
      </c>
      <c r="D28" s="8">
        <v>1596085</v>
      </c>
      <c r="E28" s="10">
        <v>12</v>
      </c>
      <c r="F28" s="9">
        <v>1</v>
      </c>
      <c r="G28" s="9"/>
      <c r="I28" s="22" t="str">
        <f t="shared" si="0"/>
        <v>·</v>
      </c>
      <c r="J28" s="23">
        <f t="shared" si="1"/>
        <v>8.9882882177327641</v>
      </c>
      <c r="K28" s="23">
        <f t="shared" si="2"/>
        <v>6.9863096263670164</v>
      </c>
      <c r="L28" s="23">
        <f t="shared" si="3"/>
        <v>2.0016026715369168</v>
      </c>
      <c r="M28" s="24"/>
      <c r="N28" s="23">
        <f t="shared" si="4"/>
        <v>8.9882882177327641</v>
      </c>
      <c r="O28" s="25">
        <v>1596085</v>
      </c>
      <c r="P28" s="26">
        <v>14346072</v>
      </c>
      <c r="Q28" s="26">
        <v>11150744</v>
      </c>
      <c r="R28" s="26">
        <v>3194728</v>
      </c>
      <c r="S28" s="40"/>
      <c r="T28" s="41">
        <v>35.488799999999998</v>
      </c>
      <c r="U28" s="41">
        <v>41.222799999999999</v>
      </c>
      <c r="V28" s="41">
        <v>40.3596</v>
      </c>
      <c r="W28" s="42"/>
      <c r="X28" s="41">
        <v>28.130800000000001</v>
      </c>
      <c r="Y28" s="41">
        <v>28.130800000000001</v>
      </c>
      <c r="Z28" s="41">
        <v>28.130800000000001</v>
      </c>
      <c r="AA28" s="42"/>
      <c r="AB28" s="50">
        <v>3.343</v>
      </c>
      <c r="AC28" s="50">
        <v>2.9529999999999998</v>
      </c>
      <c r="AE28" s="22" t="str">
        <f t="shared" si="5"/>
        <v>·</v>
      </c>
      <c r="AF28" s="23">
        <f t="shared" si="6"/>
        <v>9.0374384822863441</v>
      </c>
      <c r="AG28" s="23">
        <f t="shared" si="7"/>
        <v>6.9863096263670164</v>
      </c>
      <c r="AH28" s="23">
        <f t="shared" si="8"/>
        <v>2.0507529360904964</v>
      </c>
      <c r="AI28" s="24"/>
      <c r="AJ28" s="23">
        <f t="shared" si="9"/>
        <v>9.0374384822863441</v>
      </c>
      <c r="AK28" s="25">
        <v>1596085</v>
      </c>
      <c r="AL28" s="26">
        <v>14424520</v>
      </c>
      <c r="AM28" s="26">
        <v>11150744</v>
      </c>
      <c r="AN28" s="26">
        <v>3273176</v>
      </c>
      <c r="AO28" s="40"/>
      <c r="AP28" s="41">
        <v>35.5122</v>
      </c>
      <c r="AQ28" s="41">
        <v>41.036200000000001</v>
      </c>
      <c r="AR28" s="41">
        <v>40.319099999999999</v>
      </c>
      <c r="AS28" s="42"/>
      <c r="AT28" s="41">
        <v>28.130800000000001</v>
      </c>
      <c r="AU28" s="41">
        <v>28.130800000000001</v>
      </c>
      <c r="AV28" s="41">
        <v>28.130800000000001</v>
      </c>
      <c r="AW28" s="42"/>
      <c r="AX28" s="50">
        <v>3.4369999999999998</v>
      </c>
      <c r="AY28" s="50">
        <v>2.984</v>
      </c>
      <c r="BA28" s="55">
        <f t="shared" si="10"/>
        <v>-4.2271858765718928E-3</v>
      </c>
      <c r="BB28" s="55"/>
      <c r="BD28" s="56"/>
      <c r="BE28" s="56"/>
      <c r="BF28" s="56"/>
      <c r="BG28" s="62"/>
      <c r="BI28" s="56"/>
      <c r="BJ28" s="56"/>
      <c r="BK28" s="56"/>
      <c r="BL28" s="62"/>
      <c r="BN28" s="56"/>
      <c r="BO28" s="56"/>
      <c r="BP28" s="56"/>
      <c r="BQ28" s="62"/>
      <c r="BS28" s="56"/>
      <c r="BT28" s="56"/>
      <c r="BU28" s="56"/>
      <c r="BV28" s="62"/>
      <c r="BX28">
        <f t="shared" si="12"/>
        <v>0</v>
      </c>
      <c r="BY28">
        <f t="shared" si="13"/>
        <v>78448</v>
      </c>
      <c r="BZ28">
        <f t="shared" si="14"/>
        <v>0</v>
      </c>
      <c r="CA28">
        <f t="shared" si="15"/>
        <v>78448</v>
      </c>
      <c r="CB28">
        <f t="shared" si="16"/>
        <v>0</v>
      </c>
      <c r="CC28">
        <f t="shared" si="17"/>
        <v>2.3400000000002308E-2</v>
      </c>
      <c r="CD28">
        <f t="shared" si="18"/>
        <v>-0.18659999999999854</v>
      </c>
      <c r="CE28">
        <f t="shared" si="19"/>
        <v>-4.0500000000001535E-2</v>
      </c>
      <c r="CF28">
        <f t="shared" si="20"/>
        <v>0</v>
      </c>
      <c r="CG28">
        <f t="shared" si="21"/>
        <v>0</v>
      </c>
      <c r="CH28">
        <f t="shared" si="22"/>
        <v>0</v>
      </c>
      <c r="CI28">
        <f t="shared" si="23"/>
        <v>0</v>
      </c>
      <c r="CJ28">
        <f t="shared" si="24"/>
        <v>0</v>
      </c>
    </row>
    <row r="29" spans="1:88" outlineLevel="1" x14ac:dyDescent="0.15">
      <c r="A29" s="5"/>
      <c r="B29" s="11" t="s">
        <v>70</v>
      </c>
      <c r="C29" s="12" t="s">
        <v>258</v>
      </c>
      <c r="D29" s="11">
        <v>1596085</v>
      </c>
      <c r="E29" s="13">
        <v>12</v>
      </c>
      <c r="F29" s="12">
        <v>1</v>
      </c>
      <c r="G29" s="12"/>
      <c r="I29" s="27" t="str">
        <f t="shared" si="0"/>
        <v>·</v>
      </c>
      <c r="J29" s="28">
        <f t="shared" si="1"/>
        <v>7.9350911762218175</v>
      </c>
      <c r="K29" s="28">
        <f t="shared" si="2"/>
        <v>6.9863096263670164</v>
      </c>
      <c r="L29" s="28">
        <f t="shared" si="3"/>
        <v>0.94840563002596978</v>
      </c>
      <c r="M29" s="29"/>
      <c r="N29" s="28">
        <f t="shared" si="4"/>
        <v>7.9350911762218175</v>
      </c>
      <c r="O29" s="30">
        <v>1596085</v>
      </c>
      <c r="P29" s="31">
        <v>12665080</v>
      </c>
      <c r="Q29" s="31">
        <v>11150744</v>
      </c>
      <c r="R29" s="31">
        <v>1513736</v>
      </c>
      <c r="S29" s="43"/>
      <c r="T29" s="44">
        <v>29.283999999999999</v>
      </c>
      <c r="U29" s="44">
        <v>36.734499999999997</v>
      </c>
      <c r="V29" s="44">
        <v>35.464399999999998</v>
      </c>
      <c r="W29" s="45"/>
      <c r="X29" s="44">
        <v>21.686399999999999</v>
      </c>
      <c r="Y29" s="44">
        <v>21.686399999999999</v>
      </c>
      <c r="Z29" s="44">
        <v>21.686399999999999</v>
      </c>
      <c r="AA29" s="45"/>
      <c r="AB29" s="51">
        <v>3.2650000000000001</v>
      </c>
      <c r="AC29" s="51">
        <v>2.9369999999999998</v>
      </c>
      <c r="AE29" s="27" t="str">
        <f t="shared" si="5"/>
        <v>·</v>
      </c>
      <c r="AF29" s="28">
        <f t="shared" si="6"/>
        <v>7.9308558128169864</v>
      </c>
      <c r="AG29" s="28">
        <f t="shared" si="7"/>
        <v>6.9863096263670164</v>
      </c>
      <c r="AH29" s="28">
        <f t="shared" si="8"/>
        <v>0.94417026662113857</v>
      </c>
      <c r="AI29" s="29"/>
      <c r="AJ29" s="28">
        <f t="shared" si="9"/>
        <v>7.9308558128169864</v>
      </c>
      <c r="AK29" s="30">
        <v>1596085</v>
      </c>
      <c r="AL29" s="31">
        <v>12658320</v>
      </c>
      <c r="AM29" s="31">
        <v>11150744</v>
      </c>
      <c r="AN29" s="31">
        <v>1506976</v>
      </c>
      <c r="AO29" s="43"/>
      <c r="AP29" s="44">
        <v>29.357700000000001</v>
      </c>
      <c r="AQ29" s="44">
        <v>36.799500000000002</v>
      </c>
      <c r="AR29" s="44">
        <v>35.762900000000002</v>
      </c>
      <c r="AS29" s="45"/>
      <c r="AT29" s="44">
        <v>21.686399999999999</v>
      </c>
      <c r="AU29" s="44">
        <v>21.686399999999999</v>
      </c>
      <c r="AV29" s="44">
        <v>21.686399999999999</v>
      </c>
      <c r="AW29" s="45"/>
      <c r="AX29" s="51">
        <v>3.4060000000000001</v>
      </c>
      <c r="AY29" s="51">
        <v>2.9529999999999998</v>
      </c>
      <c r="BA29" s="57">
        <f t="shared" si="10"/>
        <v>4.7018257871944691E-4</v>
      </c>
      <c r="BB29" s="57"/>
      <c r="BD29" s="58"/>
      <c r="BE29" s="58"/>
      <c r="BF29" s="58"/>
      <c r="BG29" s="63"/>
      <c r="BI29" s="58"/>
      <c r="BJ29" s="58"/>
      <c r="BK29" s="58"/>
      <c r="BL29" s="63"/>
      <c r="BN29" s="58"/>
      <c r="BO29" s="58"/>
      <c r="BP29" s="58"/>
      <c r="BQ29" s="63"/>
      <c r="BS29" s="58"/>
      <c r="BT29" s="58"/>
      <c r="BU29" s="58"/>
      <c r="BV29" s="63"/>
      <c r="BX29">
        <f t="shared" si="12"/>
        <v>0</v>
      </c>
      <c r="BY29">
        <f t="shared" si="13"/>
        <v>-6760</v>
      </c>
      <c r="BZ29">
        <f t="shared" si="14"/>
        <v>0</v>
      </c>
      <c r="CA29">
        <f t="shared" si="15"/>
        <v>-6760</v>
      </c>
      <c r="CB29">
        <f t="shared" si="16"/>
        <v>0</v>
      </c>
      <c r="CC29">
        <f t="shared" si="17"/>
        <v>7.3700000000002319E-2</v>
      </c>
      <c r="CD29">
        <f t="shared" si="18"/>
        <v>6.5000000000004832E-2</v>
      </c>
      <c r="CE29">
        <f t="shared" si="19"/>
        <v>0.29850000000000421</v>
      </c>
      <c r="CF29">
        <f t="shared" si="20"/>
        <v>0</v>
      </c>
      <c r="CG29">
        <f t="shared" si="21"/>
        <v>0</v>
      </c>
      <c r="CH29">
        <f t="shared" si="22"/>
        <v>0</v>
      </c>
      <c r="CI29">
        <f t="shared" si="23"/>
        <v>0</v>
      </c>
      <c r="CJ29">
        <f t="shared" si="24"/>
        <v>0</v>
      </c>
    </row>
    <row r="30" spans="1:88" x14ac:dyDescent="0.15">
      <c r="A30" s="8"/>
      <c r="B30" s="8" t="s">
        <v>74</v>
      </c>
      <c r="C30" s="9" t="s">
        <v>254</v>
      </c>
      <c r="D30" s="8">
        <v>8907880</v>
      </c>
      <c r="E30" s="10">
        <v>14</v>
      </c>
      <c r="F30" s="9">
        <v>1</v>
      </c>
      <c r="G30" s="9"/>
      <c r="I30" s="22" t="str">
        <f t="shared" si="0"/>
        <v>·</v>
      </c>
      <c r="J30" s="23">
        <f t="shared" si="1"/>
        <v>15.926595329079422</v>
      </c>
      <c r="K30" s="23">
        <f t="shared" si="2"/>
        <v>8.6158762803270807</v>
      </c>
      <c r="L30" s="23">
        <f t="shared" si="3"/>
        <v>7.3105789480774321</v>
      </c>
      <c r="M30" s="24"/>
      <c r="N30" s="23">
        <f t="shared" si="4"/>
        <v>15.926595329079422</v>
      </c>
      <c r="O30" s="25">
        <v>8907880</v>
      </c>
      <c r="P30" s="26">
        <v>141872200</v>
      </c>
      <c r="Q30" s="26">
        <v>76749192</v>
      </c>
      <c r="R30" s="26">
        <v>65121760</v>
      </c>
      <c r="S30" s="40"/>
      <c r="T30" s="41">
        <v>53.143799999999999</v>
      </c>
      <c r="U30" s="41">
        <v>55.479799999999997</v>
      </c>
      <c r="V30" s="41">
        <v>55.264600000000002</v>
      </c>
      <c r="W30" s="42"/>
      <c r="X30" s="41">
        <v>48.130800000000001</v>
      </c>
      <c r="Y30" s="41">
        <v>48.130800000000001</v>
      </c>
      <c r="Z30" s="41">
        <v>48.130800000000001</v>
      </c>
      <c r="AA30" s="42"/>
      <c r="AB30" s="50">
        <v>21</v>
      </c>
      <c r="AC30" s="50">
        <v>18.280999999999999</v>
      </c>
      <c r="AE30" s="22" t="str">
        <f t="shared" si="5"/>
        <v>·</v>
      </c>
      <c r="AF30" s="23">
        <f t="shared" si="6"/>
        <v>15.965038595041694</v>
      </c>
      <c r="AG30" s="23">
        <f t="shared" si="7"/>
        <v>8.6158762803270807</v>
      </c>
      <c r="AH30" s="23">
        <f t="shared" si="8"/>
        <v>7.3490222140397039</v>
      </c>
      <c r="AI30" s="24"/>
      <c r="AJ30" s="23">
        <f t="shared" si="9"/>
        <v>15.965038595041694</v>
      </c>
      <c r="AK30" s="25">
        <v>8907880</v>
      </c>
      <c r="AL30" s="26">
        <v>142214648</v>
      </c>
      <c r="AM30" s="26">
        <v>76749192</v>
      </c>
      <c r="AN30" s="26">
        <v>65464208</v>
      </c>
      <c r="AO30" s="40"/>
      <c r="AP30" s="41">
        <v>53.1479</v>
      </c>
      <c r="AQ30" s="41">
        <v>55.472099999999998</v>
      </c>
      <c r="AR30" s="41">
        <v>55.257899999999999</v>
      </c>
      <c r="AS30" s="42"/>
      <c r="AT30" s="41">
        <v>48.130800000000001</v>
      </c>
      <c r="AU30" s="41">
        <v>48.130800000000001</v>
      </c>
      <c r="AV30" s="41">
        <v>48.130800000000001</v>
      </c>
      <c r="AW30" s="42"/>
      <c r="AX30" s="50">
        <v>21.405999999999999</v>
      </c>
      <c r="AY30" s="50">
        <v>18.155999999999999</v>
      </c>
      <c r="BA30" s="55">
        <f t="shared" si="10"/>
        <v>-1.3026472053667693E-3</v>
      </c>
      <c r="BB30" s="55">
        <f t="array" ref="BB30">AVERAGE(AM30:AM34/AL30:AL34)-AVERAGE(Q30:Q34/P30:P34)</f>
        <v>-1.7392230887947058E-3</v>
      </c>
      <c r="BD30" s="56">
        <f>IF(OR(ISBLANK(R30:R34),ISBLANK(AN30:AN34),ISBLANK(T30:T34),ISBLANK(AP30:AP34)),"·",bdRateExtend(R30:R34,T30:T34,AN30:AN34,AP30:AP34))</f>
        <v>9.6163615162518923E-3</v>
      </c>
      <c r="BE30" s="56">
        <f>IF(OR(ISBLANK(R30:R34),ISBLANK(AN30:AN34),ISBLANK(U30:U34),ISBLANK(AQ30:AQ34)),"·",bdRateExtend(R30:R34,U30:U34,AN30:AN34,AQ30:AQ34))</f>
        <v>1.8106288466397613E-2</v>
      </c>
      <c r="BF30" s="56">
        <f>IF(OR(ISBLANK(R30:R34),ISBLANK(AN30:AN34),ISBLANK(V30:V34),ISBLANK(AR30:AR34)),"·",bdRateExtend(R30:R34,V30:V34,AN30:AN34,AR30:AR34))</f>
        <v>2.4394514871024509E-3</v>
      </c>
      <c r="BG30" s="62"/>
      <c r="BI30" s="56">
        <f>IF(OR(ISBLANK(R30:R34),ISBLANK(AN30:AN34),ISBLANK(X30:X34),ISBLANK(AT30:AT34)),"·",bdRateExtend(R30:R34,X30:X34,AN30:AN34,AT30:AT34))</f>
        <v>1.1177976935907941E-2</v>
      </c>
      <c r="BJ30" s="56">
        <f>IF(OR(ISBLANK(R30:R34),ISBLANK(AN30:AN34),ISBLANK(Y30:Y34),ISBLANK(AU30:AU34)),"·",bdRateExtend(R30:R34,Y30:Y34,AN30:AN34,AU30:AU34))</f>
        <v>1.1177976935907941E-2</v>
      </c>
      <c r="BK30" s="56">
        <f>IF(OR(ISBLANK(R30:R34),ISBLANK(AN30:AN34),ISBLANK(Z30:Z34),ISBLANK(AV30:AV34)),"·",bdRateExtend(R30:R34,Z30:Z34,AN30:AN34,AV30:AV34))</f>
        <v>1.1177976935907941E-2</v>
      </c>
      <c r="BL30" s="62"/>
      <c r="BN30" s="56">
        <f>IF(OR(ISBLANK(P30:P34),ISBLANK(AL30:AL34),ISBLANK(T30:T34),ISBLANK(AP30:AP34)),"·",bdRateExtend(P30:P34,T30:T34,AL30:AL34,AP30:AP34))</f>
        <v>2.6330121083406599E-3</v>
      </c>
      <c r="BO30" s="56">
        <f>IF(OR(ISBLANK(P30:P34),ISBLANK(AL30:AL34),ISBLANK(U30:U34),ISBLANK(AQ30:AQ34)),"·",bdRateExtend(P30:P34,U30:U34,AL30:AL34,AQ30:AQ34))</f>
        <v>4.0501875427154665E-3</v>
      </c>
      <c r="BP30" s="56">
        <f>IF(OR(ISBLANK(P30:P34),ISBLANK(AL30:AL34),ISBLANK(V30:V34),ISBLANK(AR30:AR34)),"·",bdRateExtend(P30:P34,V30:V34,AL30:AL34,AR30:AR34))</f>
        <v>1.7840270936588798E-3</v>
      </c>
      <c r="BQ30" s="62"/>
      <c r="BS30" s="56">
        <f>IF(OR(ISBLANK(P30:P34),ISBLANK(AL30:AL34),ISBLANK(X30:X34),ISBLANK(AT30:AT34)),"·",bdRateExtend(P30:P34,X30:X34,AL30:AL34,AT30:AT34))</f>
        <v>2.9027606428535524E-3</v>
      </c>
      <c r="BT30" s="56">
        <f>IF(OR(ISBLANK(P30:P34),ISBLANK(AL30:AL34),ISBLANK(Y30:Y34),ISBLANK(AU30:AU34)),"·",bdRateExtend(P30:P34,Y30:Y34,AL30:AL34,AU30:AU34))</f>
        <v>2.9027606428535524E-3</v>
      </c>
      <c r="BU30" s="56">
        <f>IF(OR(ISBLANK(P30:P34),ISBLANK(AL30:AL34),ISBLANK(Z30:Z34),ISBLANK(AV30:AV34)),"·",bdRateExtend(P30:P34,Z30:Z34,AL30:AL34,AV30:AV34))</f>
        <v>2.9027606428535524E-3</v>
      </c>
      <c r="BV30" s="62"/>
      <c r="BX30">
        <f t="shared" si="12"/>
        <v>0</v>
      </c>
      <c r="BY30">
        <f t="shared" si="13"/>
        <v>342448</v>
      </c>
      <c r="BZ30">
        <f t="shared" si="14"/>
        <v>0</v>
      </c>
      <c r="CA30">
        <f t="shared" si="15"/>
        <v>342448</v>
      </c>
      <c r="CB30">
        <f t="shared" si="16"/>
        <v>0</v>
      </c>
      <c r="CC30">
        <f t="shared" si="17"/>
        <v>4.1000000000011028E-3</v>
      </c>
      <c r="CD30">
        <f t="shared" si="18"/>
        <v>-7.6999999999998181E-3</v>
      </c>
      <c r="CE30">
        <f t="shared" si="19"/>
        <v>-6.7000000000021487E-3</v>
      </c>
      <c r="CF30">
        <f t="shared" si="20"/>
        <v>0</v>
      </c>
      <c r="CG30">
        <f t="shared" si="21"/>
        <v>0</v>
      </c>
      <c r="CH30">
        <f t="shared" si="22"/>
        <v>0</v>
      </c>
      <c r="CI30">
        <f t="shared" si="23"/>
        <v>0</v>
      </c>
      <c r="CJ30">
        <f t="shared" si="24"/>
        <v>0</v>
      </c>
    </row>
    <row r="31" spans="1:88" outlineLevel="1" x14ac:dyDescent="0.15">
      <c r="A31" s="5"/>
      <c r="B31" s="5" t="s">
        <v>74</v>
      </c>
      <c r="C31" s="6" t="s">
        <v>255</v>
      </c>
      <c r="D31" s="5">
        <v>8907880</v>
      </c>
      <c r="E31" s="7">
        <v>14</v>
      </c>
      <c r="F31" s="6">
        <v>1</v>
      </c>
      <c r="G31" s="6"/>
      <c r="I31" s="17" t="str">
        <f t="shared" si="0"/>
        <v>·</v>
      </c>
      <c r="J31" s="18">
        <f t="shared" si="1"/>
        <v>13.855246366138745</v>
      </c>
      <c r="K31" s="18">
        <f t="shared" si="2"/>
        <v>8.6158762803270807</v>
      </c>
      <c r="L31" s="18">
        <f t="shared" si="3"/>
        <v>5.2392299851367552</v>
      </c>
      <c r="M31" s="19"/>
      <c r="N31" s="18">
        <f t="shared" si="4"/>
        <v>13.855246366138745</v>
      </c>
      <c r="O31" s="20">
        <v>8907880</v>
      </c>
      <c r="P31" s="21">
        <v>123420872</v>
      </c>
      <c r="Q31" s="21">
        <v>76749192</v>
      </c>
      <c r="R31" s="21">
        <v>46670432</v>
      </c>
      <c r="S31" s="37"/>
      <c r="T31" s="38">
        <v>48.2836</v>
      </c>
      <c r="U31" s="38">
        <v>51.122</v>
      </c>
      <c r="V31" s="38">
        <v>50.880499999999998</v>
      </c>
      <c r="W31" s="39"/>
      <c r="X31" s="38">
        <v>42.110199999999999</v>
      </c>
      <c r="Y31" s="38">
        <v>42.110199999999999</v>
      </c>
      <c r="Z31" s="38">
        <v>42.110199999999999</v>
      </c>
      <c r="AA31" s="39"/>
      <c r="AB31" s="49">
        <v>21</v>
      </c>
      <c r="AC31" s="49">
        <v>18.109000000000002</v>
      </c>
      <c r="AE31" s="17" t="str">
        <f t="shared" si="5"/>
        <v>·</v>
      </c>
      <c r="AF31" s="18">
        <f t="shared" si="6"/>
        <v>13.905014436656085</v>
      </c>
      <c r="AG31" s="18">
        <f t="shared" si="7"/>
        <v>8.6158762803270807</v>
      </c>
      <c r="AH31" s="18">
        <f t="shared" si="8"/>
        <v>5.288998055654095</v>
      </c>
      <c r="AI31" s="19"/>
      <c r="AJ31" s="18">
        <f t="shared" si="9"/>
        <v>13.905014436656085</v>
      </c>
      <c r="AK31" s="20">
        <v>8907880</v>
      </c>
      <c r="AL31" s="21">
        <v>123864200</v>
      </c>
      <c r="AM31" s="21">
        <v>76749192</v>
      </c>
      <c r="AN31" s="21">
        <v>47113760</v>
      </c>
      <c r="AO31" s="37"/>
      <c r="AP31" s="38">
        <v>48.286999999999999</v>
      </c>
      <c r="AQ31" s="38">
        <v>51.111600000000003</v>
      </c>
      <c r="AR31" s="38">
        <v>50.878599999999999</v>
      </c>
      <c r="AS31" s="39"/>
      <c r="AT31" s="38">
        <v>42.110199999999999</v>
      </c>
      <c r="AU31" s="38">
        <v>42.110199999999999</v>
      </c>
      <c r="AV31" s="38">
        <v>42.110199999999999</v>
      </c>
      <c r="AW31" s="39"/>
      <c r="AX31" s="49">
        <v>21.280999999999999</v>
      </c>
      <c r="AY31" s="49">
        <v>18.045999999999999</v>
      </c>
      <c r="BA31" s="53">
        <f t="shared" si="10"/>
        <v>-2.225689418785759E-3</v>
      </c>
      <c r="BB31" s="53"/>
      <c r="BD31" s="54"/>
      <c r="BE31" s="54"/>
      <c r="BF31" s="54"/>
      <c r="BG31" s="61"/>
      <c r="BI31" s="54"/>
      <c r="BJ31" s="54"/>
      <c r="BK31" s="54"/>
      <c r="BL31" s="61"/>
      <c r="BN31" s="54"/>
      <c r="BO31" s="54"/>
      <c r="BP31" s="54"/>
      <c r="BQ31" s="61"/>
      <c r="BS31" s="54"/>
      <c r="BT31" s="54"/>
      <c r="BU31" s="54"/>
      <c r="BV31" s="61"/>
      <c r="BX31">
        <f t="shared" si="12"/>
        <v>0</v>
      </c>
      <c r="BY31">
        <f t="shared" si="13"/>
        <v>443328</v>
      </c>
      <c r="BZ31">
        <f t="shared" si="14"/>
        <v>0</v>
      </c>
      <c r="CA31">
        <f t="shared" si="15"/>
        <v>443328</v>
      </c>
      <c r="CB31">
        <f t="shared" si="16"/>
        <v>0</v>
      </c>
      <c r="CC31">
        <f t="shared" si="17"/>
        <v>3.3999999999991815E-3</v>
      </c>
      <c r="CD31">
        <f t="shared" si="18"/>
        <v>-1.0399999999997078E-2</v>
      </c>
      <c r="CE31">
        <f t="shared" si="19"/>
        <v>-1.8999999999991246E-3</v>
      </c>
      <c r="CF31">
        <f t="shared" si="20"/>
        <v>0</v>
      </c>
      <c r="CG31">
        <f t="shared" si="21"/>
        <v>0</v>
      </c>
      <c r="CH31">
        <f t="shared" si="22"/>
        <v>0</v>
      </c>
      <c r="CI31">
        <f t="shared" si="23"/>
        <v>0</v>
      </c>
      <c r="CJ31">
        <f t="shared" si="24"/>
        <v>0</v>
      </c>
    </row>
    <row r="32" spans="1:88" outlineLevel="1" x14ac:dyDescent="0.15">
      <c r="A32" s="8"/>
      <c r="B32" s="8" t="s">
        <v>74</v>
      </c>
      <c r="C32" s="9" t="s">
        <v>256</v>
      </c>
      <c r="D32" s="8">
        <v>8907880</v>
      </c>
      <c r="E32" s="10">
        <v>14</v>
      </c>
      <c r="F32" s="9">
        <v>1</v>
      </c>
      <c r="G32" s="9"/>
      <c r="I32" s="22" t="str">
        <f t="shared" si="0"/>
        <v>·</v>
      </c>
      <c r="J32" s="23">
        <f t="shared" si="1"/>
        <v>11.710100270771497</v>
      </c>
      <c r="K32" s="23">
        <f t="shared" si="2"/>
        <v>8.6158762803270807</v>
      </c>
      <c r="L32" s="23">
        <f t="shared" si="3"/>
        <v>3.0940838897695073</v>
      </c>
      <c r="M32" s="24"/>
      <c r="N32" s="23">
        <f t="shared" si="4"/>
        <v>11.710100270771497</v>
      </c>
      <c r="O32" s="25">
        <v>8907880</v>
      </c>
      <c r="P32" s="26">
        <v>104312168</v>
      </c>
      <c r="Q32" s="26">
        <v>76749192</v>
      </c>
      <c r="R32" s="26">
        <v>27561728</v>
      </c>
      <c r="S32" s="40"/>
      <c r="T32" s="41">
        <v>41.046900000000001</v>
      </c>
      <c r="U32" s="41">
        <v>45.664700000000003</v>
      </c>
      <c r="V32" s="41">
        <v>45.672600000000003</v>
      </c>
      <c r="W32" s="42"/>
      <c r="X32" s="41">
        <v>34.151400000000002</v>
      </c>
      <c r="Y32" s="41">
        <v>34.151400000000002</v>
      </c>
      <c r="Z32" s="41">
        <v>34.151400000000002</v>
      </c>
      <c r="AA32" s="42"/>
      <c r="AB32" s="50">
        <v>20.577999999999999</v>
      </c>
      <c r="AC32" s="50">
        <v>17.765000000000001</v>
      </c>
      <c r="AE32" s="22" t="str">
        <f t="shared" si="5"/>
        <v>·</v>
      </c>
      <c r="AF32" s="23">
        <f t="shared" si="6"/>
        <v>11.751432664113123</v>
      </c>
      <c r="AG32" s="23">
        <f t="shared" si="7"/>
        <v>8.6158762803270807</v>
      </c>
      <c r="AH32" s="23">
        <f t="shared" si="8"/>
        <v>3.135416283111133</v>
      </c>
      <c r="AI32" s="24"/>
      <c r="AJ32" s="23">
        <f t="shared" si="9"/>
        <v>11.751432664113123</v>
      </c>
      <c r="AK32" s="25">
        <v>8907880</v>
      </c>
      <c r="AL32" s="26">
        <v>104680352</v>
      </c>
      <c r="AM32" s="26">
        <v>76749192</v>
      </c>
      <c r="AN32" s="26">
        <v>27929912</v>
      </c>
      <c r="AO32" s="40"/>
      <c r="AP32" s="41">
        <v>41.0578</v>
      </c>
      <c r="AQ32" s="41">
        <v>45.614600000000003</v>
      </c>
      <c r="AR32" s="41">
        <v>45.691600000000001</v>
      </c>
      <c r="AS32" s="42"/>
      <c r="AT32" s="41">
        <v>34.151400000000002</v>
      </c>
      <c r="AU32" s="41">
        <v>34.151400000000002</v>
      </c>
      <c r="AV32" s="41">
        <v>34.151400000000002</v>
      </c>
      <c r="AW32" s="42"/>
      <c r="AX32" s="50">
        <v>20.795999999999999</v>
      </c>
      <c r="AY32" s="50">
        <v>17.75</v>
      </c>
      <c r="BA32" s="55">
        <f t="shared" si="10"/>
        <v>-2.5878468889731776E-3</v>
      </c>
      <c r="BB32" s="55"/>
      <c r="BD32" s="56"/>
      <c r="BE32" s="56"/>
      <c r="BF32" s="56"/>
      <c r="BG32" s="62"/>
      <c r="BI32" s="56"/>
      <c r="BJ32" s="56"/>
      <c r="BK32" s="56"/>
      <c r="BL32" s="62"/>
      <c r="BN32" s="56"/>
      <c r="BO32" s="56"/>
      <c r="BP32" s="56"/>
      <c r="BQ32" s="62"/>
      <c r="BS32" s="56"/>
      <c r="BT32" s="56"/>
      <c r="BU32" s="56"/>
      <c r="BV32" s="62"/>
      <c r="BX32">
        <f t="shared" si="12"/>
        <v>0</v>
      </c>
      <c r="BY32">
        <f t="shared" si="13"/>
        <v>368184</v>
      </c>
      <c r="BZ32">
        <f t="shared" si="14"/>
        <v>0</v>
      </c>
      <c r="CA32">
        <f t="shared" si="15"/>
        <v>368184</v>
      </c>
      <c r="CB32">
        <f t="shared" si="16"/>
        <v>0</v>
      </c>
      <c r="CC32">
        <f t="shared" si="17"/>
        <v>1.0899999999999466E-2</v>
      </c>
      <c r="CD32">
        <f t="shared" si="18"/>
        <v>-5.0100000000000477E-2</v>
      </c>
      <c r="CE32">
        <f t="shared" si="19"/>
        <v>1.8999999999998352E-2</v>
      </c>
      <c r="CF32">
        <f t="shared" si="20"/>
        <v>0</v>
      </c>
      <c r="CG32">
        <f t="shared" si="21"/>
        <v>0</v>
      </c>
      <c r="CH32">
        <f t="shared" si="22"/>
        <v>0</v>
      </c>
      <c r="CI32">
        <f t="shared" si="23"/>
        <v>0</v>
      </c>
      <c r="CJ32">
        <f t="shared" si="24"/>
        <v>0</v>
      </c>
    </row>
    <row r="33" spans="1:88" outlineLevel="1" x14ac:dyDescent="0.15">
      <c r="A33" s="5"/>
      <c r="B33" s="5" t="s">
        <v>74</v>
      </c>
      <c r="C33" s="6" t="s">
        <v>257</v>
      </c>
      <c r="D33" s="5">
        <v>8907880</v>
      </c>
      <c r="E33" s="7">
        <v>14</v>
      </c>
      <c r="F33" s="6">
        <v>1</v>
      </c>
      <c r="G33" s="6"/>
      <c r="I33" s="17" t="str">
        <f t="shared" si="0"/>
        <v>·</v>
      </c>
      <c r="J33" s="18">
        <f t="shared" si="1"/>
        <v>10.423553078847043</v>
      </c>
      <c r="K33" s="18">
        <f t="shared" si="2"/>
        <v>8.6158762803270807</v>
      </c>
      <c r="L33" s="18">
        <f t="shared" si="3"/>
        <v>1.807536697845054</v>
      </c>
      <c r="M33" s="19"/>
      <c r="N33" s="18">
        <f t="shared" si="4"/>
        <v>10.423553078847043</v>
      </c>
      <c r="O33" s="20">
        <v>8907880</v>
      </c>
      <c r="P33" s="21">
        <v>92851760</v>
      </c>
      <c r="Q33" s="21">
        <v>76749192</v>
      </c>
      <c r="R33" s="21">
        <v>16101320</v>
      </c>
      <c r="S33" s="37"/>
      <c r="T33" s="38">
        <v>35.370600000000003</v>
      </c>
      <c r="U33" s="38">
        <v>41.233400000000003</v>
      </c>
      <c r="V33" s="38">
        <v>41.254199999999997</v>
      </c>
      <c r="W33" s="39"/>
      <c r="X33" s="38">
        <v>28.130800000000001</v>
      </c>
      <c r="Y33" s="38">
        <v>28.130800000000001</v>
      </c>
      <c r="Z33" s="38">
        <v>28.130800000000001</v>
      </c>
      <c r="AA33" s="39"/>
      <c r="AB33" s="49">
        <v>20.593</v>
      </c>
      <c r="AC33" s="49">
        <v>17.625</v>
      </c>
      <c r="AE33" s="17" t="str">
        <f t="shared" si="5"/>
        <v>·</v>
      </c>
      <c r="AF33" s="18">
        <f t="shared" si="6"/>
        <v>10.449343278086369</v>
      </c>
      <c r="AG33" s="18">
        <f t="shared" si="7"/>
        <v>8.6158762803270807</v>
      </c>
      <c r="AH33" s="18">
        <f t="shared" si="8"/>
        <v>1.8333268970843792</v>
      </c>
      <c r="AI33" s="19"/>
      <c r="AJ33" s="18">
        <f t="shared" si="9"/>
        <v>10.449343278086369</v>
      </c>
      <c r="AK33" s="20">
        <v>8907880</v>
      </c>
      <c r="AL33" s="21">
        <v>93081496</v>
      </c>
      <c r="AM33" s="21">
        <v>76749192</v>
      </c>
      <c r="AN33" s="21">
        <v>16331056</v>
      </c>
      <c r="AO33" s="37"/>
      <c r="AP33" s="38">
        <v>35.381500000000003</v>
      </c>
      <c r="AQ33" s="38">
        <v>41.180300000000003</v>
      </c>
      <c r="AR33" s="38">
        <v>41.328000000000003</v>
      </c>
      <c r="AS33" s="39"/>
      <c r="AT33" s="38">
        <v>28.130800000000001</v>
      </c>
      <c r="AU33" s="38">
        <v>28.130800000000001</v>
      </c>
      <c r="AV33" s="38">
        <v>28.130800000000001</v>
      </c>
      <c r="AW33" s="39"/>
      <c r="AX33" s="49">
        <v>20.702999999999999</v>
      </c>
      <c r="AY33" s="49">
        <v>17.625</v>
      </c>
      <c r="BA33" s="53">
        <f t="shared" si="10"/>
        <v>-2.0400902128827614E-3</v>
      </c>
      <c r="BB33" s="53"/>
      <c r="BD33" s="54"/>
      <c r="BE33" s="54"/>
      <c r="BF33" s="54"/>
      <c r="BG33" s="61"/>
      <c r="BI33" s="54"/>
      <c r="BJ33" s="54"/>
      <c r="BK33" s="54"/>
      <c r="BL33" s="61"/>
      <c r="BN33" s="54"/>
      <c r="BO33" s="54"/>
      <c r="BP33" s="54"/>
      <c r="BQ33" s="61"/>
      <c r="BS33" s="54"/>
      <c r="BT33" s="54"/>
      <c r="BU33" s="54"/>
      <c r="BV33" s="61"/>
      <c r="BX33">
        <f t="shared" si="12"/>
        <v>0</v>
      </c>
      <c r="BY33">
        <f t="shared" si="13"/>
        <v>229736</v>
      </c>
      <c r="BZ33">
        <f t="shared" si="14"/>
        <v>0</v>
      </c>
      <c r="CA33">
        <f t="shared" si="15"/>
        <v>229736</v>
      </c>
      <c r="CB33">
        <f t="shared" si="16"/>
        <v>0</v>
      </c>
      <c r="CC33">
        <f t="shared" si="17"/>
        <v>1.0899999999999466E-2</v>
      </c>
      <c r="CD33">
        <f t="shared" si="18"/>
        <v>-5.3100000000000591E-2</v>
      </c>
      <c r="CE33">
        <f t="shared" si="19"/>
        <v>7.3800000000005639E-2</v>
      </c>
      <c r="CF33">
        <f t="shared" si="20"/>
        <v>0</v>
      </c>
      <c r="CG33">
        <f t="shared" si="21"/>
        <v>0</v>
      </c>
      <c r="CH33">
        <f t="shared" si="22"/>
        <v>0</v>
      </c>
      <c r="CI33">
        <f t="shared" si="23"/>
        <v>0</v>
      </c>
      <c r="CJ33">
        <f t="shared" si="24"/>
        <v>0</v>
      </c>
    </row>
    <row r="34" spans="1:88" outlineLevel="1" x14ac:dyDescent="0.15">
      <c r="A34" s="8"/>
      <c r="B34" s="14" t="s">
        <v>74</v>
      </c>
      <c r="C34" s="15" t="s">
        <v>258</v>
      </c>
      <c r="D34" s="14">
        <v>8907880</v>
      </c>
      <c r="E34" s="16">
        <v>14</v>
      </c>
      <c r="F34" s="15">
        <v>1</v>
      </c>
      <c r="G34" s="15"/>
      <c r="I34" s="32" t="str">
        <f t="shared" si="0"/>
        <v>·</v>
      </c>
      <c r="J34" s="33">
        <f t="shared" si="1"/>
        <v>9.4332568467469251</v>
      </c>
      <c r="K34" s="33">
        <f t="shared" si="2"/>
        <v>8.6158762803270807</v>
      </c>
      <c r="L34" s="33">
        <f t="shared" si="3"/>
        <v>0.81724046574493592</v>
      </c>
      <c r="M34" s="34"/>
      <c r="N34" s="33">
        <f t="shared" si="4"/>
        <v>9.4332568467469251</v>
      </c>
      <c r="O34" s="35">
        <v>8907880</v>
      </c>
      <c r="P34" s="36">
        <v>84030320</v>
      </c>
      <c r="Q34" s="36">
        <v>76749192</v>
      </c>
      <c r="R34" s="36">
        <v>7279880</v>
      </c>
      <c r="S34" s="46"/>
      <c r="T34" s="47">
        <v>29.221900000000002</v>
      </c>
      <c r="U34" s="47">
        <v>36.734999999999999</v>
      </c>
      <c r="V34" s="47">
        <v>36.6325</v>
      </c>
      <c r="W34" s="48"/>
      <c r="X34" s="47">
        <v>21.686399999999999</v>
      </c>
      <c r="Y34" s="47">
        <v>21.686399999999999</v>
      </c>
      <c r="Z34" s="47">
        <v>21.686399999999999</v>
      </c>
      <c r="AA34" s="48"/>
      <c r="AB34" s="52">
        <v>20.420999999999999</v>
      </c>
      <c r="AC34" s="52">
        <v>17.718</v>
      </c>
      <c r="AE34" s="32" t="str">
        <f t="shared" si="5"/>
        <v>·</v>
      </c>
      <c r="AF34" s="33">
        <f t="shared" si="6"/>
        <v>9.4388357274682644</v>
      </c>
      <c r="AG34" s="33">
        <f t="shared" si="7"/>
        <v>8.6158762803270807</v>
      </c>
      <c r="AH34" s="33">
        <f t="shared" si="8"/>
        <v>0.82281934646627486</v>
      </c>
      <c r="AI34" s="34"/>
      <c r="AJ34" s="33">
        <f t="shared" si="9"/>
        <v>9.4388357274682644</v>
      </c>
      <c r="AK34" s="35">
        <v>8907880</v>
      </c>
      <c r="AL34" s="36">
        <v>84080016</v>
      </c>
      <c r="AM34" s="36">
        <v>76749192</v>
      </c>
      <c r="AN34" s="36">
        <v>7329576</v>
      </c>
      <c r="AO34" s="46"/>
      <c r="AP34" s="47">
        <v>29.293800000000001</v>
      </c>
      <c r="AQ34" s="47">
        <v>36.564700000000002</v>
      </c>
      <c r="AR34" s="47">
        <v>36.931699999999999</v>
      </c>
      <c r="AS34" s="48"/>
      <c r="AT34" s="47">
        <v>21.686399999999999</v>
      </c>
      <c r="AU34" s="47">
        <v>21.686399999999999</v>
      </c>
      <c r="AV34" s="47">
        <v>21.686399999999999</v>
      </c>
      <c r="AW34" s="48"/>
      <c r="AX34" s="52">
        <v>20.655999999999999</v>
      </c>
      <c r="AY34" s="52">
        <v>17.609000000000002</v>
      </c>
      <c r="BA34" s="59">
        <f t="shared" si="10"/>
        <v>-5.3984171796528369E-4</v>
      </c>
      <c r="BB34" s="59"/>
      <c r="BD34" s="60"/>
      <c r="BE34" s="60"/>
      <c r="BF34" s="60"/>
      <c r="BG34" s="64"/>
      <c r="BI34" s="60"/>
      <c r="BJ34" s="60"/>
      <c r="BK34" s="60"/>
      <c r="BL34" s="64"/>
      <c r="BN34" s="60"/>
      <c r="BO34" s="60"/>
      <c r="BP34" s="60"/>
      <c r="BQ34" s="64"/>
      <c r="BS34" s="60"/>
      <c r="BT34" s="60"/>
      <c r="BU34" s="60"/>
      <c r="BV34" s="64"/>
      <c r="BX34">
        <f t="shared" si="12"/>
        <v>0</v>
      </c>
      <c r="BY34">
        <f t="shared" si="13"/>
        <v>49696</v>
      </c>
      <c r="BZ34">
        <f t="shared" si="14"/>
        <v>0</v>
      </c>
      <c r="CA34">
        <f t="shared" si="15"/>
        <v>49696</v>
      </c>
      <c r="CB34">
        <f t="shared" si="16"/>
        <v>0</v>
      </c>
      <c r="CC34">
        <f t="shared" si="17"/>
        <v>7.1899999999999409E-2</v>
      </c>
      <c r="CD34">
        <f t="shared" si="18"/>
        <v>-0.17029999999999745</v>
      </c>
      <c r="CE34">
        <f t="shared" si="19"/>
        <v>0.29919999999999902</v>
      </c>
      <c r="CF34">
        <f t="shared" si="20"/>
        <v>0</v>
      </c>
      <c r="CG34">
        <f t="shared" si="21"/>
        <v>0</v>
      </c>
      <c r="CH34">
        <f t="shared" si="22"/>
        <v>0</v>
      </c>
      <c r="CI34">
        <f t="shared" si="23"/>
        <v>0</v>
      </c>
      <c r="CJ34">
        <f t="shared" si="24"/>
        <v>0</v>
      </c>
    </row>
    <row r="35" spans="1:88" x14ac:dyDescent="0.15">
      <c r="A35" s="5"/>
      <c r="B35" s="5" t="s">
        <v>79</v>
      </c>
      <c r="C35" s="6" t="s">
        <v>254</v>
      </c>
      <c r="D35" s="5">
        <v>4061755</v>
      </c>
      <c r="E35" s="7">
        <v>11</v>
      </c>
      <c r="F35" s="6">
        <v>1</v>
      </c>
      <c r="G35" s="6"/>
      <c r="I35" s="17" t="str">
        <f t="shared" si="0"/>
        <v>·</v>
      </c>
      <c r="J35" s="18">
        <f t="shared" si="1"/>
        <v>7.7589239134315093</v>
      </c>
      <c r="K35" s="18">
        <f t="shared" si="2"/>
        <v>1.2030622231030674</v>
      </c>
      <c r="L35" s="18">
        <f t="shared" si="3"/>
        <v>6.5556351872528005</v>
      </c>
      <c r="M35" s="19"/>
      <c r="N35" s="18">
        <f t="shared" si="4"/>
        <v>7.7589239134315093</v>
      </c>
      <c r="O35" s="20">
        <v>4061755</v>
      </c>
      <c r="P35" s="21">
        <v>31514848</v>
      </c>
      <c r="Q35" s="21">
        <v>4886544</v>
      </c>
      <c r="R35" s="21">
        <v>26627384</v>
      </c>
      <c r="S35" s="37"/>
      <c r="T35" s="38">
        <v>53.099800000000002</v>
      </c>
      <c r="U35" s="38">
        <v>55.983800000000002</v>
      </c>
      <c r="V35" s="38">
        <v>55.197899999999997</v>
      </c>
      <c r="W35" s="39"/>
      <c r="X35" s="38">
        <v>48.130800000000001</v>
      </c>
      <c r="Y35" s="38">
        <v>48.130800000000001</v>
      </c>
      <c r="Z35" s="38">
        <v>48.130800000000001</v>
      </c>
      <c r="AA35" s="39"/>
      <c r="AB35" s="49">
        <v>4.875</v>
      </c>
      <c r="AC35" s="49">
        <v>3.7029999999999998</v>
      </c>
      <c r="AE35" s="17" t="str">
        <f t="shared" si="5"/>
        <v>·</v>
      </c>
      <c r="AF35" s="18">
        <f t="shared" si="6"/>
        <v>7.7614804437983089</v>
      </c>
      <c r="AG35" s="18">
        <f t="shared" si="7"/>
        <v>1.2030622231030674</v>
      </c>
      <c r="AH35" s="18">
        <f t="shared" si="8"/>
        <v>6.5581917176196001</v>
      </c>
      <c r="AI35" s="19"/>
      <c r="AJ35" s="18">
        <f t="shared" si="9"/>
        <v>7.7614804437983089</v>
      </c>
      <c r="AK35" s="20">
        <v>4061755</v>
      </c>
      <c r="AL35" s="21">
        <v>31525232</v>
      </c>
      <c r="AM35" s="21">
        <v>4886544</v>
      </c>
      <c r="AN35" s="21">
        <v>26637768</v>
      </c>
      <c r="AO35" s="37"/>
      <c r="AP35" s="38">
        <v>53.100999999999999</v>
      </c>
      <c r="AQ35" s="38">
        <v>55.982300000000002</v>
      </c>
      <c r="AR35" s="38">
        <v>55.197200000000002</v>
      </c>
      <c r="AS35" s="39"/>
      <c r="AT35" s="38">
        <v>48.130800000000001</v>
      </c>
      <c r="AU35" s="38">
        <v>48.130800000000001</v>
      </c>
      <c r="AV35" s="38">
        <v>48.130800000000001</v>
      </c>
      <c r="AW35" s="39"/>
      <c r="AX35" s="49">
        <v>4.9059999999999997</v>
      </c>
      <c r="AY35" s="49">
        <v>3.625</v>
      </c>
      <c r="BA35" s="53">
        <f t="shared" si="10"/>
        <v>-5.1073190060757501E-5</v>
      </c>
      <c r="BB35" s="53">
        <f t="array" ref="BB35">AVERAGE(AM35:AM39/AL35:AL39)-AVERAGE(Q35:Q39/P35:P39)</f>
        <v>-5.1958809426100316E-5</v>
      </c>
      <c r="BD35" s="54">
        <f>IF(OR(ISBLANK(R35:R39),ISBLANK(AN35:AN39),ISBLANK(T35:T39),ISBLANK(AP35:AP39)),"·",bdRateExtend(R35:R39,T35:T39,AN35:AN39,AP35:AP39))</f>
        <v>4.686903535509046E-4</v>
      </c>
      <c r="BE35" s="54">
        <f>IF(OR(ISBLANK(R35:R39),ISBLANK(AN35:AN39),ISBLANK(U35:U39),ISBLANK(AQ35:AQ39)),"·",bdRateExtend(R35:R39,U35:U39,AN35:AN39,AQ35:AQ39))</f>
        <v>3.9394648013613143E-4</v>
      </c>
      <c r="BF35" s="54">
        <f>IF(OR(ISBLANK(R35:R39),ISBLANK(AN35:AN39),ISBLANK(V35:V39),ISBLANK(AR35:AR39)),"·",bdRateExtend(R35:R39,V35:V39,AN35:AN39,AR35:AR39))</f>
        <v>-5.1963810355848405E-4</v>
      </c>
      <c r="BG35" s="61"/>
      <c r="BI35" s="54">
        <f>IF(OR(ISBLANK(R35:R39),ISBLANK(AN35:AN39),ISBLANK(X35:X39),ISBLANK(AT35:AT39)),"·",bdRateExtend(R35:R39,X35:X39,AN35:AN39,AT35:AT39))</f>
        <v>6.5295633884865367E-4</v>
      </c>
      <c r="BJ35" s="54">
        <f>IF(OR(ISBLANK(R35:R39),ISBLANK(AN35:AN39),ISBLANK(Y35:Y39),ISBLANK(AU35:AU39)),"·",bdRateExtend(R35:R39,Y35:Y39,AN35:AN39,AU35:AU39))</f>
        <v>6.5295633884865367E-4</v>
      </c>
      <c r="BK35" s="54">
        <f>IF(OR(ISBLANK(R35:R39),ISBLANK(AN35:AN39),ISBLANK(Z35:Z39),ISBLANK(AV35:AV39)),"·",bdRateExtend(R35:R39,Z35:Z39,AN35:AN39,AV35:AV39))</f>
        <v>6.5295633884865367E-4</v>
      </c>
      <c r="BL35" s="61"/>
      <c r="BN35" s="54">
        <f>IF(OR(ISBLANK(P35:P39),ISBLANK(AL35:AL39),ISBLANK(T35:T39),ISBLANK(AP35:AP39)),"·",bdRateExtend(P35:P39,T35:T39,AL35:AL39,AP35:AP39))</f>
        <v>2.8096929971654916E-4</v>
      </c>
      <c r="BO35" s="54">
        <f>IF(OR(ISBLANK(P35:P39),ISBLANK(AL35:AL39),ISBLANK(U35:U39),ISBLANK(AQ35:AQ39)),"·",bdRateExtend(P35:P39,U35:U39,AL35:AL39,AQ35:AQ39))</f>
        <v>2.5786352506740329E-4</v>
      </c>
      <c r="BP35" s="54">
        <f>IF(OR(ISBLANK(P35:P39),ISBLANK(AL35:AL39),ISBLANK(V35:V39),ISBLANK(AR35:AR39)),"·",bdRateExtend(P35:P39,V35:V39,AL35:AL39,AR35:AR39))</f>
        <v>8.5594816829970277E-4</v>
      </c>
      <c r="BQ35" s="61"/>
      <c r="BS35" s="54">
        <f>IF(OR(ISBLANK(P35:P39),ISBLANK(AL35:AL39),ISBLANK(X35:X39),ISBLANK(AT35:AT39)),"·",bdRateExtend(P35:P39,X35:X39,AL35:AL39,AT35:AT39))</f>
        <v>5.4679756447861827E-4</v>
      </c>
      <c r="BT35" s="54">
        <f>IF(OR(ISBLANK(P35:P39),ISBLANK(AL35:AL39),ISBLANK(Y35:Y39),ISBLANK(AU35:AU39)),"·",bdRateExtend(P35:P39,Y35:Y39,AL35:AL39,AU35:AU39))</f>
        <v>5.4679756447861827E-4</v>
      </c>
      <c r="BU35" s="54">
        <f>IF(OR(ISBLANK(P35:P39),ISBLANK(AL35:AL39),ISBLANK(Z35:Z39),ISBLANK(AV35:AV39)),"·",bdRateExtend(P35:P39,Z35:Z39,AL35:AL39,AV35:AV39))</f>
        <v>5.4679756447861827E-4</v>
      </c>
      <c r="BV35" s="61"/>
      <c r="BX35">
        <f t="shared" si="12"/>
        <v>0</v>
      </c>
      <c r="BY35">
        <f t="shared" si="13"/>
        <v>10384</v>
      </c>
      <c r="BZ35">
        <f t="shared" si="14"/>
        <v>0</v>
      </c>
      <c r="CA35">
        <f t="shared" si="15"/>
        <v>10384</v>
      </c>
      <c r="CB35">
        <f t="shared" si="16"/>
        <v>0</v>
      </c>
      <c r="CC35">
        <f t="shared" si="17"/>
        <v>1.1999999999972033E-3</v>
      </c>
      <c r="CD35">
        <f t="shared" si="18"/>
        <v>-1.5000000000000568E-3</v>
      </c>
      <c r="CE35">
        <f t="shared" si="19"/>
        <v>-6.9999999999481588E-4</v>
      </c>
      <c r="CF35">
        <f t="shared" si="20"/>
        <v>0</v>
      </c>
      <c r="CG35">
        <f t="shared" si="21"/>
        <v>0</v>
      </c>
      <c r="CH35">
        <f t="shared" si="22"/>
        <v>0</v>
      </c>
      <c r="CI35">
        <f t="shared" si="23"/>
        <v>0</v>
      </c>
      <c r="CJ35">
        <f t="shared" si="24"/>
        <v>0</v>
      </c>
    </row>
    <row r="36" spans="1:88" outlineLevel="1" x14ac:dyDescent="0.15">
      <c r="A36" s="8"/>
      <c r="B36" s="8" t="s">
        <v>79</v>
      </c>
      <c r="C36" s="9" t="s">
        <v>255</v>
      </c>
      <c r="D36" s="8">
        <v>4061755</v>
      </c>
      <c r="E36" s="10">
        <v>11</v>
      </c>
      <c r="F36" s="9">
        <v>1</v>
      </c>
      <c r="G36" s="9"/>
      <c r="I36" s="22" t="str">
        <f t="shared" si="0"/>
        <v>·</v>
      </c>
      <c r="J36" s="23">
        <f t="shared" si="1"/>
        <v>5.8140739655641465</v>
      </c>
      <c r="K36" s="23">
        <f t="shared" si="2"/>
        <v>1.2030622231030674</v>
      </c>
      <c r="L36" s="23">
        <f t="shared" si="3"/>
        <v>4.6107852393854385</v>
      </c>
      <c r="M36" s="24"/>
      <c r="N36" s="23">
        <f t="shared" si="4"/>
        <v>5.8140739655641465</v>
      </c>
      <c r="O36" s="25">
        <v>4061755</v>
      </c>
      <c r="P36" s="26">
        <v>23615344</v>
      </c>
      <c r="Q36" s="26">
        <v>4886544</v>
      </c>
      <c r="R36" s="26">
        <v>18727880</v>
      </c>
      <c r="S36" s="40"/>
      <c r="T36" s="41">
        <v>48.068899999999999</v>
      </c>
      <c r="U36" s="41">
        <v>51.109099999999998</v>
      </c>
      <c r="V36" s="41">
        <v>51.152700000000003</v>
      </c>
      <c r="W36" s="42"/>
      <c r="X36" s="41">
        <v>42.110199999999999</v>
      </c>
      <c r="Y36" s="41">
        <v>42.110199999999999</v>
      </c>
      <c r="Z36" s="41">
        <v>42.110199999999999</v>
      </c>
      <c r="AA36" s="42"/>
      <c r="AB36" s="50">
        <v>4.7649999999999997</v>
      </c>
      <c r="AC36" s="50">
        <v>3.5779999999999998</v>
      </c>
      <c r="AE36" s="22" t="str">
        <f t="shared" si="5"/>
        <v>·</v>
      </c>
      <c r="AF36" s="23">
        <f t="shared" si="6"/>
        <v>5.8184582772717706</v>
      </c>
      <c r="AG36" s="23">
        <f t="shared" si="7"/>
        <v>1.2030622231030674</v>
      </c>
      <c r="AH36" s="23">
        <f t="shared" si="8"/>
        <v>4.6151695510930617</v>
      </c>
      <c r="AI36" s="24"/>
      <c r="AJ36" s="23">
        <f t="shared" si="9"/>
        <v>5.8184582772717706</v>
      </c>
      <c r="AK36" s="25">
        <v>4061755</v>
      </c>
      <c r="AL36" s="26">
        <v>23633152</v>
      </c>
      <c r="AM36" s="26">
        <v>4886544</v>
      </c>
      <c r="AN36" s="26">
        <v>18745688</v>
      </c>
      <c r="AO36" s="40"/>
      <c r="AP36" s="41">
        <v>48.073</v>
      </c>
      <c r="AQ36" s="41">
        <v>51.109299999999998</v>
      </c>
      <c r="AR36" s="41">
        <v>51.145099999999999</v>
      </c>
      <c r="AS36" s="42"/>
      <c r="AT36" s="41">
        <v>42.110199999999999</v>
      </c>
      <c r="AU36" s="41">
        <v>42.110199999999999</v>
      </c>
      <c r="AV36" s="41">
        <v>42.110199999999999</v>
      </c>
      <c r="AW36" s="42"/>
      <c r="AX36" s="50">
        <v>4.859</v>
      </c>
      <c r="AY36" s="50">
        <v>3.5779999999999998</v>
      </c>
      <c r="BA36" s="55">
        <f t="shared" si="10"/>
        <v>-1.5591971640604996E-4</v>
      </c>
      <c r="BB36" s="55"/>
      <c r="BD36" s="56"/>
      <c r="BE36" s="56"/>
      <c r="BF36" s="56"/>
      <c r="BG36" s="62"/>
      <c r="BI36" s="56"/>
      <c r="BJ36" s="56"/>
      <c r="BK36" s="56"/>
      <c r="BL36" s="62"/>
      <c r="BN36" s="56"/>
      <c r="BO36" s="56"/>
      <c r="BP36" s="56"/>
      <c r="BQ36" s="62"/>
      <c r="BS36" s="56"/>
      <c r="BT36" s="56"/>
      <c r="BU36" s="56"/>
      <c r="BV36" s="62"/>
      <c r="BX36">
        <f t="shared" si="12"/>
        <v>0</v>
      </c>
      <c r="BY36">
        <f t="shared" si="13"/>
        <v>17808</v>
      </c>
      <c r="BZ36">
        <f t="shared" si="14"/>
        <v>0</v>
      </c>
      <c r="CA36">
        <f t="shared" si="15"/>
        <v>17808</v>
      </c>
      <c r="CB36">
        <f t="shared" si="16"/>
        <v>0</v>
      </c>
      <c r="CC36">
        <f t="shared" si="17"/>
        <v>4.1000000000011028E-3</v>
      </c>
      <c r="CD36">
        <f t="shared" si="18"/>
        <v>1.9999999999953388E-4</v>
      </c>
      <c r="CE36">
        <f t="shared" si="19"/>
        <v>-7.6000000000036039E-3</v>
      </c>
      <c r="CF36">
        <f t="shared" si="20"/>
        <v>0</v>
      </c>
      <c r="CG36">
        <f t="shared" si="21"/>
        <v>0</v>
      </c>
      <c r="CH36">
        <f t="shared" si="22"/>
        <v>0</v>
      </c>
      <c r="CI36">
        <f t="shared" si="23"/>
        <v>0</v>
      </c>
      <c r="CJ36">
        <f t="shared" si="24"/>
        <v>0</v>
      </c>
    </row>
    <row r="37" spans="1:88" outlineLevel="1" x14ac:dyDescent="0.15">
      <c r="A37" s="5"/>
      <c r="B37" s="5" t="s">
        <v>79</v>
      </c>
      <c r="C37" s="6" t="s">
        <v>256</v>
      </c>
      <c r="D37" s="5">
        <v>4061755</v>
      </c>
      <c r="E37" s="7">
        <v>11</v>
      </c>
      <c r="F37" s="6">
        <v>1</v>
      </c>
      <c r="G37" s="6"/>
      <c r="I37" s="17" t="str">
        <f t="shared" si="0"/>
        <v>·</v>
      </c>
      <c r="J37" s="18">
        <f t="shared" si="1"/>
        <v>3.692608736863745</v>
      </c>
      <c r="K37" s="18">
        <f t="shared" si="2"/>
        <v>1.2030622231030674</v>
      </c>
      <c r="L37" s="18">
        <f t="shared" si="3"/>
        <v>2.4893200106850366</v>
      </c>
      <c r="M37" s="19"/>
      <c r="N37" s="18">
        <f t="shared" si="4"/>
        <v>3.692608736863745</v>
      </c>
      <c r="O37" s="20">
        <v>4061755</v>
      </c>
      <c r="P37" s="21">
        <v>14998472</v>
      </c>
      <c r="Q37" s="21">
        <v>4886544</v>
      </c>
      <c r="R37" s="21">
        <v>10111008</v>
      </c>
      <c r="S37" s="37"/>
      <c r="T37" s="38">
        <v>40.736600000000003</v>
      </c>
      <c r="U37" s="38">
        <v>45.996299999999998</v>
      </c>
      <c r="V37" s="38">
        <v>46.670499999999997</v>
      </c>
      <c r="W37" s="39"/>
      <c r="X37" s="38">
        <v>34.151400000000002</v>
      </c>
      <c r="Y37" s="38">
        <v>34.151400000000002</v>
      </c>
      <c r="Z37" s="38">
        <v>34.151400000000002</v>
      </c>
      <c r="AA37" s="39"/>
      <c r="AB37" s="49">
        <v>4.6399999999999997</v>
      </c>
      <c r="AC37" s="49">
        <v>3.4529999999999998</v>
      </c>
      <c r="AE37" s="17" t="str">
        <f t="shared" si="5"/>
        <v>·</v>
      </c>
      <c r="AF37" s="18">
        <f t="shared" si="6"/>
        <v>3.6961303672919712</v>
      </c>
      <c r="AG37" s="18">
        <f t="shared" si="7"/>
        <v>1.2030622231030674</v>
      </c>
      <c r="AH37" s="18">
        <f t="shared" si="8"/>
        <v>2.4928416411132628</v>
      </c>
      <c r="AI37" s="19"/>
      <c r="AJ37" s="18">
        <f t="shared" si="9"/>
        <v>3.6961303672919712</v>
      </c>
      <c r="AK37" s="20">
        <v>4061755</v>
      </c>
      <c r="AL37" s="21">
        <v>15012776</v>
      </c>
      <c r="AM37" s="21">
        <v>4886544</v>
      </c>
      <c r="AN37" s="21">
        <v>10125312</v>
      </c>
      <c r="AO37" s="37"/>
      <c r="AP37" s="38">
        <v>40.743299999999998</v>
      </c>
      <c r="AQ37" s="38">
        <v>45.994999999999997</v>
      </c>
      <c r="AR37" s="38">
        <v>46.664999999999999</v>
      </c>
      <c r="AS37" s="39"/>
      <c r="AT37" s="38">
        <v>34.151400000000002</v>
      </c>
      <c r="AU37" s="38">
        <v>34.151400000000002</v>
      </c>
      <c r="AV37" s="38">
        <v>34.151400000000002</v>
      </c>
      <c r="AW37" s="39"/>
      <c r="AX37" s="49">
        <v>4.718</v>
      </c>
      <c r="AY37" s="49">
        <v>3.5779999999999998</v>
      </c>
      <c r="BA37" s="53">
        <f t="shared" si="10"/>
        <v>-3.1042114302531898E-4</v>
      </c>
      <c r="BB37" s="53"/>
      <c r="BD37" s="54"/>
      <c r="BE37" s="54"/>
      <c r="BF37" s="54"/>
      <c r="BG37" s="61"/>
      <c r="BI37" s="54"/>
      <c r="BJ37" s="54"/>
      <c r="BK37" s="54"/>
      <c r="BL37" s="61"/>
      <c r="BN37" s="54"/>
      <c r="BO37" s="54"/>
      <c r="BP37" s="54"/>
      <c r="BQ37" s="61"/>
      <c r="BS37" s="54"/>
      <c r="BT37" s="54"/>
      <c r="BU37" s="54"/>
      <c r="BV37" s="61"/>
      <c r="BX37">
        <f t="shared" si="12"/>
        <v>0</v>
      </c>
      <c r="BY37">
        <f t="shared" si="13"/>
        <v>14304</v>
      </c>
      <c r="BZ37">
        <f t="shared" si="14"/>
        <v>0</v>
      </c>
      <c r="CA37">
        <f t="shared" si="15"/>
        <v>14304</v>
      </c>
      <c r="CB37">
        <f t="shared" si="16"/>
        <v>0</v>
      </c>
      <c r="CC37">
        <f t="shared" si="17"/>
        <v>6.6999999999950433E-3</v>
      </c>
      <c r="CD37">
        <f t="shared" si="18"/>
        <v>-1.300000000000523E-3</v>
      </c>
      <c r="CE37">
        <f t="shared" si="19"/>
        <v>-5.49999999999784E-3</v>
      </c>
      <c r="CF37">
        <f t="shared" si="20"/>
        <v>0</v>
      </c>
      <c r="CG37">
        <f t="shared" si="21"/>
        <v>0</v>
      </c>
      <c r="CH37">
        <f t="shared" si="22"/>
        <v>0</v>
      </c>
      <c r="CI37">
        <f t="shared" si="23"/>
        <v>0</v>
      </c>
      <c r="CJ37">
        <f t="shared" si="24"/>
        <v>0</v>
      </c>
    </row>
    <row r="38" spans="1:88" outlineLevel="1" x14ac:dyDescent="0.15">
      <c r="A38" s="8"/>
      <c r="B38" s="8" t="s">
        <v>79</v>
      </c>
      <c r="C38" s="9" t="s">
        <v>257</v>
      </c>
      <c r="D38" s="8">
        <v>4061755</v>
      </c>
      <c r="E38" s="10">
        <v>11</v>
      </c>
      <c r="F38" s="9">
        <v>1</v>
      </c>
      <c r="G38" s="9"/>
      <c r="I38" s="22" t="str">
        <f t="shared" si="0"/>
        <v>·</v>
      </c>
      <c r="J38" s="23">
        <f t="shared" si="1"/>
        <v>2.4278766198355144</v>
      </c>
      <c r="K38" s="23">
        <f t="shared" si="2"/>
        <v>1.2030622231030674</v>
      </c>
      <c r="L38" s="23">
        <f t="shared" si="3"/>
        <v>1.224587893656806</v>
      </c>
      <c r="M38" s="24"/>
      <c r="N38" s="23">
        <f t="shared" si="4"/>
        <v>2.4278766198355144</v>
      </c>
      <c r="O38" s="25">
        <v>4061755</v>
      </c>
      <c r="P38" s="26">
        <v>9861440</v>
      </c>
      <c r="Q38" s="26">
        <v>4886544</v>
      </c>
      <c r="R38" s="26">
        <v>4973976</v>
      </c>
      <c r="S38" s="40"/>
      <c r="T38" s="41">
        <v>35.331099999999999</v>
      </c>
      <c r="U38" s="41">
        <v>41.818600000000004</v>
      </c>
      <c r="V38" s="41">
        <v>42.919499999999999</v>
      </c>
      <c r="W38" s="42"/>
      <c r="X38" s="41">
        <v>28.130800000000001</v>
      </c>
      <c r="Y38" s="41">
        <v>28.130800000000001</v>
      </c>
      <c r="Z38" s="41">
        <v>28.130800000000001</v>
      </c>
      <c r="AA38" s="42"/>
      <c r="AB38" s="50">
        <v>4.7030000000000003</v>
      </c>
      <c r="AC38" s="50">
        <v>3.5310000000000001</v>
      </c>
      <c r="AE38" s="22" t="str">
        <f t="shared" si="5"/>
        <v>·</v>
      </c>
      <c r="AF38" s="23">
        <f t="shared" si="6"/>
        <v>2.4288121760175096</v>
      </c>
      <c r="AG38" s="23">
        <f t="shared" si="7"/>
        <v>1.2030622231030674</v>
      </c>
      <c r="AH38" s="23">
        <f t="shared" si="8"/>
        <v>1.2255234498388012</v>
      </c>
      <c r="AI38" s="24"/>
      <c r="AJ38" s="23">
        <f t="shared" si="9"/>
        <v>2.4288121760175096</v>
      </c>
      <c r="AK38" s="25">
        <v>4061755</v>
      </c>
      <c r="AL38" s="26">
        <v>9865240</v>
      </c>
      <c r="AM38" s="26">
        <v>4886544</v>
      </c>
      <c r="AN38" s="26">
        <v>4977776</v>
      </c>
      <c r="AO38" s="40"/>
      <c r="AP38" s="41">
        <v>35.344099999999997</v>
      </c>
      <c r="AQ38" s="41">
        <v>41.843200000000003</v>
      </c>
      <c r="AR38" s="41">
        <v>42.879399999999997</v>
      </c>
      <c r="AS38" s="42"/>
      <c r="AT38" s="41">
        <v>28.130800000000001</v>
      </c>
      <c r="AU38" s="41">
        <v>28.130800000000001</v>
      </c>
      <c r="AV38" s="41">
        <v>28.130800000000001</v>
      </c>
      <c r="AW38" s="42"/>
      <c r="AX38" s="50">
        <v>4.625</v>
      </c>
      <c r="AY38" s="50">
        <v>3.4529999999999998</v>
      </c>
      <c r="BA38" s="55">
        <f t="shared" si="10"/>
        <v>-1.9086988789068782E-4</v>
      </c>
      <c r="BB38" s="55"/>
      <c r="BD38" s="56"/>
      <c r="BE38" s="56"/>
      <c r="BF38" s="56"/>
      <c r="BG38" s="62"/>
      <c r="BI38" s="56"/>
      <c r="BJ38" s="56"/>
      <c r="BK38" s="56"/>
      <c r="BL38" s="62"/>
      <c r="BN38" s="56"/>
      <c r="BO38" s="56"/>
      <c r="BP38" s="56"/>
      <c r="BQ38" s="62"/>
      <c r="BS38" s="56"/>
      <c r="BT38" s="56"/>
      <c r="BU38" s="56"/>
      <c r="BV38" s="62"/>
      <c r="BX38">
        <f t="shared" si="12"/>
        <v>0</v>
      </c>
      <c r="BY38">
        <f t="shared" si="13"/>
        <v>3800</v>
      </c>
      <c r="BZ38">
        <f t="shared" si="14"/>
        <v>0</v>
      </c>
      <c r="CA38">
        <f t="shared" si="15"/>
        <v>3800</v>
      </c>
      <c r="CB38">
        <f t="shared" si="16"/>
        <v>0</v>
      </c>
      <c r="CC38">
        <f t="shared" si="17"/>
        <v>1.2999999999998124E-2</v>
      </c>
      <c r="CD38">
        <f t="shared" si="18"/>
        <v>2.4599999999999511E-2</v>
      </c>
      <c r="CE38">
        <f t="shared" si="19"/>
        <v>-4.0100000000002467E-2</v>
      </c>
      <c r="CF38">
        <f t="shared" si="20"/>
        <v>0</v>
      </c>
      <c r="CG38">
        <f t="shared" si="21"/>
        <v>0</v>
      </c>
      <c r="CH38">
        <f t="shared" si="22"/>
        <v>0</v>
      </c>
      <c r="CI38">
        <f t="shared" si="23"/>
        <v>0</v>
      </c>
      <c r="CJ38">
        <f t="shared" si="24"/>
        <v>0</v>
      </c>
    </row>
    <row r="39" spans="1:88" outlineLevel="1" x14ac:dyDescent="0.15">
      <c r="A39" s="5"/>
      <c r="B39" s="11" t="s">
        <v>79</v>
      </c>
      <c r="C39" s="12" t="s">
        <v>258</v>
      </c>
      <c r="D39" s="11">
        <v>4061755</v>
      </c>
      <c r="E39" s="13">
        <v>11</v>
      </c>
      <c r="F39" s="12">
        <v>1</v>
      </c>
      <c r="G39" s="12"/>
      <c r="I39" s="27" t="str">
        <f t="shared" si="0"/>
        <v>·</v>
      </c>
      <c r="J39" s="28">
        <f t="shared" si="1"/>
        <v>1.5712360789855617</v>
      </c>
      <c r="K39" s="28">
        <f t="shared" si="2"/>
        <v>1.2030622231030674</v>
      </c>
      <c r="L39" s="28">
        <f t="shared" si="3"/>
        <v>0.3679473528068532</v>
      </c>
      <c r="M39" s="29"/>
      <c r="N39" s="28">
        <f t="shared" si="4"/>
        <v>1.5712360789855617</v>
      </c>
      <c r="O39" s="30">
        <v>4061755</v>
      </c>
      <c r="P39" s="31">
        <v>6381976</v>
      </c>
      <c r="Q39" s="31">
        <v>4886544</v>
      </c>
      <c r="R39" s="31">
        <v>1494512</v>
      </c>
      <c r="S39" s="43"/>
      <c r="T39" s="44">
        <v>29.859200000000001</v>
      </c>
      <c r="U39" s="44">
        <v>37.907299999999999</v>
      </c>
      <c r="V39" s="44">
        <v>38.485199999999999</v>
      </c>
      <c r="W39" s="45"/>
      <c r="X39" s="44">
        <v>21.686399999999999</v>
      </c>
      <c r="Y39" s="44">
        <v>21.686399999999999</v>
      </c>
      <c r="Z39" s="44">
        <v>21.686399999999999</v>
      </c>
      <c r="AA39" s="45"/>
      <c r="AB39" s="51">
        <v>4.593</v>
      </c>
      <c r="AC39" s="51">
        <v>3.4369999999999998</v>
      </c>
      <c r="AE39" s="27" t="str">
        <f t="shared" si="5"/>
        <v>·</v>
      </c>
      <c r="AF39" s="28">
        <f t="shared" si="6"/>
        <v>1.5703162795392631</v>
      </c>
      <c r="AG39" s="28">
        <f t="shared" si="7"/>
        <v>1.2030622231030674</v>
      </c>
      <c r="AH39" s="28">
        <f t="shared" si="8"/>
        <v>0.36702755336055476</v>
      </c>
      <c r="AI39" s="29"/>
      <c r="AJ39" s="28">
        <f t="shared" si="9"/>
        <v>1.5703162795392631</v>
      </c>
      <c r="AK39" s="30">
        <v>4061755</v>
      </c>
      <c r="AL39" s="31">
        <v>6378240</v>
      </c>
      <c r="AM39" s="31">
        <v>4886544</v>
      </c>
      <c r="AN39" s="31">
        <v>1490776</v>
      </c>
      <c r="AO39" s="43"/>
      <c r="AP39" s="44">
        <v>29.831</v>
      </c>
      <c r="AQ39" s="44">
        <v>37.871400000000001</v>
      </c>
      <c r="AR39" s="44">
        <v>38.621699999999997</v>
      </c>
      <c r="AS39" s="45"/>
      <c r="AT39" s="44">
        <v>21.686399999999999</v>
      </c>
      <c r="AU39" s="44">
        <v>21.686399999999999</v>
      </c>
      <c r="AV39" s="44">
        <v>21.686399999999999</v>
      </c>
      <c r="AW39" s="45"/>
      <c r="AX39" s="51">
        <v>4.5620000000000003</v>
      </c>
      <c r="AY39" s="51">
        <v>3.4529999999999998</v>
      </c>
      <c r="BA39" s="57">
        <f t="shared" si="10"/>
        <v>4.4848989025247921E-4</v>
      </c>
      <c r="BB39" s="57"/>
      <c r="BD39" s="58"/>
      <c r="BE39" s="58"/>
      <c r="BF39" s="58"/>
      <c r="BG39" s="63"/>
      <c r="BI39" s="58"/>
      <c r="BJ39" s="58"/>
      <c r="BK39" s="58"/>
      <c r="BL39" s="63"/>
      <c r="BN39" s="58"/>
      <c r="BO39" s="58"/>
      <c r="BP39" s="58"/>
      <c r="BQ39" s="63"/>
      <c r="BS39" s="58"/>
      <c r="BT39" s="58"/>
      <c r="BU39" s="58"/>
      <c r="BV39" s="63"/>
      <c r="BX39">
        <f t="shared" si="12"/>
        <v>0</v>
      </c>
      <c r="BY39">
        <f t="shared" si="13"/>
        <v>-3736</v>
      </c>
      <c r="BZ39">
        <f t="shared" si="14"/>
        <v>0</v>
      </c>
      <c r="CA39">
        <f t="shared" si="15"/>
        <v>-3736</v>
      </c>
      <c r="CB39">
        <f t="shared" si="16"/>
        <v>0</v>
      </c>
      <c r="CC39">
        <f t="shared" si="17"/>
        <v>-2.8200000000001779E-2</v>
      </c>
      <c r="CD39">
        <f t="shared" si="18"/>
        <v>-3.5899999999998045E-2</v>
      </c>
      <c r="CE39">
        <f t="shared" si="19"/>
        <v>0.13649999999999807</v>
      </c>
      <c r="CF39">
        <f t="shared" si="20"/>
        <v>0</v>
      </c>
      <c r="CG39">
        <f t="shared" si="21"/>
        <v>0</v>
      </c>
      <c r="CH39">
        <f t="shared" si="22"/>
        <v>0</v>
      </c>
      <c r="CI39">
        <f t="shared" si="23"/>
        <v>0</v>
      </c>
      <c r="CJ39">
        <f t="shared" si="24"/>
        <v>0</v>
      </c>
    </row>
    <row r="40" spans="1:88" x14ac:dyDescent="0.15">
      <c r="A40" s="8"/>
      <c r="B40" s="8" t="s">
        <v>82</v>
      </c>
      <c r="C40" s="9" t="s">
        <v>254</v>
      </c>
      <c r="D40" s="8">
        <v>3614251</v>
      </c>
      <c r="E40" s="10">
        <v>12</v>
      </c>
      <c r="F40" s="9">
        <v>1</v>
      </c>
      <c r="G40" s="9"/>
      <c r="I40" s="22" t="str">
        <f t="shared" si="0"/>
        <v>·</v>
      </c>
      <c r="J40" s="23">
        <f t="shared" si="1"/>
        <v>12.636322159141686</v>
      </c>
      <c r="K40" s="23">
        <f t="shared" si="2"/>
        <v>6.4338221114139555</v>
      </c>
      <c r="L40" s="23">
        <f t="shared" si="3"/>
        <v>6.2022676344282672</v>
      </c>
      <c r="M40" s="24"/>
      <c r="N40" s="23">
        <f t="shared" si="4"/>
        <v>12.636322159141686</v>
      </c>
      <c r="O40" s="25">
        <v>3614251</v>
      </c>
      <c r="P40" s="26">
        <v>45670840</v>
      </c>
      <c r="Q40" s="26">
        <v>23253448</v>
      </c>
      <c r="R40" s="26">
        <v>22416552</v>
      </c>
      <c r="S40" s="40"/>
      <c r="T40" s="41">
        <v>52.923200000000001</v>
      </c>
      <c r="U40" s="41">
        <v>55.717100000000002</v>
      </c>
      <c r="V40" s="41">
        <v>55.838500000000003</v>
      </c>
      <c r="W40" s="42"/>
      <c r="X40" s="41">
        <v>48.130800000000001</v>
      </c>
      <c r="Y40" s="41">
        <v>48.130800000000001</v>
      </c>
      <c r="Z40" s="41">
        <v>48.130800000000001</v>
      </c>
      <c r="AA40" s="42"/>
      <c r="AB40" s="50">
        <v>7.609</v>
      </c>
      <c r="AC40" s="50">
        <v>6.359</v>
      </c>
      <c r="AE40" s="22" t="str">
        <f t="shared" si="5"/>
        <v>·</v>
      </c>
      <c r="AF40" s="23">
        <f t="shared" si="6"/>
        <v>12.647920689514923</v>
      </c>
      <c r="AG40" s="23">
        <f t="shared" si="7"/>
        <v>6.4338221114139555</v>
      </c>
      <c r="AH40" s="23">
        <f t="shared" si="8"/>
        <v>6.2138661648015034</v>
      </c>
      <c r="AI40" s="24"/>
      <c r="AJ40" s="23">
        <f t="shared" si="9"/>
        <v>12.647920689514923</v>
      </c>
      <c r="AK40" s="25">
        <v>3614251</v>
      </c>
      <c r="AL40" s="26">
        <v>45712760</v>
      </c>
      <c r="AM40" s="26">
        <v>23253448</v>
      </c>
      <c r="AN40" s="26">
        <v>22458472</v>
      </c>
      <c r="AO40" s="40"/>
      <c r="AP40" s="41">
        <v>52.923900000000003</v>
      </c>
      <c r="AQ40" s="41">
        <v>55.715699999999998</v>
      </c>
      <c r="AR40" s="41">
        <v>55.835900000000002</v>
      </c>
      <c r="AS40" s="42"/>
      <c r="AT40" s="41">
        <v>48.130800000000001</v>
      </c>
      <c r="AU40" s="41">
        <v>48.130800000000001</v>
      </c>
      <c r="AV40" s="41">
        <v>48.130800000000001</v>
      </c>
      <c r="AW40" s="42"/>
      <c r="AX40" s="50">
        <v>7.625</v>
      </c>
      <c r="AY40" s="50">
        <v>6.359</v>
      </c>
      <c r="BA40" s="55">
        <f t="shared" si="10"/>
        <v>-4.6690894033529773E-4</v>
      </c>
      <c r="BB40" s="55">
        <f t="array" ref="BB40">AVERAGE(AM40:AM44/AL40:AL44)-AVERAGE(Q40:Q44/P40:P44)</f>
        <v>-4.2732277382395711E-4</v>
      </c>
      <c r="BD40" s="56">
        <f>IF(OR(ISBLANK(R40:R44),ISBLANK(AN40:AN44),ISBLANK(T40:T44),ISBLANK(AP40:AP44)),"·",bdRateExtend(R40:R44,T40:T44,AN40:AN44,AP40:AP44))</f>
        <v>3.4335383295429622E-3</v>
      </c>
      <c r="BE40" s="56">
        <f>IF(OR(ISBLANK(R40:R44),ISBLANK(AN40:AN44),ISBLANK(U40:U44),ISBLANK(AQ40:AQ44)),"·",bdRateExtend(R40:R44,U40:U44,AN40:AN44,AQ40:AQ44))</f>
        <v>-1.8316232689045142E-3</v>
      </c>
      <c r="BF40" s="56">
        <f>IF(OR(ISBLANK(R40:R44),ISBLANK(AN40:AN44),ISBLANK(V40:V44),ISBLANK(AR40:AR44)),"·",bdRateExtend(R40:R44,V40:V44,AN40:AN44,AR40:AR44))</f>
        <v>-1.9168295994853257E-2</v>
      </c>
      <c r="BG40" s="62"/>
      <c r="BI40" s="56">
        <f>IF(OR(ISBLANK(R40:R44),ISBLANK(AN40:AN44),ISBLANK(X40:X44),ISBLANK(AT40:AT44)),"·",bdRateExtend(R40:R44,X40:X44,AN40:AN44,AT40:AT44))</f>
        <v>2.5040251666370583E-3</v>
      </c>
      <c r="BJ40" s="56">
        <f>IF(OR(ISBLANK(R40:R44),ISBLANK(AN40:AN44),ISBLANK(Y40:Y44),ISBLANK(AU40:AU44)),"·",bdRateExtend(R40:R44,Y40:Y44,AN40:AN44,AU40:AU44))</f>
        <v>2.5040251666370583E-3</v>
      </c>
      <c r="BK40" s="56">
        <f>IF(OR(ISBLANK(R40:R44),ISBLANK(AN40:AN44),ISBLANK(Z40:Z44),ISBLANK(AV40:AV44)),"·",bdRateExtend(R40:R44,Z40:Z44,AN40:AN44,AV40:AV44))</f>
        <v>2.5040251666370583E-3</v>
      </c>
      <c r="BL40" s="62"/>
      <c r="BN40" s="56">
        <f>IF(OR(ISBLANK(P40:P44),ISBLANK(AL40:AL44),ISBLANK(T40:T44),ISBLANK(AP40:AP44)),"·",bdRateExtend(P40:P44,T40:T44,AL40:AL44,AP40:AP44))</f>
        <v>8.6024204752876976E-4</v>
      </c>
      <c r="BO40" s="56">
        <f>IF(OR(ISBLANK(P40:P44),ISBLANK(AL40:AL44),ISBLANK(U40:U44),ISBLANK(AQ40:AQ44)),"·",bdRateExtend(P40:P44,U40:U44,AL40:AL44,AQ40:AQ44))</f>
        <v>3.7489154163861116E-4</v>
      </c>
      <c r="BP40" s="56">
        <f>IF(OR(ISBLANK(P40:P44),ISBLANK(AL40:AL44),ISBLANK(V40:V44),ISBLANK(AR40:AR44)),"·",bdRateExtend(P40:P44,V40:V44,AL40:AL44,AR40:AR44))</f>
        <v>-1.6771851031428531E-3</v>
      </c>
      <c r="BQ40" s="62"/>
      <c r="BS40" s="56">
        <f>IF(OR(ISBLANK(P40:P44),ISBLANK(AL40:AL44),ISBLANK(X40:X44),ISBLANK(AT40:AT44)),"·",bdRateExtend(P40:P44,X40:X44,AL40:AL44,AT40:AT44))</f>
        <v>7.3274714144111464E-4</v>
      </c>
      <c r="BT40" s="56">
        <f>IF(OR(ISBLANK(P40:P44),ISBLANK(AL40:AL44),ISBLANK(Y40:Y44),ISBLANK(AU40:AU44)),"·",bdRateExtend(P40:P44,Y40:Y44,AL40:AL44,AU40:AU44))</f>
        <v>7.3274714144111464E-4</v>
      </c>
      <c r="BU40" s="56">
        <f>IF(OR(ISBLANK(P40:P44),ISBLANK(AL40:AL44),ISBLANK(Z40:Z44),ISBLANK(AV40:AV44)),"·",bdRateExtend(P40:P44,Z40:Z44,AL40:AL44,AV40:AV44))</f>
        <v>7.3274714144111464E-4</v>
      </c>
      <c r="BV40" s="62"/>
      <c r="BX40">
        <f t="shared" si="12"/>
        <v>0</v>
      </c>
      <c r="BY40">
        <f t="shared" si="13"/>
        <v>41920</v>
      </c>
      <c r="BZ40">
        <f t="shared" si="14"/>
        <v>0</v>
      </c>
      <c r="CA40">
        <f t="shared" si="15"/>
        <v>41920</v>
      </c>
      <c r="CB40">
        <f t="shared" si="16"/>
        <v>0</v>
      </c>
      <c r="CC40">
        <f t="shared" si="17"/>
        <v>7.0000000000192131E-4</v>
      </c>
      <c r="CD40">
        <f t="shared" si="18"/>
        <v>-1.4000000000038426E-3</v>
      </c>
      <c r="CE40">
        <f t="shared" si="19"/>
        <v>-2.6000000000010459E-3</v>
      </c>
      <c r="CF40">
        <f t="shared" si="20"/>
        <v>0</v>
      </c>
      <c r="CG40">
        <f t="shared" si="21"/>
        <v>0</v>
      </c>
      <c r="CH40">
        <f t="shared" si="22"/>
        <v>0</v>
      </c>
      <c r="CI40">
        <f t="shared" si="23"/>
        <v>0</v>
      </c>
      <c r="CJ40">
        <f t="shared" si="24"/>
        <v>0</v>
      </c>
    </row>
    <row r="41" spans="1:88" outlineLevel="1" x14ac:dyDescent="0.15">
      <c r="A41" s="5"/>
      <c r="B41" s="5" t="s">
        <v>82</v>
      </c>
      <c r="C41" s="6" t="s">
        <v>255</v>
      </c>
      <c r="D41" s="5">
        <v>3614251</v>
      </c>
      <c r="E41" s="7">
        <v>12</v>
      </c>
      <c r="F41" s="6">
        <v>1</v>
      </c>
      <c r="G41" s="6"/>
      <c r="I41" s="17" t="str">
        <f t="shared" si="0"/>
        <v>·</v>
      </c>
      <c r="J41" s="18">
        <f t="shared" si="1"/>
        <v>10.728414822324183</v>
      </c>
      <c r="K41" s="18">
        <f t="shared" si="2"/>
        <v>6.4338221114139555</v>
      </c>
      <c r="L41" s="18">
        <f t="shared" si="3"/>
        <v>4.2943602976107638</v>
      </c>
      <c r="M41" s="19"/>
      <c r="N41" s="18">
        <f t="shared" si="4"/>
        <v>10.728414822324183</v>
      </c>
      <c r="O41" s="20">
        <v>3614251</v>
      </c>
      <c r="P41" s="21">
        <v>38775184</v>
      </c>
      <c r="Q41" s="21">
        <v>23253448</v>
      </c>
      <c r="R41" s="21">
        <v>15520896</v>
      </c>
      <c r="S41" s="37"/>
      <c r="T41" s="38">
        <v>48.134500000000003</v>
      </c>
      <c r="U41" s="38">
        <v>51.110300000000002</v>
      </c>
      <c r="V41" s="38">
        <v>51.2254</v>
      </c>
      <c r="W41" s="39"/>
      <c r="X41" s="38">
        <v>42.110199999999999</v>
      </c>
      <c r="Y41" s="38">
        <v>42.110199999999999</v>
      </c>
      <c r="Z41" s="38">
        <v>42.110199999999999</v>
      </c>
      <c r="AA41" s="39"/>
      <c r="AB41" s="49">
        <v>7.5149999999999997</v>
      </c>
      <c r="AC41" s="49">
        <v>6.234</v>
      </c>
      <c r="AE41" s="17" t="str">
        <f t="shared" si="5"/>
        <v>·</v>
      </c>
      <c r="AF41" s="18">
        <f t="shared" si="6"/>
        <v>10.740562290776152</v>
      </c>
      <c r="AG41" s="18">
        <f t="shared" si="7"/>
        <v>6.4338221114139555</v>
      </c>
      <c r="AH41" s="18">
        <f t="shared" si="8"/>
        <v>4.3065077660627331</v>
      </c>
      <c r="AI41" s="19"/>
      <c r="AJ41" s="18">
        <f t="shared" si="9"/>
        <v>10.740562290776152</v>
      </c>
      <c r="AK41" s="20">
        <v>3614251</v>
      </c>
      <c r="AL41" s="21">
        <v>38819088</v>
      </c>
      <c r="AM41" s="21">
        <v>23253448</v>
      </c>
      <c r="AN41" s="21">
        <v>15564800</v>
      </c>
      <c r="AO41" s="37"/>
      <c r="AP41" s="38">
        <v>48.131999999999998</v>
      </c>
      <c r="AQ41" s="38">
        <v>51.109200000000001</v>
      </c>
      <c r="AR41" s="38">
        <v>51.230699999999999</v>
      </c>
      <c r="AS41" s="39"/>
      <c r="AT41" s="38">
        <v>42.110199999999999</v>
      </c>
      <c r="AU41" s="38">
        <v>42.110199999999999</v>
      </c>
      <c r="AV41" s="38">
        <v>42.110199999999999</v>
      </c>
      <c r="AW41" s="39"/>
      <c r="AX41" s="49">
        <v>7.6559999999999997</v>
      </c>
      <c r="AY41" s="49">
        <v>6.2649999999999997</v>
      </c>
      <c r="BA41" s="53">
        <f t="shared" si="10"/>
        <v>-6.7825382728237127E-4</v>
      </c>
      <c r="BB41" s="53"/>
      <c r="BD41" s="54"/>
      <c r="BE41" s="54"/>
      <c r="BF41" s="54"/>
      <c r="BG41" s="61"/>
      <c r="BI41" s="54"/>
      <c r="BJ41" s="54"/>
      <c r="BK41" s="54"/>
      <c r="BL41" s="61"/>
      <c r="BN41" s="54"/>
      <c r="BO41" s="54"/>
      <c r="BP41" s="54"/>
      <c r="BQ41" s="61"/>
      <c r="BS41" s="54"/>
      <c r="BT41" s="54"/>
      <c r="BU41" s="54"/>
      <c r="BV41" s="61"/>
      <c r="BX41">
        <f t="shared" si="12"/>
        <v>0</v>
      </c>
      <c r="BY41">
        <f t="shared" si="13"/>
        <v>43904</v>
      </c>
      <c r="BZ41">
        <f t="shared" si="14"/>
        <v>0</v>
      </c>
      <c r="CA41">
        <f t="shared" si="15"/>
        <v>43904</v>
      </c>
      <c r="CB41">
        <f t="shared" si="16"/>
        <v>0</v>
      </c>
      <c r="CC41">
        <f t="shared" si="17"/>
        <v>-2.5000000000048317E-3</v>
      </c>
      <c r="CD41">
        <f t="shared" si="18"/>
        <v>-1.1000000000009891E-3</v>
      </c>
      <c r="CE41">
        <f t="shared" si="19"/>
        <v>5.2999999999983061E-3</v>
      </c>
      <c r="CF41">
        <f t="shared" si="20"/>
        <v>0</v>
      </c>
      <c r="CG41">
        <f t="shared" si="21"/>
        <v>0</v>
      </c>
      <c r="CH41">
        <f t="shared" si="22"/>
        <v>0</v>
      </c>
      <c r="CI41">
        <f t="shared" si="23"/>
        <v>0</v>
      </c>
      <c r="CJ41">
        <f t="shared" si="24"/>
        <v>0</v>
      </c>
    </row>
    <row r="42" spans="1:88" outlineLevel="1" x14ac:dyDescent="0.15">
      <c r="A42" s="8"/>
      <c r="B42" s="8" t="s">
        <v>82</v>
      </c>
      <c r="C42" s="9" t="s">
        <v>256</v>
      </c>
      <c r="D42" s="8">
        <v>3614251</v>
      </c>
      <c r="E42" s="10">
        <v>12</v>
      </c>
      <c r="F42" s="9">
        <v>1</v>
      </c>
      <c r="G42" s="9"/>
      <c r="I42" s="22" t="str">
        <f t="shared" si="0"/>
        <v>·</v>
      </c>
      <c r="J42" s="23">
        <f t="shared" si="1"/>
        <v>8.658816446339781</v>
      </c>
      <c r="K42" s="23">
        <f t="shared" si="2"/>
        <v>6.4338221114139555</v>
      </c>
      <c r="L42" s="23">
        <f t="shared" si="3"/>
        <v>2.2247619216263619</v>
      </c>
      <c r="M42" s="24"/>
      <c r="N42" s="23">
        <f t="shared" si="4"/>
        <v>8.658816446339781</v>
      </c>
      <c r="O42" s="25">
        <v>3614251</v>
      </c>
      <c r="P42" s="26">
        <v>31295136</v>
      </c>
      <c r="Q42" s="26">
        <v>23253448</v>
      </c>
      <c r="R42" s="26">
        <v>8040848</v>
      </c>
      <c r="S42" s="40"/>
      <c r="T42" s="41">
        <v>41.022300000000001</v>
      </c>
      <c r="U42" s="41">
        <v>46.095599999999997</v>
      </c>
      <c r="V42" s="41">
        <v>46.633200000000002</v>
      </c>
      <c r="W42" s="42"/>
      <c r="X42" s="41">
        <v>34.151400000000002</v>
      </c>
      <c r="Y42" s="41">
        <v>34.151400000000002</v>
      </c>
      <c r="Z42" s="41">
        <v>34.151400000000002</v>
      </c>
      <c r="AA42" s="42"/>
      <c r="AB42" s="50">
        <v>7.4370000000000003</v>
      </c>
      <c r="AC42" s="50">
        <v>6.125</v>
      </c>
      <c r="AE42" s="22" t="str">
        <f t="shared" si="5"/>
        <v>·</v>
      </c>
      <c r="AF42" s="23">
        <f t="shared" si="6"/>
        <v>8.667340480780112</v>
      </c>
      <c r="AG42" s="23">
        <f t="shared" si="7"/>
        <v>6.4338221114139555</v>
      </c>
      <c r="AH42" s="23">
        <f t="shared" si="8"/>
        <v>2.2332859560666924</v>
      </c>
      <c r="AI42" s="24"/>
      <c r="AJ42" s="23">
        <f t="shared" si="9"/>
        <v>8.667340480780112</v>
      </c>
      <c r="AK42" s="25">
        <v>3614251</v>
      </c>
      <c r="AL42" s="26">
        <v>31325944</v>
      </c>
      <c r="AM42" s="26">
        <v>23253448</v>
      </c>
      <c r="AN42" s="26">
        <v>8071656</v>
      </c>
      <c r="AO42" s="40"/>
      <c r="AP42" s="41">
        <v>41.020400000000002</v>
      </c>
      <c r="AQ42" s="41">
        <v>46.084499999999998</v>
      </c>
      <c r="AR42" s="41">
        <v>46.666499999999999</v>
      </c>
      <c r="AS42" s="42"/>
      <c r="AT42" s="41">
        <v>34.151400000000002</v>
      </c>
      <c r="AU42" s="41">
        <v>34.151400000000002</v>
      </c>
      <c r="AV42" s="41">
        <v>34.151400000000002</v>
      </c>
      <c r="AW42" s="42"/>
      <c r="AX42" s="50">
        <v>7.5309999999999997</v>
      </c>
      <c r="AY42" s="50">
        <v>6.1710000000000003</v>
      </c>
      <c r="BA42" s="55">
        <f t="shared" si="10"/>
        <v>-7.3075173297920681E-4</v>
      </c>
      <c r="BB42" s="55"/>
      <c r="BD42" s="56"/>
      <c r="BE42" s="56"/>
      <c r="BF42" s="56"/>
      <c r="BG42" s="62"/>
      <c r="BI42" s="56"/>
      <c r="BJ42" s="56"/>
      <c r="BK42" s="56"/>
      <c r="BL42" s="62"/>
      <c r="BN42" s="56"/>
      <c r="BO42" s="56"/>
      <c r="BP42" s="56"/>
      <c r="BQ42" s="62"/>
      <c r="BS42" s="56"/>
      <c r="BT42" s="56"/>
      <c r="BU42" s="56"/>
      <c r="BV42" s="62"/>
      <c r="BX42">
        <f t="shared" si="12"/>
        <v>0</v>
      </c>
      <c r="BY42">
        <f t="shared" si="13"/>
        <v>30808</v>
      </c>
      <c r="BZ42">
        <f t="shared" si="14"/>
        <v>0</v>
      </c>
      <c r="CA42">
        <f t="shared" si="15"/>
        <v>30808</v>
      </c>
      <c r="CB42">
        <f t="shared" si="16"/>
        <v>0</v>
      </c>
      <c r="CC42">
        <f t="shared" si="17"/>
        <v>-1.8999999999991246E-3</v>
      </c>
      <c r="CD42">
        <f t="shared" si="18"/>
        <v>-1.1099999999999E-2</v>
      </c>
      <c r="CE42">
        <f t="shared" si="19"/>
        <v>3.3299999999996999E-2</v>
      </c>
      <c r="CF42">
        <f t="shared" si="20"/>
        <v>0</v>
      </c>
      <c r="CG42">
        <f t="shared" si="21"/>
        <v>0</v>
      </c>
      <c r="CH42">
        <f t="shared" si="22"/>
        <v>0</v>
      </c>
      <c r="CI42">
        <f t="shared" si="23"/>
        <v>0</v>
      </c>
      <c r="CJ42">
        <f t="shared" si="24"/>
        <v>0</v>
      </c>
    </row>
    <row r="43" spans="1:88" outlineLevel="1" x14ac:dyDescent="0.15">
      <c r="A43" s="5"/>
      <c r="B43" s="5" t="s">
        <v>82</v>
      </c>
      <c r="C43" s="6" t="s">
        <v>257</v>
      </c>
      <c r="D43" s="5">
        <v>3614251</v>
      </c>
      <c r="E43" s="7">
        <v>12</v>
      </c>
      <c r="F43" s="6">
        <v>1</v>
      </c>
      <c r="G43" s="6"/>
      <c r="I43" s="17" t="str">
        <f t="shared" si="0"/>
        <v>·</v>
      </c>
      <c r="J43" s="18">
        <f t="shared" si="1"/>
        <v>7.526436874472747</v>
      </c>
      <c r="K43" s="18">
        <f t="shared" si="2"/>
        <v>6.4338221114139555</v>
      </c>
      <c r="L43" s="18">
        <f t="shared" si="3"/>
        <v>1.0923823497593277</v>
      </c>
      <c r="M43" s="19"/>
      <c r="N43" s="18">
        <f t="shared" si="4"/>
        <v>7.526436874472747</v>
      </c>
      <c r="O43" s="20">
        <v>3614251</v>
      </c>
      <c r="P43" s="21">
        <v>27202432</v>
      </c>
      <c r="Q43" s="21">
        <v>23253448</v>
      </c>
      <c r="R43" s="21">
        <v>3948144</v>
      </c>
      <c r="S43" s="37"/>
      <c r="T43" s="38">
        <v>35.545499999999997</v>
      </c>
      <c r="U43" s="38">
        <v>42.0608</v>
      </c>
      <c r="V43" s="38">
        <v>42.747100000000003</v>
      </c>
      <c r="W43" s="39"/>
      <c r="X43" s="38">
        <v>28.130800000000001</v>
      </c>
      <c r="Y43" s="38">
        <v>28.130800000000001</v>
      </c>
      <c r="Z43" s="38">
        <v>28.130800000000001</v>
      </c>
      <c r="AA43" s="39"/>
      <c r="AB43" s="49">
        <v>7.4370000000000003</v>
      </c>
      <c r="AC43" s="49">
        <v>6.14</v>
      </c>
      <c r="AE43" s="17" t="str">
        <f t="shared" si="5"/>
        <v>·</v>
      </c>
      <c r="AF43" s="18">
        <f t="shared" si="6"/>
        <v>7.5280150714491052</v>
      </c>
      <c r="AG43" s="18">
        <f t="shared" si="7"/>
        <v>6.4338221114139555</v>
      </c>
      <c r="AH43" s="18">
        <f t="shared" si="8"/>
        <v>1.0939605467356861</v>
      </c>
      <c r="AI43" s="19"/>
      <c r="AJ43" s="18">
        <f t="shared" si="9"/>
        <v>7.5280150714491052</v>
      </c>
      <c r="AK43" s="20">
        <v>3614251</v>
      </c>
      <c r="AL43" s="21">
        <v>27208136</v>
      </c>
      <c r="AM43" s="21">
        <v>23253448</v>
      </c>
      <c r="AN43" s="21">
        <v>3953848</v>
      </c>
      <c r="AO43" s="37"/>
      <c r="AP43" s="38">
        <v>35.527700000000003</v>
      </c>
      <c r="AQ43" s="38">
        <v>42.105800000000002</v>
      </c>
      <c r="AR43" s="38">
        <v>42.921300000000002</v>
      </c>
      <c r="AS43" s="39"/>
      <c r="AT43" s="38">
        <v>28.130800000000001</v>
      </c>
      <c r="AU43" s="38">
        <v>28.130800000000001</v>
      </c>
      <c r="AV43" s="38">
        <v>28.130800000000001</v>
      </c>
      <c r="AW43" s="39"/>
      <c r="AX43" s="49">
        <v>7.4530000000000003</v>
      </c>
      <c r="AY43" s="49">
        <v>6.125</v>
      </c>
      <c r="BA43" s="53">
        <f t="shared" si="10"/>
        <v>-1.7920922121950067E-4</v>
      </c>
      <c r="BB43" s="53"/>
      <c r="BD43" s="54"/>
      <c r="BE43" s="54"/>
      <c r="BF43" s="54"/>
      <c r="BG43" s="61"/>
      <c r="BI43" s="54"/>
      <c r="BJ43" s="54"/>
      <c r="BK43" s="54"/>
      <c r="BL43" s="61"/>
      <c r="BN43" s="54"/>
      <c r="BO43" s="54"/>
      <c r="BP43" s="54"/>
      <c r="BQ43" s="61"/>
      <c r="BS43" s="54"/>
      <c r="BT43" s="54"/>
      <c r="BU43" s="54"/>
      <c r="BV43" s="61"/>
      <c r="BX43">
        <f t="shared" si="12"/>
        <v>0</v>
      </c>
      <c r="BY43">
        <f t="shared" si="13"/>
        <v>5704</v>
      </c>
      <c r="BZ43">
        <f t="shared" si="14"/>
        <v>0</v>
      </c>
      <c r="CA43">
        <f t="shared" si="15"/>
        <v>5704</v>
      </c>
      <c r="CB43">
        <f t="shared" si="16"/>
        <v>0</v>
      </c>
      <c r="CC43">
        <f t="shared" si="17"/>
        <v>-1.7799999999994043E-2</v>
      </c>
      <c r="CD43">
        <f t="shared" si="18"/>
        <v>4.5000000000001705E-2</v>
      </c>
      <c r="CE43">
        <f t="shared" si="19"/>
        <v>0.17419999999999902</v>
      </c>
      <c r="CF43">
        <f t="shared" si="20"/>
        <v>0</v>
      </c>
      <c r="CG43">
        <f t="shared" si="21"/>
        <v>0</v>
      </c>
      <c r="CH43">
        <f t="shared" si="22"/>
        <v>0</v>
      </c>
      <c r="CI43">
        <f t="shared" si="23"/>
        <v>0</v>
      </c>
      <c r="CJ43">
        <f t="shared" si="24"/>
        <v>0</v>
      </c>
    </row>
    <row r="44" spans="1:88" outlineLevel="1" x14ac:dyDescent="0.15">
      <c r="A44" s="8"/>
      <c r="B44" s="14" t="s">
        <v>82</v>
      </c>
      <c r="C44" s="15" t="s">
        <v>258</v>
      </c>
      <c r="D44" s="14">
        <v>3614251</v>
      </c>
      <c r="E44" s="16">
        <v>12</v>
      </c>
      <c r="F44" s="15">
        <v>1</v>
      </c>
      <c r="G44" s="15"/>
      <c r="I44" s="32" t="str">
        <f t="shared" si="0"/>
        <v>·</v>
      </c>
      <c r="J44" s="33">
        <f t="shared" si="1"/>
        <v>6.8177312533080849</v>
      </c>
      <c r="K44" s="33">
        <f t="shared" si="2"/>
        <v>6.4338221114139555</v>
      </c>
      <c r="L44" s="33">
        <f t="shared" si="3"/>
        <v>0.38367672859466595</v>
      </c>
      <c r="M44" s="34"/>
      <c r="N44" s="33">
        <f t="shared" si="4"/>
        <v>6.8177312533080849</v>
      </c>
      <c r="O44" s="35">
        <v>3614251</v>
      </c>
      <c r="P44" s="36">
        <v>24640992</v>
      </c>
      <c r="Q44" s="36">
        <v>23253448</v>
      </c>
      <c r="R44" s="36">
        <v>1386704</v>
      </c>
      <c r="S44" s="46"/>
      <c r="T44" s="47">
        <v>29.488099999999999</v>
      </c>
      <c r="U44" s="47">
        <v>37.779899999999998</v>
      </c>
      <c r="V44" s="47">
        <v>37.151600000000002</v>
      </c>
      <c r="W44" s="48"/>
      <c r="X44" s="47">
        <v>21.686399999999999</v>
      </c>
      <c r="Y44" s="47">
        <v>21.686399999999999</v>
      </c>
      <c r="Z44" s="47">
        <v>21.686399999999999</v>
      </c>
      <c r="AA44" s="48"/>
      <c r="AB44" s="52">
        <v>7.2960000000000003</v>
      </c>
      <c r="AC44" s="52">
        <v>6.109</v>
      </c>
      <c r="AE44" s="32" t="str">
        <f t="shared" si="5"/>
        <v>·</v>
      </c>
      <c r="AF44" s="33">
        <f t="shared" si="6"/>
        <v>6.8183200336667262</v>
      </c>
      <c r="AG44" s="33">
        <f t="shared" si="7"/>
        <v>6.4338221114139555</v>
      </c>
      <c r="AH44" s="33">
        <f t="shared" si="8"/>
        <v>0.38426550895330736</v>
      </c>
      <c r="AI44" s="34"/>
      <c r="AJ44" s="33">
        <f t="shared" si="9"/>
        <v>6.8183200336667262</v>
      </c>
      <c r="AK44" s="35">
        <v>3614251</v>
      </c>
      <c r="AL44" s="36">
        <v>24643120</v>
      </c>
      <c r="AM44" s="36">
        <v>23253448</v>
      </c>
      <c r="AN44" s="36">
        <v>1388832</v>
      </c>
      <c r="AO44" s="46"/>
      <c r="AP44" s="47">
        <v>29.485099999999999</v>
      </c>
      <c r="AQ44" s="47">
        <v>37.869700000000002</v>
      </c>
      <c r="AR44" s="47">
        <v>37.648099999999999</v>
      </c>
      <c r="AS44" s="48"/>
      <c r="AT44" s="47">
        <v>21.686399999999999</v>
      </c>
      <c r="AU44" s="47">
        <v>21.686399999999999</v>
      </c>
      <c r="AV44" s="47">
        <v>21.686399999999999</v>
      </c>
      <c r="AW44" s="48"/>
      <c r="AX44" s="52">
        <v>7.375</v>
      </c>
      <c r="AY44" s="52">
        <v>6.14</v>
      </c>
      <c r="BA44" s="59">
        <f t="shared" si="10"/>
        <v>-8.1490147303298066E-5</v>
      </c>
      <c r="BB44" s="59"/>
      <c r="BD44" s="60"/>
      <c r="BE44" s="60"/>
      <c r="BF44" s="60"/>
      <c r="BG44" s="64"/>
      <c r="BI44" s="60"/>
      <c r="BJ44" s="60"/>
      <c r="BK44" s="60"/>
      <c r="BL44" s="64"/>
      <c r="BN44" s="60"/>
      <c r="BO44" s="60"/>
      <c r="BP44" s="60"/>
      <c r="BQ44" s="64"/>
      <c r="BS44" s="60"/>
      <c r="BT44" s="60"/>
      <c r="BU44" s="60"/>
      <c r="BV44" s="64"/>
      <c r="BX44">
        <f t="shared" si="12"/>
        <v>0</v>
      </c>
      <c r="BY44">
        <f t="shared" si="13"/>
        <v>2128</v>
      </c>
      <c r="BZ44">
        <f t="shared" si="14"/>
        <v>0</v>
      </c>
      <c r="CA44">
        <f t="shared" si="15"/>
        <v>2128</v>
      </c>
      <c r="CB44">
        <f t="shared" si="16"/>
        <v>0</v>
      </c>
      <c r="CC44">
        <f t="shared" si="17"/>
        <v>-3.0000000000001137E-3</v>
      </c>
      <c r="CD44">
        <f t="shared" si="18"/>
        <v>8.9800000000003877E-2</v>
      </c>
      <c r="CE44">
        <f t="shared" si="19"/>
        <v>0.4964999999999975</v>
      </c>
      <c r="CF44">
        <f t="shared" si="20"/>
        <v>0</v>
      </c>
      <c r="CG44">
        <f t="shared" si="21"/>
        <v>0</v>
      </c>
      <c r="CH44">
        <f t="shared" si="22"/>
        <v>0</v>
      </c>
      <c r="CI44">
        <f t="shared" si="23"/>
        <v>0</v>
      </c>
      <c r="CJ44">
        <f t="shared" si="24"/>
        <v>0</v>
      </c>
    </row>
    <row r="45" spans="1:88" x14ac:dyDescent="0.15">
      <c r="A45" s="5"/>
      <c r="B45" s="5" t="s">
        <v>85</v>
      </c>
      <c r="C45" s="6" t="s">
        <v>254</v>
      </c>
      <c r="D45" s="5">
        <v>13903516</v>
      </c>
      <c r="E45" s="7">
        <v>12</v>
      </c>
      <c r="F45" s="6">
        <v>1</v>
      </c>
      <c r="G45" s="6"/>
      <c r="I45" s="17" t="str">
        <f t="shared" si="0"/>
        <v>·</v>
      </c>
      <c r="J45" s="18">
        <f t="shared" si="1"/>
        <v>11.201968192793823</v>
      </c>
      <c r="K45" s="18">
        <f t="shared" si="2"/>
        <v>4.9336815234362303</v>
      </c>
      <c r="L45" s="18">
        <f t="shared" si="3"/>
        <v>6.2681687135829529</v>
      </c>
      <c r="M45" s="19"/>
      <c r="N45" s="18">
        <f t="shared" si="4"/>
        <v>11.201968192793823</v>
      </c>
      <c r="O45" s="20">
        <v>13903516</v>
      </c>
      <c r="P45" s="21">
        <v>155746744</v>
      </c>
      <c r="Q45" s="21">
        <v>68595520</v>
      </c>
      <c r="R45" s="21">
        <v>87149584</v>
      </c>
      <c r="S45" s="37"/>
      <c r="T45" s="38">
        <v>52.8048</v>
      </c>
      <c r="U45" s="38">
        <v>56.151899999999998</v>
      </c>
      <c r="V45" s="38">
        <v>55.924300000000002</v>
      </c>
      <c r="W45" s="39"/>
      <c r="X45" s="38">
        <v>48.130800000000001</v>
      </c>
      <c r="Y45" s="38">
        <v>48.130800000000001</v>
      </c>
      <c r="Z45" s="38">
        <v>48.130800000000001</v>
      </c>
      <c r="AA45" s="39"/>
      <c r="AB45" s="49">
        <v>27.937000000000001</v>
      </c>
      <c r="AC45" s="49">
        <v>21.420999999999999</v>
      </c>
      <c r="AE45" s="17" t="str">
        <f t="shared" si="5"/>
        <v>·</v>
      </c>
      <c r="AF45" s="18">
        <f t="shared" si="6"/>
        <v>11.233259845926742</v>
      </c>
      <c r="AG45" s="18">
        <f t="shared" si="7"/>
        <v>4.9336815234362303</v>
      </c>
      <c r="AH45" s="18">
        <f t="shared" si="8"/>
        <v>6.2994603667158726</v>
      </c>
      <c r="AI45" s="19"/>
      <c r="AJ45" s="18">
        <f t="shared" si="9"/>
        <v>11.233259845926742</v>
      </c>
      <c r="AK45" s="20">
        <v>13903516</v>
      </c>
      <c r="AL45" s="21">
        <v>156181808</v>
      </c>
      <c r="AM45" s="21">
        <v>68595520</v>
      </c>
      <c r="AN45" s="21">
        <v>87584648</v>
      </c>
      <c r="AO45" s="37"/>
      <c r="AP45" s="38">
        <v>52.808599999999998</v>
      </c>
      <c r="AQ45" s="38">
        <v>56.145699999999998</v>
      </c>
      <c r="AR45" s="38">
        <v>55.9129</v>
      </c>
      <c r="AS45" s="39"/>
      <c r="AT45" s="38">
        <v>48.130800000000001</v>
      </c>
      <c r="AU45" s="38">
        <v>48.130800000000001</v>
      </c>
      <c r="AV45" s="38">
        <v>48.130800000000001</v>
      </c>
      <c r="AW45" s="39"/>
      <c r="AX45" s="49">
        <v>28.187000000000001</v>
      </c>
      <c r="AY45" s="49">
        <v>21.405999999999999</v>
      </c>
      <c r="BA45" s="53">
        <f t="shared" si="10"/>
        <v>-1.2268726326560286E-3</v>
      </c>
      <c r="BB45" s="53">
        <f t="array" ref="BB45">AVERAGE(AM45:AM49/AL45:AL49)-AVERAGE(Q45:Q49/P45:P49)</f>
        <v>-1.9119443443321726E-3</v>
      </c>
      <c r="BD45" s="54">
        <f>IF(OR(ISBLANK(R45:R49),ISBLANK(AN45:AN49),ISBLANK(T45:T49),ISBLANK(AP45:AP49)),"·",bdRateExtend(R45:R49,T45:T49,AN45:AN49,AP45:AP49))</f>
        <v>9.2473237523078566E-3</v>
      </c>
      <c r="BE45" s="54">
        <f>IF(OR(ISBLANK(R45:R49),ISBLANK(AN45:AN49),ISBLANK(U45:U49),ISBLANK(AQ45:AQ49)),"·",bdRateExtend(R45:R49,U45:U49,AN45:AN49,AQ45:AQ49))</f>
        <v>6.5292571892783258E-3</v>
      </c>
      <c r="BF45" s="54">
        <f>IF(OR(ISBLANK(R45:R49),ISBLANK(AN45:AN49),ISBLANK(V45:V49),ISBLANK(AR45:AR49)),"·",bdRateExtend(R45:R49,V45:V49,AN45:AN49,AR45:AR49))</f>
        <v>5.4555290565947434E-3</v>
      </c>
      <c r="BG45" s="61"/>
      <c r="BI45" s="54">
        <f>IF(OR(ISBLANK(R45:R49),ISBLANK(AN45:AN49),ISBLANK(X45:X49),ISBLANK(AT45:AT49)),"·",bdRateExtend(R45:R49,X45:X49,AN45:AN49,AT45:AT49))</f>
        <v>1.0558265546492418E-2</v>
      </c>
      <c r="BJ45" s="54">
        <f>IF(OR(ISBLANK(R45:R49),ISBLANK(AN45:AN49),ISBLANK(Y45:Y49),ISBLANK(AU45:AU49)),"·",bdRateExtend(R45:R49,Y45:Y49,AN45:AN49,AU45:AU49))</f>
        <v>1.0558265546492418E-2</v>
      </c>
      <c r="BK45" s="54">
        <f>IF(OR(ISBLANK(R45:R49),ISBLANK(AN45:AN49),ISBLANK(Z45:Z49),ISBLANK(AV45:AV49)),"·",bdRateExtend(R45:R49,Z45:Z49,AN45:AN49,AV45:AV49))</f>
        <v>1.0558265546492418E-2</v>
      </c>
      <c r="BL45" s="61"/>
      <c r="BN45" s="54">
        <f>IF(OR(ISBLANK(P45:P49),ISBLANK(AL45:AL49),ISBLANK(T45:T49),ISBLANK(AP45:AP49)),"·",bdRateExtend(P45:P49,T45:T49,AL45:AL49,AP45:AP49))</f>
        <v>3.0779210466176377E-3</v>
      </c>
      <c r="BO45" s="54">
        <f>IF(OR(ISBLANK(P45:P49),ISBLANK(AL45:AL49),ISBLANK(U45:U49),ISBLANK(AQ45:AQ49)),"·",bdRateExtend(P45:P49,U45:U49,AL45:AL49,AQ45:AQ49))</f>
        <v>2.746547976380409E-3</v>
      </c>
      <c r="BP45" s="54">
        <f>IF(OR(ISBLANK(P45:P49),ISBLANK(AL45:AL49),ISBLANK(V45:V49),ISBLANK(AR45:AR49)),"·",bdRateExtend(P45:P49,V45:V49,AL45:AL49,AR45:AR49))</f>
        <v>2.2745699021342602E-3</v>
      </c>
      <c r="BQ45" s="61"/>
      <c r="BS45" s="54">
        <f>IF(OR(ISBLANK(P45:P49),ISBLANK(AL45:AL49),ISBLANK(X45:X49),ISBLANK(AT45:AT49)),"·",bdRateExtend(P45:P49,X45:X49,AL45:AL49,AT45:AT49))</f>
        <v>3.3483700629675095E-3</v>
      </c>
      <c r="BT45" s="54">
        <f>IF(OR(ISBLANK(P45:P49),ISBLANK(AL45:AL49),ISBLANK(Y45:Y49),ISBLANK(AU45:AU49)),"·",bdRateExtend(P45:P49,Y45:Y49,AL45:AL49,AU45:AU49))</f>
        <v>3.3483700629675095E-3</v>
      </c>
      <c r="BU45" s="54">
        <f>IF(OR(ISBLANK(P45:P49),ISBLANK(AL45:AL49),ISBLANK(Z45:Z49),ISBLANK(AV45:AV49)),"·",bdRateExtend(P45:P49,Z45:Z49,AL45:AL49,AV45:AV49))</f>
        <v>3.3483700629675095E-3</v>
      </c>
      <c r="BV45" s="61"/>
      <c r="BX45">
        <f t="shared" si="12"/>
        <v>0</v>
      </c>
      <c r="BY45">
        <f t="shared" si="13"/>
        <v>435064</v>
      </c>
      <c r="BZ45">
        <f t="shared" si="14"/>
        <v>0</v>
      </c>
      <c r="CA45">
        <f t="shared" si="15"/>
        <v>435064</v>
      </c>
      <c r="CB45">
        <f t="shared" si="16"/>
        <v>0</v>
      </c>
      <c r="CC45">
        <f t="shared" si="17"/>
        <v>3.7999999999982492E-3</v>
      </c>
      <c r="CD45">
        <f t="shared" si="18"/>
        <v>-6.1999999999997613E-3</v>
      </c>
      <c r="CE45">
        <f t="shared" si="19"/>
        <v>-1.1400000000001853E-2</v>
      </c>
      <c r="CF45">
        <f t="shared" si="20"/>
        <v>0</v>
      </c>
      <c r="CG45">
        <f t="shared" si="21"/>
        <v>0</v>
      </c>
      <c r="CH45">
        <f t="shared" si="22"/>
        <v>0</v>
      </c>
      <c r="CI45">
        <f t="shared" si="23"/>
        <v>0</v>
      </c>
      <c r="CJ45">
        <f t="shared" si="24"/>
        <v>0</v>
      </c>
    </row>
    <row r="46" spans="1:88" outlineLevel="1" x14ac:dyDescent="0.15">
      <c r="A46" s="8"/>
      <c r="B46" s="8" t="s">
        <v>85</v>
      </c>
      <c r="C46" s="9" t="s">
        <v>255</v>
      </c>
      <c r="D46" s="8">
        <v>13903516</v>
      </c>
      <c r="E46" s="10">
        <v>12</v>
      </c>
      <c r="F46" s="9">
        <v>1</v>
      </c>
      <c r="G46" s="9"/>
      <c r="I46" s="22" t="str">
        <f t="shared" si="0"/>
        <v>·</v>
      </c>
      <c r="J46" s="23">
        <f t="shared" si="1"/>
        <v>9.4431169784678932</v>
      </c>
      <c r="K46" s="23">
        <f t="shared" si="2"/>
        <v>4.9336815234362303</v>
      </c>
      <c r="L46" s="23">
        <f t="shared" si="3"/>
        <v>4.5093174992570226</v>
      </c>
      <c r="M46" s="24"/>
      <c r="N46" s="23">
        <f t="shared" si="4"/>
        <v>9.4431169784678932</v>
      </c>
      <c r="O46" s="25">
        <v>13903516</v>
      </c>
      <c r="P46" s="26">
        <v>131292528</v>
      </c>
      <c r="Q46" s="26">
        <v>68595520</v>
      </c>
      <c r="R46" s="26">
        <v>62695368</v>
      </c>
      <c r="S46" s="40"/>
      <c r="T46" s="41">
        <v>47.9788</v>
      </c>
      <c r="U46" s="41">
        <v>51.436300000000003</v>
      </c>
      <c r="V46" s="41">
        <v>51.630899999999997</v>
      </c>
      <c r="W46" s="42"/>
      <c r="X46" s="41">
        <v>42.110199999999999</v>
      </c>
      <c r="Y46" s="41">
        <v>42.110199999999999</v>
      </c>
      <c r="Z46" s="41">
        <v>42.110199999999999</v>
      </c>
      <c r="AA46" s="42"/>
      <c r="AB46" s="50">
        <v>27.64</v>
      </c>
      <c r="AC46" s="50">
        <v>21.187000000000001</v>
      </c>
      <c r="AE46" s="22" t="str">
        <f t="shared" si="5"/>
        <v>·</v>
      </c>
      <c r="AF46" s="23">
        <f t="shared" si="6"/>
        <v>9.4778627219186866</v>
      </c>
      <c r="AG46" s="23">
        <f t="shared" si="7"/>
        <v>4.9336815234362303</v>
      </c>
      <c r="AH46" s="23">
        <f t="shared" si="8"/>
        <v>4.544063242707816</v>
      </c>
      <c r="AI46" s="24"/>
      <c r="AJ46" s="23">
        <f t="shared" si="9"/>
        <v>9.4778627219186866</v>
      </c>
      <c r="AK46" s="25">
        <v>13903516</v>
      </c>
      <c r="AL46" s="26">
        <v>131775616</v>
      </c>
      <c r="AM46" s="26">
        <v>68595520</v>
      </c>
      <c r="AN46" s="26">
        <v>63178456</v>
      </c>
      <c r="AO46" s="40"/>
      <c r="AP46" s="41">
        <v>47.980699999999999</v>
      </c>
      <c r="AQ46" s="41">
        <v>51.436399999999999</v>
      </c>
      <c r="AR46" s="41">
        <v>51.631100000000004</v>
      </c>
      <c r="AS46" s="42"/>
      <c r="AT46" s="41">
        <v>42.110199999999999</v>
      </c>
      <c r="AU46" s="41">
        <v>42.110199999999999</v>
      </c>
      <c r="AV46" s="41">
        <v>42.110199999999999</v>
      </c>
      <c r="AW46" s="42"/>
      <c r="AX46" s="50">
        <v>27.905999999999999</v>
      </c>
      <c r="AY46" s="50">
        <v>21.045999999999999</v>
      </c>
      <c r="BA46" s="55">
        <f t="shared" si="10"/>
        <v>-1.9153446664939011E-3</v>
      </c>
      <c r="BB46" s="55"/>
      <c r="BD46" s="56"/>
      <c r="BE46" s="56"/>
      <c r="BF46" s="56"/>
      <c r="BG46" s="62"/>
      <c r="BI46" s="56"/>
      <c r="BJ46" s="56"/>
      <c r="BK46" s="56"/>
      <c r="BL46" s="62"/>
      <c r="BN46" s="56"/>
      <c r="BO46" s="56"/>
      <c r="BP46" s="56"/>
      <c r="BQ46" s="62"/>
      <c r="BS46" s="56"/>
      <c r="BT46" s="56"/>
      <c r="BU46" s="56"/>
      <c r="BV46" s="62"/>
      <c r="BX46">
        <f t="shared" si="12"/>
        <v>0</v>
      </c>
      <c r="BY46">
        <f t="shared" si="13"/>
        <v>483088</v>
      </c>
      <c r="BZ46">
        <f t="shared" si="14"/>
        <v>0</v>
      </c>
      <c r="CA46">
        <f t="shared" si="15"/>
        <v>483088</v>
      </c>
      <c r="CB46">
        <f t="shared" si="16"/>
        <v>0</v>
      </c>
      <c r="CC46">
        <f t="shared" si="17"/>
        <v>1.8999999999991246E-3</v>
      </c>
      <c r="CD46">
        <f t="shared" si="18"/>
        <v>9.9999999996214228E-5</v>
      </c>
      <c r="CE46">
        <f t="shared" si="19"/>
        <v>2.0000000000663931E-4</v>
      </c>
      <c r="CF46">
        <f t="shared" si="20"/>
        <v>0</v>
      </c>
      <c r="CG46">
        <f t="shared" si="21"/>
        <v>0</v>
      </c>
      <c r="CH46">
        <f t="shared" si="22"/>
        <v>0</v>
      </c>
      <c r="CI46">
        <f t="shared" si="23"/>
        <v>0</v>
      </c>
      <c r="CJ46">
        <f t="shared" si="24"/>
        <v>0</v>
      </c>
    </row>
    <row r="47" spans="1:88" outlineLevel="1" x14ac:dyDescent="0.15">
      <c r="A47" s="5"/>
      <c r="B47" s="5" t="s">
        <v>85</v>
      </c>
      <c r="C47" s="6" t="s">
        <v>256</v>
      </c>
      <c r="D47" s="5">
        <v>13903516</v>
      </c>
      <c r="E47" s="7">
        <v>12</v>
      </c>
      <c r="F47" s="6">
        <v>1</v>
      </c>
      <c r="G47" s="6"/>
      <c r="I47" s="17" t="str">
        <f t="shared" si="0"/>
        <v>·</v>
      </c>
      <c r="J47" s="18">
        <f t="shared" si="1"/>
        <v>7.5482368632509935</v>
      </c>
      <c r="K47" s="18">
        <f t="shared" si="2"/>
        <v>4.9336815234362303</v>
      </c>
      <c r="L47" s="18">
        <f t="shared" si="3"/>
        <v>2.6144373840401234</v>
      </c>
      <c r="M47" s="19"/>
      <c r="N47" s="18">
        <f t="shared" si="4"/>
        <v>7.5482368632509935</v>
      </c>
      <c r="O47" s="20">
        <v>13903516</v>
      </c>
      <c r="P47" s="21">
        <v>104947032</v>
      </c>
      <c r="Q47" s="21">
        <v>68595520</v>
      </c>
      <c r="R47" s="21">
        <v>36349872</v>
      </c>
      <c r="S47" s="37"/>
      <c r="T47" s="38">
        <v>40.956600000000002</v>
      </c>
      <c r="U47" s="38">
        <v>46.134799999999998</v>
      </c>
      <c r="V47" s="38">
        <v>46.778599999999997</v>
      </c>
      <c r="W47" s="39"/>
      <c r="X47" s="38">
        <v>34.151400000000002</v>
      </c>
      <c r="Y47" s="38">
        <v>34.151400000000002</v>
      </c>
      <c r="Z47" s="38">
        <v>34.151400000000002</v>
      </c>
      <c r="AA47" s="39"/>
      <c r="AB47" s="49">
        <v>27.280999999999999</v>
      </c>
      <c r="AC47" s="49">
        <v>20.905999999999999</v>
      </c>
      <c r="AE47" s="17" t="str">
        <f t="shared" si="5"/>
        <v>·</v>
      </c>
      <c r="AF47" s="18">
        <f t="shared" si="6"/>
        <v>7.5776084265303822</v>
      </c>
      <c r="AG47" s="18">
        <f t="shared" si="7"/>
        <v>4.9336815234362303</v>
      </c>
      <c r="AH47" s="18">
        <f t="shared" si="8"/>
        <v>2.6438089473195125</v>
      </c>
      <c r="AI47" s="19"/>
      <c r="AJ47" s="18">
        <f t="shared" si="9"/>
        <v>7.5776084265303822</v>
      </c>
      <c r="AK47" s="20">
        <v>13903516</v>
      </c>
      <c r="AL47" s="21">
        <v>105355400</v>
      </c>
      <c r="AM47" s="21">
        <v>68595520</v>
      </c>
      <c r="AN47" s="21">
        <v>36758240</v>
      </c>
      <c r="AO47" s="37"/>
      <c r="AP47" s="38">
        <v>40.959699999999998</v>
      </c>
      <c r="AQ47" s="38">
        <v>46.129199999999997</v>
      </c>
      <c r="AR47" s="38">
        <v>46.795400000000001</v>
      </c>
      <c r="AS47" s="39"/>
      <c r="AT47" s="38">
        <v>34.151400000000002</v>
      </c>
      <c r="AU47" s="38">
        <v>34.151400000000002</v>
      </c>
      <c r="AV47" s="38">
        <v>34.151400000000002</v>
      </c>
      <c r="AW47" s="39"/>
      <c r="AX47" s="49">
        <v>27.405999999999999</v>
      </c>
      <c r="AY47" s="49">
        <v>20.920999999999999</v>
      </c>
      <c r="BA47" s="53">
        <f t="shared" si="10"/>
        <v>-2.5334975851373231E-3</v>
      </c>
      <c r="BB47" s="53"/>
      <c r="BD47" s="54"/>
      <c r="BE47" s="54"/>
      <c r="BF47" s="54"/>
      <c r="BG47" s="61"/>
      <c r="BI47" s="54"/>
      <c r="BJ47" s="54"/>
      <c r="BK47" s="54"/>
      <c r="BL47" s="61"/>
      <c r="BN47" s="54"/>
      <c r="BO47" s="54"/>
      <c r="BP47" s="54"/>
      <c r="BQ47" s="61"/>
      <c r="BS47" s="54"/>
      <c r="BT47" s="54"/>
      <c r="BU47" s="54"/>
      <c r="BV47" s="61"/>
      <c r="BX47">
        <f t="shared" si="12"/>
        <v>0</v>
      </c>
      <c r="BY47">
        <f t="shared" si="13"/>
        <v>408368</v>
      </c>
      <c r="BZ47">
        <f t="shared" si="14"/>
        <v>0</v>
      </c>
      <c r="CA47">
        <f t="shared" si="15"/>
        <v>408368</v>
      </c>
      <c r="CB47">
        <f t="shared" si="16"/>
        <v>0</v>
      </c>
      <c r="CC47">
        <f t="shared" si="17"/>
        <v>3.0999999999963279E-3</v>
      </c>
      <c r="CD47">
        <f t="shared" si="18"/>
        <v>-5.6000000000011596E-3</v>
      </c>
      <c r="CE47">
        <f t="shared" si="19"/>
        <v>1.6800000000003479E-2</v>
      </c>
      <c r="CF47">
        <f t="shared" si="20"/>
        <v>0</v>
      </c>
      <c r="CG47">
        <f t="shared" si="21"/>
        <v>0</v>
      </c>
      <c r="CH47">
        <f t="shared" si="22"/>
        <v>0</v>
      </c>
      <c r="CI47">
        <f t="shared" si="23"/>
        <v>0</v>
      </c>
      <c r="CJ47">
        <f t="shared" si="24"/>
        <v>0</v>
      </c>
    </row>
    <row r="48" spans="1:88" outlineLevel="1" x14ac:dyDescent="0.15">
      <c r="A48" s="8"/>
      <c r="B48" s="8" t="s">
        <v>85</v>
      </c>
      <c r="C48" s="9" t="s">
        <v>257</v>
      </c>
      <c r="D48" s="8">
        <v>13903516</v>
      </c>
      <c r="E48" s="10">
        <v>12</v>
      </c>
      <c r="F48" s="9">
        <v>1</v>
      </c>
      <c r="G48" s="9"/>
      <c r="I48" s="22" t="str">
        <f t="shared" si="0"/>
        <v>·</v>
      </c>
      <c r="J48" s="23">
        <f t="shared" si="1"/>
        <v>6.4466513362519233</v>
      </c>
      <c r="K48" s="23">
        <f t="shared" si="2"/>
        <v>4.9336815234362303</v>
      </c>
      <c r="L48" s="23">
        <f t="shared" si="3"/>
        <v>1.5128518570410534</v>
      </c>
      <c r="M48" s="24"/>
      <c r="N48" s="23">
        <f t="shared" si="4"/>
        <v>6.4466513362519233</v>
      </c>
      <c r="O48" s="25">
        <v>13903516</v>
      </c>
      <c r="P48" s="26">
        <v>89631120</v>
      </c>
      <c r="Q48" s="26">
        <v>68595520</v>
      </c>
      <c r="R48" s="26">
        <v>21033960</v>
      </c>
      <c r="S48" s="40"/>
      <c r="T48" s="41">
        <v>35.402500000000003</v>
      </c>
      <c r="U48" s="41">
        <v>41.433300000000003</v>
      </c>
      <c r="V48" s="41">
        <v>42.453699999999998</v>
      </c>
      <c r="W48" s="42"/>
      <c r="X48" s="41">
        <v>28.130800000000001</v>
      </c>
      <c r="Y48" s="41">
        <v>28.130800000000001</v>
      </c>
      <c r="Z48" s="41">
        <v>28.130800000000001</v>
      </c>
      <c r="AA48" s="42"/>
      <c r="AB48" s="50">
        <v>26.937000000000001</v>
      </c>
      <c r="AC48" s="50">
        <v>20.670999999999999</v>
      </c>
      <c r="AE48" s="22" t="str">
        <f t="shared" si="5"/>
        <v>·</v>
      </c>
      <c r="AF48" s="23">
        <f t="shared" si="6"/>
        <v>6.4674034970722509</v>
      </c>
      <c r="AG48" s="23">
        <f t="shared" si="7"/>
        <v>4.9336815234362303</v>
      </c>
      <c r="AH48" s="23">
        <f t="shared" si="8"/>
        <v>1.5336040178613812</v>
      </c>
      <c r="AI48" s="24"/>
      <c r="AJ48" s="23">
        <f t="shared" si="9"/>
        <v>6.4674034970722509</v>
      </c>
      <c r="AK48" s="25">
        <v>13903516</v>
      </c>
      <c r="AL48" s="26">
        <v>89919648</v>
      </c>
      <c r="AM48" s="26">
        <v>68595520</v>
      </c>
      <c r="AN48" s="26">
        <v>21322488</v>
      </c>
      <c r="AO48" s="40"/>
      <c r="AP48" s="41">
        <v>35.413200000000003</v>
      </c>
      <c r="AQ48" s="41">
        <v>41.464700000000001</v>
      </c>
      <c r="AR48" s="41">
        <v>42.525300000000001</v>
      </c>
      <c r="AS48" s="42"/>
      <c r="AT48" s="41">
        <v>28.130800000000001</v>
      </c>
      <c r="AU48" s="41">
        <v>28.130800000000001</v>
      </c>
      <c r="AV48" s="41">
        <v>28.130800000000001</v>
      </c>
      <c r="AW48" s="42"/>
      <c r="AX48" s="50">
        <v>27.265000000000001</v>
      </c>
      <c r="AY48" s="50">
        <v>20.859000000000002</v>
      </c>
      <c r="BA48" s="55">
        <f t="shared" si="10"/>
        <v>-2.4556716510730769E-3</v>
      </c>
      <c r="BB48" s="55"/>
      <c r="BD48" s="56"/>
      <c r="BE48" s="56"/>
      <c r="BF48" s="56"/>
      <c r="BG48" s="62"/>
      <c r="BI48" s="56"/>
      <c r="BJ48" s="56"/>
      <c r="BK48" s="56"/>
      <c r="BL48" s="62"/>
      <c r="BN48" s="56"/>
      <c r="BO48" s="56"/>
      <c r="BP48" s="56"/>
      <c r="BQ48" s="62"/>
      <c r="BS48" s="56"/>
      <c r="BT48" s="56"/>
      <c r="BU48" s="56"/>
      <c r="BV48" s="62"/>
      <c r="BX48">
        <f t="shared" si="12"/>
        <v>0</v>
      </c>
      <c r="BY48">
        <f t="shared" si="13"/>
        <v>288528</v>
      </c>
      <c r="BZ48">
        <f t="shared" si="14"/>
        <v>0</v>
      </c>
      <c r="CA48">
        <f t="shared" si="15"/>
        <v>288528</v>
      </c>
      <c r="CB48">
        <f t="shared" si="16"/>
        <v>0</v>
      </c>
      <c r="CC48">
        <f t="shared" si="17"/>
        <v>1.0699999999999932E-2</v>
      </c>
      <c r="CD48">
        <f t="shared" si="18"/>
        <v>3.1399999999997874E-2</v>
      </c>
      <c r="CE48">
        <f t="shared" si="19"/>
        <v>7.1600000000003661E-2</v>
      </c>
      <c r="CF48">
        <f t="shared" si="20"/>
        <v>0</v>
      </c>
      <c r="CG48">
        <f t="shared" si="21"/>
        <v>0</v>
      </c>
      <c r="CH48">
        <f t="shared" si="22"/>
        <v>0</v>
      </c>
      <c r="CI48">
        <f t="shared" si="23"/>
        <v>0</v>
      </c>
      <c r="CJ48">
        <f t="shared" si="24"/>
        <v>0</v>
      </c>
    </row>
    <row r="49" spans="1:88" outlineLevel="1" x14ac:dyDescent="0.15">
      <c r="A49" s="5"/>
      <c r="B49" s="11" t="s">
        <v>85</v>
      </c>
      <c r="C49" s="12" t="s">
        <v>258</v>
      </c>
      <c r="D49" s="11">
        <v>13903516</v>
      </c>
      <c r="E49" s="13">
        <v>12</v>
      </c>
      <c r="F49" s="12">
        <v>1</v>
      </c>
      <c r="G49" s="12"/>
      <c r="I49" s="27" t="str">
        <f t="shared" si="0"/>
        <v>·</v>
      </c>
      <c r="J49" s="28">
        <f t="shared" si="1"/>
        <v>5.5969422410849168</v>
      </c>
      <c r="K49" s="28">
        <f t="shared" si="2"/>
        <v>4.9336815234362303</v>
      </c>
      <c r="L49" s="28">
        <f t="shared" si="3"/>
        <v>0.66314276187404686</v>
      </c>
      <c r="M49" s="29"/>
      <c r="N49" s="28">
        <f t="shared" si="4"/>
        <v>5.5969422410849168</v>
      </c>
      <c r="O49" s="30">
        <v>13903516</v>
      </c>
      <c r="P49" s="31">
        <v>77817176</v>
      </c>
      <c r="Q49" s="31">
        <v>68595520</v>
      </c>
      <c r="R49" s="31">
        <v>9220016</v>
      </c>
      <c r="S49" s="43"/>
      <c r="T49" s="44">
        <v>29.375399999999999</v>
      </c>
      <c r="U49" s="44">
        <v>36.825899999999997</v>
      </c>
      <c r="V49" s="44">
        <v>37.790999999999997</v>
      </c>
      <c r="W49" s="45"/>
      <c r="X49" s="44">
        <v>21.686399999999999</v>
      </c>
      <c r="Y49" s="44">
        <v>21.686399999999999</v>
      </c>
      <c r="Z49" s="44">
        <v>21.686399999999999</v>
      </c>
      <c r="AA49" s="45"/>
      <c r="AB49" s="51">
        <v>26.937000000000001</v>
      </c>
      <c r="AC49" s="51">
        <v>20.484000000000002</v>
      </c>
      <c r="AE49" s="27" t="str">
        <f t="shared" si="5"/>
        <v>·</v>
      </c>
      <c r="AF49" s="28">
        <f t="shared" si="6"/>
        <v>5.606025986520244</v>
      </c>
      <c r="AG49" s="28">
        <f t="shared" si="7"/>
        <v>4.9336815234362303</v>
      </c>
      <c r="AH49" s="28">
        <f t="shared" si="8"/>
        <v>0.67222650730937417</v>
      </c>
      <c r="AI49" s="29"/>
      <c r="AJ49" s="28">
        <f t="shared" si="9"/>
        <v>5.606025986520244</v>
      </c>
      <c r="AK49" s="30">
        <v>13903516</v>
      </c>
      <c r="AL49" s="31">
        <v>77943472</v>
      </c>
      <c r="AM49" s="31">
        <v>68595520</v>
      </c>
      <c r="AN49" s="31">
        <v>9346312</v>
      </c>
      <c r="AO49" s="43"/>
      <c r="AP49" s="44">
        <v>29.439800000000002</v>
      </c>
      <c r="AQ49" s="44">
        <v>36.981499999999997</v>
      </c>
      <c r="AR49" s="44">
        <v>37.8733</v>
      </c>
      <c r="AS49" s="45"/>
      <c r="AT49" s="44">
        <v>21.686399999999999</v>
      </c>
      <c r="AU49" s="44">
        <v>21.686399999999999</v>
      </c>
      <c r="AV49" s="44">
        <v>21.686399999999999</v>
      </c>
      <c r="AW49" s="45"/>
      <c r="AX49" s="51">
        <v>27.218</v>
      </c>
      <c r="AY49" s="51">
        <v>20.577999999999999</v>
      </c>
      <c r="BA49" s="57">
        <f t="shared" si="10"/>
        <v>-1.4283351863008109E-3</v>
      </c>
      <c r="BB49" s="57"/>
      <c r="BD49" s="58"/>
      <c r="BE49" s="58"/>
      <c r="BF49" s="58"/>
      <c r="BG49" s="63"/>
      <c r="BI49" s="58"/>
      <c r="BJ49" s="58"/>
      <c r="BK49" s="58"/>
      <c r="BL49" s="63"/>
      <c r="BN49" s="58"/>
      <c r="BO49" s="58"/>
      <c r="BP49" s="58"/>
      <c r="BQ49" s="63"/>
      <c r="BS49" s="58"/>
      <c r="BT49" s="58"/>
      <c r="BU49" s="58"/>
      <c r="BV49" s="63"/>
      <c r="BX49">
        <f t="shared" si="12"/>
        <v>0</v>
      </c>
      <c r="BY49">
        <f t="shared" si="13"/>
        <v>126296</v>
      </c>
      <c r="BZ49">
        <f t="shared" si="14"/>
        <v>0</v>
      </c>
      <c r="CA49">
        <f t="shared" si="15"/>
        <v>126296</v>
      </c>
      <c r="CB49">
        <f t="shared" si="16"/>
        <v>0</v>
      </c>
      <c r="CC49">
        <f t="shared" si="17"/>
        <v>6.4400000000002677E-2</v>
      </c>
      <c r="CD49">
        <f t="shared" si="18"/>
        <v>0.15559999999999974</v>
      </c>
      <c r="CE49">
        <f t="shared" si="19"/>
        <v>8.2300000000003593E-2</v>
      </c>
      <c r="CF49">
        <f t="shared" si="20"/>
        <v>0</v>
      </c>
      <c r="CG49">
        <f t="shared" si="21"/>
        <v>0</v>
      </c>
      <c r="CH49">
        <f t="shared" si="22"/>
        <v>0</v>
      </c>
      <c r="CI49">
        <f t="shared" si="23"/>
        <v>0</v>
      </c>
      <c r="CJ49">
        <f t="shared" si="24"/>
        <v>0</v>
      </c>
    </row>
    <row r="50" spans="1:88" x14ac:dyDescent="0.15">
      <c r="A50" s="8"/>
      <c r="B50" s="8" t="s">
        <v>88</v>
      </c>
      <c r="C50" s="9" t="s">
        <v>254</v>
      </c>
      <c r="D50" s="8">
        <v>4848745</v>
      </c>
      <c r="E50" s="10">
        <v>12</v>
      </c>
      <c r="F50" s="9">
        <v>1</v>
      </c>
      <c r="G50" s="9"/>
      <c r="I50" s="22" t="str">
        <f t="shared" si="0"/>
        <v>·</v>
      </c>
      <c r="J50" s="23">
        <f t="shared" si="1"/>
        <v>11.849550347564163</v>
      </c>
      <c r="K50" s="23">
        <f t="shared" si="2"/>
        <v>5.2585796943332763</v>
      </c>
      <c r="L50" s="23">
        <f t="shared" si="3"/>
        <v>6.5907809134116144</v>
      </c>
      <c r="M50" s="24"/>
      <c r="N50" s="23">
        <f t="shared" si="4"/>
        <v>11.849550347564163</v>
      </c>
      <c r="O50" s="25">
        <v>4848745</v>
      </c>
      <c r="P50" s="26">
        <v>57455448</v>
      </c>
      <c r="Q50" s="26">
        <v>25497512</v>
      </c>
      <c r="R50" s="26">
        <v>31957016</v>
      </c>
      <c r="S50" s="40"/>
      <c r="T50" s="41">
        <v>53.1526</v>
      </c>
      <c r="U50" s="41">
        <v>55.817100000000003</v>
      </c>
      <c r="V50" s="41">
        <v>55.131799999999998</v>
      </c>
      <c r="W50" s="42"/>
      <c r="X50" s="41">
        <v>48.130800000000001</v>
      </c>
      <c r="Y50" s="41">
        <v>48.130800000000001</v>
      </c>
      <c r="Z50" s="41">
        <v>48.130800000000001</v>
      </c>
      <c r="AA50" s="42"/>
      <c r="AB50" s="50">
        <v>9.0459999999999994</v>
      </c>
      <c r="AC50" s="50">
        <v>7.125</v>
      </c>
      <c r="AE50" s="22" t="str">
        <f t="shared" si="5"/>
        <v>·</v>
      </c>
      <c r="AF50" s="23">
        <f t="shared" si="6"/>
        <v>11.88124184711714</v>
      </c>
      <c r="AG50" s="23">
        <f t="shared" si="7"/>
        <v>5.2585796943332763</v>
      </c>
      <c r="AH50" s="23">
        <f t="shared" si="8"/>
        <v>6.6224724129645915</v>
      </c>
      <c r="AI50" s="24"/>
      <c r="AJ50" s="23">
        <f t="shared" si="9"/>
        <v>11.88124184711714</v>
      </c>
      <c r="AK50" s="25">
        <v>4848745</v>
      </c>
      <c r="AL50" s="26">
        <v>57609112</v>
      </c>
      <c r="AM50" s="26">
        <v>25497512</v>
      </c>
      <c r="AN50" s="26">
        <v>32110680</v>
      </c>
      <c r="AO50" s="40"/>
      <c r="AP50" s="41">
        <v>53.153700000000001</v>
      </c>
      <c r="AQ50" s="41">
        <v>55.812800000000003</v>
      </c>
      <c r="AR50" s="41">
        <v>55.128300000000003</v>
      </c>
      <c r="AS50" s="42"/>
      <c r="AT50" s="41">
        <v>48.130800000000001</v>
      </c>
      <c r="AU50" s="41">
        <v>48.130800000000001</v>
      </c>
      <c r="AV50" s="41">
        <v>48.130800000000001</v>
      </c>
      <c r="AW50" s="42"/>
      <c r="AX50" s="50">
        <v>9.109</v>
      </c>
      <c r="AY50" s="50">
        <v>7.25</v>
      </c>
      <c r="BA50" s="55">
        <f t="shared" si="10"/>
        <v>-1.1837160672706903E-3</v>
      </c>
      <c r="BB50" s="55">
        <f t="array" ref="BB50">AVERAGE(AM50:AM54/AL50:AL54)-AVERAGE(Q50:Q54/P50:P54)</f>
        <v>-2.5394289162495864E-3</v>
      </c>
      <c r="BD50" s="56">
        <f>IF(OR(ISBLANK(R50:R54),ISBLANK(AN50:AN54),ISBLANK(T50:T54),ISBLANK(AP50:AP54)),"·",bdRateExtend(R50:R54,T50:T54,AN50:AN54,AP50:AP54))</f>
        <v>1.7780906781841521E-2</v>
      </c>
      <c r="BE50" s="56">
        <f>IF(OR(ISBLANK(R50:R54),ISBLANK(AN50:AN54),ISBLANK(U50:U54),ISBLANK(AQ50:AQ54)),"·",bdRateExtend(R50:R54,U50:U54,AN50:AN54,AQ50:AQ54))</f>
        <v>2.3867316608127354E-2</v>
      </c>
      <c r="BF50" s="56">
        <f>IF(OR(ISBLANK(R50:R54),ISBLANK(AN50:AN54),ISBLANK(V50:V54),ISBLANK(AR50:AR54)),"·",bdRateExtend(R50:R54,V50:V54,AN50:AN54,AR50:AR54))</f>
        <v>-5.0822730240913661E-3</v>
      </c>
      <c r="BG50" s="62"/>
      <c r="BI50" s="56">
        <f>IF(OR(ISBLANK(R50:R54),ISBLANK(AN50:AN54),ISBLANK(X50:X54),ISBLANK(AT50:AT54)),"·",bdRateExtend(R50:R54,X50:X54,AN50:AN54,AT50:AT54))</f>
        <v>1.5581191167065356E-2</v>
      </c>
      <c r="BJ50" s="56">
        <f>IF(OR(ISBLANK(R50:R54),ISBLANK(AN50:AN54),ISBLANK(Y50:Y54),ISBLANK(AU50:AU54)),"·",bdRateExtend(R50:R54,Y50:Y54,AN50:AN54,AU50:AU54))</f>
        <v>1.5581191167065356E-2</v>
      </c>
      <c r="BK50" s="56">
        <f>IF(OR(ISBLANK(R50:R54),ISBLANK(AN50:AN54),ISBLANK(Z50:Z54),ISBLANK(AV50:AV54)),"·",bdRateExtend(R50:R54,Z50:Z54,AN50:AN54,AV50:AV54))</f>
        <v>1.5581191167065356E-2</v>
      </c>
      <c r="BL50" s="62"/>
      <c r="BN50" s="56">
        <f>IF(OR(ISBLANK(P50:P54),ISBLANK(AL50:AL54),ISBLANK(T50:T54),ISBLANK(AP50:AP54)),"·",bdRateExtend(P50:P54,T50:T54,AL50:AL54,AP50:AP54))</f>
        <v>4.3693512842681859E-3</v>
      </c>
      <c r="BO50" s="56">
        <f>IF(OR(ISBLANK(P50:P54),ISBLANK(AL50:AL54),ISBLANK(U50:U54),ISBLANK(AQ50:AQ54)),"·",bdRateExtend(P50:P54,U50:U54,AL50:AL54,AQ50:AQ54))</f>
        <v>5.0946495737773656E-3</v>
      </c>
      <c r="BP50" s="56">
        <f>IF(OR(ISBLANK(P50:P54),ISBLANK(AL50:AL54),ISBLANK(V50:V54),ISBLANK(AR50:AR54)),"·",bdRateExtend(P50:P54,V50:V54,AL50:AL54,AR50:AR54))</f>
        <v>1.1358637539917726E-3</v>
      </c>
      <c r="BQ50" s="62"/>
      <c r="BS50" s="56">
        <f>IF(OR(ISBLANK(P50:P54),ISBLANK(AL50:AL54),ISBLANK(X50:X54),ISBLANK(AT50:AT54)),"·",bdRateExtend(P50:P54,X50:X54,AL50:AL54,AT50:AT54))</f>
        <v>4.1924772731809501E-3</v>
      </c>
      <c r="BT50" s="56">
        <f>IF(OR(ISBLANK(P50:P54),ISBLANK(AL50:AL54),ISBLANK(Y50:Y54),ISBLANK(AU50:AU54)),"·",bdRateExtend(P50:P54,Y50:Y54,AL50:AL54,AU50:AU54))</f>
        <v>4.1924772731809501E-3</v>
      </c>
      <c r="BU50" s="56">
        <f>IF(OR(ISBLANK(P50:P54),ISBLANK(AL50:AL54),ISBLANK(Z50:Z54),ISBLANK(AV50:AV54)),"·",bdRateExtend(P50:P54,Z50:Z54,AL50:AL54,AV50:AV54))</f>
        <v>4.1924772731809501E-3</v>
      </c>
      <c r="BV50" s="62"/>
      <c r="BX50">
        <f t="shared" si="12"/>
        <v>0</v>
      </c>
      <c r="BY50">
        <f t="shared" si="13"/>
        <v>153664</v>
      </c>
      <c r="BZ50">
        <f t="shared" si="14"/>
        <v>0</v>
      </c>
      <c r="CA50">
        <f t="shared" si="15"/>
        <v>153664</v>
      </c>
      <c r="CB50">
        <f t="shared" si="16"/>
        <v>0</v>
      </c>
      <c r="CC50">
        <f t="shared" si="17"/>
        <v>1.1000000000009891E-3</v>
      </c>
      <c r="CD50">
        <f t="shared" si="18"/>
        <v>-4.3000000000006366E-3</v>
      </c>
      <c r="CE50">
        <f t="shared" si="19"/>
        <v>-3.4999999999953957E-3</v>
      </c>
      <c r="CF50">
        <f t="shared" si="20"/>
        <v>0</v>
      </c>
      <c r="CG50">
        <f t="shared" si="21"/>
        <v>0</v>
      </c>
      <c r="CH50">
        <f t="shared" si="22"/>
        <v>0</v>
      </c>
      <c r="CI50">
        <f t="shared" si="23"/>
        <v>0</v>
      </c>
      <c r="CJ50">
        <f t="shared" si="24"/>
        <v>0</v>
      </c>
    </row>
    <row r="51" spans="1:88" outlineLevel="1" x14ac:dyDescent="0.15">
      <c r="A51" s="5"/>
      <c r="B51" s="5" t="s">
        <v>88</v>
      </c>
      <c r="C51" s="6" t="s">
        <v>255</v>
      </c>
      <c r="D51" s="5">
        <v>4848745</v>
      </c>
      <c r="E51" s="7">
        <v>12</v>
      </c>
      <c r="F51" s="6">
        <v>1</v>
      </c>
      <c r="G51" s="6"/>
      <c r="I51" s="17" t="str">
        <f t="shared" si="0"/>
        <v>·</v>
      </c>
      <c r="J51" s="18">
        <f t="shared" si="1"/>
        <v>9.8591053973760214</v>
      </c>
      <c r="K51" s="18">
        <f t="shared" si="2"/>
        <v>5.2585796943332763</v>
      </c>
      <c r="L51" s="18">
        <f t="shared" si="3"/>
        <v>4.6003359632234737</v>
      </c>
      <c r="M51" s="19"/>
      <c r="N51" s="18">
        <f t="shared" si="4"/>
        <v>9.8591053973760214</v>
      </c>
      <c r="O51" s="20">
        <v>4848745</v>
      </c>
      <c r="P51" s="21">
        <v>47804288</v>
      </c>
      <c r="Q51" s="21">
        <v>25497512</v>
      </c>
      <c r="R51" s="21">
        <v>22305856</v>
      </c>
      <c r="S51" s="37"/>
      <c r="T51" s="38">
        <v>48.286799999999999</v>
      </c>
      <c r="U51" s="38">
        <v>51.259500000000003</v>
      </c>
      <c r="V51" s="38">
        <v>50.982799999999997</v>
      </c>
      <c r="W51" s="39"/>
      <c r="X51" s="38">
        <v>42.110199999999999</v>
      </c>
      <c r="Y51" s="38">
        <v>42.110199999999999</v>
      </c>
      <c r="Z51" s="38">
        <v>42.110199999999999</v>
      </c>
      <c r="AA51" s="39"/>
      <c r="AB51" s="49">
        <v>9.0150000000000006</v>
      </c>
      <c r="AC51" s="49">
        <v>7.093</v>
      </c>
      <c r="AE51" s="17" t="str">
        <f t="shared" si="5"/>
        <v>·</v>
      </c>
      <c r="AF51" s="18">
        <f t="shared" si="6"/>
        <v>9.8981010550152675</v>
      </c>
      <c r="AG51" s="18">
        <f t="shared" si="7"/>
        <v>5.2585796943332763</v>
      </c>
      <c r="AH51" s="18">
        <f t="shared" si="8"/>
        <v>4.639331620862718</v>
      </c>
      <c r="AI51" s="19"/>
      <c r="AJ51" s="18">
        <f t="shared" si="9"/>
        <v>9.8981010550152675</v>
      </c>
      <c r="AK51" s="20">
        <v>4848745</v>
      </c>
      <c r="AL51" s="21">
        <v>47993368</v>
      </c>
      <c r="AM51" s="21">
        <v>25497512</v>
      </c>
      <c r="AN51" s="21">
        <v>22494936</v>
      </c>
      <c r="AO51" s="37"/>
      <c r="AP51" s="38">
        <v>48.284599999999998</v>
      </c>
      <c r="AQ51" s="38">
        <v>51.2562</v>
      </c>
      <c r="AR51" s="38">
        <v>50.9818</v>
      </c>
      <c r="AS51" s="39"/>
      <c r="AT51" s="38">
        <v>42.110199999999999</v>
      </c>
      <c r="AU51" s="38">
        <v>42.110199999999999</v>
      </c>
      <c r="AV51" s="38">
        <v>42.110199999999999</v>
      </c>
      <c r="AW51" s="39"/>
      <c r="AX51" s="49">
        <v>9.0619999999999994</v>
      </c>
      <c r="AY51" s="49">
        <v>7.14</v>
      </c>
      <c r="BA51" s="53">
        <f t="shared" si="10"/>
        <v>-2.1013351058761787E-3</v>
      </c>
      <c r="BB51" s="53"/>
      <c r="BD51" s="54"/>
      <c r="BE51" s="54"/>
      <c r="BF51" s="54"/>
      <c r="BG51" s="61"/>
      <c r="BI51" s="54"/>
      <c r="BJ51" s="54"/>
      <c r="BK51" s="54"/>
      <c r="BL51" s="61"/>
      <c r="BN51" s="54"/>
      <c r="BO51" s="54"/>
      <c r="BP51" s="54"/>
      <c r="BQ51" s="61"/>
      <c r="BS51" s="54"/>
      <c r="BT51" s="54"/>
      <c r="BU51" s="54"/>
      <c r="BV51" s="61"/>
      <c r="BX51">
        <f t="shared" si="12"/>
        <v>0</v>
      </c>
      <c r="BY51">
        <f t="shared" si="13"/>
        <v>189080</v>
      </c>
      <c r="BZ51">
        <f t="shared" si="14"/>
        <v>0</v>
      </c>
      <c r="CA51">
        <f t="shared" si="15"/>
        <v>189080</v>
      </c>
      <c r="CB51">
        <f t="shared" si="16"/>
        <v>0</v>
      </c>
      <c r="CC51">
        <f t="shared" si="17"/>
        <v>-2.2000000000019782E-3</v>
      </c>
      <c r="CD51">
        <f t="shared" si="18"/>
        <v>-3.3000000000029672E-3</v>
      </c>
      <c r="CE51">
        <f t="shared" si="19"/>
        <v>-9.9999999999766942E-4</v>
      </c>
      <c r="CF51">
        <f t="shared" si="20"/>
        <v>0</v>
      </c>
      <c r="CG51">
        <f t="shared" si="21"/>
        <v>0</v>
      </c>
      <c r="CH51">
        <f t="shared" si="22"/>
        <v>0</v>
      </c>
      <c r="CI51">
        <f t="shared" si="23"/>
        <v>0</v>
      </c>
      <c r="CJ51">
        <f t="shared" si="24"/>
        <v>0</v>
      </c>
    </row>
    <row r="52" spans="1:88" outlineLevel="1" x14ac:dyDescent="0.15">
      <c r="A52" s="8"/>
      <c r="B52" s="8" t="s">
        <v>88</v>
      </c>
      <c r="C52" s="9" t="s">
        <v>256</v>
      </c>
      <c r="D52" s="8">
        <v>4848745</v>
      </c>
      <c r="E52" s="10">
        <v>12</v>
      </c>
      <c r="F52" s="9">
        <v>1</v>
      </c>
      <c r="G52" s="9"/>
      <c r="I52" s="22" t="str">
        <f t="shared" si="0"/>
        <v>·</v>
      </c>
      <c r="J52" s="23">
        <f t="shared" si="1"/>
        <v>7.7233642932346411</v>
      </c>
      <c r="K52" s="23">
        <f t="shared" si="2"/>
        <v>5.2585796943332763</v>
      </c>
      <c r="L52" s="23">
        <f t="shared" si="3"/>
        <v>2.4645948590820925</v>
      </c>
      <c r="M52" s="24"/>
      <c r="N52" s="23">
        <f t="shared" si="4"/>
        <v>7.7233642932346411</v>
      </c>
      <c r="O52" s="25">
        <v>4848745</v>
      </c>
      <c r="P52" s="26">
        <v>37448624</v>
      </c>
      <c r="Q52" s="26">
        <v>25497512</v>
      </c>
      <c r="R52" s="26">
        <v>11950192</v>
      </c>
      <c r="S52" s="40"/>
      <c r="T52" s="41">
        <v>41.335000000000001</v>
      </c>
      <c r="U52" s="41">
        <v>46.035600000000002</v>
      </c>
      <c r="V52" s="41">
        <v>45.995600000000003</v>
      </c>
      <c r="W52" s="42"/>
      <c r="X52" s="41">
        <v>34.151400000000002</v>
      </c>
      <c r="Y52" s="41">
        <v>34.151400000000002</v>
      </c>
      <c r="Z52" s="41">
        <v>34.151400000000002</v>
      </c>
      <c r="AA52" s="42"/>
      <c r="AB52" s="50">
        <v>8.859</v>
      </c>
      <c r="AC52" s="50">
        <v>7.0149999999999997</v>
      </c>
      <c r="AE52" s="22" t="str">
        <f t="shared" si="5"/>
        <v>·</v>
      </c>
      <c r="AF52" s="23">
        <f t="shared" si="6"/>
        <v>7.7623038538838403</v>
      </c>
      <c r="AG52" s="23">
        <f t="shared" si="7"/>
        <v>5.2585796943332763</v>
      </c>
      <c r="AH52" s="23">
        <f t="shared" si="8"/>
        <v>2.5035344197312912</v>
      </c>
      <c r="AI52" s="24"/>
      <c r="AJ52" s="23">
        <f t="shared" si="9"/>
        <v>7.7623038538838403</v>
      </c>
      <c r="AK52" s="25">
        <v>4848745</v>
      </c>
      <c r="AL52" s="26">
        <v>37637432</v>
      </c>
      <c r="AM52" s="26">
        <v>25497512</v>
      </c>
      <c r="AN52" s="26">
        <v>12139000</v>
      </c>
      <c r="AO52" s="40"/>
      <c r="AP52" s="41">
        <v>41.349499999999999</v>
      </c>
      <c r="AQ52" s="41">
        <v>46.0227</v>
      </c>
      <c r="AR52" s="41">
        <v>46.005800000000001</v>
      </c>
      <c r="AS52" s="42"/>
      <c r="AT52" s="41">
        <v>34.151400000000002</v>
      </c>
      <c r="AU52" s="41">
        <v>34.151400000000002</v>
      </c>
      <c r="AV52" s="41">
        <v>34.151400000000002</v>
      </c>
      <c r="AW52" s="42"/>
      <c r="AX52" s="50">
        <v>8.9369999999999994</v>
      </c>
      <c r="AY52" s="50">
        <v>7.0309999999999997</v>
      </c>
      <c r="BA52" s="55">
        <f t="shared" si="10"/>
        <v>-3.4155633759400672E-3</v>
      </c>
      <c r="BB52" s="55"/>
      <c r="BD52" s="56"/>
      <c r="BE52" s="56"/>
      <c r="BF52" s="56"/>
      <c r="BG52" s="62"/>
      <c r="BI52" s="56"/>
      <c r="BJ52" s="56"/>
      <c r="BK52" s="56"/>
      <c r="BL52" s="62"/>
      <c r="BN52" s="56"/>
      <c r="BO52" s="56"/>
      <c r="BP52" s="56"/>
      <c r="BQ52" s="62"/>
      <c r="BS52" s="56"/>
      <c r="BT52" s="56"/>
      <c r="BU52" s="56"/>
      <c r="BV52" s="62"/>
      <c r="BX52">
        <f t="shared" si="12"/>
        <v>0</v>
      </c>
      <c r="BY52">
        <f t="shared" si="13"/>
        <v>188808</v>
      </c>
      <c r="BZ52">
        <f t="shared" si="14"/>
        <v>0</v>
      </c>
      <c r="CA52">
        <f t="shared" si="15"/>
        <v>188808</v>
      </c>
      <c r="CB52">
        <f t="shared" si="16"/>
        <v>0</v>
      </c>
      <c r="CC52">
        <f t="shared" si="17"/>
        <v>1.4499999999998181E-2</v>
      </c>
      <c r="CD52">
        <f t="shared" si="18"/>
        <v>-1.290000000000191E-2</v>
      </c>
      <c r="CE52">
        <f t="shared" si="19"/>
        <v>1.0199999999997544E-2</v>
      </c>
      <c r="CF52">
        <f t="shared" si="20"/>
        <v>0</v>
      </c>
      <c r="CG52">
        <f t="shared" si="21"/>
        <v>0</v>
      </c>
      <c r="CH52">
        <f t="shared" si="22"/>
        <v>0</v>
      </c>
      <c r="CI52">
        <f t="shared" si="23"/>
        <v>0</v>
      </c>
      <c r="CJ52">
        <f t="shared" si="24"/>
        <v>0</v>
      </c>
    </row>
    <row r="53" spans="1:88" outlineLevel="1" x14ac:dyDescent="0.15">
      <c r="A53" s="5"/>
      <c r="B53" s="5" t="s">
        <v>88</v>
      </c>
      <c r="C53" s="6" t="s">
        <v>257</v>
      </c>
      <c r="D53" s="5">
        <v>4848745</v>
      </c>
      <c r="E53" s="7">
        <v>12</v>
      </c>
      <c r="F53" s="6">
        <v>1</v>
      </c>
      <c r="G53" s="6"/>
      <c r="I53" s="17" t="str">
        <f t="shared" si="0"/>
        <v>·</v>
      </c>
      <c r="J53" s="18">
        <f t="shared" si="1"/>
        <v>6.5916207183508311</v>
      </c>
      <c r="K53" s="18">
        <f t="shared" si="2"/>
        <v>5.2585796943332763</v>
      </c>
      <c r="L53" s="18">
        <f t="shared" si="3"/>
        <v>1.3328512841982822</v>
      </c>
      <c r="M53" s="19"/>
      <c r="N53" s="18">
        <f t="shared" si="4"/>
        <v>6.5916207183508311</v>
      </c>
      <c r="O53" s="20">
        <v>4848745</v>
      </c>
      <c r="P53" s="21">
        <v>31961088</v>
      </c>
      <c r="Q53" s="21">
        <v>25497512</v>
      </c>
      <c r="R53" s="21">
        <v>6462656</v>
      </c>
      <c r="S53" s="37"/>
      <c r="T53" s="38">
        <v>35.863599999999998</v>
      </c>
      <c r="U53" s="38">
        <v>41.411200000000001</v>
      </c>
      <c r="V53" s="38">
        <v>41.717399999999998</v>
      </c>
      <c r="W53" s="39"/>
      <c r="X53" s="38">
        <v>28.130800000000001</v>
      </c>
      <c r="Y53" s="38">
        <v>28.130800000000001</v>
      </c>
      <c r="Z53" s="38">
        <v>28.130800000000001</v>
      </c>
      <c r="AA53" s="39"/>
      <c r="AB53" s="49">
        <v>8.7650000000000006</v>
      </c>
      <c r="AC53" s="49">
        <v>6.9530000000000003</v>
      </c>
      <c r="AE53" s="17" t="str">
        <f t="shared" si="5"/>
        <v>·</v>
      </c>
      <c r="AF53" s="18">
        <f t="shared" si="6"/>
        <v>6.6224328150892653</v>
      </c>
      <c r="AG53" s="18">
        <f t="shared" si="7"/>
        <v>5.2585796943332763</v>
      </c>
      <c r="AH53" s="18">
        <f t="shared" si="8"/>
        <v>1.3636633809367167</v>
      </c>
      <c r="AI53" s="19"/>
      <c r="AJ53" s="18">
        <f t="shared" si="9"/>
        <v>6.6224328150892653</v>
      </c>
      <c r="AK53" s="20">
        <v>4848745</v>
      </c>
      <c r="AL53" s="21">
        <v>32110488</v>
      </c>
      <c r="AM53" s="21">
        <v>25497512</v>
      </c>
      <c r="AN53" s="21">
        <v>6612056</v>
      </c>
      <c r="AO53" s="37"/>
      <c r="AP53" s="38">
        <v>35.854100000000003</v>
      </c>
      <c r="AQ53" s="38">
        <v>41.431199999999997</v>
      </c>
      <c r="AR53" s="38">
        <v>41.9009</v>
      </c>
      <c r="AS53" s="39"/>
      <c r="AT53" s="38">
        <v>28.130800000000001</v>
      </c>
      <c r="AU53" s="38">
        <v>28.130800000000001</v>
      </c>
      <c r="AV53" s="38">
        <v>28.130800000000001</v>
      </c>
      <c r="AW53" s="39"/>
      <c r="AX53" s="49">
        <v>8.843</v>
      </c>
      <c r="AY53" s="49">
        <v>7.0149999999999997</v>
      </c>
      <c r="BA53" s="53">
        <f t="shared" si="10"/>
        <v>-3.7117604647076696E-3</v>
      </c>
      <c r="BB53" s="53"/>
      <c r="BD53" s="54"/>
      <c r="BE53" s="54"/>
      <c r="BF53" s="54"/>
      <c r="BG53" s="61"/>
      <c r="BI53" s="54"/>
      <c r="BJ53" s="54"/>
      <c r="BK53" s="54"/>
      <c r="BL53" s="61"/>
      <c r="BN53" s="54"/>
      <c r="BO53" s="54"/>
      <c r="BP53" s="54"/>
      <c r="BQ53" s="61"/>
      <c r="BS53" s="54"/>
      <c r="BT53" s="54"/>
      <c r="BU53" s="54"/>
      <c r="BV53" s="61"/>
      <c r="BX53">
        <f t="shared" si="12"/>
        <v>0</v>
      </c>
      <c r="BY53">
        <f t="shared" si="13"/>
        <v>149400</v>
      </c>
      <c r="BZ53">
        <f t="shared" si="14"/>
        <v>0</v>
      </c>
      <c r="CA53">
        <f t="shared" si="15"/>
        <v>149400</v>
      </c>
      <c r="CB53">
        <f t="shared" si="16"/>
        <v>0</v>
      </c>
      <c r="CC53">
        <f t="shared" si="17"/>
        <v>-9.4999999999956231E-3</v>
      </c>
      <c r="CD53">
        <f t="shared" si="18"/>
        <v>1.9999999999996021E-2</v>
      </c>
      <c r="CE53">
        <f t="shared" si="19"/>
        <v>0.18350000000000222</v>
      </c>
      <c r="CF53">
        <f t="shared" si="20"/>
        <v>0</v>
      </c>
      <c r="CG53">
        <f t="shared" si="21"/>
        <v>0</v>
      </c>
      <c r="CH53">
        <f t="shared" si="22"/>
        <v>0</v>
      </c>
      <c r="CI53">
        <f t="shared" si="23"/>
        <v>0</v>
      </c>
      <c r="CJ53">
        <f t="shared" si="24"/>
        <v>0</v>
      </c>
    </row>
    <row r="54" spans="1:88" outlineLevel="1" x14ac:dyDescent="0.15">
      <c r="A54" s="8"/>
      <c r="B54" s="14" t="s">
        <v>88</v>
      </c>
      <c r="C54" s="15" t="s">
        <v>258</v>
      </c>
      <c r="D54" s="14">
        <v>4848745</v>
      </c>
      <c r="E54" s="16">
        <v>12</v>
      </c>
      <c r="F54" s="15">
        <v>1</v>
      </c>
      <c r="G54" s="15"/>
      <c r="I54" s="32" t="str">
        <f t="shared" si="0"/>
        <v>·</v>
      </c>
      <c r="J54" s="33">
        <f t="shared" si="1"/>
        <v>5.8308778869583779</v>
      </c>
      <c r="K54" s="33">
        <f t="shared" si="2"/>
        <v>5.2585796943332763</v>
      </c>
      <c r="L54" s="33">
        <f t="shared" si="3"/>
        <v>0.57210845280582912</v>
      </c>
      <c r="M54" s="34"/>
      <c r="N54" s="33">
        <f t="shared" si="4"/>
        <v>5.8308778869583779</v>
      </c>
      <c r="O54" s="35">
        <v>4848745</v>
      </c>
      <c r="P54" s="36">
        <v>28272440</v>
      </c>
      <c r="Q54" s="36">
        <v>25497512</v>
      </c>
      <c r="R54" s="36">
        <v>2774008</v>
      </c>
      <c r="S54" s="46"/>
      <c r="T54" s="47">
        <v>29.858699999999999</v>
      </c>
      <c r="U54" s="47">
        <v>36.465699999999998</v>
      </c>
      <c r="V54" s="47">
        <v>36.331200000000003</v>
      </c>
      <c r="W54" s="48"/>
      <c r="X54" s="47">
        <v>21.686399999999999</v>
      </c>
      <c r="Y54" s="47">
        <v>21.686399999999999</v>
      </c>
      <c r="Z54" s="47">
        <v>21.686399999999999</v>
      </c>
      <c r="AA54" s="48"/>
      <c r="AB54" s="52">
        <v>8.7029999999999994</v>
      </c>
      <c r="AC54" s="52">
        <v>7</v>
      </c>
      <c r="AE54" s="32" t="str">
        <f t="shared" si="5"/>
        <v>·</v>
      </c>
      <c r="AF54" s="33">
        <f t="shared" si="6"/>
        <v>5.84568749233049</v>
      </c>
      <c r="AG54" s="33">
        <f t="shared" si="7"/>
        <v>5.2585796943332763</v>
      </c>
      <c r="AH54" s="33">
        <f t="shared" si="8"/>
        <v>0.58691805817794085</v>
      </c>
      <c r="AI54" s="34"/>
      <c r="AJ54" s="33">
        <f t="shared" si="9"/>
        <v>5.84568749233049</v>
      </c>
      <c r="AK54" s="35">
        <v>4848745</v>
      </c>
      <c r="AL54" s="36">
        <v>28344248</v>
      </c>
      <c r="AM54" s="36">
        <v>25497512</v>
      </c>
      <c r="AN54" s="36">
        <v>2845816</v>
      </c>
      <c r="AO54" s="46"/>
      <c r="AP54" s="47">
        <v>29.738900000000001</v>
      </c>
      <c r="AQ54" s="47">
        <v>35.945599999999999</v>
      </c>
      <c r="AR54" s="47">
        <v>37.084899999999998</v>
      </c>
      <c r="AS54" s="48"/>
      <c r="AT54" s="47">
        <v>21.686399999999999</v>
      </c>
      <c r="AU54" s="47">
        <v>21.686399999999999</v>
      </c>
      <c r="AV54" s="47">
        <v>21.686399999999999</v>
      </c>
      <c r="AW54" s="48"/>
      <c r="AX54" s="52">
        <v>8.7810000000000006</v>
      </c>
      <c r="AY54" s="52">
        <v>6.9059999999999997</v>
      </c>
      <c r="BA54" s="59">
        <f t="shared" si="10"/>
        <v>-2.2847695674531598E-3</v>
      </c>
      <c r="BB54" s="59"/>
      <c r="BD54" s="60"/>
      <c r="BE54" s="60"/>
      <c r="BF54" s="60"/>
      <c r="BG54" s="64"/>
      <c r="BI54" s="60"/>
      <c r="BJ54" s="60"/>
      <c r="BK54" s="60"/>
      <c r="BL54" s="64"/>
      <c r="BN54" s="60"/>
      <c r="BO54" s="60"/>
      <c r="BP54" s="60"/>
      <c r="BQ54" s="64"/>
      <c r="BS54" s="60"/>
      <c r="BT54" s="60"/>
      <c r="BU54" s="60"/>
      <c r="BV54" s="64"/>
      <c r="BX54">
        <f t="shared" si="12"/>
        <v>0</v>
      </c>
      <c r="BY54">
        <f t="shared" si="13"/>
        <v>71808</v>
      </c>
      <c r="BZ54">
        <f t="shared" si="14"/>
        <v>0</v>
      </c>
      <c r="CA54">
        <f t="shared" si="15"/>
        <v>71808</v>
      </c>
      <c r="CB54">
        <f t="shared" si="16"/>
        <v>0</v>
      </c>
      <c r="CC54">
        <f t="shared" si="17"/>
        <v>-0.11979999999999791</v>
      </c>
      <c r="CD54">
        <f t="shared" si="18"/>
        <v>-0.52009999999999934</v>
      </c>
      <c r="CE54">
        <f t="shared" si="19"/>
        <v>0.75369999999999493</v>
      </c>
      <c r="CF54">
        <f t="shared" si="20"/>
        <v>0</v>
      </c>
      <c r="CG54">
        <f t="shared" si="21"/>
        <v>0</v>
      </c>
      <c r="CH54">
        <f t="shared" si="22"/>
        <v>0</v>
      </c>
      <c r="CI54">
        <f t="shared" si="23"/>
        <v>0</v>
      </c>
      <c r="CJ54">
        <f t="shared" si="24"/>
        <v>0</v>
      </c>
    </row>
    <row r="55" spans="1:88" x14ac:dyDescent="0.15">
      <c r="A55" s="5"/>
      <c r="B55" s="5" t="s">
        <v>91</v>
      </c>
      <c r="C55" s="6" t="s">
        <v>254</v>
      </c>
      <c r="D55" s="5">
        <v>3096122</v>
      </c>
      <c r="E55" s="7">
        <v>12</v>
      </c>
      <c r="F55" s="6">
        <v>1</v>
      </c>
      <c r="G55" s="6"/>
      <c r="I55" s="17" t="str">
        <f t="shared" si="0"/>
        <v>·</v>
      </c>
      <c r="J55" s="18">
        <f t="shared" si="1"/>
        <v>10.354103617363915</v>
      </c>
      <c r="K55" s="18">
        <f t="shared" si="2"/>
        <v>3.8253841418393719</v>
      </c>
      <c r="L55" s="18">
        <f t="shared" si="3"/>
        <v>6.5284740071612166</v>
      </c>
      <c r="M55" s="19"/>
      <c r="N55" s="18">
        <f t="shared" si="4"/>
        <v>10.354103617363915</v>
      </c>
      <c r="O55" s="20">
        <v>3096122</v>
      </c>
      <c r="P55" s="21">
        <v>32057568</v>
      </c>
      <c r="Q55" s="21">
        <v>11843856</v>
      </c>
      <c r="R55" s="21">
        <v>20212952</v>
      </c>
      <c r="S55" s="37"/>
      <c r="T55" s="38">
        <v>53.130499999999998</v>
      </c>
      <c r="U55" s="38">
        <v>55.2029</v>
      </c>
      <c r="V55" s="38">
        <v>55.410499999999999</v>
      </c>
      <c r="W55" s="39"/>
      <c r="X55" s="38">
        <v>48.130800000000001</v>
      </c>
      <c r="Y55" s="38">
        <v>48.130800000000001</v>
      </c>
      <c r="Z55" s="38">
        <v>48.130800000000001</v>
      </c>
      <c r="AA55" s="39"/>
      <c r="AB55" s="49">
        <v>5.0460000000000003</v>
      </c>
      <c r="AC55" s="49">
        <v>4.1559999999999997</v>
      </c>
      <c r="AE55" s="17" t="str">
        <f t="shared" si="5"/>
        <v>·</v>
      </c>
      <c r="AF55" s="18">
        <f t="shared" si="6"/>
        <v>10.376420567406582</v>
      </c>
      <c r="AG55" s="18">
        <f t="shared" si="7"/>
        <v>3.8253841418393719</v>
      </c>
      <c r="AH55" s="18">
        <f t="shared" si="8"/>
        <v>6.5507909572038825</v>
      </c>
      <c r="AI55" s="19"/>
      <c r="AJ55" s="18">
        <f t="shared" si="9"/>
        <v>10.376420567406582</v>
      </c>
      <c r="AK55" s="20">
        <v>3096122</v>
      </c>
      <c r="AL55" s="21">
        <v>32126664</v>
      </c>
      <c r="AM55" s="21">
        <v>11843856</v>
      </c>
      <c r="AN55" s="21">
        <v>20282048</v>
      </c>
      <c r="AO55" s="37"/>
      <c r="AP55" s="38">
        <v>53.130499999999998</v>
      </c>
      <c r="AQ55" s="38">
        <v>55.2014</v>
      </c>
      <c r="AR55" s="38">
        <v>55.4086</v>
      </c>
      <c r="AS55" s="39"/>
      <c r="AT55" s="38">
        <v>48.130800000000001</v>
      </c>
      <c r="AU55" s="38">
        <v>48.130800000000001</v>
      </c>
      <c r="AV55" s="38">
        <v>48.130800000000001</v>
      </c>
      <c r="AW55" s="39"/>
      <c r="AX55" s="49">
        <v>5.234</v>
      </c>
      <c r="AY55" s="49">
        <v>4.2030000000000003</v>
      </c>
      <c r="BA55" s="53">
        <f t="shared" si="10"/>
        <v>-7.9460230721478675E-4</v>
      </c>
      <c r="BB55" s="53">
        <f t="array" ref="BB55">AVERAGE(AM55:AM59/AL55:AL59)-AVERAGE(Q55:Q59/P55:P59)</f>
        <v>-2.2044620419268135E-3</v>
      </c>
      <c r="BD55" s="54">
        <f>IF(OR(ISBLANK(R55:R59),ISBLANK(AN55:AN59),ISBLANK(T55:T59),ISBLANK(AP55:AP59)),"·",bdRateExtend(R55:R59,T55:T59,AN55:AN59,AP55:AP59))</f>
        <v>1.2321909680290677E-2</v>
      </c>
      <c r="BE55" s="54">
        <f>IF(OR(ISBLANK(R55:R59),ISBLANK(AN55:AN59),ISBLANK(U55:U59),ISBLANK(AQ55:AQ59)),"·",bdRateExtend(R55:R59,U55:U59,AN55:AN59,AQ55:AQ59))</f>
        <v>1.6826728387558054E-2</v>
      </c>
      <c r="BF55" s="54">
        <f>IF(OR(ISBLANK(R55:R59),ISBLANK(AN55:AN59),ISBLANK(V55:V59),ISBLANK(AR55:AR59)),"·",bdRateExtend(R55:R59,V55:V59,AN55:AN59,AR55:AR59))</f>
        <v>1.3394778139412367E-2</v>
      </c>
      <c r="BG55" s="61"/>
      <c r="BI55" s="54">
        <f>IF(OR(ISBLANK(R55:R59),ISBLANK(AN55:AN59),ISBLANK(X55:X59),ISBLANK(AT55:AT59)),"·",bdRateExtend(R55:R59,X55:X59,AN55:AN59,AT55:AT59))</f>
        <v>1.2117975829422756E-2</v>
      </c>
      <c r="BJ55" s="54">
        <f>IF(OR(ISBLANK(R55:R59),ISBLANK(AN55:AN59),ISBLANK(Y55:Y59),ISBLANK(AU55:AU59)),"·",bdRateExtend(R55:R59,Y55:Y59,AN55:AN59,AU55:AU59))</f>
        <v>1.2117975829422756E-2</v>
      </c>
      <c r="BK55" s="54">
        <f>IF(OR(ISBLANK(R55:R59),ISBLANK(AN55:AN59),ISBLANK(Z55:Z59),ISBLANK(AV55:AV59)),"·",bdRateExtend(R55:R59,Z55:Z59,AN55:AN59,AV55:AV59))</f>
        <v>1.2117975829422756E-2</v>
      </c>
      <c r="BL55" s="61"/>
      <c r="BN55" s="54">
        <f>IF(OR(ISBLANK(P55:P59),ISBLANK(AL55:AL59),ISBLANK(T55:T59),ISBLANK(AP55:AP59)),"·",bdRateExtend(P55:P59,T55:T59,AL55:AL59,AP55:AP59))</f>
        <v>3.749912529261934E-3</v>
      </c>
      <c r="BO55" s="54">
        <f>IF(OR(ISBLANK(P55:P59),ISBLANK(AL55:AL59),ISBLANK(U55:U59),ISBLANK(AQ55:AQ59)),"·",bdRateExtend(P55:P59,U55:U59,AL55:AL59,AQ55:AQ59))</f>
        <v>5.0196447962511659E-3</v>
      </c>
      <c r="BP55" s="54">
        <f>IF(OR(ISBLANK(P55:P59),ISBLANK(AL55:AL59),ISBLANK(V55:V59),ISBLANK(AR55:AR59)),"·",bdRateExtend(P55:P59,V55:V59,AL55:AL59,AR55:AR59))</f>
        <v>3.5786283976027011E-3</v>
      </c>
      <c r="BQ55" s="61"/>
      <c r="BS55" s="54">
        <f>IF(OR(ISBLANK(P55:P59),ISBLANK(AL55:AL59),ISBLANK(X55:X59),ISBLANK(AT55:AT59)),"·",bdRateExtend(P55:P59,X55:X59,AL55:AL59,AT55:AT59))</f>
        <v>3.7420224005217939E-3</v>
      </c>
      <c r="BT55" s="54">
        <f>IF(OR(ISBLANK(P55:P59),ISBLANK(AL55:AL59),ISBLANK(Y55:Y59),ISBLANK(AU55:AU59)),"·",bdRateExtend(P55:P59,Y55:Y59,AL55:AL59,AU55:AU59))</f>
        <v>3.7420224005217939E-3</v>
      </c>
      <c r="BU55" s="54">
        <f>IF(OR(ISBLANK(P55:P59),ISBLANK(AL55:AL59),ISBLANK(Z55:Z59),ISBLANK(AV55:AV59)),"·",bdRateExtend(P55:P59,Z55:Z59,AL55:AL59,AV55:AV59))</f>
        <v>3.7420224005217939E-3</v>
      </c>
      <c r="BV55" s="61"/>
      <c r="BX55">
        <f t="shared" si="12"/>
        <v>0</v>
      </c>
      <c r="BY55">
        <f t="shared" si="13"/>
        <v>69096</v>
      </c>
      <c r="BZ55">
        <f t="shared" si="14"/>
        <v>0</v>
      </c>
      <c r="CA55">
        <f t="shared" si="15"/>
        <v>69096</v>
      </c>
      <c r="CB55">
        <f t="shared" si="16"/>
        <v>0</v>
      </c>
      <c r="CC55">
        <f t="shared" si="17"/>
        <v>0</v>
      </c>
      <c r="CD55">
        <f t="shared" si="18"/>
        <v>-1.5000000000000568E-3</v>
      </c>
      <c r="CE55">
        <f t="shared" si="19"/>
        <v>-1.8999999999991246E-3</v>
      </c>
      <c r="CF55">
        <f t="shared" si="20"/>
        <v>0</v>
      </c>
      <c r="CG55">
        <f t="shared" si="21"/>
        <v>0</v>
      </c>
      <c r="CH55">
        <f t="shared" si="22"/>
        <v>0</v>
      </c>
      <c r="CI55">
        <f t="shared" si="23"/>
        <v>0</v>
      </c>
      <c r="CJ55">
        <f t="shared" si="24"/>
        <v>0</v>
      </c>
    </row>
    <row r="56" spans="1:88" outlineLevel="1" x14ac:dyDescent="0.15">
      <c r="A56" s="8"/>
      <c r="B56" s="8" t="s">
        <v>91</v>
      </c>
      <c r="C56" s="9" t="s">
        <v>255</v>
      </c>
      <c r="D56" s="8">
        <v>3096122</v>
      </c>
      <c r="E56" s="10">
        <v>12</v>
      </c>
      <c r="F56" s="9">
        <v>1</v>
      </c>
      <c r="G56" s="9"/>
      <c r="I56" s="22" t="str">
        <f t="shared" si="0"/>
        <v>·</v>
      </c>
      <c r="J56" s="23">
        <f t="shared" si="1"/>
        <v>8.3229898563428701</v>
      </c>
      <c r="K56" s="23">
        <f t="shared" si="2"/>
        <v>3.8253841418393719</v>
      </c>
      <c r="L56" s="23">
        <f t="shared" si="3"/>
        <v>4.4973602461401718</v>
      </c>
      <c r="M56" s="24"/>
      <c r="N56" s="23">
        <f t="shared" si="4"/>
        <v>8.3229898563428701</v>
      </c>
      <c r="O56" s="25">
        <v>3096122</v>
      </c>
      <c r="P56" s="26">
        <v>25768992</v>
      </c>
      <c r="Q56" s="26">
        <v>11843856</v>
      </c>
      <c r="R56" s="26">
        <v>13924376</v>
      </c>
      <c r="S56" s="40"/>
      <c r="T56" s="41">
        <v>48.322200000000002</v>
      </c>
      <c r="U56" s="41">
        <v>51.174999999999997</v>
      </c>
      <c r="V56" s="41">
        <v>50.887700000000002</v>
      </c>
      <c r="W56" s="42"/>
      <c r="X56" s="41">
        <v>42.110199999999999</v>
      </c>
      <c r="Y56" s="41">
        <v>42.110199999999999</v>
      </c>
      <c r="Z56" s="41">
        <v>42.110199999999999</v>
      </c>
      <c r="AA56" s="42"/>
      <c r="AB56" s="50">
        <v>5</v>
      </c>
      <c r="AC56" s="50">
        <v>4.109</v>
      </c>
      <c r="AE56" s="22" t="str">
        <f t="shared" si="5"/>
        <v>·</v>
      </c>
      <c r="AF56" s="23">
        <f t="shared" si="6"/>
        <v>8.3490069189779987</v>
      </c>
      <c r="AG56" s="23">
        <f t="shared" si="7"/>
        <v>3.8253841418393719</v>
      </c>
      <c r="AH56" s="23">
        <f t="shared" si="8"/>
        <v>4.5233773087753004</v>
      </c>
      <c r="AI56" s="24"/>
      <c r="AJ56" s="23">
        <f t="shared" si="9"/>
        <v>8.3490069189779987</v>
      </c>
      <c r="AK56" s="25">
        <v>3096122</v>
      </c>
      <c r="AL56" s="26">
        <v>25849544</v>
      </c>
      <c r="AM56" s="26">
        <v>11843856</v>
      </c>
      <c r="AN56" s="26">
        <v>14004928</v>
      </c>
      <c r="AO56" s="40"/>
      <c r="AP56" s="41">
        <v>48.323399999999999</v>
      </c>
      <c r="AQ56" s="41">
        <v>51.174199999999999</v>
      </c>
      <c r="AR56" s="41">
        <v>50.889099999999999</v>
      </c>
      <c r="AS56" s="42"/>
      <c r="AT56" s="41">
        <v>42.110199999999999</v>
      </c>
      <c r="AU56" s="41">
        <v>42.110199999999999</v>
      </c>
      <c r="AV56" s="41">
        <v>42.110199999999999</v>
      </c>
      <c r="AW56" s="42"/>
      <c r="AX56" s="50">
        <v>5.0309999999999997</v>
      </c>
      <c r="AY56" s="50">
        <v>4.125</v>
      </c>
      <c r="BA56" s="55">
        <f t="shared" si="10"/>
        <v>-1.4322509842450981E-3</v>
      </c>
      <c r="BB56" s="55"/>
      <c r="BD56" s="56"/>
      <c r="BE56" s="56"/>
      <c r="BF56" s="56"/>
      <c r="BG56" s="62"/>
      <c r="BI56" s="56"/>
      <c r="BJ56" s="56"/>
      <c r="BK56" s="56"/>
      <c r="BL56" s="62"/>
      <c r="BN56" s="56"/>
      <c r="BO56" s="56"/>
      <c r="BP56" s="56"/>
      <c r="BQ56" s="62"/>
      <c r="BS56" s="56"/>
      <c r="BT56" s="56"/>
      <c r="BU56" s="56"/>
      <c r="BV56" s="62"/>
      <c r="BX56">
        <f t="shared" si="12"/>
        <v>0</v>
      </c>
      <c r="BY56">
        <f t="shared" si="13"/>
        <v>80552</v>
      </c>
      <c r="BZ56">
        <f t="shared" si="14"/>
        <v>0</v>
      </c>
      <c r="CA56">
        <f t="shared" si="15"/>
        <v>80552</v>
      </c>
      <c r="CB56">
        <f t="shared" si="16"/>
        <v>0</v>
      </c>
      <c r="CC56">
        <f t="shared" si="17"/>
        <v>1.1999999999972033E-3</v>
      </c>
      <c r="CD56">
        <f t="shared" si="18"/>
        <v>-7.9999999999813554E-4</v>
      </c>
      <c r="CE56">
        <f t="shared" si="19"/>
        <v>1.3999999999967372E-3</v>
      </c>
      <c r="CF56">
        <f t="shared" si="20"/>
        <v>0</v>
      </c>
      <c r="CG56">
        <f t="shared" si="21"/>
        <v>0</v>
      </c>
      <c r="CH56">
        <f t="shared" si="22"/>
        <v>0</v>
      </c>
      <c r="CI56">
        <f t="shared" si="23"/>
        <v>0</v>
      </c>
      <c r="CJ56">
        <f t="shared" si="24"/>
        <v>0</v>
      </c>
    </row>
    <row r="57" spans="1:88" outlineLevel="1" x14ac:dyDescent="0.15">
      <c r="A57" s="5"/>
      <c r="B57" s="5" t="s">
        <v>91</v>
      </c>
      <c r="C57" s="6" t="s">
        <v>256</v>
      </c>
      <c r="D57" s="5">
        <v>3096122</v>
      </c>
      <c r="E57" s="7">
        <v>12</v>
      </c>
      <c r="F57" s="6">
        <v>1</v>
      </c>
      <c r="G57" s="6"/>
      <c r="I57" s="17" t="str">
        <f t="shared" si="0"/>
        <v>·</v>
      </c>
      <c r="J57" s="18">
        <f t="shared" si="1"/>
        <v>6.3210144819874667</v>
      </c>
      <c r="K57" s="18">
        <f t="shared" si="2"/>
        <v>3.8253841418393719</v>
      </c>
      <c r="L57" s="18">
        <f t="shared" si="3"/>
        <v>2.495384871784768</v>
      </c>
      <c r="M57" s="19"/>
      <c r="N57" s="18">
        <f t="shared" si="4"/>
        <v>6.3210144819874667</v>
      </c>
      <c r="O57" s="20">
        <v>3096122</v>
      </c>
      <c r="P57" s="21">
        <v>19570632</v>
      </c>
      <c r="Q57" s="21">
        <v>11843856</v>
      </c>
      <c r="R57" s="21">
        <v>7726016</v>
      </c>
      <c r="S57" s="37"/>
      <c r="T57" s="38">
        <v>41.314900000000002</v>
      </c>
      <c r="U57" s="38">
        <v>45.347200000000001</v>
      </c>
      <c r="V57" s="38">
        <v>45.048299999999998</v>
      </c>
      <c r="W57" s="39"/>
      <c r="X57" s="38">
        <v>34.151400000000002</v>
      </c>
      <c r="Y57" s="38">
        <v>34.151400000000002</v>
      </c>
      <c r="Z57" s="38">
        <v>34.151400000000002</v>
      </c>
      <c r="AA57" s="39"/>
      <c r="AB57" s="49">
        <v>4.968</v>
      </c>
      <c r="AC57" s="49">
        <v>4.0780000000000003</v>
      </c>
      <c r="AE57" s="17" t="str">
        <f t="shared" si="5"/>
        <v>·</v>
      </c>
      <c r="AF57" s="18">
        <f t="shared" si="6"/>
        <v>6.3475715750219148</v>
      </c>
      <c r="AG57" s="18">
        <f t="shared" si="7"/>
        <v>3.8253841418393719</v>
      </c>
      <c r="AH57" s="18">
        <f t="shared" si="8"/>
        <v>2.5219419648192156</v>
      </c>
      <c r="AI57" s="19"/>
      <c r="AJ57" s="18">
        <f t="shared" si="9"/>
        <v>6.3475715750219148</v>
      </c>
      <c r="AK57" s="20">
        <v>3096122</v>
      </c>
      <c r="AL57" s="21">
        <v>19652856</v>
      </c>
      <c r="AM57" s="21">
        <v>11843856</v>
      </c>
      <c r="AN57" s="21">
        <v>7808240</v>
      </c>
      <c r="AO57" s="37"/>
      <c r="AP57" s="38">
        <v>41.315100000000001</v>
      </c>
      <c r="AQ57" s="38">
        <v>45.322400000000002</v>
      </c>
      <c r="AR57" s="38">
        <v>45.063499999999998</v>
      </c>
      <c r="AS57" s="39"/>
      <c r="AT57" s="38">
        <v>34.151400000000002</v>
      </c>
      <c r="AU57" s="38">
        <v>34.151400000000002</v>
      </c>
      <c r="AV57" s="38">
        <v>34.151400000000002</v>
      </c>
      <c r="AW57" s="39"/>
      <c r="AX57" s="49">
        <v>5.0460000000000003</v>
      </c>
      <c r="AY57" s="49">
        <v>4.109</v>
      </c>
      <c r="BA57" s="53">
        <f t="shared" si="10"/>
        <v>-2.531985394449987E-3</v>
      </c>
      <c r="BB57" s="53"/>
      <c r="BD57" s="54"/>
      <c r="BE57" s="54"/>
      <c r="BF57" s="54"/>
      <c r="BG57" s="61"/>
      <c r="BI57" s="54"/>
      <c r="BJ57" s="54"/>
      <c r="BK57" s="54"/>
      <c r="BL57" s="61"/>
      <c r="BN57" s="54"/>
      <c r="BO57" s="54"/>
      <c r="BP57" s="54"/>
      <c r="BQ57" s="61"/>
      <c r="BS57" s="54"/>
      <c r="BT57" s="54"/>
      <c r="BU57" s="54"/>
      <c r="BV57" s="61"/>
      <c r="BX57">
        <f t="shared" si="12"/>
        <v>0</v>
      </c>
      <c r="BY57">
        <f t="shared" si="13"/>
        <v>82224</v>
      </c>
      <c r="BZ57">
        <f t="shared" si="14"/>
        <v>0</v>
      </c>
      <c r="CA57">
        <f t="shared" si="15"/>
        <v>82224</v>
      </c>
      <c r="CB57">
        <f t="shared" si="16"/>
        <v>0</v>
      </c>
      <c r="CC57">
        <f t="shared" si="17"/>
        <v>1.9999999999953388E-4</v>
      </c>
      <c r="CD57">
        <f t="shared" si="18"/>
        <v>-2.4799999999999045E-2</v>
      </c>
      <c r="CE57">
        <f t="shared" si="19"/>
        <v>1.5200000000000102E-2</v>
      </c>
      <c r="CF57">
        <f t="shared" si="20"/>
        <v>0</v>
      </c>
      <c r="CG57">
        <f t="shared" si="21"/>
        <v>0</v>
      </c>
      <c r="CH57">
        <f t="shared" si="22"/>
        <v>0</v>
      </c>
      <c r="CI57">
        <f t="shared" si="23"/>
        <v>0</v>
      </c>
      <c r="CJ57">
        <f t="shared" si="24"/>
        <v>0</v>
      </c>
    </row>
    <row r="58" spans="1:88" outlineLevel="1" x14ac:dyDescent="0.15">
      <c r="A58" s="8"/>
      <c r="B58" s="8" t="s">
        <v>91</v>
      </c>
      <c r="C58" s="9" t="s">
        <v>257</v>
      </c>
      <c r="D58" s="8">
        <v>3096122</v>
      </c>
      <c r="E58" s="10">
        <v>12</v>
      </c>
      <c r="F58" s="9">
        <v>1</v>
      </c>
      <c r="G58" s="9"/>
      <c r="I58" s="22" t="str">
        <f t="shared" si="0"/>
        <v>·</v>
      </c>
      <c r="J58" s="23">
        <f t="shared" si="1"/>
        <v>5.1284542404982751</v>
      </c>
      <c r="K58" s="23">
        <f t="shared" si="2"/>
        <v>3.8253841418393719</v>
      </c>
      <c r="L58" s="23">
        <f t="shared" si="3"/>
        <v>1.3028246302955762</v>
      </c>
      <c r="M58" s="24"/>
      <c r="N58" s="23">
        <f t="shared" si="4"/>
        <v>5.1284542404982751</v>
      </c>
      <c r="O58" s="25">
        <v>3096122</v>
      </c>
      <c r="P58" s="26">
        <v>15878320</v>
      </c>
      <c r="Q58" s="26">
        <v>11843856</v>
      </c>
      <c r="R58" s="26">
        <v>4033704</v>
      </c>
      <c r="S58" s="40"/>
      <c r="T58" s="41">
        <v>35.838500000000003</v>
      </c>
      <c r="U58" s="41">
        <v>40.734999999999999</v>
      </c>
      <c r="V58" s="41">
        <v>40.052500000000002</v>
      </c>
      <c r="W58" s="42"/>
      <c r="X58" s="41">
        <v>28.130800000000001</v>
      </c>
      <c r="Y58" s="41">
        <v>28.130800000000001</v>
      </c>
      <c r="Z58" s="41">
        <v>28.130800000000001</v>
      </c>
      <c r="AA58" s="42"/>
      <c r="AB58" s="50">
        <v>5</v>
      </c>
      <c r="AC58" s="50">
        <v>3.984</v>
      </c>
      <c r="AE58" s="22" t="str">
        <f t="shared" si="5"/>
        <v>·</v>
      </c>
      <c r="AF58" s="23">
        <f t="shared" si="6"/>
        <v>5.1523680268413194</v>
      </c>
      <c r="AG58" s="23">
        <f t="shared" si="7"/>
        <v>3.8253841418393719</v>
      </c>
      <c r="AH58" s="23">
        <f t="shared" si="8"/>
        <v>1.3267384166386209</v>
      </c>
      <c r="AI58" s="24"/>
      <c r="AJ58" s="23">
        <f t="shared" si="9"/>
        <v>5.1523680268413194</v>
      </c>
      <c r="AK58" s="25">
        <v>3096122</v>
      </c>
      <c r="AL58" s="26">
        <v>15952360</v>
      </c>
      <c r="AM58" s="26">
        <v>11843856</v>
      </c>
      <c r="AN58" s="26">
        <v>4107744</v>
      </c>
      <c r="AO58" s="40"/>
      <c r="AP58" s="41">
        <v>35.839399999999998</v>
      </c>
      <c r="AQ58" s="41">
        <v>40.642499999999998</v>
      </c>
      <c r="AR58" s="41">
        <v>40.090400000000002</v>
      </c>
      <c r="AS58" s="42"/>
      <c r="AT58" s="41">
        <v>28.130800000000001</v>
      </c>
      <c r="AU58" s="41">
        <v>28.130800000000001</v>
      </c>
      <c r="AV58" s="41">
        <v>28.130800000000001</v>
      </c>
      <c r="AW58" s="42"/>
      <c r="AX58" s="50">
        <v>5</v>
      </c>
      <c r="AY58" s="50">
        <v>4.093</v>
      </c>
      <c r="BA58" s="55">
        <f t="shared" si="10"/>
        <v>-3.4620236996261156E-3</v>
      </c>
      <c r="BB58" s="55"/>
      <c r="BD58" s="56"/>
      <c r="BE58" s="56"/>
      <c r="BF58" s="56"/>
      <c r="BG58" s="62"/>
      <c r="BI58" s="56"/>
      <c r="BJ58" s="56"/>
      <c r="BK58" s="56"/>
      <c r="BL58" s="62"/>
      <c r="BN58" s="56"/>
      <c r="BO58" s="56"/>
      <c r="BP58" s="56"/>
      <c r="BQ58" s="62"/>
      <c r="BS58" s="56"/>
      <c r="BT58" s="56"/>
      <c r="BU58" s="56"/>
      <c r="BV58" s="62"/>
      <c r="BX58">
        <f t="shared" si="12"/>
        <v>0</v>
      </c>
      <c r="BY58">
        <f t="shared" si="13"/>
        <v>74040</v>
      </c>
      <c r="BZ58">
        <f t="shared" si="14"/>
        <v>0</v>
      </c>
      <c r="CA58">
        <f t="shared" si="15"/>
        <v>74040</v>
      </c>
      <c r="CB58">
        <f t="shared" si="16"/>
        <v>0</v>
      </c>
      <c r="CC58">
        <f t="shared" si="17"/>
        <v>8.9999999999434976E-4</v>
      </c>
      <c r="CD58">
        <f t="shared" si="18"/>
        <v>-9.2500000000001137E-2</v>
      </c>
      <c r="CE58">
        <f t="shared" si="19"/>
        <v>3.7900000000000489E-2</v>
      </c>
      <c r="CF58">
        <f t="shared" si="20"/>
        <v>0</v>
      </c>
      <c r="CG58">
        <f t="shared" si="21"/>
        <v>0</v>
      </c>
      <c r="CH58">
        <f t="shared" si="22"/>
        <v>0</v>
      </c>
      <c r="CI58">
        <f t="shared" si="23"/>
        <v>0</v>
      </c>
      <c r="CJ58">
        <f t="shared" si="24"/>
        <v>0</v>
      </c>
    </row>
    <row r="59" spans="1:88" outlineLevel="1" x14ac:dyDescent="0.15">
      <c r="A59" s="5"/>
      <c r="B59" s="11" t="s">
        <v>91</v>
      </c>
      <c r="C59" s="12" t="s">
        <v>258</v>
      </c>
      <c r="D59" s="11">
        <v>3096122</v>
      </c>
      <c r="E59" s="13">
        <v>12</v>
      </c>
      <c r="F59" s="12">
        <v>1</v>
      </c>
      <c r="G59" s="12"/>
      <c r="I59" s="27" t="str">
        <f t="shared" si="0"/>
        <v>·</v>
      </c>
      <c r="J59" s="28">
        <f t="shared" si="1"/>
        <v>4.3511231146576268</v>
      </c>
      <c r="K59" s="28">
        <f t="shared" si="2"/>
        <v>3.8253841418393719</v>
      </c>
      <c r="L59" s="28">
        <f t="shared" si="3"/>
        <v>0.52549350445492782</v>
      </c>
      <c r="M59" s="29"/>
      <c r="N59" s="28">
        <f t="shared" si="4"/>
        <v>4.3511231146576268</v>
      </c>
      <c r="O59" s="30">
        <v>3096122</v>
      </c>
      <c r="P59" s="31">
        <v>13471608</v>
      </c>
      <c r="Q59" s="31">
        <v>11843856</v>
      </c>
      <c r="R59" s="31">
        <v>1626992</v>
      </c>
      <c r="S59" s="43"/>
      <c r="T59" s="44">
        <v>29.947600000000001</v>
      </c>
      <c r="U59" s="44">
        <v>35.187600000000003</v>
      </c>
      <c r="V59" s="44">
        <v>34.4694</v>
      </c>
      <c r="W59" s="45"/>
      <c r="X59" s="44">
        <v>21.686399999999999</v>
      </c>
      <c r="Y59" s="44">
        <v>21.686399999999999</v>
      </c>
      <c r="Z59" s="44">
        <v>21.686399999999999</v>
      </c>
      <c r="AA59" s="45"/>
      <c r="AB59" s="51">
        <v>4.9370000000000003</v>
      </c>
      <c r="AC59" s="51">
        <v>4.0149999999999997</v>
      </c>
      <c r="AE59" s="27" t="str">
        <f t="shared" si="5"/>
        <v>·</v>
      </c>
      <c r="AF59" s="28">
        <f t="shared" si="6"/>
        <v>4.3650321272869741</v>
      </c>
      <c r="AG59" s="28">
        <f t="shared" si="7"/>
        <v>3.8253841418393719</v>
      </c>
      <c r="AH59" s="28">
        <f t="shared" si="8"/>
        <v>0.53940251708427511</v>
      </c>
      <c r="AI59" s="29"/>
      <c r="AJ59" s="28">
        <f t="shared" si="9"/>
        <v>4.3650321272869741</v>
      </c>
      <c r="AK59" s="30">
        <v>3096122</v>
      </c>
      <c r="AL59" s="31">
        <v>13514672</v>
      </c>
      <c r="AM59" s="31">
        <v>11843856</v>
      </c>
      <c r="AN59" s="31">
        <v>1670056</v>
      </c>
      <c r="AO59" s="43"/>
      <c r="AP59" s="44">
        <v>29.948699999999999</v>
      </c>
      <c r="AQ59" s="44">
        <v>35.236899999999999</v>
      </c>
      <c r="AR59" s="44">
        <v>34.303400000000003</v>
      </c>
      <c r="AS59" s="45"/>
      <c r="AT59" s="44">
        <v>21.686399999999999</v>
      </c>
      <c r="AU59" s="44">
        <v>21.686399999999999</v>
      </c>
      <c r="AV59" s="44">
        <v>21.686399999999999</v>
      </c>
      <c r="AW59" s="45"/>
      <c r="AX59" s="51">
        <v>4.859</v>
      </c>
      <c r="AY59" s="51">
        <v>4.0149999999999997</v>
      </c>
      <c r="BA59" s="57">
        <f t="shared" si="10"/>
        <v>-2.80144782409808E-3</v>
      </c>
      <c r="BB59" s="57"/>
      <c r="BD59" s="58"/>
      <c r="BE59" s="58"/>
      <c r="BF59" s="58"/>
      <c r="BG59" s="63"/>
      <c r="BI59" s="58"/>
      <c r="BJ59" s="58"/>
      <c r="BK59" s="58"/>
      <c r="BL59" s="63"/>
      <c r="BN59" s="58"/>
      <c r="BO59" s="58"/>
      <c r="BP59" s="58"/>
      <c r="BQ59" s="63"/>
      <c r="BS59" s="58"/>
      <c r="BT59" s="58"/>
      <c r="BU59" s="58"/>
      <c r="BV59" s="63"/>
      <c r="BX59">
        <f t="shared" si="12"/>
        <v>0</v>
      </c>
      <c r="BY59">
        <f t="shared" si="13"/>
        <v>43064</v>
      </c>
      <c r="BZ59">
        <f t="shared" si="14"/>
        <v>0</v>
      </c>
      <c r="CA59">
        <f t="shared" si="15"/>
        <v>43064</v>
      </c>
      <c r="CB59">
        <f t="shared" si="16"/>
        <v>0</v>
      </c>
      <c r="CC59">
        <f t="shared" si="17"/>
        <v>1.0999999999974364E-3</v>
      </c>
      <c r="CD59">
        <f t="shared" si="18"/>
        <v>4.9299999999995237E-2</v>
      </c>
      <c r="CE59">
        <f t="shared" si="19"/>
        <v>-0.16599999999999682</v>
      </c>
      <c r="CF59">
        <f t="shared" si="20"/>
        <v>0</v>
      </c>
      <c r="CG59">
        <f t="shared" si="21"/>
        <v>0</v>
      </c>
      <c r="CH59">
        <f t="shared" si="22"/>
        <v>0</v>
      </c>
      <c r="CI59">
        <f t="shared" si="23"/>
        <v>0</v>
      </c>
      <c r="CJ59">
        <f t="shared" si="24"/>
        <v>0</v>
      </c>
    </row>
    <row r="60" spans="1:88" x14ac:dyDescent="0.15">
      <c r="A60" s="8"/>
      <c r="B60" s="8" t="s">
        <v>94</v>
      </c>
      <c r="C60" s="9" t="s">
        <v>254</v>
      </c>
      <c r="D60" s="8">
        <v>857966</v>
      </c>
      <c r="E60" s="10">
        <v>10</v>
      </c>
      <c r="F60" s="9">
        <v>1</v>
      </c>
      <c r="G60" s="9"/>
      <c r="I60" s="22" t="str">
        <f t="shared" si="0"/>
        <v>·</v>
      </c>
      <c r="J60" s="23">
        <f t="shared" si="1"/>
        <v>9.4227603424844339</v>
      </c>
      <c r="K60" s="23">
        <f t="shared" si="2"/>
        <v>1.0206278570479483</v>
      </c>
      <c r="L60" s="23">
        <f t="shared" si="3"/>
        <v>8.4015077520554424</v>
      </c>
      <c r="M60" s="24"/>
      <c r="N60" s="23">
        <f t="shared" si="4"/>
        <v>9.4227603424844339</v>
      </c>
      <c r="O60" s="25">
        <v>857966</v>
      </c>
      <c r="P60" s="26">
        <v>8084408</v>
      </c>
      <c r="Q60" s="26">
        <v>875664</v>
      </c>
      <c r="R60" s="26">
        <v>7208208</v>
      </c>
      <c r="S60" s="40"/>
      <c r="T60" s="41">
        <v>53.255899999999997</v>
      </c>
      <c r="U60" s="41">
        <v>54.914299999999997</v>
      </c>
      <c r="V60" s="41">
        <v>55.229599999999998</v>
      </c>
      <c r="W60" s="42"/>
      <c r="X60" s="41">
        <v>48.130800000000001</v>
      </c>
      <c r="Y60" s="41">
        <v>48.130800000000001</v>
      </c>
      <c r="Z60" s="41">
        <v>48.130800000000001</v>
      </c>
      <c r="AA60" s="42"/>
      <c r="AB60" s="50">
        <v>1.0780000000000001</v>
      </c>
      <c r="AC60" s="50">
        <v>0.81200000000000006</v>
      </c>
      <c r="AE60" s="22" t="str">
        <f t="shared" si="5"/>
        <v>·</v>
      </c>
      <c r="AF60" s="23">
        <f t="shared" si="6"/>
        <v>9.4772333635598613</v>
      </c>
      <c r="AG60" s="23">
        <f t="shared" si="7"/>
        <v>1.0206278570479483</v>
      </c>
      <c r="AH60" s="23">
        <f t="shared" si="8"/>
        <v>8.4559807731308698</v>
      </c>
      <c r="AI60" s="24"/>
      <c r="AJ60" s="23">
        <f t="shared" si="9"/>
        <v>9.4772333635598613</v>
      </c>
      <c r="AK60" s="25">
        <v>857966</v>
      </c>
      <c r="AL60" s="26">
        <v>8131144</v>
      </c>
      <c r="AM60" s="26">
        <v>875664</v>
      </c>
      <c r="AN60" s="26">
        <v>7254944</v>
      </c>
      <c r="AO60" s="40"/>
      <c r="AP60" s="41">
        <v>53.256700000000002</v>
      </c>
      <c r="AQ60" s="41">
        <v>54.907200000000003</v>
      </c>
      <c r="AR60" s="41">
        <v>55.231099999999998</v>
      </c>
      <c r="AS60" s="42"/>
      <c r="AT60" s="41">
        <v>48.130800000000001</v>
      </c>
      <c r="AU60" s="41">
        <v>48.130800000000001</v>
      </c>
      <c r="AV60" s="41">
        <v>48.130800000000001</v>
      </c>
      <c r="AW60" s="42"/>
      <c r="AX60" s="50">
        <v>1.0620000000000001</v>
      </c>
      <c r="AY60" s="50">
        <v>0.82799999999999996</v>
      </c>
      <c r="BA60" s="55">
        <f t="shared" si="10"/>
        <v>-6.2257139091229097E-4</v>
      </c>
      <c r="BB60" s="55">
        <f t="array" ref="BB60">AVERAGE(AM60:AM64/AL60:AL64)-AVERAGE(Q60:Q64/P60:P64)</f>
        <v>-3.9322137497871945E-3</v>
      </c>
      <c r="BD60" s="56">
        <f>IF(OR(ISBLANK(R60:R64),ISBLANK(AN60:AN64),ISBLANK(T60:T64),ISBLANK(AP60:AP64)),"·",bdRateExtend(R60:R64,T60:T64,AN60:AN64,AP60:AP64))</f>
        <v>1.807669152892033E-2</v>
      </c>
      <c r="BE60" s="56">
        <f>IF(OR(ISBLANK(R60:R64),ISBLANK(AN60:AN64),ISBLANK(U60:U64),ISBLANK(AQ60:AQ64)),"·",bdRateExtend(R60:R64,U60:U64,AN60:AN64,AQ60:AQ64))</f>
        <v>2.32075750020031E-2</v>
      </c>
      <c r="BF60" s="56">
        <f>IF(OR(ISBLANK(R60:R64),ISBLANK(AN60:AN64),ISBLANK(V60:V64),ISBLANK(AR60:AR64)),"·",bdRateExtend(R60:R64,V60:V64,AN60:AN64,AR60:AR64))</f>
        <v>2.0062710650773585E-2</v>
      </c>
      <c r="BG60" s="62"/>
      <c r="BI60" s="56">
        <f>IF(OR(ISBLANK(R60:R64),ISBLANK(AN60:AN64),ISBLANK(X60:X64),ISBLANK(AT60:AT64)),"·",bdRateExtend(R60:R64,X60:X64,AN60:AN64,AT60:AT64))</f>
        <v>1.9280263341081127E-2</v>
      </c>
      <c r="BJ60" s="56">
        <f>IF(OR(ISBLANK(R60:R64),ISBLANK(AN60:AN64),ISBLANK(Y60:Y64),ISBLANK(AU60:AU64)),"·",bdRateExtend(R60:R64,Y60:Y64,AN60:AN64,AU60:AU64))</f>
        <v>1.9280263341081127E-2</v>
      </c>
      <c r="BK60" s="56">
        <f>IF(OR(ISBLANK(R60:R64),ISBLANK(AN60:AN64),ISBLANK(Z60:Z64),ISBLANK(AV60:AV64)),"·",bdRateExtend(R60:R64,Z60:Z64,AN60:AN64,AV60:AV64))</f>
        <v>1.9280263341081127E-2</v>
      </c>
      <c r="BL60" s="62"/>
      <c r="BN60" s="56">
        <f>IF(OR(ISBLANK(P60:P64),ISBLANK(AL60:AL64),ISBLANK(T60:T64),ISBLANK(AP60:AP64)),"·",bdRateExtend(P60:P64,T60:T64,AL60:AL64,AP60:AP64))</f>
        <v>1.2783654514633813E-2</v>
      </c>
      <c r="BO60" s="56">
        <f>IF(OR(ISBLANK(P60:P64),ISBLANK(AL60:AL64),ISBLANK(U60:U64),ISBLANK(AQ60:AQ64)),"·",bdRateExtend(P60:P64,U60:U64,AL60:AL64,AQ60:AQ64))</f>
        <v>1.5985445692140221E-2</v>
      </c>
      <c r="BP60" s="56">
        <f>IF(OR(ISBLANK(P60:P64),ISBLANK(AL60:AL64),ISBLANK(V60:V64),ISBLANK(AR60:AR64)),"·",bdRateExtend(P60:P64,V60:V64,AL60:AL64,AR60:AR64))</f>
        <v>1.3945206232297558E-2</v>
      </c>
      <c r="BQ60" s="62"/>
      <c r="BS60" s="56">
        <f>IF(OR(ISBLANK(P60:P64),ISBLANK(AL60:AL64),ISBLANK(X60:X64),ISBLANK(AT60:AT64)),"·",bdRateExtend(P60:P64,X60:X64,AL60:AL64,AT60:AT64))</f>
        <v>1.3575114470620431E-2</v>
      </c>
      <c r="BT60" s="56">
        <f>IF(OR(ISBLANK(P60:P64),ISBLANK(AL60:AL64),ISBLANK(Y60:Y64),ISBLANK(AU60:AU64)),"·",bdRateExtend(P60:P64,Y60:Y64,AL60:AL64,AU60:AU64))</f>
        <v>1.3575114470620431E-2</v>
      </c>
      <c r="BU60" s="56">
        <f>IF(OR(ISBLANK(P60:P64),ISBLANK(AL60:AL64),ISBLANK(Z60:Z64),ISBLANK(AV60:AV64)),"·",bdRateExtend(P60:P64,Z60:Z64,AL60:AL64,AV60:AV64))</f>
        <v>1.3575114470620431E-2</v>
      </c>
      <c r="BV60" s="62"/>
      <c r="BX60">
        <f t="shared" si="12"/>
        <v>0</v>
      </c>
      <c r="BY60">
        <f t="shared" si="13"/>
        <v>46736</v>
      </c>
      <c r="BZ60">
        <f t="shared" si="14"/>
        <v>0</v>
      </c>
      <c r="CA60">
        <f t="shared" si="15"/>
        <v>46736</v>
      </c>
      <c r="CB60">
        <f t="shared" si="16"/>
        <v>0</v>
      </c>
      <c r="CC60">
        <f t="shared" si="17"/>
        <v>8.0000000000524096E-4</v>
      </c>
      <c r="CD60">
        <f t="shared" si="18"/>
        <v>-7.099999999994111E-3</v>
      </c>
      <c r="CE60">
        <f t="shared" si="19"/>
        <v>1.5000000000000568E-3</v>
      </c>
      <c r="CF60">
        <f t="shared" si="20"/>
        <v>0</v>
      </c>
      <c r="CG60">
        <f t="shared" si="21"/>
        <v>0</v>
      </c>
      <c r="CH60">
        <f t="shared" si="22"/>
        <v>0</v>
      </c>
      <c r="CI60">
        <f t="shared" si="23"/>
        <v>0</v>
      </c>
      <c r="CJ60">
        <f t="shared" si="24"/>
        <v>0</v>
      </c>
    </row>
    <row r="61" spans="1:88" outlineLevel="1" x14ac:dyDescent="0.15">
      <c r="A61" s="5"/>
      <c r="B61" s="5" t="s">
        <v>94</v>
      </c>
      <c r="C61" s="6" t="s">
        <v>255</v>
      </c>
      <c r="D61" s="5">
        <v>857966</v>
      </c>
      <c r="E61" s="7">
        <v>10</v>
      </c>
      <c r="F61" s="6">
        <v>1</v>
      </c>
      <c r="G61" s="6"/>
      <c r="I61" s="17" t="str">
        <f t="shared" si="0"/>
        <v>·</v>
      </c>
      <c r="J61" s="18">
        <f t="shared" si="1"/>
        <v>7.0636925006352236</v>
      </c>
      <c r="K61" s="18">
        <f t="shared" si="2"/>
        <v>1.0206278570479483</v>
      </c>
      <c r="L61" s="18">
        <f t="shared" si="3"/>
        <v>6.0424399102062321</v>
      </c>
      <c r="M61" s="19"/>
      <c r="N61" s="18">
        <f t="shared" si="4"/>
        <v>7.0636925006352236</v>
      </c>
      <c r="O61" s="20">
        <v>857966</v>
      </c>
      <c r="P61" s="21">
        <v>6060408</v>
      </c>
      <c r="Q61" s="21">
        <v>875664</v>
      </c>
      <c r="R61" s="21">
        <v>5184208</v>
      </c>
      <c r="S61" s="37"/>
      <c r="T61" s="38">
        <v>48.406500000000001</v>
      </c>
      <c r="U61" s="38">
        <v>50.783900000000003</v>
      </c>
      <c r="V61" s="38">
        <v>50.577599999999997</v>
      </c>
      <c r="W61" s="39"/>
      <c r="X61" s="38">
        <v>42.110199999999999</v>
      </c>
      <c r="Y61" s="38">
        <v>42.110199999999999</v>
      </c>
      <c r="Z61" s="38">
        <v>42.110199999999999</v>
      </c>
      <c r="AA61" s="39"/>
      <c r="AB61" s="49">
        <v>1.0309999999999999</v>
      </c>
      <c r="AC61" s="49">
        <v>0.79600000000000004</v>
      </c>
      <c r="AE61" s="17" t="str">
        <f t="shared" si="5"/>
        <v>·</v>
      </c>
      <c r="AF61" s="18">
        <f t="shared" si="6"/>
        <v>7.1260632705724936</v>
      </c>
      <c r="AG61" s="18">
        <f t="shared" si="7"/>
        <v>1.0206278570479483</v>
      </c>
      <c r="AH61" s="18">
        <f t="shared" si="8"/>
        <v>6.104810680143502</v>
      </c>
      <c r="AI61" s="19"/>
      <c r="AJ61" s="18">
        <f t="shared" si="9"/>
        <v>7.1260632705724936</v>
      </c>
      <c r="AK61" s="20">
        <v>857966</v>
      </c>
      <c r="AL61" s="21">
        <v>6113920</v>
      </c>
      <c r="AM61" s="21">
        <v>875664</v>
      </c>
      <c r="AN61" s="21">
        <v>5237720</v>
      </c>
      <c r="AO61" s="37"/>
      <c r="AP61" s="38">
        <v>48.403199999999998</v>
      </c>
      <c r="AQ61" s="38">
        <v>50.777500000000003</v>
      </c>
      <c r="AR61" s="38">
        <v>50.579900000000002</v>
      </c>
      <c r="AS61" s="39"/>
      <c r="AT61" s="38">
        <v>42.110199999999999</v>
      </c>
      <c r="AU61" s="38">
        <v>42.110199999999999</v>
      </c>
      <c r="AV61" s="38">
        <v>42.110199999999999</v>
      </c>
      <c r="AW61" s="39"/>
      <c r="AX61" s="49">
        <v>1.0620000000000001</v>
      </c>
      <c r="AY61" s="49">
        <v>0.79600000000000004</v>
      </c>
      <c r="BA61" s="53">
        <f t="shared" si="10"/>
        <v>-1.2646404358502561E-3</v>
      </c>
      <c r="BB61" s="53"/>
      <c r="BD61" s="54"/>
      <c r="BE61" s="54"/>
      <c r="BF61" s="54"/>
      <c r="BG61" s="61"/>
      <c r="BI61" s="54"/>
      <c r="BJ61" s="54"/>
      <c r="BK61" s="54"/>
      <c r="BL61" s="61"/>
      <c r="BN61" s="54"/>
      <c r="BO61" s="54"/>
      <c r="BP61" s="54"/>
      <c r="BQ61" s="61"/>
      <c r="BS61" s="54"/>
      <c r="BT61" s="54"/>
      <c r="BU61" s="54"/>
      <c r="BV61" s="61"/>
      <c r="BX61">
        <f t="shared" si="12"/>
        <v>0</v>
      </c>
      <c r="BY61">
        <f t="shared" si="13"/>
        <v>53512</v>
      </c>
      <c r="BZ61">
        <f t="shared" si="14"/>
        <v>0</v>
      </c>
      <c r="CA61">
        <f t="shared" si="15"/>
        <v>53512</v>
      </c>
      <c r="CB61">
        <f t="shared" si="16"/>
        <v>0</v>
      </c>
      <c r="CC61">
        <f t="shared" si="17"/>
        <v>-3.3000000000029672E-3</v>
      </c>
      <c r="CD61">
        <f t="shared" si="18"/>
        <v>-6.3999999999992951E-3</v>
      </c>
      <c r="CE61">
        <f t="shared" si="19"/>
        <v>2.3000000000052978E-3</v>
      </c>
      <c r="CF61">
        <f t="shared" si="20"/>
        <v>0</v>
      </c>
      <c r="CG61">
        <f t="shared" si="21"/>
        <v>0</v>
      </c>
      <c r="CH61">
        <f t="shared" si="22"/>
        <v>0</v>
      </c>
      <c r="CI61">
        <f t="shared" si="23"/>
        <v>0</v>
      </c>
      <c r="CJ61">
        <f t="shared" si="24"/>
        <v>0</v>
      </c>
    </row>
    <row r="62" spans="1:88" outlineLevel="1" x14ac:dyDescent="0.15">
      <c r="A62" s="8"/>
      <c r="B62" s="8" t="s">
        <v>94</v>
      </c>
      <c r="C62" s="9" t="s">
        <v>256</v>
      </c>
      <c r="D62" s="8">
        <v>857966</v>
      </c>
      <c r="E62" s="10">
        <v>10</v>
      </c>
      <c r="F62" s="9">
        <v>1</v>
      </c>
      <c r="G62" s="9"/>
      <c r="I62" s="22" t="str">
        <f t="shared" si="0"/>
        <v>·</v>
      </c>
      <c r="J62" s="23">
        <f t="shared" si="1"/>
        <v>4.6869363121615546</v>
      </c>
      <c r="K62" s="23">
        <f t="shared" si="2"/>
        <v>1.0206278570479483</v>
      </c>
      <c r="L62" s="23">
        <f t="shared" si="3"/>
        <v>3.6656837217325626</v>
      </c>
      <c r="M62" s="24"/>
      <c r="N62" s="23">
        <f t="shared" si="4"/>
        <v>4.6869363121615546</v>
      </c>
      <c r="O62" s="25">
        <v>857966</v>
      </c>
      <c r="P62" s="26">
        <v>4021232</v>
      </c>
      <c r="Q62" s="26">
        <v>875664</v>
      </c>
      <c r="R62" s="26">
        <v>3145032</v>
      </c>
      <c r="S62" s="40"/>
      <c r="T62" s="41">
        <v>41.305599999999998</v>
      </c>
      <c r="U62" s="41">
        <v>44.764600000000002</v>
      </c>
      <c r="V62" s="41">
        <v>44.583199999999998</v>
      </c>
      <c r="W62" s="42"/>
      <c r="X62" s="41">
        <v>34.151400000000002</v>
      </c>
      <c r="Y62" s="41">
        <v>34.151400000000002</v>
      </c>
      <c r="Z62" s="41">
        <v>34.151400000000002</v>
      </c>
      <c r="AA62" s="42"/>
      <c r="AB62" s="50">
        <v>1.0309999999999999</v>
      </c>
      <c r="AC62" s="50">
        <v>0.76500000000000001</v>
      </c>
      <c r="AE62" s="22" t="str">
        <f t="shared" si="5"/>
        <v>·</v>
      </c>
      <c r="AF62" s="23">
        <f t="shared" si="6"/>
        <v>4.7543888685565632</v>
      </c>
      <c r="AG62" s="23">
        <f t="shared" si="7"/>
        <v>1.0206278570479483</v>
      </c>
      <c r="AH62" s="23">
        <f t="shared" si="8"/>
        <v>3.7331362781275717</v>
      </c>
      <c r="AI62" s="24"/>
      <c r="AJ62" s="23">
        <f t="shared" si="9"/>
        <v>4.7543888685565632</v>
      </c>
      <c r="AK62" s="25">
        <v>857966</v>
      </c>
      <c r="AL62" s="26">
        <v>4079104</v>
      </c>
      <c r="AM62" s="26">
        <v>875664</v>
      </c>
      <c r="AN62" s="26">
        <v>3202904</v>
      </c>
      <c r="AO62" s="40"/>
      <c r="AP62" s="41">
        <v>41.318300000000001</v>
      </c>
      <c r="AQ62" s="41">
        <v>44.743699999999997</v>
      </c>
      <c r="AR62" s="41">
        <v>44.570500000000003</v>
      </c>
      <c r="AS62" s="42"/>
      <c r="AT62" s="41">
        <v>34.151400000000002</v>
      </c>
      <c r="AU62" s="41">
        <v>34.151400000000002</v>
      </c>
      <c r="AV62" s="41">
        <v>34.151400000000002</v>
      </c>
      <c r="AW62" s="42"/>
      <c r="AX62" s="50">
        <v>1.0149999999999999</v>
      </c>
      <c r="AY62" s="50">
        <v>0.78100000000000003</v>
      </c>
      <c r="BA62" s="55">
        <f t="shared" si="10"/>
        <v>-3.0894564588281048E-3</v>
      </c>
      <c r="BB62" s="55"/>
      <c r="BD62" s="56"/>
      <c r="BE62" s="56"/>
      <c r="BF62" s="56"/>
      <c r="BG62" s="62"/>
      <c r="BI62" s="56"/>
      <c r="BJ62" s="56"/>
      <c r="BK62" s="56"/>
      <c r="BL62" s="62"/>
      <c r="BN62" s="56"/>
      <c r="BO62" s="56"/>
      <c r="BP62" s="56"/>
      <c r="BQ62" s="62"/>
      <c r="BS62" s="56"/>
      <c r="BT62" s="56"/>
      <c r="BU62" s="56"/>
      <c r="BV62" s="62"/>
      <c r="BX62">
        <f t="shared" si="12"/>
        <v>0</v>
      </c>
      <c r="BY62">
        <f t="shared" si="13"/>
        <v>57872</v>
      </c>
      <c r="BZ62">
        <f t="shared" si="14"/>
        <v>0</v>
      </c>
      <c r="CA62">
        <f t="shared" si="15"/>
        <v>57872</v>
      </c>
      <c r="CB62">
        <f t="shared" si="16"/>
        <v>0</v>
      </c>
      <c r="CC62">
        <f t="shared" si="17"/>
        <v>1.2700000000002376E-2</v>
      </c>
      <c r="CD62">
        <f t="shared" si="18"/>
        <v>-2.0900000000004582E-2</v>
      </c>
      <c r="CE62">
        <f t="shared" si="19"/>
        <v>-1.2699999999995271E-2</v>
      </c>
      <c r="CF62">
        <f t="shared" si="20"/>
        <v>0</v>
      </c>
      <c r="CG62">
        <f t="shared" si="21"/>
        <v>0</v>
      </c>
      <c r="CH62">
        <f t="shared" si="22"/>
        <v>0</v>
      </c>
      <c r="CI62">
        <f t="shared" si="23"/>
        <v>0</v>
      </c>
      <c r="CJ62">
        <f t="shared" si="24"/>
        <v>0</v>
      </c>
    </row>
    <row r="63" spans="1:88" outlineLevel="1" x14ac:dyDescent="0.15">
      <c r="A63" s="5"/>
      <c r="B63" s="5" t="s">
        <v>94</v>
      </c>
      <c r="C63" s="6" t="s">
        <v>257</v>
      </c>
      <c r="D63" s="5">
        <v>857966</v>
      </c>
      <c r="E63" s="7">
        <v>10</v>
      </c>
      <c r="F63" s="6">
        <v>1</v>
      </c>
      <c r="G63" s="6"/>
      <c r="I63" s="17" t="str">
        <f t="shared" si="0"/>
        <v>·</v>
      </c>
      <c r="J63" s="18">
        <f t="shared" si="1"/>
        <v>3.1204033726278197</v>
      </c>
      <c r="K63" s="18">
        <f t="shared" si="2"/>
        <v>1.0206278570479483</v>
      </c>
      <c r="L63" s="18">
        <f t="shared" si="3"/>
        <v>2.0991507821988282</v>
      </c>
      <c r="M63" s="19"/>
      <c r="N63" s="18">
        <f t="shared" si="4"/>
        <v>3.1204033726278197</v>
      </c>
      <c r="O63" s="20">
        <v>857966</v>
      </c>
      <c r="P63" s="21">
        <v>2677200</v>
      </c>
      <c r="Q63" s="21">
        <v>875664</v>
      </c>
      <c r="R63" s="21">
        <v>1801000</v>
      </c>
      <c r="S63" s="37"/>
      <c r="T63" s="38">
        <v>35.709400000000002</v>
      </c>
      <c r="U63" s="38">
        <v>40.1374</v>
      </c>
      <c r="V63" s="38">
        <v>39.547199999999997</v>
      </c>
      <c r="W63" s="39"/>
      <c r="X63" s="38">
        <v>28.130800000000001</v>
      </c>
      <c r="Y63" s="38">
        <v>28.130800000000001</v>
      </c>
      <c r="Z63" s="38">
        <v>28.130800000000001</v>
      </c>
      <c r="AA63" s="39"/>
      <c r="AB63" s="49">
        <v>1.0149999999999999</v>
      </c>
      <c r="AC63" s="49">
        <v>0.75</v>
      </c>
      <c r="AE63" s="17" t="str">
        <f t="shared" si="5"/>
        <v>·</v>
      </c>
      <c r="AF63" s="18">
        <f t="shared" si="6"/>
        <v>3.1811144031348562</v>
      </c>
      <c r="AG63" s="18">
        <f t="shared" si="7"/>
        <v>1.0206278570479483</v>
      </c>
      <c r="AH63" s="18">
        <f t="shared" si="8"/>
        <v>2.1598618127058646</v>
      </c>
      <c r="AI63" s="19"/>
      <c r="AJ63" s="18">
        <f t="shared" si="9"/>
        <v>3.1811144031348562</v>
      </c>
      <c r="AK63" s="20">
        <v>857966</v>
      </c>
      <c r="AL63" s="21">
        <v>2729288</v>
      </c>
      <c r="AM63" s="21">
        <v>875664</v>
      </c>
      <c r="AN63" s="21">
        <v>1853088</v>
      </c>
      <c r="AO63" s="37"/>
      <c r="AP63" s="38">
        <v>35.738900000000001</v>
      </c>
      <c r="AQ63" s="38">
        <v>40.11</v>
      </c>
      <c r="AR63" s="38">
        <v>39.5642</v>
      </c>
      <c r="AS63" s="39"/>
      <c r="AT63" s="38">
        <v>28.130800000000001</v>
      </c>
      <c r="AU63" s="38">
        <v>28.130800000000001</v>
      </c>
      <c r="AV63" s="38">
        <v>28.130800000000001</v>
      </c>
      <c r="AW63" s="39"/>
      <c r="AX63" s="49">
        <v>1.0620000000000001</v>
      </c>
      <c r="AY63" s="49">
        <v>0.81200000000000006</v>
      </c>
      <c r="BA63" s="53">
        <f t="shared" si="10"/>
        <v>-6.24230516169344E-3</v>
      </c>
      <c r="BB63" s="53"/>
      <c r="BD63" s="54"/>
      <c r="BE63" s="54"/>
      <c r="BF63" s="54"/>
      <c r="BG63" s="61"/>
      <c r="BI63" s="54"/>
      <c r="BJ63" s="54"/>
      <c r="BK63" s="54"/>
      <c r="BL63" s="61"/>
      <c r="BN63" s="54"/>
      <c r="BO63" s="54"/>
      <c r="BP63" s="54"/>
      <c r="BQ63" s="61"/>
      <c r="BS63" s="54"/>
      <c r="BT63" s="54"/>
      <c r="BU63" s="54"/>
      <c r="BV63" s="61"/>
      <c r="BX63">
        <f t="shared" si="12"/>
        <v>0</v>
      </c>
      <c r="BY63">
        <f t="shared" si="13"/>
        <v>52088</v>
      </c>
      <c r="BZ63">
        <f t="shared" si="14"/>
        <v>0</v>
      </c>
      <c r="CA63">
        <f t="shared" si="15"/>
        <v>52088</v>
      </c>
      <c r="CB63">
        <f t="shared" si="16"/>
        <v>0</v>
      </c>
      <c r="CC63">
        <f t="shared" si="17"/>
        <v>2.9499999999998749E-2</v>
      </c>
      <c r="CD63">
        <f t="shared" si="18"/>
        <v>-2.7400000000000091E-2</v>
      </c>
      <c r="CE63">
        <f t="shared" si="19"/>
        <v>1.7000000000003013E-2</v>
      </c>
      <c r="CF63">
        <f t="shared" si="20"/>
        <v>0</v>
      </c>
      <c r="CG63">
        <f t="shared" si="21"/>
        <v>0</v>
      </c>
      <c r="CH63">
        <f t="shared" si="22"/>
        <v>0</v>
      </c>
      <c r="CI63">
        <f t="shared" si="23"/>
        <v>0</v>
      </c>
      <c r="CJ63">
        <f t="shared" si="24"/>
        <v>0</v>
      </c>
    </row>
    <row r="64" spans="1:88" outlineLevel="1" x14ac:dyDescent="0.15">
      <c r="A64" s="8"/>
      <c r="B64" s="14" t="s">
        <v>94</v>
      </c>
      <c r="C64" s="15" t="s">
        <v>258</v>
      </c>
      <c r="D64" s="14">
        <v>857966</v>
      </c>
      <c r="E64" s="16">
        <v>10</v>
      </c>
      <c r="F64" s="15">
        <v>1</v>
      </c>
      <c r="G64" s="15"/>
      <c r="I64" s="32" t="str">
        <f t="shared" si="0"/>
        <v>·</v>
      </c>
      <c r="J64" s="33">
        <f t="shared" si="1"/>
        <v>1.9737099139126726</v>
      </c>
      <c r="K64" s="33">
        <f t="shared" si="2"/>
        <v>1.0206278570479483</v>
      </c>
      <c r="L64" s="33">
        <f t="shared" si="3"/>
        <v>0.95245732348368117</v>
      </c>
      <c r="M64" s="34"/>
      <c r="N64" s="33">
        <f t="shared" si="4"/>
        <v>1.9737099139126726</v>
      </c>
      <c r="O64" s="35">
        <v>857966</v>
      </c>
      <c r="P64" s="36">
        <v>1693376</v>
      </c>
      <c r="Q64" s="36">
        <v>875664</v>
      </c>
      <c r="R64" s="36">
        <v>817176</v>
      </c>
      <c r="S64" s="46"/>
      <c r="T64" s="47">
        <v>29.744399999999999</v>
      </c>
      <c r="U64" s="47">
        <v>35.033499999999997</v>
      </c>
      <c r="V64" s="47">
        <v>34.044800000000002</v>
      </c>
      <c r="W64" s="48"/>
      <c r="X64" s="47">
        <v>21.686399999999999</v>
      </c>
      <c r="Y64" s="47">
        <v>21.686399999999999</v>
      </c>
      <c r="Z64" s="47">
        <v>21.686399999999999</v>
      </c>
      <c r="AA64" s="48"/>
      <c r="AB64" s="52">
        <v>0.95299999999999996</v>
      </c>
      <c r="AC64" s="52">
        <v>0.73399999999999999</v>
      </c>
      <c r="AE64" s="32" t="str">
        <f t="shared" si="5"/>
        <v>·</v>
      </c>
      <c r="AF64" s="33">
        <f t="shared" si="6"/>
        <v>2.006466456712737</v>
      </c>
      <c r="AG64" s="33">
        <f t="shared" si="7"/>
        <v>1.0206278570479483</v>
      </c>
      <c r="AH64" s="33">
        <f t="shared" si="8"/>
        <v>0.98521386628374552</v>
      </c>
      <c r="AI64" s="34"/>
      <c r="AJ64" s="33">
        <f t="shared" si="9"/>
        <v>2.006466456712737</v>
      </c>
      <c r="AK64" s="35">
        <v>857966</v>
      </c>
      <c r="AL64" s="36">
        <v>1721480</v>
      </c>
      <c r="AM64" s="36">
        <v>875664</v>
      </c>
      <c r="AN64" s="36">
        <v>845280</v>
      </c>
      <c r="AO64" s="46"/>
      <c r="AP64" s="47">
        <v>29.774100000000001</v>
      </c>
      <c r="AQ64" s="47">
        <v>34.931899999999999</v>
      </c>
      <c r="AR64" s="47">
        <v>33.999400000000001</v>
      </c>
      <c r="AS64" s="48"/>
      <c r="AT64" s="47">
        <v>21.686399999999999</v>
      </c>
      <c r="AU64" s="47">
        <v>21.686399999999999</v>
      </c>
      <c r="AV64" s="47">
        <v>21.686399999999999</v>
      </c>
      <c r="AW64" s="48"/>
      <c r="AX64" s="52">
        <v>1.046</v>
      </c>
      <c r="AY64" s="52">
        <v>0.78100000000000003</v>
      </c>
      <c r="BA64" s="59">
        <f t="shared" si="10"/>
        <v>-8.4420953016517419E-3</v>
      </c>
      <c r="BB64" s="59"/>
      <c r="BD64" s="60"/>
      <c r="BE64" s="60"/>
      <c r="BF64" s="60"/>
      <c r="BG64" s="64"/>
      <c r="BI64" s="60"/>
      <c r="BJ64" s="60"/>
      <c r="BK64" s="60"/>
      <c r="BL64" s="64"/>
      <c r="BN64" s="60"/>
      <c r="BO64" s="60"/>
      <c r="BP64" s="60"/>
      <c r="BQ64" s="64"/>
      <c r="BS64" s="60"/>
      <c r="BT64" s="60"/>
      <c r="BU64" s="60"/>
      <c r="BV64" s="64"/>
      <c r="BX64">
        <f t="shared" si="12"/>
        <v>0</v>
      </c>
      <c r="BY64">
        <f t="shared" si="13"/>
        <v>28104</v>
      </c>
      <c r="BZ64">
        <f t="shared" si="14"/>
        <v>0</v>
      </c>
      <c r="CA64">
        <f t="shared" si="15"/>
        <v>28104</v>
      </c>
      <c r="CB64">
        <f t="shared" si="16"/>
        <v>0</v>
      </c>
      <c r="CC64">
        <f t="shared" si="17"/>
        <v>2.9700000000001836E-2</v>
      </c>
      <c r="CD64">
        <f t="shared" si="18"/>
        <v>-0.10159999999999769</v>
      </c>
      <c r="CE64">
        <f t="shared" si="19"/>
        <v>-4.5400000000000773E-2</v>
      </c>
      <c r="CF64">
        <f t="shared" si="20"/>
        <v>0</v>
      </c>
      <c r="CG64">
        <f t="shared" si="21"/>
        <v>0</v>
      </c>
      <c r="CH64">
        <f t="shared" si="22"/>
        <v>0</v>
      </c>
      <c r="CI64">
        <f t="shared" si="23"/>
        <v>0</v>
      </c>
      <c r="CJ64">
        <f t="shared" si="24"/>
        <v>0</v>
      </c>
    </row>
    <row r="65" spans="1:88" x14ac:dyDescent="0.15">
      <c r="A65" s="5"/>
      <c r="B65" s="5" t="s">
        <v>97</v>
      </c>
      <c r="C65" s="6" t="s">
        <v>254</v>
      </c>
      <c r="D65" s="5">
        <v>3017285</v>
      </c>
      <c r="E65" s="7">
        <v>12</v>
      </c>
      <c r="F65" s="6">
        <v>1</v>
      </c>
      <c r="G65" s="6"/>
      <c r="I65" s="17" t="str">
        <f t="shared" si="0"/>
        <v>·</v>
      </c>
      <c r="J65" s="18">
        <f t="shared" si="1"/>
        <v>5.9207506085769159</v>
      </c>
      <c r="K65" s="18">
        <f t="shared" si="2"/>
        <v>3.7168832244882402</v>
      </c>
      <c r="L65" s="18">
        <f t="shared" si="3"/>
        <v>2.203588988113486</v>
      </c>
      <c r="M65" s="19"/>
      <c r="N65" s="18">
        <f t="shared" si="4"/>
        <v>5.9207506085769159</v>
      </c>
      <c r="O65" s="20">
        <v>3017285</v>
      </c>
      <c r="P65" s="21">
        <v>17864592</v>
      </c>
      <c r="Q65" s="21">
        <v>11214896</v>
      </c>
      <c r="R65" s="21">
        <v>6648856</v>
      </c>
      <c r="S65" s="37"/>
      <c r="T65" s="38">
        <v>52.420900000000003</v>
      </c>
      <c r="U65" s="38">
        <v>57.415700000000001</v>
      </c>
      <c r="V65" s="38">
        <v>56.801499999999997</v>
      </c>
      <c r="W65" s="39"/>
      <c r="X65" s="38">
        <v>48.130800000000001</v>
      </c>
      <c r="Y65" s="38">
        <v>48.130800000000001</v>
      </c>
      <c r="Z65" s="38">
        <v>48.130800000000001</v>
      </c>
      <c r="AA65" s="39"/>
      <c r="AB65" s="49">
        <v>5.0309999999999997</v>
      </c>
      <c r="AC65" s="49">
        <v>3.9209999999999998</v>
      </c>
      <c r="AE65" s="17" t="str">
        <f t="shared" si="5"/>
        <v>·</v>
      </c>
      <c r="AF65" s="18">
        <f t="shared" si="6"/>
        <v>5.9215884478927245</v>
      </c>
      <c r="AG65" s="18">
        <f t="shared" si="7"/>
        <v>3.7168832244882402</v>
      </c>
      <c r="AH65" s="18">
        <f t="shared" si="8"/>
        <v>2.2044268274292951</v>
      </c>
      <c r="AI65" s="19"/>
      <c r="AJ65" s="18">
        <f t="shared" si="9"/>
        <v>5.9215884478927245</v>
      </c>
      <c r="AK65" s="20">
        <v>3017285</v>
      </c>
      <c r="AL65" s="21">
        <v>17867120</v>
      </c>
      <c r="AM65" s="21">
        <v>11214896</v>
      </c>
      <c r="AN65" s="21">
        <v>6651384</v>
      </c>
      <c r="AO65" s="37"/>
      <c r="AP65" s="38">
        <v>52.4208</v>
      </c>
      <c r="AQ65" s="38">
        <v>57.418300000000002</v>
      </c>
      <c r="AR65" s="38">
        <v>56.804200000000002</v>
      </c>
      <c r="AS65" s="39"/>
      <c r="AT65" s="38">
        <v>48.130800000000001</v>
      </c>
      <c r="AU65" s="38">
        <v>48.130800000000001</v>
      </c>
      <c r="AV65" s="38">
        <v>48.130800000000001</v>
      </c>
      <c r="AW65" s="39"/>
      <c r="AX65" s="49">
        <v>4.9530000000000003</v>
      </c>
      <c r="AY65" s="49">
        <v>3.968</v>
      </c>
      <c r="BA65" s="53">
        <f t="shared" si="10"/>
        <v>-8.8822841801672325E-5</v>
      </c>
      <c r="BB65" s="53">
        <f t="array" ref="BB65">AVERAGE(AM65:AM69/AL65:AL69)-AVERAGE(Q65:Q69/P65:P69)</f>
        <v>1.3906029982790891E-4</v>
      </c>
      <c r="BD65" s="54">
        <f>IF(OR(ISBLANK(R65:R69),ISBLANK(AN65:AN69),ISBLANK(T65:T69),ISBLANK(AP65:AP69)),"·",bdRateExtend(R65:R69,T65:T69,AN65:AN69,AP65:AP69))</f>
        <v>-2.8515054920830174E-4</v>
      </c>
      <c r="BE65" s="54">
        <f>IF(OR(ISBLANK(R65:R69),ISBLANK(AN65:AN69),ISBLANK(U65:U69),ISBLANK(AQ65:AQ69)),"·",bdRateExtend(R65:R69,U65:U69,AN65:AN69,AQ65:AQ69))</f>
        <v>-1.2887819178469595E-2</v>
      </c>
      <c r="BF65" s="54">
        <f>IF(OR(ISBLANK(R65:R69),ISBLANK(AN65:AN69),ISBLANK(V65:V69),ISBLANK(AR65:AR69)),"·",bdRateExtend(R65:R69,V65:V69,AN65:AN69,AR65:AR69))</f>
        <v>-1.9559869027151788E-2</v>
      </c>
      <c r="BG65" s="61"/>
      <c r="BI65" s="54">
        <f>IF(OR(ISBLANK(R65:R69),ISBLANK(AN65:AN69),ISBLANK(X65:X69),ISBLANK(AT65:AT69)),"·",bdRateExtend(R65:R69,X65:X69,AN65:AN69,AT65:AT69))</f>
        <v>-4.2826146925588615E-3</v>
      </c>
      <c r="BJ65" s="54">
        <f>IF(OR(ISBLANK(R65:R69),ISBLANK(AN65:AN69),ISBLANK(Y65:Y69),ISBLANK(AU65:AU69)),"·",bdRateExtend(R65:R69,Y65:Y69,AN65:AN69,AU65:AU69))</f>
        <v>-4.2826146925588615E-3</v>
      </c>
      <c r="BK65" s="54">
        <f>IF(OR(ISBLANK(R65:R69),ISBLANK(AN65:AN69),ISBLANK(Z65:Z69),ISBLANK(AV65:AV69)),"·",bdRateExtend(R65:R69,Z65:Z69,AN65:AN69,AV65:AV69))</f>
        <v>-4.2826146925588615E-3</v>
      </c>
      <c r="BL65" s="61"/>
      <c r="BN65" s="54">
        <f>IF(OR(ISBLANK(P65:P69),ISBLANK(AL65:AL69),ISBLANK(T65:T69),ISBLANK(AP65:AP69)),"·",bdRateExtend(P65:P69,T65:T69,AL65:AL69,AP65:AP69))</f>
        <v>1.137331370260064E-5</v>
      </c>
      <c r="BO65" s="54">
        <f>IF(OR(ISBLANK(P65:P69),ISBLANK(AL65:AL69),ISBLANK(U65:U69),ISBLANK(AQ65:AQ69)),"·",bdRateExtend(P65:P69,U65:U69,AL65:AL69,AQ65:AQ69))</f>
        <v>-1.0049024343461443E-4</v>
      </c>
      <c r="BP65" s="54">
        <f>IF(OR(ISBLANK(P65:P69),ISBLANK(AL65:AL69),ISBLANK(V65:V69),ISBLANK(AR65:AR69)),"·",bdRateExtend(P65:P69,V65:V69,AL65:AL69,AR65:AR69))</f>
        <v>-1.2291261743050397E-3</v>
      </c>
      <c r="BQ65" s="61"/>
      <c r="BS65" s="54">
        <f>IF(OR(ISBLANK(P65:P69),ISBLANK(AL65:AL69),ISBLANK(X65:X69),ISBLANK(AT65:AT69)),"·",bdRateExtend(P65:P69,X65:X69,AL65:AL69,AT65:AT69))</f>
        <v>-1.4869942456496865E-4</v>
      </c>
      <c r="BT65" s="54">
        <f>IF(OR(ISBLANK(P65:P69),ISBLANK(AL65:AL69),ISBLANK(Y65:Y69),ISBLANK(AU65:AU69)),"·",bdRateExtend(P65:P69,Y65:Y69,AL65:AL69,AU65:AU69))</f>
        <v>-1.4869942456496865E-4</v>
      </c>
      <c r="BU65" s="54">
        <f>IF(OR(ISBLANK(P65:P69),ISBLANK(AL65:AL69),ISBLANK(Z65:Z69),ISBLANK(AV65:AV69)),"·",bdRateExtend(P65:P69,Z65:Z69,AL65:AL69,AV65:AV69))</f>
        <v>-1.4869942456496865E-4</v>
      </c>
      <c r="BV65" s="61"/>
      <c r="BX65">
        <f t="shared" si="12"/>
        <v>0</v>
      </c>
      <c r="BY65">
        <f t="shared" si="13"/>
        <v>2528</v>
      </c>
      <c r="BZ65">
        <f t="shared" si="14"/>
        <v>0</v>
      </c>
      <c r="CA65">
        <f t="shared" si="15"/>
        <v>2528</v>
      </c>
      <c r="CB65">
        <f t="shared" si="16"/>
        <v>0</v>
      </c>
      <c r="CC65">
        <f t="shared" si="17"/>
        <v>-1.0000000000331966E-4</v>
      </c>
      <c r="CD65">
        <f t="shared" si="18"/>
        <v>2.6000000000010459E-3</v>
      </c>
      <c r="CE65">
        <f t="shared" si="19"/>
        <v>2.7000000000043656E-3</v>
      </c>
      <c r="CF65">
        <f t="shared" si="20"/>
        <v>0</v>
      </c>
      <c r="CG65">
        <f t="shared" si="21"/>
        <v>0</v>
      </c>
      <c r="CH65">
        <f t="shared" si="22"/>
        <v>0</v>
      </c>
      <c r="CI65">
        <f t="shared" si="23"/>
        <v>0</v>
      </c>
      <c r="CJ65">
        <f t="shared" si="24"/>
        <v>0</v>
      </c>
    </row>
    <row r="66" spans="1:88" outlineLevel="1" x14ac:dyDescent="0.15">
      <c r="A66" s="8"/>
      <c r="B66" s="8" t="s">
        <v>97</v>
      </c>
      <c r="C66" s="9" t="s">
        <v>255</v>
      </c>
      <c r="D66" s="8">
        <v>3017285</v>
      </c>
      <c r="E66" s="10">
        <v>12</v>
      </c>
      <c r="F66" s="9">
        <v>1</v>
      </c>
      <c r="G66" s="9"/>
      <c r="I66" s="22" t="str">
        <f t="shared" si="0"/>
        <v>·</v>
      </c>
      <c r="J66" s="23">
        <f t="shared" si="1"/>
        <v>5.059396112730485</v>
      </c>
      <c r="K66" s="23">
        <f t="shared" si="2"/>
        <v>3.7168832244882402</v>
      </c>
      <c r="L66" s="23">
        <f t="shared" si="3"/>
        <v>1.3422344922670546</v>
      </c>
      <c r="M66" s="24"/>
      <c r="N66" s="23">
        <f t="shared" si="4"/>
        <v>5.059396112730485</v>
      </c>
      <c r="O66" s="25">
        <v>3017285</v>
      </c>
      <c r="P66" s="26">
        <v>15265640</v>
      </c>
      <c r="Q66" s="26">
        <v>11214896</v>
      </c>
      <c r="R66" s="26">
        <v>4049904</v>
      </c>
      <c r="S66" s="40"/>
      <c r="T66" s="41">
        <v>47.939900000000002</v>
      </c>
      <c r="U66" s="41">
        <v>53.674199999999999</v>
      </c>
      <c r="V66" s="41">
        <v>53.166699999999999</v>
      </c>
      <c r="W66" s="42"/>
      <c r="X66" s="41">
        <v>42.110199999999999</v>
      </c>
      <c r="Y66" s="41">
        <v>42.110199999999999</v>
      </c>
      <c r="Z66" s="41">
        <v>42.110199999999999</v>
      </c>
      <c r="AA66" s="42"/>
      <c r="AB66" s="50">
        <v>4.9059999999999997</v>
      </c>
      <c r="AC66" s="50">
        <v>3.9369999999999998</v>
      </c>
      <c r="AE66" s="22" t="str">
        <f t="shared" si="5"/>
        <v>·</v>
      </c>
      <c r="AF66" s="23">
        <f t="shared" si="6"/>
        <v>5.0590302208773785</v>
      </c>
      <c r="AG66" s="23">
        <f t="shared" si="7"/>
        <v>3.7168832244882402</v>
      </c>
      <c r="AH66" s="23">
        <f t="shared" si="8"/>
        <v>1.3418686004139484</v>
      </c>
      <c r="AI66" s="24"/>
      <c r="AJ66" s="23">
        <f t="shared" si="9"/>
        <v>5.0590302208773785</v>
      </c>
      <c r="AK66" s="25">
        <v>3017285</v>
      </c>
      <c r="AL66" s="26">
        <v>15264536</v>
      </c>
      <c r="AM66" s="26">
        <v>11214896</v>
      </c>
      <c r="AN66" s="26">
        <v>4048800</v>
      </c>
      <c r="AO66" s="40"/>
      <c r="AP66" s="41">
        <v>47.939100000000003</v>
      </c>
      <c r="AQ66" s="41">
        <v>53.675699999999999</v>
      </c>
      <c r="AR66" s="41">
        <v>53.171399999999998</v>
      </c>
      <c r="AS66" s="42"/>
      <c r="AT66" s="41">
        <v>42.110199999999999</v>
      </c>
      <c r="AU66" s="41">
        <v>42.110199999999999</v>
      </c>
      <c r="AV66" s="41">
        <v>42.110199999999999</v>
      </c>
      <c r="AW66" s="42"/>
      <c r="AX66" s="50">
        <v>4.8120000000000003</v>
      </c>
      <c r="AY66" s="50">
        <v>3.9209999999999998</v>
      </c>
      <c r="BA66" s="55">
        <f t="shared" si="10"/>
        <v>5.3133166660002118E-5</v>
      </c>
      <c r="BB66" s="55"/>
      <c r="BD66" s="56"/>
      <c r="BE66" s="56"/>
      <c r="BF66" s="56"/>
      <c r="BG66" s="62"/>
      <c r="BI66" s="56"/>
      <c r="BJ66" s="56"/>
      <c r="BK66" s="56"/>
      <c r="BL66" s="62"/>
      <c r="BN66" s="56"/>
      <c r="BO66" s="56"/>
      <c r="BP66" s="56"/>
      <c r="BQ66" s="62"/>
      <c r="BS66" s="56"/>
      <c r="BT66" s="56"/>
      <c r="BU66" s="56"/>
      <c r="BV66" s="62"/>
      <c r="BX66">
        <f t="shared" si="12"/>
        <v>0</v>
      </c>
      <c r="BY66">
        <f t="shared" si="13"/>
        <v>-1104</v>
      </c>
      <c r="BZ66">
        <f t="shared" si="14"/>
        <v>0</v>
      </c>
      <c r="CA66">
        <f t="shared" si="15"/>
        <v>-1104</v>
      </c>
      <c r="CB66">
        <f t="shared" si="16"/>
        <v>0</v>
      </c>
      <c r="CC66">
        <f t="shared" si="17"/>
        <v>-7.9999999999813554E-4</v>
      </c>
      <c r="CD66">
        <f t="shared" si="18"/>
        <v>1.5000000000000568E-3</v>
      </c>
      <c r="CE66">
        <f t="shared" si="19"/>
        <v>4.6999999999997044E-3</v>
      </c>
      <c r="CF66">
        <f t="shared" si="20"/>
        <v>0</v>
      </c>
      <c r="CG66">
        <f t="shared" si="21"/>
        <v>0</v>
      </c>
      <c r="CH66">
        <f t="shared" si="22"/>
        <v>0</v>
      </c>
      <c r="CI66">
        <f t="shared" si="23"/>
        <v>0</v>
      </c>
      <c r="CJ66">
        <f t="shared" si="24"/>
        <v>0</v>
      </c>
    </row>
    <row r="67" spans="1:88" outlineLevel="1" x14ac:dyDescent="0.15">
      <c r="A67" s="5"/>
      <c r="B67" s="5" t="s">
        <v>97</v>
      </c>
      <c r="C67" s="6" t="s">
        <v>256</v>
      </c>
      <c r="D67" s="5">
        <v>3017285</v>
      </c>
      <c r="E67" s="7">
        <v>12</v>
      </c>
      <c r="F67" s="6">
        <v>1</v>
      </c>
      <c r="G67" s="6"/>
      <c r="I67" s="17" t="str">
        <f t="shared" si="0"/>
        <v>·</v>
      </c>
      <c r="J67" s="18">
        <f t="shared" si="1"/>
        <v>4.2551817279441622</v>
      </c>
      <c r="K67" s="18">
        <f t="shared" si="2"/>
        <v>3.7168832244882402</v>
      </c>
      <c r="L67" s="18">
        <f t="shared" si="3"/>
        <v>0.53802010748073181</v>
      </c>
      <c r="M67" s="19"/>
      <c r="N67" s="18">
        <f t="shared" si="4"/>
        <v>4.2551817279441622</v>
      </c>
      <c r="O67" s="20">
        <v>3017285</v>
      </c>
      <c r="P67" s="21">
        <v>12839096</v>
      </c>
      <c r="Q67" s="21">
        <v>11214896</v>
      </c>
      <c r="R67" s="21">
        <v>1623360</v>
      </c>
      <c r="S67" s="37"/>
      <c r="T67" s="38">
        <v>41.072899999999997</v>
      </c>
      <c r="U67" s="38">
        <v>48.864600000000003</v>
      </c>
      <c r="V67" s="38">
        <v>48.361400000000003</v>
      </c>
      <c r="W67" s="39"/>
      <c r="X67" s="38">
        <v>34.151400000000002</v>
      </c>
      <c r="Y67" s="38">
        <v>34.151400000000002</v>
      </c>
      <c r="Z67" s="38">
        <v>34.151400000000002</v>
      </c>
      <c r="AA67" s="39"/>
      <c r="AB67" s="49">
        <v>4.8899999999999997</v>
      </c>
      <c r="AC67" s="49">
        <v>3.9529999999999998</v>
      </c>
      <c r="AE67" s="17" t="str">
        <f t="shared" si="5"/>
        <v>·</v>
      </c>
      <c r="AF67" s="18">
        <f t="shared" si="6"/>
        <v>4.2556192073337451</v>
      </c>
      <c r="AG67" s="18">
        <f t="shared" si="7"/>
        <v>3.7168832244882402</v>
      </c>
      <c r="AH67" s="18">
        <f t="shared" si="8"/>
        <v>0.53845758687031553</v>
      </c>
      <c r="AI67" s="19"/>
      <c r="AJ67" s="18">
        <f t="shared" si="9"/>
        <v>4.2556192073337451</v>
      </c>
      <c r="AK67" s="20">
        <v>3017285</v>
      </c>
      <c r="AL67" s="21">
        <v>12840416</v>
      </c>
      <c r="AM67" s="21">
        <v>11214896</v>
      </c>
      <c r="AN67" s="21">
        <v>1624680</v>
      </c>
      <c r="AO67" s="37"/>
      <c r="AP67" s="38">
        <v>41.057099999999998</v>
      </c>
      <c r="AQ67" s="38">
        <v>48.831400000000002</v>
      </c>
      <c r="AR67" s="38">
        <v>48.428600000000003</v>
      </c>
      <c r="AS67" s="39"/>
      <c r="AT67" s="38">
        <v>34.151400000000002</v>
      </c>
      <c r="AU67" s="38">
        <v>34.151400000000002</v>
      </c>
      <c r="AV67" s="38">
        <v>34.151400000000002</v>
      </c>
      <c r="AW67" s="39"/>
      <c r="AX67" s="49">
        <v>4.8280000000000003</v>
      </c>
      <c r="AY67" s="49">
        <v>3.843</v>
      </c>
      <c r="BA67" s="53">
        <f t="shared" si="10"/>
        <v>-8.9795720917940081E-5</v>
      </c>
      <c r="BB67" s="53"/>
      <c r="BD67" s="54"/>
      <c r="BE67" s="54"/>
      <c r="BF67" s="54"/>
      <c r="BG67" s="61"/>
      <c r="BI67" s="54"/>
      <c r="BJ67" s="54"/>
      <c r="BK67" s="54"/>
      <c r="BL67" s="61"/>
      <c r="BN67" s="54"/>
      <c r="BO67" s="54"/>
      <c r="BP67" s="54"/>
      <c r="BQ67" s="61"/>
      <c r="BS67" s="54"/>
      <c r="BT67" s="54"/>
      <c r="BU67" s="54"/>
      <c r="BV67" s="61"/>
      <c r="BX67">
        <f t="shared" si="12"/>
        <v>0</v>
      </c>
      <c r="BY67">
        <f t="shared" si="13"/>
        <v>1320</v>
      </c>
      <c r="BZ67">
        <f t="shared" si="14"/>
        <v>0</v>
      </c>
      <c r="CA67">
        <f t="shared" si="15"/>
        <v>1320</v>
      </c>
      <c r="CB67">
        <f t="shared" si="16"/>
        <v>0</v>
      </c>
      <c r="CC67">
        <f t="shared" si="17"/>
        <v>-1.5799999999998704E-2</v>
      </c>
      <c r="CD67">
        <f t="shared" si="18"/>
        <v>-3.3200000000000784E-2</v>
      </c>
      <c r="CE67">
        <f t="shared" si="19"/>
        <v>6.7199999999999704E-2</v>
      </c>
      <c r="CF67">
        <f t="shared" si="20"/>
        <v>0</v>
      </c>
      <c r="CG67">
        <f t="shared" si="21"/>
        <v>0</v>
      </c>
      <c r="CH67">
        <f t="shared" si="22"/>
        <v>0</v>
      </c>
      <c r="CI67">
        <f t="shared" si="23"/>
        <v>0</v>
      </c>
      <c r="CJ67">
        <f t="shared" si="24"/>
        <v>0</v>
      </c>
    </row>
    <row r="68" spans="1:88" outlineLevel="1" x14ac:dyDescent="0.15">
      <c r="A68" s="8"/>
      <c r="B68" s="8" t="s">
        <v>97</v>
      </c>
      <c r="C68" s="9" t="s">
        <v>257</v>
      </c>
      <c r="D68" s="8">
        <v>3017285</v>
      </c>
      <c r="E68" s="10">
        <v>12</v>
      </c>
      <c r="F68" s="9">
        <v>1</v>
      </c>
      <c r="G68" s="9"/>
      <c r="I68" s="22" t="str">
        <f t="shared" si="0"/>
        <v>·</v>
      </c>
      <c r="J68" s="23">
        <f t="shared" si="1"/>
        <v>3.9391704794210689</v>
      </c>
      <c r="K68" s="23">
        <f t="shared" si="2"/>
        <v>3.7168832244882402</v>
      </c>
      <c r="L68" s="23">
        <f t="shared" si="3"/>
        <v>0.22200885895763908</v>
      </c>
      <c r="M68" s="24"/>
      <c r="N68" s="23">
        <f t="shared" si="4"/>
        <v>3.9391704794210689</v>
      </c>
      <c r="O68" s="25">
        <v>3017285</v>
      </c>
      <c r="P68" s="26">
        <v>11885600</v>
      </c>
      <c r="Q68" s="26">
        <v>11214896</v>
      </c>
      <c r="R68" s="26">
        <v>669864</v>
      </c>
      <c r="S68" s="40"/>
      <c r="T68" s="41">
        <v>35.588500000000003</v>
      </c>
      <c r="U68" s="41">
        <v>43.633000000000003</v>
      </c>
      <c r="V68" s="41">
        <v>43.633600000000001</v>
      </c>
      <c r="W68" s="42"/>
      <c r="X68" s="41">
        <v>28.130800000000001</v>
      </c>
      <c r="Y68" s="41">
        <v>28.130800000000001</v>
      </c>
      <c r="Z68" s="41">
        <v>28.130800000000001</v>
      </c>
      <c r="AA68" s="42"/>
      <c r="AB68" s="50">
        <v>4.8120000000000003</v>
      </c>
      <c r="AC68" s="50">
        <v>3.875</v>
      </c>
      <c r="AE68" s="22" t="str">
        <f t="shared" si="5"/>
        <v>·</v>
      </c>
      <c r="AF68" s="23">
        <f t="shared" si="6"/>
        <v>3.9372057992533023</v>
      </c>
      <c r="AG68" s="23">
        <f t="shared" si="7"/>
        <v>3.7168832244882402</v>
      </c>
      <c r="AH68" s="23">
        <f t="shared" si="8"/>
        <v>0.22004417878987234</v>
      </c>
      <c r="AI68" s="24"/>
      <c r="AJ68" s="23">
        <f t="shared" si="9"/>
        <v>3.9372057992533023</v>
      </c>
      <c r="AK68" s="25">
        <v>3017285</v>
      </c>
      <c r="AL68" s="26">
        <v>11879672</v>
      </c>
      <c r="AM68" s="26">
        <v>11214896</v>
      </c>
      <c r="AN68" s="26">
        <v>663936</v>
      </c>
      <c r="AO68" s="40"/>
      <c r="AP68" s="41">
        <v>35.573900000000002</v>
      </c>
      <c r="AQ68" s="41">
        <v>43.6051</v>
      </c>
      <c r="AR68" s="41">
        <v>43.785299999999999</v>
      </c>
      <c r="AS68" s="42"/>
      <c r="AT68" s="41">
        <v>28.130800000000001</v>
      </c>
      <c r="AU68" s="41">
        <v>28.130800000000001</v>
      </c>
      <c r="AV68" s="41">
        <v>28.130800000000001</v>
      </c>
      <c r="AW68" s="42"/>
      <c r="AX68" s="50">
        <v>4.7649999999999997</v>
      </c>
      <c r="AY68" s="50">
        <v>3.9209999999999998</v>
      </c>
      <c r="BA68" s="55">
        <f t="shared" si="10"/>
        <v>4.7084491587745525E-4</v>
      </c>
      <c r="BB68" s="55"/>
      <c r="BD68" s="56"/>
      <c r="BE68" s="56"/>
      <c r="BF68" s="56"/>
      <c r="BG68" s="62"/>
      <c r="BI68" s="56"/>
      <c r="BJ68" s="56"/>
      <c r="BK68" s="56"/>
      <c r="BL68" s="62"/>
      <c r="BN68" s="56"/>
      <c r="BO68" s="56"/>
      <c r="BP68" s="56"/>
      <c r="BQ68" s="62"/>
      <c r="BS68" s="56"/>
      <c r="BT68" s="56"/>
      <c r="BU68" s="56"/>
      <c r="BV68" s="62"/>
      <c r="BX68">
        <f t="shared" si="12"/>
        <v>0</v>
      </c>
      <c r="BY68">
        <f t="shared" si="13"/>
        <v>-5928</v>
      </c>
      <c r="BZ68">
        <f t="shared" si="14"/>
        <v>0</v>
      </c>
      <c r="CA68">
        <f t="shared" si="15"/>
        <v>-5928</v>
      </c>
      <c r="CB68">
        <f t="shared" si="16"/>
        <v>0</v>
      </c>
      <c r="CC68">
        <f t="shared" si="17"/>
        <v>-1.4600000000001501E-2</v>
      </c>
      <c r="CD68">
        <f t="shared" si="18"/>
        <v>-2.7900000000002478E-2</v>
      </c>
      <c r="CE68">
        <f t="shared" si="19"/>
        <v>0.15169999999999817</v>
      </c>
      <c r="CF68">
        <f t="shared" si="20"/>
        <v>0</v>
      </c>
      <c r="CG68">
        <f t="shared" si="21"/>
        <v>0</v>
      </c>
      <c r="CH68">
        <f t="shared" si="22"/>
        <v>0</v>
      </c>
      <c r="CI68">
        <f t="shared" si="23"/>
        <v>0</v>
      </c>
      <c r="CJ68">
        <f t="shared" si="24"/>
        <v>0</v>
      </c>
    </row>
    <row r="69" spans="1:88" outlineLevel="1" x14ac:dyDescent="0.15">
      <c r="A69" s="5"/>
      <c r="B69" s="11" t="s">
        <v>97</v>
      </c>
      <c r="C69" s="12" t="s">
        <v>258</v>
      </c>
      <c r="D69" s="11">
        <v>3017285</v>
      </c>
      <c r="E69" s="13">
        <v>12</v>
      </c>
      <c r="F69" s="12">
        <v>1</v>
      </c>
      <c r="G69" s="12"/>
      <c r="I69" s="27" t="str">
        <f t="shared" ref="I69:I132" si="25">IF(OR(ISBLANK(P69),ISBLANK(G69)),"·",P69*G69/F69/1000000)</f>
        <v>·</v>
      </c>
      <c r="J69" s="28">
        <f t="shared" ref="J69:J132" si="26">IF(ISBLANK(P69),"·",P69/D69)</f>
        <v>3.7792836937843126</v>
      </c>
      <c r="K69" s="28">
        <f t="shared" ref="K69:K132" si="27">IF(Q69="","·",Q69/D69)</f>
        <v>3.7168832244882402</v>
      </c>
      <c r="L69" s="28">
        <f t="shared" ref="L69:L132" si="28">IF(ISBLANK(R69),"·",R69/D69)</f>
        <v>6.2122073320882848E-2</v>
      </c>
      <c r="M69" s="29"/>
      <c r="N69" s="28">
        <f t="shared" ref="N69:N132" si="29">IF(ISBLANK(P69),"·",P69/O69)</f>
        <v>3.7792836937843126</v>
      </c>
      <c r="O69" s="30">
        <v>3017285</v>
      </c>
      <c r="P69" s="31">
        <v>11403176</v>
      </c>
      <c r="Q69" s="31">
        <v>11214896</v>
      </c>
      <c r="R69" s="31">
        <v>187440</v>
      </c>
      <c r="S69" s="43"/>
      <c r="T69" s="44">
        <v>29.3079</v>
      </c>
      <c r="U69" s="44">
        <v>38.134999999999998</v>
      </c>
      <c r="V69" s="44">
        <v>37.656599999999997</v>
      </c>
      <c r="W69" s="45"/>
      <c r="X69" s="44">
        <v>21.686399999999999</v>
      </c>
      <c r="Y69" s="44">
        <v>21.686399999999999</v>
      </c>
      <c r="Z69" s="44">
        <v>21.686399999999999</v>
      </c>
      <c r="AA69" s="45"/>
      <c r="AB69" s="51">
        <v>4.8899999999999997</v>
      </c>
      <c r="AC69" s="51">
        <v>3.7810000000000001</v>
      </c>
      <c r="AE69" s="27" t="str">
        <f t="shared" ref="AE69:AE132" si="30">IF(OR(ISBLANK(AL69),ISBLANK(G69)),"·",AL69*G69/F69/1000000)</f>
        <v>·</v>
      </c>
      <c r="AF69" s="28">
        <f t="shared" ref="AF69:AF132" si="31">IF(ISBLANK(AL69),"·",AL69/D69)</f>
        <v>3.777939438932683</v>
      </c>
      <c r="AG69" s="28">
        <f t="shared" ref="AG69:AG132" si="32">IF(AM69="","·",AM69/D69)</f>
        <v>3.7168832244882402</v>
      </c>
      <c r="AH69" s="28">
        <f t="shared" ref="AH69:AH132" si="33">IF(ISBLANK(AN69),"·",AN69/D69)</f>
        <v>6.0777818469252988E-2</v>
      </c>
      <c r="AI69" s="29"/>
      <c r="AJ69" s="28">
        <f t="shared" ref="AJ69:AJ132" si="34">IF(ISBLANK(AL69),"·",AL69/AK69)</f>
        <v>3.777939438932683</v>
      </c>
      <c r="AK69" s="30">
        <v>3017285</v>
      </c>
      <c r="AL69" s="31">
        <v>11399120</v>
      </c>
      <c r="AM69" s="31">
        <v>11214896</v>
      </c>
      <c r="AN69" s="31">
        <v>183384</v>
      </c>
      <c r="AO69" s="43"/>
      <c r="AP69" s="44">
        <v>29.1724</v>
      </c>
      <c r="AQ69" s="44">
        <v>38.563899999999997</v>
      </c>
      <c r="AR69" s="44">
        <v>37.684399999999997</v>
      </c>
      <c r="AS69" s="45"/>
      <c r="AT69" s="44">
        <v>21.686399999999999</v>
      </c>
      <c r="AU69" s="44">
        <v>21.686399999999999</v>
      </c>
      <c r="AV69" s="44">
        <v>21.686399999999999</v>
      </c>
      <c r="AW69" s="45"/>
      <c r="AX69" s="51">
        <v>4.9059999999999997</v>
      </c>
      <c r="AY69" s="51">
        <v>3.859</v>
      </c>
      <c r="BA69" s="57">
        <f t="shared" ref="BA69:BA132" si="35">(AM69/AL69)-(Q69/P69)</f>
        <v>3.4994197932214366E-4</v>
      </c>
      <c r="BB69" s="57"/>
      <c r="BD69" s="58"/>
      <c r="BE69" s="58"/>
      <c r="BF69" s="58"/>
      <c r="BG69" s="63"/>
      <c r="BI69" s="58"/>
      <c r="BJ69" s="58"/>
      <c r="BK69" s="58"/>
      <c r="BL69" s="63"/>
      <c r="BN69" s="58"/>
      <c r="BO69" s="58"/>
      <c r="BP69" s="58"/>
      <c r="BQ69" s="63"/>
      <c r="BS69" s="58"/>
      <c r="BT69" s="58"/>
      <c r="BU69" s="58"/>
      <c r="BV69" s="63"/>
      <c r="BX69">
        <f t="shared" si="12"/>
        <v>0</v>
      </c>
      <c r="BY69">
        <f t="shared" si="13"/>
        <v>-4056</v>
      </c>
      <c r="BZ69">
        <f t="shared" si="14"/>
        <v>0</v>
      </c>
      <c r="CA69">
        <f t="shared" si="15"/>
        <v>-4056</v>
      </c>
      <c r="CB69">
        <f t="shared" si="16"/>
        <v>0</v>
      </c>
      <c r="CC69">
        <f t="shared" si="17"/>
        <v>-0.1355000000000004</v>
      </c>
      <c r="CD69">
        <f t="shared" si="18"/>
        <v>0.42889999999999873</v>
      </c>
      <c r="CE69">
        <f t="shared" si="19"/>
        <v>2.7799999999999159E-2</v>
      </c>
      <c r="CF69">
        <f t="shared" si="20"/>
        <v>0</v>
      </c>
      <c r="CG69">
        <f t="shared" si="21"/>
        <v>0</v>
      </c>
      <c r="CH69">
        <f t="shared" si="22"/>
        <v>0</v>
      </c>
      <c r="CI69">
        <f t="shared" si="23"/>
        <v>0</v>
      </c>
      <c r="CJ69">
        <f t="shared" si="24"/>
        <v>0</v>
      </c>
    </row>
    <row r="70" spans="1:88" x14ac:dyDescent="0.15">
      <c r="A70" s="8"/>
      <c r="B70" s="8" t="s">
        <v>100</v>
      </c>
      <c r="C70" s="9" t="s">
        <v>254</v>
      </c>
      <c r="D70" s="8">
        <v>805285</v>
      </c>
      <c r="E70" s="10">
        <v>10</v>
      </c>
      <c r="F70" s="9">
        <v>1</v>
      </c>
      <c r="G70" s="9"/>
      <c r="I70" s="22" t="str">
        <f t="shared" si="25"/>
        <v>·</v>
      </c>
      <c r="J70" s="23">
        <f t="shared" si="26"/>
        <v>4.2363039172466888</v>
      </c>
      <c r="K70" s="23">
        <f t="shared" si="27"/>
        <v>0.97555523820759105</v>
      </c>
      <c r="L70" s="23">
        <f t="shared" si="28"/>
        <v>3.2600830761779993</v>
      </c>
      <c r="M70" s="24"/>
      <c r="N70" s="23">
        <f t="shared" si="29"/>
        <v>4.2363039172466888</v>
      </c>
      <c r="O70" s="25">
        <v>805285</v>
      </c>
      <c r="P70" s="26">
        <v>3411432</v>
      </c>
      <c r="Q70" s="26">
        <v>785600</v>
      </c>
      <c r="R70" s="26">
        <v>2625296</v>
      </c>
      <c r="S70" s="40"/>
      <c r="T70" s="41">
        <v>52.521099999999997</v>
      </c>
      <c r="U70" s="41">
        <v>57.096499999999999</v>
      </c>
      <c r="V70" s="41">
        <v>56.485799999999998</v>
      </c>
      <c r="W70" s="42"/>
      <c r="X70" s="41">
        <v>48.130800000000001</v>
      </c>
      <c r="Y70" s="41">
        <v>48.130800000000001</v>
      </c>
      <c r="Z70" s="41">
        <v>48.130800000000001</v>
      </c>
      <c r="AA70" s="42"/>
      <c r="AB70" s="50">
        <v>1</v>
      </c>
      <c r="AC70" s="50">
        <v>0.76500000000000001</v>
      </c>
      <c r="AE70" s="22" t="str">
        <f t="shared" si="30"/>
        <v>·</v>
      </c>
      <c r="AF70" s="23">
        <f t="shared" si="31"/>
        <v>4.2377742041637436</v>
      </c>
      <c r="AG70" s="23">
        <f t="shared" si="32"/>
        <v>0.97555523820759105</v>
      </c>
      <c r="AH70" s="23">
        <f t="shared" si="33"/>
        <v>3.2615533630950533</v>
      </c>
      <c r="AI70" s="24"/>
      <c r="AJ70" s="23">
        <f t="shared" si="34"/>
        <v>4.2377742041637436</v>
      </c>
      <c r="AK70" s="25">
        <v>805285</v>
      </c>
      <c r="AL70" s="26">
        <v>3412616</v>
      </c>
      <c r="AM70" s="26">
        <v>785600</v>
      </c>
      <c r="AN70" s="26">
        <v>2626480</v>
      </c>
      <c r="AO70" s="40"/>
      <c r="AP70" s="41">
        <v>52.519399999999997</v>
      </c>
      <c r="AQ70" s="41">
        <v>57.0929</v>
      </c>
      <c r="AR70" s="41">
        <v>56.486899999999999</v>
      </c>
      <c r="AS70" s="42"/>
      <c r="AT70" s="41">
        <v>48.130800000000001</v>
      </c>
      <c r="AU70" s="41">
        <v>48.130800000000001</v>
      </c>
      <c r="AV70" s="41">
        <v>48.130800000000001</v>
      </c>
      <c r="AW70" s="42"/>
      <c r="AX70" s="50">
        <v>0.95299999999999996</v>
      </c>
      <c r="AY70" s="50">
        <v>0.75</v>
      </c>
      <c r="BA70" s="55">
        <f t="shared" si="35"/>
        <v>-7.9896735642626115E-5</v>
      </c>
      <c r="BB70" s="55">
        <f t="array" ref="BB70">AVERAGE(AM70:AM74/AL70:AL74)-AVERAGE(Q70:Q74/P70:P74)</f>
        <v>-8.6915474806859017E-4</v>
      </c>
      <c r="BD70" s="56">
        <f>IF(OR(ISBLANK(R70:R74),ISBLANK(AN70:AN74),ISBLANK(T70:T74),ISBLANK(AP70:AP74)),"·",bdRateExtend(R70:R74,T70:T74,AN70:AN74,AP70:AP74))</f>
        <v>8.7906869626781514E-3</v>
      </c>
      <c r="BE70" s="56">
        <f>IF(OR(ISBLANK(R70:R74),ISBLANK(AN70:AN74),ISBLANK(U70:U74),ISBLANK(AQ70:AQ74)),"·",bdRateExtend(R70:R74,U70:U74,AN70:AN74,AQ70:AQ74))</f>
        <v>-2.2408500576731605E-4</v>
      </c>
      <c r="BF70" s="56">
        <f>IF(OR(ISBLANK(R70:R74),ISBLANK(AN70:AN74),ISBLANK(V70:V74),ISBLANK(AR70:AR74)),"·",bdRateExtend(R70:R74,V70:V74,AN70:AN74,AR70:AR74))</f>
        <v>1.5728303549632727E-2</v>
      </c>
      <c r="BG70" s="62"/>
      <c r="BI70" s="56">
        <f>IF(OR(ISBLANK(R70:R74),ISBLANK(AN70:AN74),ISBLANK(X70:X74),ISBLANK(AT70:AT74)),"·",bdRateExtend(R70:R74,X70:X74,AN70:AN74,AT70:AT74))</f>
        <v>4.5040725025928818E-3</v>
      </c>
      <c r="BJ70" s="56">
        <f>IF(OR(ISBLANK(R70:R74),ISBLANK(AN70:AN74),ISBLANK(Y70:Y74),ISBLANK(AU70:AU74)),"·",bdRateExtend(R70:R74,Y70:Y74,AN70:AN74,AU70:AU74))</f>
        <v>4.5040725025928818E-3</v>
      </c>
      <c r="BK70" s="56">
        <f>IF(OR(ISBLANK(R70:R74),ISBLANK(AN70:AN74),ISBLANK(Z70:Z74),ISBLANK(AV70:AV74)),"·",bdRateExtend(R70:R74,Z70:Z74,AN70:AN74,AV70:AV74))</f>
        <v>4.5040725025928818E-3</v>
      </c>
      <c r="BL70" s="62"/>
      <c r="BN70" s="56">
        <f>IF(OR(ISBLANK(P70:P74),ISBLANK(AL70:AL74),ISBLANK(T70:T74),ISBLANK(AP70:AP74)),"·",bdRateExtend(P70:P74,T70:T74,AL70:AL74,AP70:AP74))</f>
        <v>2.5221721408976716E-3</v>
      </c>
      <c r="BO70" s="56">
        <f>IF(OR(ISBLANK(P70:P74),ISBLANK(AL70:AL74),ISBLANK(U70:U74),ISBLANK(AQ70:AQ74)),"·",bdRateExtend(P70:P74,U70:U74,AL70:AL74,AQ70:AQ74))</f>
        <v>1.2944943939641185E-3</v>
      </c>
      <c r="BP70" s="56">
        <f>IF(OR(ISBLANK(P70:P74),ISBLANK(AL70:AL74),ISBLANK(V70:V74),ISBLANK(AR70:AR74)),"·",bdRateExtend(P70:P74,V70:V74,AL70:AL74,AR70:AR74))</f>
        <v>6.1805739973457285E-3</v>
      </c>
      <c r="BQ70" s="62"/>
      <c r="BS70" s="56">
        <f>IF(OR(ISBLANK(P70:P74),ISBLANK(AL70:AL74),ISBLANK(X70:X74),ISBLANK(AT70:AT74)),"·",bdRateExtend(P70:P74,X70:X74,AL70:AL74,AT70:AT74))</f>
        <v>1.5142948263089373E-3</v>
      </c>
      <c r="BT70" s="56">
        <f>IF(OR(ISBLANK(P70:P74),ISBLANK(AL70:AL74),ISBLANK(Y70:Y74),ISBLANK(AU70:AU74)),"·",bdRateExtend(P70:P74,Y70:Y74,AL70:AL74,AU70:AU74))</f>
        <v>1.5142948263089373E-3</v>
      </c>
      <c r="BU70" s="56">
        <f>IF(OR(ISBLANK(P70:P74),ISBLANK(AL70:AL74),ISBLANK(Z70:Z74),ISBLANK(AV70:AV74)),"·",bdRateExtend(P70:P74,Z70:Z74,AL70:AL74,AV70:AV74))</f>
        <v>1.5142948263089373E-3</v>
      </c>
      <c r="BV70" s="62"/>
      <c r="BX70">
        <f t="shared" ref="BX70:BX133" si="36">AK70-O70</f>
        <v>0</v>
      </c>
      <c r="BY70">
        <f t="shared" ref="BY70:BY133" si="37">AL70-P70</f>
        <v>1184</v>
      </c>
      <c r="BZ70">
        <f t="shared" ref="BZ70:BZ133" si="38">AM70-Q70</f>
        <v>0</v>
      </c>
      <c r="CA70">
        <f t="shared" ref="CA70:CA133" si="39">AN70-R70</f>
        <v>1184</v>
      </c>
      <c r="CB70">
        <f t="shared" ref="CB70:CB133" si="40">AO70-S70</f>
        <v>0</v>
      </c>
      <c r="CC70">
        <f t="shared" ref="CC70:CC133" si="41">AP70-T70</f>
        <v>-1.6999999999995907E-3</v>
      </c>
      <c r="CD70">
        <f t="shared" ref="CD70:CD133" si="42">AQ70-U70</f>
        <v>-3.5999999999987153E-3</v>
      </c>
      <c r="CE70">
        <f t="shared" ref="CE70:CE133" si="43">AR70-V70</f>
        <v>1.1000000000009891E-3</v>
      </c>
      <c r="CF70">
        <f t="shared" ref="CF70:CF133" si="44">AS70-W70</f>
        <v>0</v>
      </c>
      <c r="CG70">
        <f t="shared" ref="CG70:CG133" si="45">AT70-X70</f>
        <v>0</v>
      </c>
      <c r="CH70">
        <f t="shared" ref="CH70:CH133" si="46">AU70-Y70</f>
        <v>0</v>
      </c>
      <c r="CI70">
        <f t="shared" ref="CI70:CI133" si="47">AV70-Z70</f>
        <v>0</v>
      </c>
      <c r="CJ70">
        <f t="shared" ref="CJ70:CJ133" si="48">AW70-AA70</f>
        <v>0</v>
      </c>
    </row>
    <row r="71" spans="1:88" outlineLevel="1" x14ac:dyDescent="0.15">
      <c r="A71" s="5"/>
      <c r="B71" s="5" t="s">
        <v>100</v>
      </c>
      <c r="C71" s="6" t="s">
        <v>255</v>
      </c>
      <c r="D71" s="5">
        <v>805285</v>
      </c>
      <c r="E71" s="7">
        <v>10</v>
      </c>
      <c r="F71" s="6">
        <v>1</v>
      </c>
      <c r="G71" s="6"/>
      <c r="I71" s="17" t="str">
        <f t="shared" si="25"/>
        <v>·</v>
      </c>
      <c r="J71" s="18">
        <f t="shared" si="26"/>
        <v>3.1058618998242857</v>
      </c>
      <c r="K71" s="18">
        <f t="shared" si="27"/>
        <v>0.97555523820759105</v>
      </c>
      <c r="L71" s="18">
        <f t="shared" si="28"/>
        <v>2.1296410587555958</v>
      </c>
      <c r="M71" s="19"/>
      <c r="N71" s="18">
        <f t="shared" si="29"/>
        <v>3.1058618998242857</v>
      </c>
      <c r="O71" s="20">
        <v>805285</v>
      </c>
      <c r="P71" s="21">
        <v>2501104</v>
      </c>
      <c r="Q71" s="21">
        <v>785600</v>
      </c>
      <c r="R71" s="21">
        <v>1714968</v>
      </c>
      <c r="S71" s="37"/>
      <c r="T71" s="38">
        <v>47.893799999999999</v>
      </c>
      <c r="U71" s="38">
        <v>53.045900000000003</v>
      </c>
      <c r="V71" s="38">
        <v>52.556399999999996</v>
      </c>
      <c r="W71" s="39"/>
      <c r="X71" s="38">
        <v>42.110199999999999</v>
      </c>
      <c r="Y71" s="38">
        <v>42.110199999999999</v>
      </c>
      <c r="Z71" s="38">
        <v>42.110199999999999</v>
      </c>
      <c r="AA71" s="39"/>
      <c r="AB71" s="49">
        <v>0.90600000000000003</v>
      </c>
      <c r="AC71" s="49">
        <v>0.71799999999999997</v>
      </c>
      <c r="AE71" s="17" t="str">
        <f t="shared" si="30"/>
        <v>·</v>
      </c>
      <c r="AF71" s="18">
        <f t="shared" si="31"/>
        <v>3.1083752957027637</v>
      </c>
      <c r="AG71" s="18">
        <f t="shared" si="32"/>
        <v>0.97555523820759105</v>
      </c>
      <c r="AH71" s="18">
        <f t="shared" si="33"/>
        <v>2.1321544546340738</v>
      </c>
      <c r="AI71" s="19"/>
      <c r="AJ71" s="18">
        <f t="shared" si="34"/>
        <v>3.1083752957027637</v>
      </c>
      <c r="AK71" s="20">
        <v>805285</v>
      </c>
      <c r="AL71" s="21">
        <v>2503128</v>
      </c>
      <c r="AM71" s="21">
        <v>785600</v>
      </c>
      <c r="AN71" s="21">
        <v>1716992</v>
      </c>
      <c r="AO71" s="37"/>
      <c r="AP71" s="38">
        <v>47.886899999999997</v>
      </c>
      <c r="AQ71" s="38">
        <v>53.036099999999998</v>
      </c>
      <c r="AR71" s="38">
        <v>52.561700000000002</v>
      </c>
      <c r="AS71" s="39"/>
      <c r="AT71" s="38">
        <v>42.110199999999999</v>
      </c>
      <c r="AU71" s="38">
        <v>42.110199999999999</v>
      </c>
      <c r="AV71" s="38">
        <v>42.110199999999999</v>
      </c>
      <c r="AW71" s="39"/>
      <c r="AX71" s="49">
        <v>0.92100000000000004</v>
      </c>
      <c r="AY71" s="49">
        <v>0.76500000000000001</v>
      </c>
      <c r="BA71" s="53">
        <f t="shared" si="35"/>
        <v>-2.5397862864662279E-4</v>
      </c>
      <c r="BB71" s="53"/>
      <c r="BD71" s="54"/>
      <c r="BE71" s="54"/>
      <c r="BF71" s="54"/>
      <c r="BG71" s="61"/>
      <c r="BI71" s="54"/>
      <c r="BJ71" s="54"/>
      <c r="BK71" s="54"/>
      <c r="BL71" s="61"/>
      <c r="BN71" s="54"/>
      <c r="BO71" s="54"/>
      <c r="BP71" s="54"/>
      <c r="BQ71" s="61"/>
      <c r="BS71" s="54"/>
      <c r="BT71" s="54"/>
      <c r="BU71" s="54"/>
      <c r="BV71" s="61"/>
      <c r="BX71">
        <f t="shared" si="36"/>
        <v>0</v>
      </c>
      <c r="BY71">
        <f t="shared" si="37"/>
        <v>2024</v>
      </c>
      <c r="BZ71">
        <f t="shared" si="38"/>
        <v>0</v>
      </c>
      <c r="CA71">
        <f t="shared" si="39"/>
        <v>2024</v>
      </c>
      <c r="CB71">
        <f t="shared" si="40"/>
        <v>0</v>
      </c>
      <c r="CC71">
        <f t="shared" si="41"/>
        <v>-6.9000000000016826E-3</v>
      </c>
      <c r="CD71">
        <f t="shared" si="42"/>
        <v>-9.800000000005582E-3</v>
      </c>
      <c r="CE71">
        <f t="shared" si="43"/>
        <v>5.3000000000054115E-3</v>
      </c>
      <c r="CF71">
        <f t="shared" si="44"/>
        <v>0</v>
      </c>
      <c r="CG71">
        <f t="shared" si="45"/>
        <v>0</v>
      </c>
      <c r="CH71">
        <f t="shared" si="46"/>
        <v>0</v>
      </c>
      <c r="CI71">
        <f t="shared" si="47"/>
        <v>0</v>
      </c>
      <c r="CJ71">
        <f t="shared" si="48"/>
        <v>0</v>
      </c>
    </row>
    <row r="72" spans="1:88" outlineLevel="1" x14ac:dyDescent="0.15">
      <c r="A72" s="8"/>
      <c r="B72" s="8" t="s">
        <v>100</v>
      </c>
      <c r="C72" s="9" t="s">
        <v>256</v>
      </c>
      <c r="D72" s="8">
        <v>805285</v>
      </c>
      <c r="E72" s="10">
        <v>10</v>
      </c>
      <c r="F72" s="9">
        <v>1</v>
      </c>
      <c r="G72" s="9"/>
      <c r="I72" s="22" t="str">
        <f t="shared" si="25"/>
        <v>·</v>
      </c>
      <c r="J72" s="23">
        <f t="shared" si="26"/>
        <v>1.9660517704911926</v>
      </c>
      <c r="K72" s="23">
        <f t="shared" si="27"/>
        <v>0.97555523820759105</v>
      </c>
      <c r="L72" s="23">
        <f t="shared" si="28"/>
        <v>0.98983092942250261</v>
      </c>
      <c r="M72" s="24"/>
      <c r="N72" s="23">
        <f t="shared" si="29"/>
        <v>1.9660517704911926</v>
      </c>
      <c r="O72" s="25">
        <v>805285</v>
      </c>
      <c r="P72" s="26">
        <v>1583232</v>
      </c>
      <c r="Q72" s="26">
        <v>785600</v>
      </c>
      <c r="R72" s="26">
        <v>797096</v>
      </c>
      <c r="S72" s="40"/>
      <c r="T72" s="41">
        <v>40.9711</v>
      </c>
      <c r="U72" s="41">
        <v>48.345599999999997</v>
      </c>
      <c r="V72" s="41">
        <v>47.933399999999999</v>
      </c>
      <c r="W72" s="42"/>
      <c r="X72" s="41">
        <v>34.151400000000002</v>
      </c>
      <c r="Y72" s="41">
        <v>34.151400000000002</v>
      </c>
      <c r="Z72" s="41">
        <v>34.151400000000002</v>
      </c>
      <c r="AA72" s="42"/>
      <c r="AB72" s="50">
        <v>0.95299999999999996</v>
      </c>
      <c r="AC72" s="50">
        <v>0.73399999999999999</v>
      </c>
      <c r="AE72" s="22" t="str">
        <f t="shared" si="30"/>
        <v>·</v>
      </c>
      <c r="AF72" s="23">
        <f t="shared" si="31"/>
        <v>1.9694592597651763</v>
      </c>
      <c r="AG72" s="23">
        <f t="shared" si="32"/>
        <v>0.97555523820759105</v>
      </c>
      <c r="AH72" s="23">
        <f t="shared" si="33"/>
        <v>0.99323841869648632</v>
      </c>
      <c r="AI72" s="24"/>
      <c r="AJ72" s="23">
        <f t="shared" si="34"/>
        <v>1.9694592597651763</v>
      </c>
      <c r="AK72" s="25">
        <v>805285</v>
      </c>
      <c r="AL72" s="26">
        <v>1585976</v>
      </c>
      <c r="AM72" s="26">
        <v>785600</v>
      </c>
      <c r="AN72" s="26">
        <v>799840</v>
      </c>
      <c r="AO72" s="40"/>
      <c r="AP72" s="41">
        <v>41.004800000000003</v>
      </c>
      <c r="AQ72" s="41">
        <v>48.323099999999997</v>
      </c>
      <c r="AR72" s="41">
        <v>47.743099999999998</v>
      </c>
      <c r="AS72" s="42"/>
      <c r="AT72" s="41">
        <v>34.151400000000002</v>
      </c>
      <c r="AU72" s="41">
        <v>34.151400000000002</v>
      </c>
      <c r="AV72" s="41">
        <v>34.151400000000002</v>
      </c>
      <c r="AW72" s="42"/>
      <c r="AX72" s="50">
        <v>0.92100000000000004</v>
      </c>
      <c r="AY72" s="50">
        <v>0.73399999999999999</v>
      </c>
      <c r="BA72" s="55">
        <f t="shared" si="35"/>
        <v>-8.5850812878557337E-4</v>
      </c>
      <c r="BB72" s="55"/>
      <c r="BD72" s="56"/>
      <c r="BE72" s="56"/>
      <c r="BF72" s="56"/>
      <c r="BG72" s="62"/>
      <c r="BI72" s="56"/>
      <c r="BJ72" s="56"/>
      <c r="BK72" s="56"/>
      <c r="BL72" s="62"/>
      <c r="BN72" s="56"/>
      <c r="BO72" s="56"/>
      <c r="BP72" s="56"/>
      <c r="BQ72" s="62"/>
      <c r="BS72" s="56"/>
      <c r="BT72" s="56"/>
      <c r="BU72" s="56"/>
      <c r="BV72" s="62"/>
      <c r="BX72">
        <f t="shared" si="36"/>
        <v>0</v>
      </c>
      <c r="BY72">
        <f t="shared" si="37"/>
        <v>2744</v>
      </c>
      <c r="BZ72">
        <f t="shared" si="38"/>
        <v>0</v>
      </c>
      <c r="CA72">
        <f t="shared" si="39"/>
        <v>2744</v>
      </c>
      <c r="CB72">
        <f t="shared" si="40"/>
        <v>0</v>
      </c>
      <c r="CC72">
        <f t="shared" si="41"/>
        <v>3.3700000000003172E-2</v>
      </c>
      <c r="CD72">
        <f t="shared" si="42"/>
        <v>-2.2500000000000853E-2</v>
      </c>
      <c r="CE72">
        <f t="shared" si="43"/>
        <v>-0.19030000000000058</v>
      </c>
      <c r="CF72">
        <f t="shared" si="44"/>
        <v>0</v>
      </c>
      <c r="CG72">
        <f t="shared" si="45"/>
        <v>0</v>
      </c>
      <c r="CH72">
        <f t="shared" si="46"/>
        <v>0</v>
      </c>
      <c r="CI72">
        <f t="shared" si="47"/>
        <v>0</v>
      </c>
      <c r="CJ72">
        <f t="shared" si="48"/>
        <v>0</v>
      </c>
    </row>
    <row r="73" spans="1:88" outlineLevel="1" x14ac:dyDescent="0.15">
      <c r="A73" s="5"/>
      <c r="B73" s="5" t="s">
        <v>100</v>
      </c>
      <c r="C73" s="6" t="s">
        <v>257</v>
      </c>
      <c r="D73" s="5">
        <v>805285</v>
      </c>
      <c r="E73" s="7">
        <v>10</v>
      </c>
      <c r="F73" s="6">
        <v>1</v>
      </c>
      <c r="G73" s="6"/>
      <c r="I73" s="17" t="str">
        <f t="shared" si="25"/>
        <v>·</v>
      </c>
      <c r="J73" s="18">
        <f t="shared" si="26"/>
        <v>1.4359239275535991</v>
      </c>
      <c r="K73" s="18">
        <f t="shared" si="27"/>
        <v>0.97555523820759105</v>
      </c>
      <c r="L73" s="18">
        <f t="shared" si="28"/>
        <v>0.4597030864849091</v>
      </c>
      <c r="M73" s="19"/>
      <c r="N73" s="18">
        <f t="shared" si="29"/>
        <v>1.4359239275535991</v>
      </c>
      <c r="O73" s="20">
        <v>805285</v>
      </c>
      <c r="P73" s="21">
        <v>1156328</v>
      </c>
      <c r="Q73" s="21">
        <v>785600</v>
      </c>
      <c r="R73" s="21">
        <v>370192</v>
      </c>
      <c r="S73" s="37"/>
      <c r="T73" s="38">
        <v>35.700600000000001</v>
      </c>
      <c r="U73" s="38">
        <v>43.5809</v>
      </c>
      <c r="V73" s="38">
        <v>43.52</v>
      </c>
      <c r="W73" s="39"/>
      <c r="X73" s="38">
        <v>28.130800000000001</v>
      </c>
      <c r="Y73" s="38">
        <v>28.130800000000001</v>
      </c>
      <c r="Z73" s="38">
        <v>28.130800000000001</v>
      </c>
      <c r="AA73" s="39"/>
      <c r="AB73" s="49">
        <v>0.92100000000000004</v>
      </c>
      <c r="AC73" s="49">
        <v>0.73399999999999999</v>
      </c>
      <c r="AE73" s="17" t="str">
        <f t="shared" si="30"/>
        <v>·</v>
      </c>
      <c r="AF73" s="18">
        <f t="shared" si="31"/>
        <v>1.4393016137143992</v>
      </c>
      <c r="AG73" s="18">
        <f t="shared" si="32"/>
        <v>0.97555523820759105</v>
      </c>
      <c r="AH73" s="18">
        <f t="shared" si="33"/>
        <v>0.46308077264570929</v>
      </c>
      <c r="AI73" s="19"/>
      <c r="AJ73" s="18">
        <f t="shared" si="34"/>
        <v>1.4393016137143992</v>
      </c>
      <c r="AK73" s="20">
        <v>805285</v>
      </c>
      <c r="AL73" s="21">
        <v>1159048</v>
      </c>
      <c r="AM73" s="21">
        <v>785600</v>
      </c>
      <c r="AN73" s="21">
        <v>372912</v>
      </c>
      <c r="AO73" s="37"/>
      <c r="AP73" s="38">
        <v>35.611199999999997</v>
      </c>
      <c r="AQ73" s="38">
        <v>43.580800000000004</v>
      </c>
      <c r="AR73" s="38">
        <v>43.459800000000001</v>
      </c>
      <c r="AS73" s="39"/>
      <c r="AT73" s="38">
        <v>28.130800000000001</v>
      </c>
      <c r="AU73" s="38">
        <v>28.130800000000001</v>
      </c>
      <c r="AV73" s="38">
        <v>28.130800000000001</v>
      </c>
      <c r="AW73" s="39"/>
      <c r="AX73" s="49">
        <v>0.93700000000000006</v>
      </c>
      <c r="AY73" s="49">
        <v>0.73399999999999999</v>
      </c>
      <c r="BA73" s="53">
        <f t="shared" si="35"/>
        <v>-1.5943655978555293E-3</v>
      </c>
      <c r="BB73" s="53"/>
      <c r="BD73" s="54"/>
      <c r="BE73" s="54"/>
      <c r="BF73" s="54"/>
      <c r="BG73" s="61"/>
      <c r="BI73" s="54"/>
      <c r="BJ73" s="54"/>
      <c r="BK73" s="54"/>
      <c r="BL73" s="61"/>
      <c r="BN73" s="54"/>
      <c r="BO73" s="54"/>
      <c r="BP73" s="54"/>
      <c r="BQ73" s="61"/>
      <c r="BS73" s="54"/>
      <c r="BT73" s="54"/>
      <c r="BU73" s="54"/>
      <c r="BV73" s="61"/>
      <c r="BX73">
        <f t="shared" si="36"/>
        <v>0</v>
      </c>
      <c r="BY73">
        <f t="shared" si="37"/>
        <v>2720</v>
      </c>
      <c r="BZ73">
        <f t="shared" si="38"/>
        <v>0</v>
      </c>
      <c r="CA73">
        <f t="shared" si="39"/>
        <v>2720</v>
      </c>
      <c r="CB73">
        <f t="shared" si="40"/>
        <v>0</v>
      </c>
      <c r="CC73">
        <f t="shared" si="41"/>
        <v>-8.9400000000004809E-2</v>
      </c>
      <c r="CD73">
        <f t="shared" si="42"/>
        <v>-9.9999999996214228E-5</v>
      </c>
      <c r="CE73">
        <f t="shared" si="43"/>
        <v>-6.0200000000001808E-2</v>
      </c>
      <c r="CF73">
        <f t="shared" si="44"/>
        <v>0</v>
      </c>
      <c r="CG73">
        <f t="shared" si="45"/>
        <v>0</v>
      </c>
      <c r="CH73">
        <f t="shared" si="46"/>
        <v>0</v>
      </c>
      <c r="CI73">
        <f t="shared" si="47"/>
        <v>0</v>
      </c>
      <c r="CJ73">
        <f t="shared" si="48"/>
        <v>0</v>
      </c>
    </row>
    <row r="74" spans="1:88" outlineLevel="1" x14ac:dyDescent="0.15">
      <c r="A74" s="8"/>
      <c r="B74" s="14" t="s">
        <v>100</v>
      </c>
      <c r="C74" s="15" t="s">
        <v>258</v>
      </c>
      <c r="D74" s="14">
        <v>805285</v>
      </c>
      <c r="E74" s="16">
        <v>10</v>
      </c>
      <c r="F74" s="15">
        <v>1</v>
      </c>
      <c r="G74" s="15"/>
      <c r="I74" s="32" t="str">
        <f t="shared" si="25"/>
        <v>·</v>
      </c>
      <c r="J74" s="33">
        <f t="shared" si="26"/>
        <v>1.1251072601625511</v>
      </c>
      <c r="K74" s="33">
        <f t="shared" si="27"/>
        <v>0.97555523820759105</v>
      </c>
      <c r="L74" s="33">
        <f t="shared" si="28"/>
        <v>0.14888641909386119</v>
      </c>
      <c r="M74" s="34"/>
      <c r="N74" s="33">
        <f t="shared" si="29"/>
        <v>1.1251072601625511</v>
      </c>
      <c r="O74" s="35">
        <v>805285</v>
      </c>
      <c r="P74" s="36">
        <v>906032</v>
      </c>
      <c r="Q74" s="36">
        <v>785600</v>
      </c>
      <c r="R74" s="36">
        <v>119896</v>
      </c>
      <c r="S74" s="46"/>
      <c r="T74" s="47">
        <v>29.942599999999999</v>
      </c>
      <c r="U74" s="47">
        <v>38.519199999999998</v>
      </c>
      <c r="V74" s="47">
        <v>37.423499999999997</v>
      </c>
      <c r="W74" s="48"/>
      <c r="X74" s="47">
        <v>21.686399999999999</v>
      </c>
      <c r="Y74" s="47">
        <v>21.686399999999999</v>
      </c>
      <c r="Z74" s="47">
        <v>21.686399999999999</v>
      </c>
      <c r="AA74" s="48"/>
      <c r="AB74" s="52">
        <v>0.93700000000000006</v>
      </c>
      <c r="AC74" s="52">
        <v>0.70299999999999996</v>
      </c>
      <c r="AE74" s="32" t="str">
        <f t="shared" si="30"/>
        <v>·</v>
      </c>
      <c r="AF74" s="33">
        <f t="shared" si="31"/>
        <v>1.1271338718590314</v>
      </c>
      <c r="AG74" s="33">
        <f t="shared" si="32"/>
        <v>0.97555523820759105</v>
      </c>
      <c r="AH74" s="33">
        <f t="shared" si="33"/>
        <v>0.1509130307903413</v>
      </c>
      <c r="AI74" s="34"/>
      <c r="AJ74" s="33">
        <f t="shared" si="34"/>
        <v>1.1271338718590314</v>
      </c>
      <c r="AK74" s="35">
        <v>805285</v>
      </c>
      <c r="AL74" s="36">
        <v>907664</v>
      </c>
      <c r="AM74" s="36">
        <v>785600</v>
      </c>
      <c r="AN74" s="36">
        <v>121528</v>
      </c>
      <c r="AO74" s="46"/>
      <c r="AP74" s="47">
        <v>29.9084</v>
      </c>
      <c r="AQ74" s="47">
        <v>38.768500000000003</v>
      </c>
      <c r="AR74" s="47">
        <v>37.411799999999999</v>
      </c>
      <c r="AS74" s="48"/>
      <c r="AT74" s="47">
        <v>21.686399999999999</v>
      </c>
      <c r="AU74" s="47">
        <v>21.686399999999999</v>
      </c>
      <c r="AV74" s="47">
        <v>21.686399999999999</v>
      </c>
      <c r="AW74" s="48"/>
      <c r="AX74" s="52">
        <v>0.92100000000000004</v>
      </c>
      <c r="AY74" s="52">
        <v>0.71799999999999997</v>
      </c>
      <c r="BA74" s="59">
        <f t="shared" si="35"/>
        <v>-1.5590246494127102E-3</v>
      </c>
      <c r="BB74" s="59"/>
      <c r="BD74" s="60"/>
      <c r="BE74" s="60"/>
      <c r="BF74" s="60"/>
      <c r="BG74" s="64"/>
      <c r="BI74" s="60"/>
      <c r="BJ74" s="60"/>
      <c r="BK74" s="60"/>
      <c r="BL74" s="64"/>
      <c r="BN74" s="60"/>
      <c r="BO74" s="60"/>
      <c r="BP74" s="60"/>
      <c r="BQ74" s="64"/>
      <c r="BS74" s="60"/>
      <c r="BT74" s="60"/>
      <c r="BU74" s="60"/>
      <c r="BV74" s="64"/>
      <c r="BX74">
        <f t="shared" si="36"/>
        <v>0</v>
      </c>
      <c r="BY74">
        <f t="shared" si="37"/>
        <v>1632</v>
      </c>
      <c r="BZ74">
        <f t="shared" si="38"/>
        <v>0</v>
      </c>
      <c r="CA74">
        <f t="shared" si="39"/>
        <v>1632</v>
      </c>
      <c r="CB74">
        <f t="shared" si="40"/>
        <v>0</v>
      </c>
      <c r="CC74">
        <f t="shared" si="41"/>
        <v>-3.4199999999998454E-2</v>
      </c>
      <c r="CD74">
        <f t="shared" si="42"/>
        <v>0.24930000000000518</v>
      </c>
      <c r="CE74">
        <f t="shared" si="43"/>
        <v>-1.1699999999997601E-2</v>
      </c>
      <c r="CF74">
        <f t="shared" si="44"/>
        <v>0</v>
      </c>
      <c r="CG74">
        <f t="shared" si="45"/>
        <v>0</v>
      </c>
      <c r="CH74">
        <f t="shared" si="46"/>
        <v>0</v>
      </c>
      <c r="CI74">
        <f t="shared" si="47"/>
        <v>0</v>
      </c>
      <c r="CJ74">
        <f t="shared" si="48"/>
        <v>0</v>
      </c>
    </row>
    <row r="75" spans="1:88" x14ac:dyDescent="0.15">
      <c r="A75" s="5"/>
      <c r="B75" s="5" t="s">
        <v>102</v>
      </c>
      <c r="C75" s="6" t="s">
        <v>254</v>
      </c>
      <c r="D75" s="5">
        <v>1000993</v>
      </c>
      <c r="E75" s="7">
        <v>10</v>
      </c>
      <c r="F75" s="6">
        <v>1</v>
      </c>
      <c r="G75" s="6"/>
      <c r="I75" s="17" t="str">
        <f t="shared" si="25"/>
        <v>·</v>
      </c>
      <c r="J75" s="18">
        <f t="shared" si="26"/>
        <v>5.1098938753817462</v>
      </c>
      <c r="K75" s="18">
        <f t="shared" si="27"/>
        <v>0.77826718068957523</v>
      </c>
      <c r="L75" s="18">
        <f t="shared" si="28"/>
        <v>4.3310832343482923</v>
      </c>
      <c r="M75" s="19"/>
      <c r="N75" s="18">
        <f t="shared" si="29"/>
        <v>5.1098938753817462</v>
      </c>
      <c r="O75" s="20">
        <v>1000993</v>
      </c>
      <c r="P75" s="21">
        <v>5114968</v>
      </c>
      <c r="Q75" s="21">
        <v>779040</v>
      </c>
      <c r="R75" s="21">
        <v>4335384</v>
      </c>
      <c r="S75" s="37"/>
      <c r="T75" s="38">
        <v>52.9193</v>
      </c>
      <c r="U75" s="38">
        <v>56.154600000000002</v>
      </c>
      <c r="V75" s="38">
        <v>55.727600000000002</v>
      </c>
      <c r="W75" s="39"/>
      <c r="X75" s="38">
        <v>48.130800000000001</v>
      </c>
      <c r="Y75" s="38">
        <v>48.130800000000001</v>
      </c>
      <c r="Z75" s="38">
        <v>48.130800000000001</v>
      </c>
      <c r="AA75" s="39"/>
      <c r="AB75" s="49">
        <v>1.218</v>
      </c>
      <c r="AC75" s="49">
        <v>0.84299999999999997</v>
      </c>
      <c r="AE75" s="17" t="str">
        <f t="shared" si="30"/>
        <v>·</v>
      </c>
      <c r="AF75" s="18">
        <f t="shared" si="31"/>
        <v>5.1325433844192716</v>
      </c>
      <c r="AG75" s="18">
        <f t="shared" si="32"/>
        <v>0.77826718068957523</v>
      </c>
      <c r="AH75" s="18">
        <f t="shared" si="33"/>
        <v>4.3537327433858177</v>
      </c>
      <c r="AI75" s="19"/>
      <c r="AJ75" s="18">
        <f t="shared" si="34"/>
        <v>5.1325433844192716</v>
      </c>
      <c r="AK75" s="20">
        <v>1000993</v>
      </c>
      <c r="AL75" s="21">
        <v>5137640</v>
      </c>
      <c r="AM75" s="21">
        <v>779040</v>
      </c>
      <c r="AN75" s="21">
        <v>4358056</v>
      </c>
      <c r="AO75" s="37"/>
      <c r="AP75" s="38">
        <v>52.935299999999998</v>
      </c>
      <c r="AQ75" s="38">
        <v>56.142499999999998</v>
      </c>
      <c r="AR75" s="38">
        <v>55.728099999999998</v>
      </c>
      <c r="AS75" s="39"/>
      <c r="AT75" s="38">
        <v>48.130800000000001</v>
      </c>
      <c r="AU75" s="38">
        <v>48.130800000000001</v>
      </c>
      <c r="AV75" s="38">
        <v>48.130800000000001</v>
      </c>
      <c r="AW75" s="39"/>
      <c r="AX75" s="49">
        <v>1.1870000000000001</v>
      </c>
      <c r="AY75" s="49">
        <v>0.89</v>
      </c>
      <c r="BA75" s="53">
        <f t="shared" si="35"/>
        <v>-6.7211408942899342E-4</v>
      </c>
      <c r="BB75" s="53">
        <f t="array" ref="BB75">AVERAGE(AM75:AM79/AL75:AL79)-AVERAGE(Q75:Q79/P75:P79)</f>
        <v>-7.4228407225278015E-3</v>
      </c>
      <c r="BD75" s="54">
        <f>IF(OR(ISBLANK(R75:R79),ISBLANK(AN75:AN79),ISBLANK(T75:T79),ISBLANK(AP75:AP79)),"·",bdRateExtend(R75:R79,T75:T79,AN75:AN79,AP75:AP79))</f>
        <v>3.1888359423215551E-2</v>
      </c>
      <c r="BE75" s="54">
        <f>IF(OR(ISBLANK(R75:R79),ISBLANK(AN75:AN79),ISBLANK(U75:U79),ISBLANK(AQ75:AQ79)),"·",bdRateExtend(R75:R79,U75:U79,AN75:AN79,AQ75:AQ79))</f>
        <v>3.932321301452224E-2</v>
      </c>
      <c r="BF75" s="54">
        <f>IF(OR(ISBLANK(R75:R79),ISBLANK(AN75:AN79),ISBLANK(V75:V79),ISBLANK(AR75:AR79)),"·",bdRateExtend(R75:R79,V75:V79,AN75:AN79,AR75:AR79))</f>
        <v>4.0356359416953147E-2</v>
      </c>
      <c r="BG75" s="61"/>
      <c r="BI75" s="54">
        <f>IF(OR(ISBLANK(R75:R79),ISBLANK(AN75:AN79),ISBLANK(X75:X79),ISBLANK(AT75:AT79)),"·",bdRateExtend(R75:R79,X75:X79,AN75:AN79,AT75:AT79))</f>
        <v>3.2712985432701069E-2</v>
      </c>
      <c r="BJ75" s="54">
        <f>IF(OR(ISBLANK(R75:R79),ISBLANK(AN75:AN79),ISBLANK(Y75:Y79),ISBLANK(AU75:AU79)),"·",bdRateExtend(R75:R79,Y75:Y79,AN75:AN79,AU75:AU79))</f>
        <v>3.2712985432701069E-2</v>
      </c>
      <c r="BK75" s="54">
        <f>IF(OR(ISBLANK(R75:R79),ISBLANK(AN75:AN79),ISBLANK(Z75:Z79),ISBLANK(AV75:AV79)),"·",bdRateExtend(R75:R79,Z75:Z79,AN75:AN79,AV75:AV79))</f>
        <v>3.2712985432701069E-2</v>
      </c>
      <c r="BL75" s="61"/>
      <c r="BN75" s="54">
        <f>IF(OR(ISBLANK(P75:P79),ISBLANK(AL75:AL79),ISBLANK(T75:T79),ISBLANK(AP75:AP79)),"·",bdRateExtend(P75:P79,T75:T79,AL75:AL79,AP75:AP79))</f>
        <v>1.3125652445711067E-2</v>
      </c>
      <c r="BO75" s="54">
        <f>IF(OR(ISBLANK(P75:P79),ISBLANK(AL75:AL79),ISBLANK(U75:U79),ISBLANK(AQ75:AQ79)),"·",bdRateExtend(P75:P79,U75:U79,AL75:AL79,AQ75:AQ79))</f>
        <v>1.8716044921842867E-2</v>
      </c>
      <c r="BP75" s="54">
        <f>IF(OR(ISBLANK(P75:P79),ISBLANK(AL75:AL79),ISBLANK(V75:V79),ISBLANK(AR75:AR79)),"·",bdRateExtend(P75:P79,V75:V79,AL75:AL79,AR75:AR79))</f>
        <v>1.4851136486502936E-2</v>
      </c>
      <c r="BQ75" s="61"/>
      <c r="BS75" s="54">
        <f>IF(OR(ISBLANK(P75:P79),ISBLANK(AL75:AL79),ISBLANK(X75:X79),ISBLANK(AT75:AT79)),"·",bdRateExtend(P75:P79,X75:X79,AL75:AL79,AT75:AT79))</f>
        <v>1.3912342494640795E-2</v>
      </c>
      <c r="BT75" s="54">
        <f>IF(OR(ISBLANK(P75:P79),ISBLANK(AL75:AL79),ISBLANK(Y75:Y79),ISBLANK(AU75:AU79)),"·",bdRateExtend(P75:P79,Y75:Y79,AL75:AL79,AU75:AU79))</f>
        <v>1.3912342494640795E-2</v>
      </c>
      <c r="BU75" s="54">
        <f>IF(OR(ISBLANK(P75:P79),ISBLANK(AL75:AL79),ISBLANK(Z75:Z79),ISBLANK(AV75:AV79)),"·",bdRateExtend(P75:P79,Z75:Z79,AL75:AL79,AV75:AV79))</f>
        <v>1.3912342494640795E-2</v>
      </c>
      <c r="BV75" s="61"/>
      <c r="BX75">
        <f t="shared" si="36"/>
        <v>0</v>
      </c>
      <c r="BY75">
        <f t="shared" si="37"/>
        <v>22672</v>
      </c>
      <c r="BZ75">
        <f t="shared" si="38"/>
        <v>0</v>
      </c>
      <c r="CA75">
        <f t="shared" si="39"/>
        <v>22672</v>
      </c>
      <c r="CB75">
        <f t="shared" si="40"/>
        <v>0</v>
      </c>
      <c r="CC75">
        <f t="shared" si="41"/>
        <v>1.5999999999998238E-2</v>
      </c>
      <c r="CD75">
        <f t="shared" si="42"/>
        <v>-1.2100000000003774E-2</v>
      </c>
      <c r="CE75">
        <f t="shared" si="43"/>
        <v>4.99999999995282E-4</v>
      </c>
      <c r="CF75">
        <f t="shared" si="44"/>
        <v>0</v>
      </c>
      <c r="CG75">
        <f t="shared" si="45"/>
        <v>0</v>
      </c>
      <c r="CH75">
        <f t="shared" si="46"/>
        <v>0</v>
      </c>
      <c r="CI75">
        <f t="shared" si="47"/>
        <v>0</v>
      </c>
      <c r="CJ75">
        <f t="shared" si="48"/>
        <v>0</v>
      </c>
    </row>
    <row r="76" spans="1:88" outlineLevel="1" x14ac:dyDescent="0.15">
      <c r="A76" s="8"/>
      <c r="B76" s="8" t="s">
        <v>102</v>
      </c>
      <c r="C76" s="9" t="s">
        <v>255</v>
      </c>
      <c r="D76" s="8">
        <v>1000993</v>
      </c>
      <c r="E76" s="10">
        <v>10</v>
      </c>
      <c r="F76" s="9">
        <v>1</v>
      </c>
      <c r="G76" s="9"/>
      <c r="I76" s="22" t="str">
        <f t="shared" si="25"/>
        <v>·</v>
      </c>
      <c r="J76" s="23">
        <f t="shared" si="26"/>
        <v>3.5629819589147975</v>
      </c>
      <c r="K76" s="23">
        <f t="shared" si="27"/>
        <v>0.77826718068957523</v>
      </c>
      <c r="L76" s="23">
        <f t="shared" si="28"/>
        <v>2.7841713178813436</v>
      </c>
      <c r="M76" s="24"/>
      <c r="N76" s="23">
        <f t="shared" si="29"/>
        <v>3.5629819589147975</v>
      </c>
      <c r="O76" s="25">
        <v>1000993</v>
      </c>
      <c r="P76" s="26">
        <v>3566520</v>
      </c>
      <c r="Q76" s="26">
        <v>779040</v>
      </c>
      <c r="R76" s="26">
        <v>2786936</v>
      </c>
      <c r="S76" s="40"/>
      <c r="T76" s="41">
        <v>48.203499999999998</v>
      </c>
      <c r="U76" s="41">
        <v>52.2211</v>
      </c>
      <c r="V76" s="41">
        <v>51.655299999999997</v>
      </c>
      <c r="W76" s="42"/>
      <c r="X76" s="41">
        <v>42.110199999999999</v>
      </c>
      <c r="Y76" s="41">
        <v>42.110199999999999</v>
      </c>
      <c r="Z76" s="41">
        <v>42.110199999999999</v>
      </c>
      <c r="AA76" s="42"/>
      <c r="AB76" s="50">
        <v>1.171</v>
      </c>
      <c r="AC76" s="50">
        <v>0.89</v>
      </c>
      <c r="AE76" s="22" t="str">
        <f t="shared" si="30"/>
        <v>·</v>
      </c>
      <c r="AF76" s="23">
        <f t="shared" si="31"/>
        <v>3.5866864203845581</v>
      </c>
      <c r="AG76" s="23">
        <f t="shared" si="32"/>
        <v>0.77826718068957523</v>
      </c>
      <c r="AH76" s="23">
        <f t="shared" si="33"/>
        <v>2.8078757793511042</v>
      </c>
      <c r="AI76" s="24"/>
      <c r="AJ76" s="23">
        <f t="shared" si="34"/>
        <v>3.5866864203845581</v>
      </c>
      <c r="AK76" s="25">
        <v>1000993</v>
      </c>
      <c r="AL76" s="26">
        <v>3590248</v>
      </c>
      <c r="AM76" s="26">
        <v>779040</v>
      </c>
      <c r="AN76" s="26">
        <v>2810664</v>
      </c>
      <c r="AO76" s="40"/>
      <c r="AP76" s="41">
        <v>48.205199999999998</v>
      </c>
      <c r="AQ76" s="41">
        <v>52.208199999999998</v>
      </c>
      <c r="AR76" s="41">
        <v>51.654400000000003</v>
      </c>
      <c r="AS76" s="42"/>
      <c r="AT76" s="41">
        <v>42.110199999999999</v>
      </c>
      <c r="AU76" s="41">
        <v>42.110199999999999</v>
      </c>
      <c r="AV76" s="41">
        <v>42.110199999999999</v>
      </c>
      <c r="AW76" s="42"/>
      <c r="AX76" s="50">
        <v>1.171</v>
      </c>
      <c r="AY76" s="50">
        <v>0.89</v>
      </c>
      <c r="BA76" s="55">
        <f t="shared" si="35"/>
        <v>-1.4436163036893046E-3</v>
      </c>
      <c r="BB76" s="55"/>
      <c r="BD76" s="56"/>
      <c r="BE76" s="56"/>
      <c r="BF76" s="56"/>
      <c r="BG76" s="62"/>
      <c r="BI76" s="56"/>
      <c r="BJ76" s="56"/>
      <c r="BK76" s="56"/>
      <c r="BL76" s="62"/>
      <c r="BN76" s="56"/>
      <c r="BO76" s="56"/>
      <c r="BP76" s="56"/>
      <c r="BQ76" s="62"/>
      <c r="BS76" s="56"/>
      <c r="BT76" s="56"/>
      <c r="BU76" s="56"/>
      <c r="BV76" s="62"/>
      <c r="BX76">
        <f t="shared" si="36"/>
        <v>0</v>
      </c>
      <c r="BY76">
        <f t="shared" si="37"/>
        <v>23728</v>
      </c>
      <c r="BZ76">
        <f t="shared" si="38"/>
        <v>0</v>
      </c>
      <c r="CA76">
        <f t="shared" si="39"/>
        <v>23728</v>
      </c>
      <c r="CB76">
        <f t="shared" si="40"/>
        <v>0</v>
      </c>
      <c r="CC76">
        <f t="shared" si="41"/>
        <v>1.6999999999995907E-3</v>
      </c>
      <c r="CD76">
        <f t="shared" si="42"/>
        <v>-1.290000000000191E-2</v>
      </c>
      <c r="CE76">
        <f t="shared" si="43"/>
        <v>-8.9999999999434976E-4</v>
      </c>
      <c r="CF76">
        <f t="shared" si="44"/>
        <v>0</v>
      </c>
      <c r="CG76">
        <f t="shared" si="45"/>
        <v>0</v>
      </c>
      <c r="CH76">
        <f t="shared" si="46"/>
        <v>0</v>
      </c>
      <c r="CI76">
        <f t="shared" si="47"/>
        <v>0</v>
      </c>
      <c r="CJ76">
        <f t="shared" si="48"/>
        <v>0</v>
      </c>
    </row>
    <row r="77" spans="1:88" outlineLevel="1" x14ac:dyDescent="0.15">
      <c r="A77" s="5"/>
      <c r="B77" s="5" t="s">
        <v>102</v>
      </c>
      <c r="C77" s="6" t="s">
        <v>256</v>
      </c>
      <c r="D77" s="5">
        <v>1000993</v>
      </c>
      <c r="E77" s="7">
        <v>10</v>
      </c>
      <c r="F77" s="6">
        <v>1</v>
      </c>
      <c r="G77" s="6"/>
      <c r="I77" s="17" t="str">
        <f t="shared" si="25"/>
        <v>·</v>
      </c>
      <c r="J77" s="18">
        <f t="shared" si="26"/>
        <v>1.9822236519136498</v>
      </c>
      <c r="K77" s="18">
        <f t="shared" si="27"/>
        <v>0.77826718068957523</v>
      </c>
      <c r="L77" s="18">
        <f t="shared" si="28"/>
        <v>1.2034130108801959</v>
      </c>
      <c r="M77" s="19"/>
      <c r="N77" s="18">
        <f t="shared" si="29"/>
        <v>1.9822236519136498</v>
      </c>
      <c r="O77" s="20">
        <v>1000993</v>
      </c>
      <c r="P77" s="21">
        <v>1984192</v>
      </c>
      <c r="Q77" s="21">
        <v>779040</v>
      </c>
      <c r="R77" s="21">
        <v>1204608</v>
      </c>
      <c r="S77" s="37"/>
      <c r="T77" s="38">
        <v>41.635899999999999</v>
      </c>
      <c r="U77" s="38">
        <v>47.417499999999997</v>
      </c>
      <c r="V77" s="38">
        <v>46.780999999999999</v>
      </c>
      <c r="W77" s="39"/>
      <c r="X77" s="38">
        <v>34.151400000000002</v>
      </c>
      <c r="Y77" s="38">
        <v>34.151400000000002</v>
      </c>
      <c r="Z77" s="38">
        <v>34.151400000000002</v>
      </c>
      <c r="AA77" s="39"/>
      <c r="AB77" s="49">
        <v>1.125</v>
      </c>
      <c r="AC77" s="49">
        <v>0.875</v>
      </c>
      <c r="AE77" s="17" t="str">
        <f t="shared" si="30"/>
        <v>·</v>
      </c>
      <c r="AF77" s="18">
        <f t="shared" si="31"/>
        <v>2.0109551215642867</v>
      </c>
      <c r="AG77" s="18">
        <f t="shared" si="32"/>
        <v>0.77826718068957523</v>
      </c>
      <c r="AH77" s="18">
        <f t="shared" si="33"/>
        <v>1.2321444805308328</v>
      </c>
      <c r="AI77" s="19"/>
      <c r="AJ77" s="18">
        <f t="shared" si="34"/>
        <v>2.0109551215642867</v>
      </c>
      <c r="AK77" s="20">
        <v>1000993</v>
      </c>
      <c r="AL77" s="21">
        <v>2012952</v>
      </c>
      <c r="AM77" s="21">
        <v>779040</v>
      </c>
      <c r="AN77" s="21">
        <v>1233368</v>
      </c>
      <c r="AO77" s="37"/>
      <c r="AP77" s="38">
        <v>41.655799999999999</v>
      </c>
      <c r="AQ77" s="38">
        <v>47.349400000000003</v>
      </c>
      <c r="AR77" s="38">
        <v>46.803899999999999</v>
      </c>
      <c r="AS77" s="39"/>
      <c r="AT77" s="38">
        <v>34.151400000000002</v>
      </c>
      <c r="AU77" s="38">
        <v>34.151400000000002</v>
      </c>
      <c r="AV77" s="38">
        <v>34.151400000000002</v>
      </c>
      <c r="AW77" s="39"/>
      <c r="AX77" s="49">
        <v>1.1399999999999999</v>
      </c>
      <c r="AY77" s="49">
        <v>0.90600000000000003</v>
      </c>
      <c r="BA77" s="53">
        <f t="shared" si="35"/>
        <v>-5.6095952364447199E-3</v>
      </c>
      <c r="BB77" s="53"/>
      <c r="BD77" s="54"/>
      <c r="BE77" s="54"/>
      <c r="BF77" s="54"/>
      <c r="BG77" s="61"/>
      <c r="BI77" s="54"/>
      <c r="BJ77" s="54"/>
      <c r="BK77" s="54"/>
      <c r="BL77" s="61"/>
      <c r="BN77" s="54"/>
      <c r="BO77" s="54"/>
      <c r="BP77" s="54"/>
      <c r="BQ77" s="61"/>
      <c r="BS77" s="54"/>
      <c r="BT77" s="54"/>
      <c r="BU77" s="54"/>
      <c r="BV77" s="61"/>
      <c r="BX77">
        <f t="shared" si="36"/>
        <v>0</v>
      </c>
      <c r="BY77">
        <f t="shared" si="37"/>
        <v>28760</v>
      </c>
      <c r="BZ77">
        <f t="shared" si="38"/>
        <v>0</v>
      </c>
      <c r="CA77">
        <f t="shared" si="39"/>
        <v>28760</v>
      </c>
      <c r="CB77">
        <f t="shared" si="40"/>
        <v>0</v>
      </c>
      <c r="CC77">
        <f t="shared" si="41"/>
        <v>1.9899999999999807E-2</v>
      </c>
      <c r="CD77">
        <f t="shared" si="42"/>
        <v>-6.8099999999994054E-2</v>
      </c>
      <c r="CE77">
        <f t="shared" si="43"/>
        <v>2.289999999999992E-2</v>
      </c>
      <c r="CF77">
        <f t="shared" si="44"/>
        <v>0</v>
      </c>
      <c r="CG77">
        <f t="shared" si="45"/>
        <v>0</v>
      </c>
      <c r="CH77">
        <f t="shared" si="46"/>
        <v>0</v>
      </c>
      <c r="CI77">
        <f t="shared" si="47"/>
        <v>0</v>
      </c>
      <c r="CJ77">
        <f t="shared" si="48"/>
        <v>0</v>
      </c>
    </row>
    <row r="78" spans="1:88" outlineLevel="1" x14ac:dyDescent="0.15">
      <c r="A78" s="8"/>
      <c r="B78" s="8" t="s">
        <v>102</v>
      </c>
      <c r="C78" s="9" t="s">
        <v>257</v>
      </c>
      <c r="D78" s="8">
        <v>1000993</v>
      </c>
      <c r="E78" s="10">
        <v>10</v>
      </c>
      <c r="F78" s="9">
        <v>1</v>
      </c>
      <c r="G78" s="9"/>
      <c r="I78" s="22" t="str">
        <f t="shared" si="25"/>
        <v>·</v>
      </c>
      <c r="J78" s="23">
        <f t="shared" si="26"/>
        <v>1.3239093580074985</v>
      </c>
      <c r="K78" s="23">
        <f t="shared" si="27"/>
        <v>0.77826718068957523</v>
      </c>
      <c r="L78" s="23">
        <f t="shared" si="28"/>
        <v>0.54509871697404477</v>
      </c>
      <c r="M78" s="24"/>
      <c r="N78" s="23">
        <f t="shared" si="29"/>
        <v>1.3239093580074985</v>
      </c>
      <c r="O78" s="25">
        <v>1000993</v>
      </c>
      <c r="P78" s="26">
        <v>1325224</v>
      </c>
      <c r="Q78" s="26">
        <v>779040</v>
      </c>
      <c r="R78" s="26">
        <v>545640</v>
      </c>
      <c r="S78" s="40"/>
      <c r="T78" s="41">
        <v>36.549900000000001</v>
      </c>
      <c r="U78" s="41">
        <v>42.671100000000003</v>
      </c>
      <c r="V78" s="41">
        <v>42.324199999999998</v>
      </c>
      <c r="W78" s="42"/>
      <c r="X78" s="41">
        <v>28.130800000000001</v>
      </c>
      <c r="Y78" s="41">
        <v>28.130800000000001</v>
      </c>
      <c r="Z78" s="41">
        <v>28.130800000000001</v>
      </c>
      <c r="AA78" s="42"/>
      <c r="AB78" s="50">
        <v>1.0780000000000001</v>
      </c>
      <c r="AC78" s="50">
        <v>0.84299999999999997</v>
      </c>
      <c r="AE78" s="22" t="str">
        <f t="shared" si="30"/>
        <v>·</v>
      </c>
      <c r="AF78" s="23">
        <f t="shared" si="31"/>
        <v>1.3527766927441052</v>
      </c>
      <c r="AG78" s="23">
        <f t="shared" si="32"/>
        <v>0.77826718068957523</v>
      </c>
      <c r="AH78" s="23">
        <f t="shared" si="33"/>
        <v>0.57396605171065129</v>
      </c>
      <c r="AI78" s="24"/>
      <c r="AJ78" s="23">
        <f t="shared" si="34"/>
        <v>1.3527766927441052</v>
      </c>
      <c r="AK78" s="25">
        <v>1000993</v>
      </c>
      <c r="AL78" s="26">
        <v>1354120</v>
      </c>
      <c r="AM78" s="26">
        <v>779040</v>
      </c>
      <c r="AN78" s="26">
        <v>574536</v>
      </c>
      <c r="AO78" s="40"/>
      <c r="AP78" s="41">
        <v>36.579300000000003</v>
      </c>
      <c r="AQ78" s="41">
        <v>42.494300000000003</v>
      </c>
      <c r="AR78" s="41">
        <v>42.360799999999998</v>
      </c>
      <c r="AS78" s="42"/>
      <c r="AT78" s="41">
        <v>28.130800000000001</v>
      </c>
      <c r="AU78" s="41">
        <v>28.130800000000001</v>
      </c>
      <c r="AV78" s="41">
        <v>28.130800000000001</v>
      </c>
      <c r="AW78" s="42"/>
      <c r="AX78" s="50">
        <v>1.171</v>
      </c>
      <c r="AY78" s="50">
        <v>0.875</v>
      </c>
      <c r="BA78" s="55">
        <f t="shared" si="35"/>
        <v>-1.2544433132602784E-2</v>
      </c>
      <c r="BB78" s="55"/>
      <c r="BD78" s="56"/>
      <c r="BE78" s="56"/>
      <c r="BF78" s="56"/>
      <c r="BG78" s="62"/>
      <c r="BI78" s="56"/>
      <c r="BJ78" s="56"/>
      <c r="BK78" s="56"/>
      <c r="BL78" s="62"/>
      <c r="BN78" s="56"/>
      <c r="BO78" s="56"/>
      <c r="BP78" s="56"/>
      <c r="BQ78" s="62"/>
      <c r="BS78" s="56"/>
      <c r="BT78" s="56"/>
      <c r="BU78" s="56"/>
      <c r="BV78" s="62"/>
      <c r="BX78">
        <f t="shared" si="36"/>
        <v>0</v>
      </c>
      <c r="BY78">
        <f t="shared" si="37"/>
        <v>28896</v>
      </c>
      <c r="BZ78">
        <f t="shared" si="38"/>
        <v>0</v>
      </c>
      <c r="CA78">
        <f t="shared" si="39"/>
        <v>28896</v>
      </c>
      <c r="CB78">
        <f t="shared" si="40"/>
        <v>0</v>
      </c>
      <c r="CC78">
        <f t="shared" si="41"/>
        <v>2.9400000000002535E-2</v>
      </c>
      <c r="CD78">
        <f t="shared" si="42"/>
        <v>-0.17680000000000007</v>
      </c>
      <c r="CE78">
        <f t="shared" si="43"/>
        <v>3.6599999999999966E-2</v>
      </c>
      <c r="CF78">
        <f t="shared" si="44"/>
        <v>0</v>
      </c>
      <c r="CG78">
        <f t="shared" si="45"/>
        <v>0</v>
      </c>
      <c r="CH78">
        <f t="shared" si="46"/>
        <v>0</v>
      </c>
      <c r="CI78">
        <f t="shared" si="47"/>
        <v>0</v>
      </c>
      <c r="CJ78">
        <f t="shared" si="48"/>
        <v>0</v>
      </c>
    </row>
    <row r="79" spans="1:88" outlineLevel="1" x14ac:dyDescent="0.15">
      <c r="A79" s="5"/>
      <c r="B79" s="11" t="s">
        <v>102</v>
      </c>
      <c r="C79" s="12" t="s">
        <v>258</v>
      </c>
      <c r="D79" s="11">
        <v>1000993</v>
      </c>
      <c r="E79" s="13">
        <v>10</v>
      </c>
      <c r="F79" s="12">
        <v>1</v>
      </c>
      <c r="G79" s="12"/>
      <c r="I79" s="27" t="str">
        <f t="shared" si="25"/>
        <v>·</v>
      </c>
      <c r="J79" s="28">
        <f t="shared" si="26"/>
        <v>0.97995490477955394</v>
      </c>
      <c r="K79" s="28">
        <f t="shared" si="27"/>
        <v>0.77826718068957523</v>
      </c>
      <c r="L79" s="28">
        <f t="shared" si="28"/>
        <v>0.20114426374610012</v>
      </c>
      <c r="M79" s="29"/>
      <c r="N79" s="28">
        <f t="shared" si="29"/>
        <v>0.97995490477955394</v>
      </c>
      <c r="O79" s="30">
        <v>1000993</v>
      </c>
      <c r="P79" s="31">
        <v>980928</v>
      </c>
      <c r="Q79" s="31">
        <v>779040</v>
      </c>
      <c r="R79" s="31">
        <v>201344</v>
      </c>
      <c r="S79" s="43"/>
      <c r="T79" s="44">
        <v>30.159099999999999</v>
      </c>
      <c r="U79" s="44">
        <v>36.482300000000002</v>
      </c>
      <c r="V79" s="44">
        <v>36.719900000000003</v>
      </c>
      <c r="W79" s="45"/>
      <c r="X79" s="44">
        <v>21.686399999999999</v>
      </c>
      <c r="Y79" s="44">
        <v>21.686399999999999</v>
      </c>
      <c r="Z79" s="44">
        <v>21.686399999999999</v>
      </c>
      <c r="AA79" s="45"/>
      <c r="AB79" s="51">
        <v>1.109</v>
      </c>
      <c r="AC79" s="51">
        <v>0.90600000000000003</v>
      </c>
      <c r="AE79" s="27" t="str">
        <f t="shared" si="30"/>
        <v>·</v>
      </c>
      <c r="AF79" s="28">
        <f t="shared" si="31"/>
        <v>1.0011898185102193</v>
      </c>
      <c r="AG79" s="28">
        <f t="shared" si="32"/>
        <v>0.77826718068957523</v>
      </c>
      <c r="AH79" s="28">
        <f t="shared" si="33"/>
        <v>0.22237917747676558</v>
      </c>
      <c r="AI79" s="29"/>
      <c r="AJ79" s="28">
        <f t="shared" si="34"/>
        <v>1.0011898185102193</v>
      </c>
      <c r="AK79" s="30">
        <v>1000993</v>
      </c>
      <c r="AL79" s="31">
        <v>1002184</v>
      </c>
      <c r="AM79" s="31">
        <v>779040</v>
      </c>
      <c r="AN79" s="31">
        <v>222600</v>
      </c>
      <c r="AO79" s="43"/>
      <c r="AP79" s="44">
        <v>30.221699999999998</v>
      </c>
      <c r="AQ79" s="44">
        <v>37.046799999999998</v>
      </c>
      <c r="AR79" s="44">
        <v>36.332099999999997</v>
      </c>
      <c r="AS79" s="45"/>
      <c r="AT79" s="44">
        <v>21.686399999999999</v>
      </c>
      <c r="AU79" s="44">
        <v>21.686399999999999</v>
      </c>
      <c r="AV79" s="44">
        <v>21.686399999999999</v>
      </c>
      <c r="AW79" s="45"/>
      <c r="AX79" s="51">
        <v>1.1399999999999999</v>
      </c>
      <c r="AY79" s="51">
        <v>0.84299999999999997</v>
      </c>
      <c r="BA79" s="57">
        <f t="shared" si="35"/>
        <v>-1.6844444850473539E-2</v>
      </c>
      <c r="BB79" s="57"/>
      <c r="BD79" s="58"/>
      <c r="BE79" s="58"/>
      <c r="BF79" s="58"/>
      <c r="BG79" s="63"/>
      <c r="BI79" s="58"/>
      <c r="BJ79" s="58"/>
      <c r="BK79" s="58"/>
      <c r="BL79" s="63"/>
      <c r="BN79" s="58"/>
      <c r="BO79" s="58"/>
      <c r="BP79" s="58"/>
      <c r="BQ79" s="63"/>
      <c r="BS79" s="58"/>
      <c r="BT79" s="58"/>
      <c r="BU79" s="58"/>
      <c r="BV79" s="63"/>
      <c r="BX79">
        <f t="shared" si="36"/>
        <v>0</v>
      </c>
      <c r="BY79">
        <f t="shared" si="37"/>
        <v>21256</v>
      </c>
      <c r="BZ79">
        <f t="shared" si="38"/>
        <v>0</v>
      </c>
      <c r="CA79">
        <f t="shared" si="39"/>
        <v>21256</v>
      </c>
      <c r="CB79">
        <f t="shared" si="40"/>
        <v>0</v>
      </c>
      <c r="CC79">
        <f t="shared" si="41"/>
        <v>6.2599999999999767E-2</v>
      </c>
      <c r="CD79">
        <f t="shared" si="42"/>
        <v>0.56449999999999534</v>
      </c>
      <c r="CE79">
        <f t="shared" si="43"/>
        <v>-0.3878000000000057</v>
      </c>
      <c r="CF79">
        <f t="shared" si="44"/>
        <v>0</v>
      </c>
      <c r="CG79">
        <f t="shared" si="45"/>
        <v>0</v>
      </c>
      <c r="CH79">
        <f t="shared" si="46"/>
        <v>0</v>
      </c>
      <c r="CI79">
        <f t="shared" si="47"/>
        <v>0</v>
      </c>
      <c r="CJ79">
        <f t="shared" si="48"/>
        <v>0</v>
      </c>
    </row>
    <row r="80" spans="1:88" x14ac:dyDescent="0.15">
      <c r="A80" s="8"/>
      <c r="B80" s="8" t="s">
        <v>105</v>
      </c>
      <c r="C80" s="9" t="s">
        <v>254</v>
      </c>
      <c r="D80" s="8">
        <v>2770567</v>
      </c>
      <c r="E80" s="10">
        <v>12</v>
      </c>
      <c r="F80" s="9">
        <v>1</v>
      </c>
      <c r="G80" s="9"/>
      <c r="I80" s="22" t="str">
        <f t="shared" si="25"/>
        <v>·</v>
      </c>
      <c r="J80" s="23">
        <f t="shared" si="26"/>
        <v>8.3637060572799715</v>
      </c>
      <c r="K80" s="23">
        <f t="shared" si="27"/>
        <v>3.9133419260389659</v>
      </c>
      <c r="L80" s="23">
        <f t="shared" si="28"/>
        <v>4.4500320692479196</v>
      </c>
      <c r="M80" s="24"/>
      <c r="N80" s="23">
        <f t="shared" si="29"/>
        <v>8.3637060572799715</v>
      </c>
      <c r="O80" s="25">
        <v>2770567</v>
      </c>
      <c r="P80" s="26">
        <v>23172208</v>
      </c>
      <c r="Q80" s="26">
        <v>10842176</v>
      </c>
      <c r="R80" s="26">
        <v>12329112</v>
      </c>
      <c r="S80" s="40"/>
      <c r="T80" s="41">
        <v>53.134799999999998</v>
      </c>
      <c r="U80" s="41">
        <v>55.755899999999997</v>
      </c>
      <c r="V80" s="41">
        <v>55.316000000000003</v>
      </c>
      <c r="W80" s="42"/>
      <c r="X80" s="41">
        <v>48.130800000000001</v>
      </c>
      <c r="Y80" s="41">
        <v>48.130800000000001</v>
      </c>
      <c r="Z80" s="41">
        <v>48.130800000000001</v>
      </c>
      <c r="AA80" s="42"/>
      <c r="AB80" s="50">
        <v>4.5780000000000003</v>
      </c>
      <c r="AC80" s="50">
        <v>3.7029999999999998</v>
      </c>
      <c r="AE80" s="22" t="str">
        <f t="shared" si="30"/>
        <v>·</v>
      </c>
      <c r="AF80" s="23">
        <f t="shared" si="31"/>
        <v>8.3758884011828627</v>
      </c>
      <c r="AG80" s="23">
        <f t="shared" si="32"/>
        <v>3.9133419260389659</v>
      </c>
      <c r="AH80" s="23">
        <f t="shared" si="33"/>
        <v>4.4622144131508099</v>
      </c>
      <c r="AI80" s="24"/>
      <c r="AJ80" s="23">
        <f t="shared" si="34"/>
        <v>8.3758884011828627</v>
      </c>
      <c r="AK80" s="25">
        <v>2770567</v>
      </c>
      <c r="AL80" s="26">
        <v>23205960</v>
      </c>
      <c r="AM80" s="26">
        <v>10842176</v>
      </c>
      <c r="AN80" s="26">
        <v>12362864</v>
      </c>
      <c r="AO80" s="40"/>
      <c r="AP80" s="41">
        <v>53.138100000000001</v>
      </c>
      <c r="AQ80" s="41">
        <v>55.750100000000003</v>
      </c>
      <c r="AR80" s="41">
        <v>55.316400000000002</v>
      </c>
      <c r="AS80" s="42"/>
      <c r="AT80" s="41">
        <v>48.130800000000001</v>
      </c>
      <c r="AU80" s="41">
        <v>48.130800000000001</v>
      </c>
      <c r="AV80" s="41">
        <v>48.130800000000001</v>
      </c>
      <c r="AW80" s="42"/>
      <c r="AX80" s="50">
        <v>4.5620000000000003</v>
      </c>
      <c r="AY80" s="50">
        <v>3.6869999999999998</v>
      </c>
      <c r="BA80" s="55">
        <f t="shared" si="35"/>
        <v>-6.8053271501394841E-4</v>
      </c>
      <c r="BB80" s="55">
        <f t="array" ref="BB80">AVERAGE(AM80:AM84/AL80:AL84)-AVERAGE(Q80:Q84/P80:P84)</f>
        <v>-1.6672775366658454E-3</v>
      </c>
      <c r="BD80" s="56">
        <f>IF(OR(ISBLANK(R80:R84),ISBLANK(AN80:AN84),ISBLANK(T80:T84),ISBLANK(AP80:AP84)),"·",bdRateExtend(R80:R84,T80:T84,AN80:AN84,AP80:AP84))</f>
        <v>5.7526776927674383E-3</v>
      </c>
      <c r="BE80" s="56">
        <f>IF(OR(ISBLANK(R80:R84),ISBLANK(AN80:AN84),ISBLANK(U80:U84),ISBLANK(AQ80:AQ84)),"·",bdRateExtend(R80:R84,U80:U84,AN80:AN84,AQ80:AQ84))</f>
        <v>3.1782772303595719E-2</v>
      </c>
      <c r="BF80" s="56">
        <f>IF(OR(ISBLANK(R80:R84),ISBLANK(AN80:AN84),ISBLANK(V80:V84),ISBLANK(AR80:AR84)),"·",bdRateExtend(R80:R84,V80:V84,AN80:AN84,AR80:AR84))</f>
        <v>2.0677799733546331E-2</v>
      </c>
      <c r="BG80" s="62"/>
      <c r="BI80" s="56">
        <f>IF(OR(ISBLANK(R80:R84),ISBLANK(AN80:AN84),ISBLANK(X80:X84),ISBLANK(AT80:AT84)),"·",bdRateExtend(R80:R84,X80:X84,AN80:AN84,AT80:AT84))</f>
        <v>1.3934956750054184E-2</v>
      </c>
      <c r="BJ80" s="56">
        <f>IF(OR(ISBLANK(R80:R84),ISBLANK(AN80:AN84),ISBLANK(Y80:Y84),ISBLANK(AU80:AU84)),"·",bdRateExtend(R80:R84,Y80:Y84,AN80:AN84,AU80:AU84))</f>
        <v>1.3934956750054184E-2</v>
      </c>
      <c r="BK80" s="56">
        <f>IF(OR(ISBLANK(R80:R84),ISBLANK(AN80:AN84),ISBLANK(Z80:Z84),ISBLANK(AV80:AV84)),"·",bdRateExtend(R80:R84,Z80:Z84,AN80:AN84,AV80:AV84))</f>
        <v>1.3934956750054184E-2</v>
      </c>
      <c r="BL80" s="62"/>
      <c r="BN80" s="56">
        <f>IF(OR(ISBLANK(P80:P84),ISBLANK(AL80:AL84),ISBLANK(T80:T84),ISBLANK(AP80:AP84)),"·",bdRateExtend(P80:P84,T80:T84,AL80:AL84,AP80:AP84))</f>
        <v>1.6354173127683946E-3</v>
      </c>
      <c r="BO80" s="56">
        <f>IF(OR(ISBLANK(P80:P84),ISBLANK(AL80:AL84),ISBLANK(U80:U84),ISBLANK(AQ80:AQ84)),"·",bdRateExtend(P80:P84,U80:U84,AL80:AL84,AQ80:AQ84))</f>
        <v>3.7453068685617819E-3</v>
      </c>
      <c r="BP80" s="56">
        <f>IF(OR(ISBLANK(P80:P84),ISBLANK(AL80:AL84),ISBLANK(V80:V84),ISBLANK(AR80:AR84)),"·",bdRateExtend(P80:P84,V80:V84,AL80:AL84,AR80:AR84))</f>
        <v>2.8991699611444766E-3</v>
      </c>
      <c r="BQ80" s="62"/>
      <c r="BS80" s="56">
        <f>IF(OR(ISBLANK(P80:P84),ISBLANK(AL80:AL84),ISBLANK(X80:X84),ISBLANK(AT80:AT84)),"·",bdRateExtend(P80:P84,X80:X84,AL80:AL84,AT80:AT84))</f>
        <v>2.4289960026939728E-3</v>
      </c>
      <c r="BT80" s="56">
        <f>IF(OR(ISBLANK(P80:P84),ISBLANK(AL80:AL84),ISBLANK(Y80:Y84),ISBLANK(AU80:AU84)),"·",bdRateExtend(P80:P84,Y80:Y84,AL80:AL84,AU80:AU84))</f>
        <v>2.4289960026939728E-3</v>
      </c>
      <c r="BU80" s="56">
        <f>IF(OR(ISBLANK(P80:P84),ISBLANK(AL80:AL84),ISBLANK(Z80:Z84),ISBLANK(AV80:AV84)),"·",bdRateExtend(P80:P84,Z80:Z84,AL80:AL84,AV80:AV84))</f>
        <v>2.4289960026939728E-3</v>
      </c>
      <c r="BV80" s="62"/>
      <c r="BX80">
        <f t="shared" si="36"/>
        <v>0</v>
      </c>
      <c r="BY80">
        <f t="shared" si="37"/>
        <v>33752</v>
      </c>
      <c r="BZ80">
        <f t="shared" si="38"/>
        <v>0</v>
      </c>
      <c r="CA80">
        <f t="shared" si="39"/>
        <v>33752</v>
      </c>
      <c r="CB80">
        <f t="shared" si="40"/>
        <v>0</v>
      </c>
      <c r="CC80">
        <f t="shared" si="41"/>
        <v>3.3000000000029672E-3</v>
      </c>
      <c r="CD80">
        <f t="shared" si="42"/>
        <v>-5.7999999999935881E-3</v>
      </c>
      <c r="CE80">
        <f t="shared" si="43"/>
        <v>3.9999999999906777E-4</v>
      </c>
      <c r="CF80">
        <f t="shared" si="44"/>
        <v>0</v>
      </c>
      <c r="CG80">
        <f t="shared" si="45"/>
        <v>0</v>
      </c>
      <c r="CH80">
        <f t="shared" si="46"/>
        <v>0</v>
      </c>
      <c r="CI80">
        <f t="shared" si="47"/>
        <v>0</v>
      </c>
      <c r="CJ80">
        <f t="shared" si="48"/>
        <v>0</v>
      </c>
    </row>
    <row r="81" spans="1:88" outlineLevel="1" x14ac:dyDescent="0.15">
      <c r="A81" s="5"/>
      <c r="B81" s="5" t="s">
        <v>105</v>
      </c>
      <c r="C81" s="6" t="s">
        <v>255</v>
      </c>
      <c r="D81" s="5">
        <v>2770567</v>
      </c>
      <c r="E81" s="7">
        <v>12</v>
      </c>
      <c r="F81" s="6">
        <v>1</v>
      </c>
      <c r="G81" s="6"/>
      <c r="I81" s="17" t="str">
        <f t="shared" si="25"/>
        <v>·</v>
      </c>
      <c r="J81" s="18">
        <f t="shared" si="26"/>
        <v>6.7649401728960177</v>
      </c>
      <c r="K81" s="18">
        <f t="shared" si="27"/>
        <v>3.9133419260389659</v>
      </c>
      <c r="L81" s="18">
        <f t="shared" si="28"/>
        <v>2.8512661848639649</v>
      </c>
      <c r="M81" s="19"/>
      <c r="N81" s="18">
        <f t="shared" si="29"/>
        <v>6.7649401728960177</v>
      </c>
      <c r="O81" s="20">
        <v>2770567</v>
      </c>
      <c r="P81" s="21">
        <v>18742720</v>
      </c>
      <c r="Q81" s="21">
        <v>10842176</v>
      </c>
      <c r="R81" s="21">
        <v>7899624</v>
      </c>
      <c r="S81" s="37"/>
      <c r="T81" s="38">
        <v>48.632199999999997</v>
      </c>
      <c r="U81" s="38">
        <v>51.715699999999998</v>
      </c>
      <c r="V81" s="38">
        <v>51.258800000000001</v>
      </c>
      <c r="W81" s="39"/>
      <c r="X81" s="38">
        <v>42.110199999999999</v>
      </c>
      <c r="Y81" s="38">
        <v>42.110199999999999</v>
      </c>
      <c r="Z81" s="38">
        <v>42.110199999999999</v>
      </c>
      <c r="AA81" s="39"/>
      <c r="AB81" s="49">
        <v>4.4210000000000003</v>
      </c>
      <c r="AC81" s="49">
        <v>3.6709999999999998</v>
      </c>
      <c r="AE81" s="17" t="str">
        <f t="shared" si="30"/>
        <v>·</v>
      </c>
      <c r="AF81" s="18">
        <f t="shared" si="31"/>
        <v>6.7786933144009875</v>
      </c>
      <c r="AG81" s="18">
        <f t="shared" si="32"/>
        <v>3.9133419260389659</v>
      </c>
      <c r="AH81" s="18">
        <f t="shared" si="33"/>
        <v>2.8650193263689347</v>
      </c>
      <c r="AI81" s="19"/>
      <c r="AJ81" s="18">
        <f t="shared" si="34"/>
        <v>6.7786933144009875</v>
      </c>
      <c r="AK81" s="20">
        <v>2770567</v>
      </c>
      <c r="AL81" s="21">
        <v>18780824</v>
      </c>
      <c r="AM81" s="21">
        <v>10842176</v>
      </c>
      <c r="AN81" s="21">
        <v>7937728</v>
      </c>
      <c r="AO81" s="37"/>
      <c r="AP81" s="38">
        <v>48.629600000000003</v>
      </c>
      <c r="AQ81" s="38">
        <v>51.712400000000002</v>
      </c>
      <c r="AR81" s="38">
        <v>51.257800000000003</v>
      </c>
      <c r="AS81" s="39"/>
      <c r="AT81" s="38">
        <v>42.110199999999999</v>
      </c>
      <c r="AU81" s="38">
        <v>42.110199999999999</v>
      </c>
      <c r="AV81" s="38">
        <v>42.110199999999999</v>
      </c>
      <c r="AW81" s="39"/>
      <c r="AX81" s="49">
        <v>4.6559999999999997</v>
      </c>
      <c r="AY81" s="49">
        <v>3.6560000000000001</v>
      </c>
      <c r="BA81" s="53">
        <f t="shared" si="35"/>
        <v>-1.1736531299443298E-3</v>
      </c>
      <c r="BB81" s="53"/>
      <c r="BD81" s="54"/>
      <c r="BE81" s="54"/>
      <c r="BF81" s="54"/>
      <c r="BG81" s="61"/>
      <c r="BI81" s="54"/>
      <c r="BJ81" s="54"/>
      <c r="BK81" s="54"/>
      <c r="BL81" s="61"/>
      <c r="BN81" s="54"/>
      <c r="BO81" s="54"/>
      <c r="BP81" s="54"/>
      <c r="BQ81" s="61"/>
      <c r="BS81" s="54"/>
      <c r="BT81" s="54"/>
      <c r="BU81" s="54"/>
      <c r="BV81" s="61"/>
      <c r="BX81">
        <f t="shared" si="36"/>
        <v>0</v>
      </c>
      <c r="BY81">
        <f t="shared" si="37"/>
        <v>38104</v>
      </c>
      <c r="BZ81">
        <f t="shared" si="38"/>
        <v>0</v>
      </c>
      <c r="CA81">
        <f t="shared" si="39"/>
        <v>38104</v>
      </c>
      <c r="CB81">
        <f t="shared" si="40"/>
        <v>0</v>
      </c>
      <c r="CC81">
        <f t="shared" si="41"/>
        <v>-2.5999999999939405E-3</v>
      </c>
      <c r="CD81">
        <f t="shared" si="42"/>
        <v>-3.2999999999958618E-3</v>
      </c>
      <c r="CE81">
        <f t="shared" si="43"/>
        <v>-9.9999999999766942E-4</v>
      </c>
      <c r="CF81">
        <f t="shared" si="44"/>
        <v>0</v>
      </c>
      <c r="CG81">
        <f t="shared" si="45"/>
        <v>0</v>
      </c>
      <c r="CH81">
        <f t="shared" si="46"/>
        <v>0</v>
      </c>
      <c r="CI81">
        <f t="shared" si="47"/>
        <v>0</v>
      </c>
      <c r="CJ81">
        <f t="shared" si="48"/>
        <v>0</v>
      </c>
    </row>
    <row r="82" spans="1:88" outlineLevel="1" x14ac:dyDescent="0.15">
      <c r="A82" s="8"/>
      <c r="B82" s="8" t="s">
        <v>105</v>
      </c>
      <c r="C82" s="9" t="s">
        <v>256</v>
      </c>
      <c r="D82" s="8">
        <v>2770567</v>
      </c>
      <c r="E82" s="10">
        <v>12</v>
      </c>
      <c r="F82" s="9">
        <v>1</v>
      </c>
      <c r="G82" s="9"/>
      <c r="I82" s="22" t="str">
        <f t="shared" si="25"/>
        <v>·</v>
      </c>
      <c r="J82" s="23">
        <f t="shared" si="26"/>
        <v>5.2772187064958187</v>
      </c>
      <c r="K82" s="23">
        <f t="shared" si="27"/>
        <v>3.9133419260389659</v>
      </c>
      <c r="L82" s="23">
        <f t="shared" si="28"/>
        <v>1.3635447184637657</v>
      </c>
      <c r="M82" s="24"/>
      <c r="N82" s="23">
        <f t="shared" si="29"/>
        <v>5.2772187064958187</v>
      </c>
      <c r="O82" s="25">
        <v>2770567</v>
      </c>
      <c r="P82" s="26">
        <v>14620888</v>
      </c>
      <c r="Q82" s="26">
        <v>10842176</v>
      </c>
      <c r="R82" s="26">
        <v>3777792</v>
      </c>
      <c r="S82" s="40"/>
      <c r="T82" s="41">
        <v>41.895099999999999</v>
      </c>
      <c r="U82" s="41">
        <v>45.825200000000002</v>
      </c>
      <c r="V82" s="41">
        <v>45.064900000000002</v>
      </c>
      <c r="W82" s="42"/>
      <c r="X82" s="41">
        <v>34.151400000000002</v>
      </c>
      <c r="Y82" s="41">
        <v>34.151400000000002</v>
      </c>
      <c r="Z82" s="41">
        <v>34.151400000000002</v>
      </c>
      <c r="AA82" s="42"/>
      <c r="AB82" s="50">
        <v>4.5460000000000003</v>
      </c>
      <c r="AC82" s="50">
        <v>3.609</v>
      </c>
      <c r="AE82" s="22" t="str">
        <f t="shared" si="30"/>
        <v>·</v>
      </c>
      <c r="AF82" s="23">
        <f t="shared" si="31"/>
        <v>5.291725484350315</v>
      </c>
      <c r="AG82" s="23">
        <f t="shared" si="32"/>
        <v>3.9133419260389659</v>
      </c>
      <c r="AH82" s="23">
        <f t="shared" si="33"/>
        <v>1.3780514963182626</v>
      </c>
      <c r="AI82" s="24"/>
      <c r="AJ82" s="23">
        <f t="shared" si="34"/>
        <v>5.291725484350315</v>
      </c>
      <c r="AK82" s="25">
        <v>2770567</v>
      </c>
      <c r="AL82" s="26">
        <v>14661080</v>
      </c>
      <c r="AM82" s="26">
        <v>10842176</v>
      </c>
      <c r="AN82" s="26">
        <v>3817984</v>
      </c>
      <c r="AO82" s="40"/>
      <c r="AP82" s="41">
        <v>41.905700000000003</v>
      </c>
      <c r="AQ82" s="41">
        <v>45.802599999999998</v>
      </c>
      <c r="AR82" s="41">
        <v>45.0578</v>
      </c>
      <c r="AS82" s="42"/>
      <c r="AT82" s="41">
        <v>34.151400000000002</v>
      </c>
      <c r="AU82" s="41">
        <v>34.151400000000002</v>
      </c>
      <c r="AV82" s="41">
        <v>34.151400000000002</v>
      </c>
      <c r="AW82" s="42"/>
      <c r="AX82" s="50">
        <v>4.5620000000000003</v>
      </c>
      <c r="AY82" s="50">
        <v>3.5779999999999998</v>
      </c>
      <c r="BA82" s="55">
        <f t="shared" si="35"/>
        <v>-2.0329015956002117E-3</v>
      </c>
      <c r="BB82" s="55"/>
      <c r="BD82" s="56"/>
      <c r="BE82" s="56"/>
      <c r="BF82" s="56"/>
      <c r="BG82" s="62"/>
      <c r="BI82" s="56"/>
      <c r="BJ82" s="56"/>
      <c r="BK82" s="56"/>
      <c r="BL82" s="62"/>
      <c r="BN82" s="56"/>
      <c r="BO82" s="56"/>
      <c r="BP82" s="56"/>
      <c r="BQ82" s="62"/>
      <c r="BS82" s="56"/>
      <c r="BT82" s="56"/>
      <c r="BU82" s="56"/>
      <c r="BV82" s="62"/>
      <c r="BX82">
        <f t="shared" si="36"/>
        <v>0</v>
      </c>
      <c r="BY82">
        <f t="shared" si="37"/>
        <v>40192</v>
      </c>
      <c r="BZ82">
        <f t="shared" si="38"/>
        <v>0</v>
      </c>
      <c r="CA82">
        <f t="shared" si="39"/>
        <v>40192</v>
      </c>
      <c r="CB82">
        <f t="shared" si="40"/>
        <v>0</v>
      </c>
      <c r="CC82">
        <f t="shared" si="41"/>
        <v>1.0600000000003718E-2</v>
      </c>
      <c r="CD82">
        <f t="shared" si="42"/>
        <v>-2.2600000000004172E-2</v>
      </c>
      <c r="CE82">
        <f t="shared" si="43"/>
        <v>-7.1000000000012164E-3</v>
      </c>
      <c r="CF82">
        <f t="shared" si="44"/>
        <v>0</v>
      </c>
      <c r="CG82">
        <f t="shared" si="45"/>
        <v>0</v>
      </c>
      <c r="CH82">
        <f t="shared" si="46"/>
        <v>0</v>
      </c>
      <c r="CI82">
        <f t="shared" si="47"/>
        <v>0</v>
      </c>
      <c r="CJ82">
        <f t="shared" si="48"/>
        <v>0</v>
      </c>
    </row>
    <row r="83" spans="1:88" outlineLevel="1" x14ac:dyDescent="0.15">
      <c r="A83" s="5"/>
      <c r="B83" s="5" t="s">
        <v>105</v>
      </c>
      <c r="C83" s="6" t="s">
        <v>257</v>
      </c>
      <c r="D83" s="5">
        <v>2770567</v>
      </c>
      <c r="E83" s="7">
        <v>12</v>
      </c>
      <c r="F83" s="6">
        <v>1</v>
      </c>
      <c r="G83" s="6"/>
      <c r="I83" s="17" t="str">
        <f t="shared" si="25"/>
        <v>·</v>
      </c>
      <c r="J83" s="18">
        <f t="shared" si="26"/>
        <v>4.5274371635842048</v>
      </c>
      <c r="K83" s="18">
        <f t="shared" si="27"/>
        <v>3.9133419260389659</v>
      </c>
      <c r="L83" s="18">
        <f t="shared" si="28"/>
        <v>0.61376317555215232</v>
      </c>
      <c r="M83" s="19"/>
      <c r="N83" s="18">
        <f t="shared" si="29"/>
        <v>4.5274371635842048</v>
      </c>
      <c r="O83" s="20">
        <v>2770567</v>
      </c>
      <c r="P83" s="21">
        <v>12543568</v>
      </c>
      <c r="Q83" s="21">
        <v>10842176</v>
      </c>
      <c r="R83" s="21">
        <v>1700472</v>
      </c>
      <c r="S83" s="37"/>
      <c r="T83" s="38">
        <v>36.407299999999999</v>
      </c>
      <c r="U83" s="38">
        <v>40.854100000000003</v>
      </c>
      <c r="V83" s="38">
        <v>39.680799999999998</v>
      </c>
      <c r="W83" s="39"/>
      <c r="X83" s="38">
        <v>28.130800000000001</v>
      </c>
      <c r="Y83" s="38">
        <v>28.130800000000001</v>
      </c>
      <c r="Z83" s="38">
        <v>28.130800000000001</v>
      </c>
      <c r="AA83" s="39"/>
      <c r="AB83" s="49">
        <v>4.484</v>
      </c>
      <c r="AC83" s="49">
        <v>3.5459999999999998</v>
      </c>
      <c r="AE83" s="17" t="str">
        <f t="shared" si="30"/>
        <v>·</v>
      </c>
      <c r="AF83" s="18">
        <f t="shared" si="31"/>
        <v>4.5411672051244381</v>
      </c>
      <c r="AG83" s="18">
        <f t="shared" si="32"/>
        <v>3.9133419260389659</v>
      </c>
      <c r="AH83" s="18">
        <f t="shared" si="33"/>
        <v>0.62749321709238581</v>
      </c>
      <c r="AI83" s="19"/>
      <c r="AJ83" s="18">
        <f t="shared" si="34"/>
        <v>4.5411672051244381</v>
      </c>
      <c r="AK83" s="20">
        <v>2770567</v>
      </c>
      <c r="AL83" s="21">
        <v>12581608</v>
      </c>
      <c r="AM83" s="21">
        <v>10842176</v>
      </c>
      <c r="AN83" s="21">
        <v>1738512</v>
      </c>
      <c r="AO83" s="37"/>
      <c r="AP83" s="38">
        <v>36.4895</v>
      </c>
      <c r="AQ83" s="38">
        <v>40.8309</v>
      </c>
      <c r="AR83" s="38">
        <v>39.660600000000002</v>
      </c>
      <c r="AS83" s="39"/>
      <c r="AT83" s="38">
        <v>28.130800000000001</v>
      </c>
      <c r="AU83" s="38">
        <v>28.130800000000001</v>
      </c>
      <c r="AV83" s="38">
        <v>28.130800000000001</v>
      </c>
      <c r="AW83" s="39"/>
      <c r="AX83" s="49">
        <v>4.5149999999999997</v>
      </c>
      <c r="AY83" s="49">
        <v>3.609</v>
      </c>
      <c r="BA83" s="53">
        <f t="shared" si="35"/>
        <v>-2.6133629074802656E-3</v>
      </c>
      <c r="BB83" s="53"/>
      <c r="BD83" s="54"/>
      <c r="BE83" s="54"/>
      <c r="BF83" s="54"/>
      <c r="BG83" s="61"/>
      <c r="BI83" s="54"/>
      <c r="BJ83" s="54"/>
      <c r="BK83" s="54"/>
      <c r="BL83" s="61"/>
      <c r="BN83" s="54"/>
      <c r="BO83" s="54"/>
      <c r="BP83" s="54"/>
      <c r="BQ83" s="61"/>
      <c r="BS83" s="54"/>
      <c r="BT83" s="54"/>
      <c r="BU83" s="54"/>
      <c r="BV83" s="61"/>
      <c r="BX83">
        <f t="shared" si="36"/>
        <v>0</v>
      </c>
      <c r="BY83">
        <f t="shared" si="37"/>
        <v>38040</v>
      </c>
      <c r="BZ83">
        <f t="shared" si="38"/>
        <v>0</v>
      </c>
      <c r="CA83">
        <f t="shared" si="39"/>
        <v>38040</v>
      </c>
      <c r="CB83">
        <f t="shared" si="40"/>
        <v>0</v>
      </c>
      <c r="CC83">
        <f t="shared" si="41"/>
        <v>8.2200000000000273E-2</v>
      </c>
      <c r="CD83">
        <f t="shared" si="42"/>
        <v>-2.3200000000002774E-2</v>
      </c>
      <c r="CE83">
        <f t="shared" si="43"/>
        <v>-2.0199999999995555E-2</v>
      </c>
      <c r="CF83">
        <f t="shared" si="44"/>
        <v>0</v>
      </c>
      <c r="CG83">
        <f t="shared" si="45"/>
        <v>0</v>
      </c>
      <c r="CH83">
        <f t="shared" si="46"/>
        <v>0</v>
      </c>
      <c r="CI83">
        <f t="shared" si="47"/>
        <v>0</v>
      </c>
      <c r="CJ83">
        <f t="shared" si="48"/>
        <v>0</v>
      </c>
    </row>
    <row r="84" spans="1:88" outlineLevel="1" x14ac:dyDescent="0.15">
      <c r="A84" s="8"/>
      <c r="B84" s="14" t="s">
        <v>105</v>
      </c>
      <c r="C84" s="15" t="s">
        <v>258</v>
      </c>
      <c r="D84" s="14">
        <v>2770567</v>
      </c>
      <c r="E84" s="16">
        <v>12</v>
      </c>
      <c r="F84" s="15">
        <v>1</v>
      </c>
      <c r="G84" s="15"/>
      <c r="I84" s="32" t="str">
        <f t="shared" si="25"/>
        <v>·</v>
      </c>
      <c r="J84" s="33">
        <f t="shared" si="26"/>
        <v>4.1212878085965796</v>
      </c>
      <c r="K84" s="33">
        <f t="shared" si="27"/>
        <v>3.9133419260389659</v>
      </c>
      <c r="L84" s="33">
        <f t="shared" si="28"/>
        <v>0.20761382056452704</v>
      </c>
      <c r="M84" s="34"/>
      <c r="N84" s="33">
        <f t="shared" si="29"/>
        <v>4.1212878085965796</v>
      </c>
      <c r="O84" s="35">
        <v>2770567</v>
      </c>
      <c r="P84" s="36">
        <v>11418304</v>
      </c>
      <c r="Q84" s="36">
        <v>10842176</v>
      </c>
      <c r="R84" s="36">
        <v>575208</v>
      </c>
      <c r="S84" s="46"/>
      <c r="T84" s="47">
        <v>30.6526</v>
      </c>
      <c r="U84" s="47">
        <v>35.864800000000002</v>
      </c>
      <c r="V84" s="47">
        <v>33.457299999999996</v>
      </c>
      <c r="W84" s="48"/>
      <c r="X84" s="47">
        <v>21.686399999999999</v>
      </c>
      <c r="Y84" s="47">
        <v>21.686399999999999</v>
      </c>
      <c r="Z84" s="47">
        <v>21.686399999999999</v>
      </c>
      <c r="AA84" s="48"/>
      <c r="AB84" s="52">
        <v>4.5</v>
      </c>
      <c r="AC84" s="52">
        <v>3.625</v>
      </c>
      <c r="AE84" s="32" t="str">
        <f t="shared" si="30"/>
        <v>·</v>
      </c>
      <c r="AF84" s="33">
        <f t="shared" si="31"/>
        <v>4.1292717339086185</v>
      </c>
      <c r="AG84" s="33">
        <f t="shared" si="32"/>
        <v>3.9133419260389659</v>
      </c>
      <c r="AH84" s="33">
        <f t="shared" si="33"/>
        <v>0.21559774587656605</v>
      </c>
      <c r="AI84" s="34"/>
      <c r="AJ84" s="33">
        <f t="shared" si="34"/>
        <v>4.1292717339086185</v>
      </c>
      <c r="AK84" s="35">
        <v>2770567</v>
      </c>
      <c r="AL84" s="36">
        <v>11440424</v>
      </c>
      <c r="AM84" s="36">
        <v>10842176</v>
      </c>
      <c r="AN84" s="36">
        <v>597328</v>
      </c>
      <c r="AO84" s="46"/>
      <c r="AP84" s="47">
        <v>30.87</v>
      </c>
      <c r="AQ84" s="47">
        <v>35.067</v>
      </c>
      <c r="AR84" s="47">
        <v>33.2455</v>
      </c>
      <c r="AS84" s="48"/>
      <c r="AT84" s="47">
        <v>21.686399999999999</v>
      </c>
      <c r="AU84" s="47">
        <v>21.686399999999999</v>
      </c>
      <c r="AV84" s="47">
        <v>21.686399999999999</v>
      </c>
      <c r="AW84" s="48"/>
      <c r="AX84" s="52">
        <v>4.4210000000000003</v>
      </c>
      <c r="AY84" s="52">
        <v>3.609</v>
      </c>
      <c r="BA84" s="59">
        <f t="shared" si="35"/>
        <v>-1.8359373352906383E-3</v>
      </c>
      <c r="BB84" s="59"/>
      <c r="BD84" s="60"/>
      <c r="BE84" s="60"/>
      <c r="BF84" s="60"/>
      <c r="BG84" s="64"/>
      <c r="BI84" s="60"/>
      <c r="BJ84" s="60"/>
      <c r="BK84" s="60"/>
      <c r="BL84" s="64"/>
      <c r="BN84" s="60"/>
      <c r="BO84" s="60"/>
      <c r="BP84" s="60"/>
      <c r="BQ84" s="64"/>
      <c r="BS84" s="60"/>
      <c r="BT84" s="60"/>
      <c r="BU84" s="60"/>
      <c r="BV84" s="64"/>
      <c r="BX84">
        <f t="shared" si="36"/>
        <v>0</v>
      </c>
      <c r="BY84">
        <f t="shared" si="37"/>
        <v>22120</v>
      </c>
      <c r="BZ84">
        <f t="shared" si="38"/>
        <v>0</v>
      </c>
      <c r="CA84">
        <f t="shared" si="39"/>
        <v>22120</v>
      </c>
      <c r="CB84">
        <f t="shared" si="40"/>
        <v>0</v>
      </c>
      <c r="CC84">
        <f t="shared" si="41"/>
        <v>0.21740000000000137</v>
      </c>
      <c r="CD84">
        <f t="shared" si="42"/>
        <v>-0.79780000000000229</v>
      </c>
      <c r="CE84">
        <f t="shared" si="43"/>
        <v>-0.21179999999999666</v>
      </c>
      <c r="CF84">
        <f t="shared" si="44"/>
        <v>0</v>
      </c>
      <c r="CG84">
        <f t="shared" si="45"/>
        <v>0</v>
      </c>
      <c r="CH84">
        <f t="shared" si="46"/>
        <v>0</v>
      </c>
      <c r="CI84">
        <f t="shared" si="47"/>
        <v>0</v>
      </c>
      <c r="CJ84">
        <f t="shared" si="48"/>
        <v>0</v>
      </c>
    </row>
    <row r="85" spans="1:88" x14ac:dyDescent="0.15">
      <c r="A85" s="5"/>
      <c r="B85" s="5" t="s">
        <v>108</v>
      </c>
      <c r="C85" s="6" t="s">
        <v>254</v>
      </c>
      <c r="D85" s="5">
        <v>757691</v>
      </c>
      <c r="E85" s="7">
        <v>10</v>
      </c>
      <c r="F85" s="6">
        <v>1</v>
      </c>
      <c r="G85" s="6"/>
      <c r="I85" s="17" t="str">
        <f t="shared" si="25"/>
        <v>·</v>
      </c>
      <c r="J85" s="18">
        <f t="shared" si="26"/>
        <v>7.029028984110937</v>
      </c>
      <c r="K85" s="18">
        <f t="shared" si="27"/>
        <v>1.1048936835728549</v>
      </c>
      <c r="L85" s="18">
        <f t="shared" si="28"/>
        <v>5.9234278881496545</v>
      </c>
      <c r="M85" s="19"/>
      <c r="N85" s="18">
        <f t="shared" si="29"/>
        <v>7.029028984110937</v>
      </c>
      <c r="O85" s="20">
        <v>757691</v>
      </c>
      <c r="P85" s="21">
        <v>5325832</v>
      </c>
      <c r="Q85" s="21">
        <v>837168</v>
      </c>
      <c r="R85" s="21">
        <v>4488128</v>
      </c>
      <c r="S85" s="37"/>
      <c r="T85" s="38">
        <v>53.201799999999999</v>
      </c>
      <c r="U85" s="38">
        <v>55.515999999999998</v>
      </c>
      <c r="V85" s="38">
        <v>55.207599999999999</v>
      </c>
      <c r="W85" s="39"/>
      <c r="X85" s="38">
        <v>48.130800000000001</v>
      </c>
      <c r="Y85" s="38">
        <v>48.130800000000001</v>
      </c>
      <c r="Z85" s="38">
        <v>48.130800000000001</v>
      </c>
      <c r="AA85" s="39"/>
      <c r="AB85" s="49">
        <v>0.95299999999999996</v>
      </c>
      <c r="AC85" s="49">
        <v>0.71799999999999997</v>
      </c>
      <c r="AE85" s="17" t="str">
        <f t="shared" si="30"/>
        <v>·</v>
      </c>
      <c r="AF85" s="18">
        <f t="shared" si="31"/>
        <v>7.0677254975973058</v>
      </c>
      <c r="AG85" s="18">
        <f t="shared" si="32"/>
        <v>1.1048936835728549</v>
      </c>
      <c r="AH85" s="18">
        <f t="shared" si="33"/>
        <v>5.9621244016360233</v>
      </c>
      <c r="AI85" s="19"/>
      <c r="AJ85" s="18">
        <f t="shared" si="34"/>
        <v>7.0677254975973058</v>
      </c>
      <c r="AK85" s="20">
        <v>757691</v>
      </c>
      <c r="AL85" s="21">
        <v>5355152</v>
      </c>
      <c r="AM85" s="21">
        <v>837168</v>
      </c>
      <c r="AN85" s="21">
        <v>4517448</v>
      </c>
      <c r="AO85" s="37"/>
      <c r="AP85" s="38">
        <v>53.194000000000003</v>
      </c>
      <c r="AQ85" s="38">
        <v>55.511499999999998</v>
      </c>
      <c r="AR85" s="38">
        <v>55.206400000000002</v>
      </c>
      <c r="AS85" s="39"/>
      <c r="AT85" s="38">
        <v>48.130800000000001</v>
      </c>
      <c r="AU85" s="38">
        <v>48.130800000000001</v>
      </c>
      <c r="AV85" s="38">
        <v>48.130800000000001</v>
      </c>
      <c r="AW85" s="39"/>
      <c r="AX85" s="49">
        <v>0.95299999999999996</v>
      </c>
      <c r="AY85" s="49">
        <v>0.71799999999999997</v>
      </c>
      <c r="BA85" s="53">
        <f t="shared" si="35"/>
        <v>-8.6063166386562973E-4</v>
      </c>
      <c r="BB85" s="53">
        <f t="array" ref="BB85">AVERAGE(AM85:AM89/AL85:AL89)-AVERAGE(Q85:Q89/P85:P89)</f>
        <v>-5.7138368338710555E-3</v>
      </c>
      <c r="BD85" s="54">
        <f>IF(OR(ISBLANK(R85:R89),ISBLANK(AN85:AN89),ISBLANK(T85:T89),ISBLANK(AP85:AP89)),"·",bdRateExtend(R85:R89,T85:T89,AN85:AN89,AP85:AP89))</f>
        <v>2.3890426691639099E-2</v>
      </c>
      <c r="BE85" s="54">
        <f>IF(OR(ISBLANK(R85:R89),ISBLANK(AN85:AN89),ISBLANK(U85:U89),ISBLANK(AQ85:AQ89)),"·",bdRateExtend(R85:R89,U85:U89,AN85:AN89,AQ85:AQ89))</f>
        <v>4.9141398502565936E-2</v>
      </c>
      <c r="BF85" s="54">
        <f>IF(OR(ISBLANK(R85:R89),ISBLANK(AN85:AN89),ISBLANK(V85:V89),ISBLANK(AR85:AR89)),"·",bdRateExtend(R85:R89,V85:V89,AN85:AN89,AR85:AR89))</f>
        <v>2.5583041494316783E-2</v>
      </c>
      <c r="BG85" s="61"/>
      <c r="BI85" s="54">
        <f>IF(OR(ISBLANK(R85:R89),ISBLANK(AN85:AN89),ISBLANK(X85:X89),ISBLANK(AT85:AT89)),"·",bdRateExtend(R85:R89,X85:X89,AN85:AN89,AT85:AT89))</f>
        <v>2.4969332432050573E-2</v>
      </c>
      <c r="BJ85" s="54">
        <f>IF(OR(ISBLANK(R85:R89),ISBLANK(AN85:AN89),ISBLANK(Y85:Y89),ISBLANK(AU85:AU89)),"·",bdRateExtend(R85:R89,Y85:Y89,AN85:AN89,AU85:AU89))</f>
        <v>2.4969332432050573E-2</v>
      </c>
      <c r="BK85" s="54">
        <f>IF(OR(ISBLANK(R85:R89),ISBLANK(AN85:AN89),ISBLANK(Z85:Z89),ISBLANK(AV85:AV89)),"·",bdRateExtend(R85:R89,Z85:Z89,AN85:AN89,AV85:AV89))</f>
        <v>2.4969332432050573E-2</v>
      </c>
      <c r="BL85" s="61"/>
      <c r="BN85" s="54">
        <f>IF(OR(ISBLANK(P85:P89),ISBLANK(AL85:AL89),ISBLANK(T85:T89),ISBLANK(AP85:AP89)),"·",bdRateExtend(P85:P89,T85:T89,AL85:AL89,AP85:AP89))</f>
        <v>1.2329448795832976E-2</v>
      </c>
      <c r="BO85" s="54">
        <f>IF(OR(ISBLANK(P85:P89),ISBLANK(AL85:AL89),ISBLANK(U85:U89),ISBLANK(AQ85:AQ89)),"·",bdRateExtend(P85:P89,U85:U89,AL85:AL89,AQ85:AQ89))</f>
        <v>2.3514386968299661E-2</v>
      </c>
      <c r="BP85" s="54">
        <f>IF(OR(ISBLANK(P85:P89),ISBLANK(AL85:AL89),ISBLANK(V85:V89),ISBLANK(AR85:AR89)),"·",bdRateExtend(P85:P89,V85:V89,AL85:AL89,AR85:AR89))</f>
        <v>1.2357423983389682E-2</v>
      </c>
      <c r="BQ85" s="61"/>
      <c r="BS85" s="54">
        <f>IF(OR(ISBLANK(P85:P89),ISBLANK(AL85:AL89),ISBLANK(X85:X89),ISBLANK(AT85:AT89)),"·",bdRateExtend(P85:P89,X85:X89,AL85:AL89,AT85:AT89))</f>
        <v>1.2904079499217902E-2</v>
      </c>
      <c r="BT85" s="54">
        <f>IF(OR(ISBLANK(P85:P89),ISBLANK(AL85:AL89),ISBLANK(Y85:Y89),ISBLANK(AU85:AU89)),"·",bdRateExtend(P85:P89,Y85:Y89,AL85:AL89,AU85:AU89))</f>
        <v>1.2904079499217902E-2</v>
      </c>
      <c r="BU85" s="54">
        <f>IF(OR(ISBLANK(P85:P89),ISBLANK(AL85:AL89),ISBLANK(Z85:Z89),ISBLANK(AV85:AV89)),"·",bdRateExtend(P85:P89,Z85:Z89,AL85:AL89,AV85:AV89))</f>
        <v>1.2904079499217902E-2</v>
      </c>
      <c r="BV85" s="61"/>
      <c r="BX85">
        <f t="shared" si="36"/>
        <v>0</v>
      </c>
      <c r="BY85">
        <f t="shared" si="37"/>
        <v>29320</v>
      </c>
      <c r="BZ85">
        <f t="shared" si="38"/>
        <v>0</v>
      </c>
      <c r="CA85">
        <f t="shared" si="39"/>
        <v>29320</v>
      </c>
      <c r="CB85">
        <f t="shared" si="40"/>
        <v>0</v>
      </c>
      <c r="CC85">
        <f t="shared" si="41"/>
        <v>-7.7999999999960323E-3</v>
      </c>
      <c r="CD85">
        <f t="shared" si="42"/>
        <v>-4.5000000000001705E-3</v>
      </c>
      <c r="CE85">
        <f t="shared" si="43"/>
        <v>-1.1999999999972033E-3</v>
      </c>
      <c r="CF85">
        <f t="shared" si="44"/>
        <v>0</v>
      </c>
      <c r="CG85">
        <f t="shared" si="45"/>
        <v>0</v>
      </c>
      <c r="CH85">
        <f t="shared" si="46"/>
        <v>0</v>
      </c>
      <c r="CI85">
        <f t="shared" si="47"/>
        <v>0</v>
      </c>
      <c r="CJ85">
        <f t="shared" si="48"/>
        <v>0</v>
      </c>
    </row>
    <row r="86" spans="1:88" outlineLevel="1" x14ac:dyDescent="0.15">
      <c r="A86" s="8"/>
      <c r="B86" s="8" t="s">
        <v>108</v>
      </c>
      <c r="C86" s="9" t="s">
        <v>255</v>
      </c>
      <c r="D86" s="8">
        <v>757691</v>
      </c>
      <c r="E86" s="10">
        <v>10</v>
      </c>
      <c r="F86" s="9">
        <v>1</v>
      </c>
      <c r="G86" s="9"/>
      <c r="I86" s="22" t="str">
        <f t="shared" si="25"/>
        <v>·</v>
      </c>
      <c r="J86" s="23">
        <f t="shared" si="26"/>
        <v>5.0938971163706581</v>
      </c>
      <c r="K86" s="23">
        <f t="shared" si="27"/>
        <v>1.1048936835728549</v>
      </c>
      <c r="L86" s="23">
        <f t="shared" si="28"/>
        <v>3.9882960204093751</v>
      </c>
      <c r="M86" s="24"/>
      <c r="N86" s="23">
        <f t="shared" si="29"/>
        <v>5.0938971163706581</v>
      </c>
      <c r="O86" s="25">
        <v>757691</v>
      </c>
      <c r="P86" s="26">
        <v>3859600</v>
      </c>
      <c r="Q86" s="26">
        <v>837168</v>
      </c>
      <c r="R86" s="26">
        <v>3021896</v>
      </c>
      <c r="S86" s="40"/>
      <c r="T86" s="41">
        <v>48.546100000000003</v>
      </c>
      <c r="U86" s="41">
        <v>51.338000000000001</v>
      </c>
      <c r="V86" s="41">
        <v>50.9863</v>
      </c>
      <c r="W86" s="42"/>
      <c r="X86" s="41">
        <v>42.110199999999999</v>
      </c>
      <c r="Y86" s="41">
        <v>42.110199999999999</v>
      </c>
      <c r="Z86" s="41">
        <v>42.110199999999999</v>
      </c>
      <c r="AA86" s="42"/>
      <c r="AB86" s="50">
        <v>0.90600000000000003</v>
      </c>
      <c r="AC86" s="50">
        <v>0.68700000000000006</v>
      </c>
      <c r="AE86" s="22" t="str">
        <f t="shared" si="30"/>
        <v>·</v>
      </c>
      <c r="AF86" s="23">
        <f t="shared" si="31"/>
        <v>5.1365741443411626</v>
      </c>
      <c r="AG86" s="23">
        <f t="shared" si="32"/>
        <v>1.1048936835728549</v>
      </c>
      <c r="AH86" s="23">
        <f t="shared" si="33"/>
        <v>4.03097304837988</v>
      </c>
      <c r="AI86" s="24"/>
      <c r="AJ86" s="23">
        <f t="shared" si="34"/>
        <v>5.1365741443411626</v>
      </c>
      <c r="AK86" s="25">
        <v>757691</v>
      </c>
      <c r="AL86" s="26">
        <v>3891936</v>
      </c>
      <c r="AM86" s="26">
        <v>837168</v>
      </c>
      <c r="AN86" s="26">
        <v>3054232</v>
      </c>
      <c r="AO86" s="40"/>
      <c r="AP86" s="41">
        <v>48.527700000000003</v>
      </c>
      <c r="AQ86" s="41">
        <v>51.328499999999998</v>
      </c>
      <c r="AR86" s="41">
        <v>50.9786</v>
      </c>
      <c r="AS86" s="42"/>
      <c r="AT86" s="41">
        <v>42.110199999999999</v>
      </c>
      <c r="AU86" s="41">
        <v>42.110199999999999</v>
      </c>
      <c r="AV86" s="41">
        <v>42.110199999999999</v>
      </c>
      <c r="AW86" s="42"/>
      <c r="AX86" s="50">
        <v>0.93700000000000006</v>
      </c>
      <c r="AY86" s="50">
        <v>0.70299999999999996</v>
      </c>
      <c r="BA86" s="55">
        <f t="shared" si="35"/>
        <v>-1.8021499656568629E-3</v>
      </c>
      <c r="BB86" s="55"/>
      <c r="BD86" s="56"/>
      <c r="BE86" s="56"/>
      <c r="BF86" s="56"/>
      <c r="BG86" s="62"/>
      <c r="BI86" s="56"/>
      <c r="BJ86" s="56"/>
      <c r="BK86" s="56"/>
      <c r="BL86" s="62"/>
      <c r="BN86" s="56"/>
      <c r="BO86" s="56"/>
      <c r="BP86" s="56"/>
      <c r="BQ86" s="62"/>
      <c r="BS86" s="56"/>
      <c r="BT86" s="56"/>
      <c r="BU86" s="56"/>
      <c r="BV86" s="62"/>
      <c r="BX86">
        <f t="shared" si="36"/>
        <v>0</v>
      </c>
      <c r="BY86">
        <f t="shared" si="37"/>
        <v>32336</v>
      </c>
      <c r="BZ86">
        <f t="shared" si="38"/>
        <v>0</v>
      </c>
      <c r="CA86">
        <f t="shared" si="39"/>
        <v>32336</v>
      </c>
      <c r="CB86">
        <f t="shared" si="40"/>
        <v>0</v>
      </c>
      <c r="CC86">
        <f t="shared" si="41"/>
        <v>-1.839999999999975E-2</v>
      </c>
      <c r="CD86">
        <f t="shared" si="42"/>
        <v>-9.5000000000027285E-3</v>
      </c>
      <c r="CE86">
        <f t="shared" si="43"/>
        <v>-7.6999999999998181E-3</v>
      </c>
      <c r="CF86">
        <f t="shared" si="44"/>
        <v>0</v>
      </c>
      <c r="CG86">
        <f t="shared" si="45"/>
        <v>0</v>
      </c>
      <c r="CH86">
        <f t="shared" si="46"/>
        <v>0</v>
      </c>
      <c r="CI86">
        <f t="shared" si="47"/>
        <v>0</v>
      </c>
      <c r="CJ86">
        <f t="shared" si="48"/>
        <v>0</v>
      </c>
    </row>
    <row r="87" spans="1:88" outlineLevel="1" x14ac:dyDescent="0.15">
      <c r="A87" s="5"/>
      <c r="B87" s="5" t="s">
        <v>108</v>
      </c>
      <c r="C87" s="6" t="s">
        <v>256</v>
      </c>
      <c r="D87" s="5">
        <v>757691</v>
      </c>
      <c r="E87" s="7">
        <v>10</v>
      </c>
      <c r="F87" s="6">
        <v>1</v>
      </c>
      <c r="G87" s="6"/>
      <c r="I87" s="17" t="str">
        <f t="shared" si="25"/>
        <v>·</v>
      </c>
      <c r="J87" s="18">
        <f t="shared" si="26"/>
        <v>3.2019279627183113</v>
      </c>
      <c r="K87" s="18">
        <f t="shared" si="27"/>
        <v>1.1048936835728549</v>
      </c>
      <c r="L87" s="18">
        <f t="shared" si="28"/>
        <v>2.0963268667570287</v>
      </c>
      <c r="M87" s="19"/>
      <c r="N87" s="18">
        <f t="shared" si="29"/>
        <v>3.2019279627183113</v>
      </c>
      <c r="O87" s="20">
        <v>757691</v>
      </c>
      <c r="P87" s="21">
        <v>2426072</v>
      </c>
      <c r="Q87" s="21">
        <v>837168</v>
      </c>
      <c r="R87" s="21">
        <v>1588368</v>
      </c>
      <c r="S87" s="37"/>
      <c r="T87" s="38">
        <v>41.807200000000002</v>
      </c>
      <c r="U87" s="38">
        <v>45.5261</v>
      </c>
      <c r="V87" s="38">
        <v>44.843299999999999</v>
      </c>
      <c r="W87" s="39"/>
      <c r="X87" s="38">
        <v>34.151400000000002</v>
      </c>
      <c r="Y87" s="38">
        <v>34.151400000000002</v>
      </c>
      <c r="Z87" s="38">
        <v>34.151400000000002</v>
      </c>
      <c r="AA87" s="39"/>
      <c r="AB87" s="49">
        <v>0.93700000000000006</v>
      </c>
      <c r="AC87" s="49">
        <v>0.71799999999999997</v>
      </c>
      <c r="AE87" s="17" t="str">
        <f t="shared" si="30"/>
        <v>·</v>
      </c>
      <c r="AF87" s="18">
        <f t="shared" si="31"/>
        <v>3.2426622462191053</v>
      </c>
      <c r="AG87" s="18">
        <f t="shared" si="32"/>
        <v>1.1048936835728549</v>
      </c>
      <c r="AH87" s="18">
        <f t="shared" si="33"/>
        <v>2.1370611502578227</v>
      </c>
      <c r="AI87" s="19"/>
      <c r="AJ87" s="18">
        <f t="shared" si="34"/>
        <v>3.2426622462191053</v>
      </c>
      <c r="AK87" s="20">
        <v>757691</v>
      </c>
      <c r="AL87" s="21">
        <v>2456936</v>
      </c>
      <c r="AM87" s="21">
        <v>837168</v>
      </c>
      <c r="AN87" s="21">
        <v>1619232</v>
      </c>
      <c r="AO87" s="37"/>
      <c r="AP87" s="38">
        <v>41.805599999999998</v>
      </c>
      <c r="AQ87" s="38">
        <v>45.483899999999998</v>
      </c>
      <c r="AR87" s="38">
        <v>44.877200000000002</v>
      </c>
      <c r="AS87" s="39"/>
      <c r="AT87" s="38">
        <v>34.151400000000002</v>
      </c>
      <c r="AU87" s="38">
        <v>34.151400000000002</v>
      </c>
      <c r="AV87" s="38">
        <v>34.151400000000002</v>
      </c>
      <c r="AW87" s="39"/>
      <c r="AX87" s="49">
        <v>0.89</v>
      </c>
      <c r="AY87" s="49">
        <v>0.67100000000000004</v>
      </c>
      <c r="BA87" s="53">
        <f t="shared" si="35"/>
        <v>-4.3347823902170624E-3</v>
      </c>
      <c r="BB87" s="53"/>
      <c r="BD87" s="54"/>
      <c r="BE87" s="54"/>
      <c r="BF87" s="54"/>
      <c r="BG87" s="61"/>
      <c r="BI87" s="54"/>
      <c r="BJ87" s="54"/>
      <c r="BK87" s="54"/>
      <c r="BL87" s="61"/>
      <c r="BN87" s="54"/>
      <c r="BO87" s="54"/>
      <c r="BP87" s="54"/>
      <c r="BQ87" s="61"/>
      <c r="BS87" s="54"/>
      <c r="BT87" s="54"/>
      <c r="BU87" s="54"/>
      <c r="BV87" s="61"/>
      <c r="BX87">
        <f t="shared" si="36"/>
        <v>0</v>
      </c>
      <c r="BY87">
        <f t="shared" si="37"/>
        <v>30864</v>
      </c>
      <c r="BZ87">
        <f t="shared" si="38"/>
        <v>0</v>
      </c>
      <c r="CA87">
        <f t="shared" si="39"/>
        <v>30864</v>
      </c>
      <c r="CB87">
        <f t="shared" si="40"/>
        <v>0</v>
      </c>
      <c r="CC87">
        <f t="shared" si="41"/>
        <v>-1.6000000000033765E-3</v>
      </c>
      <c r="CD87">
        <f t="shared" si="42"/>
        <v>-4.2200000000001125E-2</v>
      </c>
      <c r="CE87">
        <f t="shared" si="43"/>
        <v>3.3900000000002706E-2</v>
      </c>
      <c r="CF87">
        <f t="shared" si="44"/>
        <v>0</v>
      </c>
      <c r="CG87">
        <f t="shared" si="45"/>
        <v>0</v>
      </c>
      <c r="CH87">
        <f t="shared" si="46"/>
        <v>0</v>
      </c>
      <c r="CI87">
        <f t="shared" si="47"/>
        <v>0</v>
      </c>
      <c r="CJ87">
        <f t="shared" si="48"/>
        <v>0</v>
      </c>
    </row>
    <row r="88" spans="1:88" outlineLevel="1" x14ac:dyDescent="0.15">
      <c r="A88" s="8"/>
      <c r="B88" s="8" t="s">
        <v>108</v>
      </c>
      <c r="C88" s="9" t="s">
        <v>257</v>
      </c>
      <c r="D88" s="8">
        <v>757691</v>
      </c>
      <c r="E88" s="10">
        <v>10</v>
      </c>
      <c r="F88" s="9">
        <v>1</v>
      </c>
      <c r="G88" s="9"/>
      <c r="I88" s="22" t="str">
        <f t="shared" si="25"/>
        <v>·</v>
      </c>
      <c r="J88" s="23">
        <f t="shared" si="26"/>
        <v>2.1500162995205168</v>
      </c>
      <c r="K88" s="23">
        <f t="shared" si="27"/>
        <v>1.1048936835728549</v>
      </c>
      <c r="L88" s="23">
        <f t="shared" si="28"/>
        <v>1.0444152035592347</v>
      </c>
      <c r="M88" s="24"/>
      <c r="N88" s="23">
        <f t="shared" si="29"/>
        <v>2.1500162995205168</v>
      </c>
      <c r="O88" s="25">
        <v>757691</v>
      </c>
      <c r="P88" s="26">
        <v>1629048</v>
      </c>
      <c r="Q88" s="26">
        <v>837168</v>
      </c>
      <c r="R88" s="26">
        <v>791344</v>
      </c>
      <c r="S88" s="40"/>
      <c r="T88" s="41">
        <v>36.422699999999999</v>
      </c>
      <c r="U88" s="41">
        <v>40.814</v>
      </c>
      <c r="V88" s="41">
        <v>39.511600000000001</v>
      </c>
      <c r="W88" s="42"/>
      <c r="X88" s="41">
        <v>28.130800000000001</v>
      </c>
      <c r="Y88" s="41">
        <v>28.130800000000001</v>
      </c>
      <c r="Z88" s="41">
        <v>28.130800000000001</v>
      </c>
      <c r="AA88" s="42"/>
      <c r="AB88" s="50">
        <v>0.92100000000000004</v>
      </c>
      <c r="AC88" s="50">
        <v>0.73399999999999999</v>
      </c>
      <c r="AE88" s="22" t="str">
        <f t="shared" si="30"/>
        <v>·</v>
      </c>
      <c r="AF88" s="23">
        <f t="shared" si="31"/>
        <v>2.1911940355633099</v>
      </c>
      <c r="AG88" s="23">
        <f t="shared" si="32"/>
        <v>1.1048936835728549</v>
      </c>
      <c r="AH88" s="23">
        <f t="shared" si="33"/>
        <v>1.0855929396020276</v>
      </c>
      <c r="AI88" s="24"/>
      <c r="AJ88" s="23">
        <f t="shared" si="34"/>
        <v>2.1911940355633099</v>
      </c>
      <c r="AK88" s="25">
        <v>757691</v>
      </c>
      <c r="AL88" s="26">
        <v>1660248</v>
      </c>
      <c r="AM88" s="26">
        <v>837168</v>
      </c>
      <c r="AN88" s="26">
        <v>822544</v>
      </c>
      <c r="AO88" s="40"/>
      <c r="AP88" s="41">
        <v>36.4968</v>
      </c>
      <c r="AQ88" s="41">
        <v>40.471899999999998</v>
      </c>
      <c r="AR88" s="41">
        <v>39.574399999999997</v>
      </c>
      <c r="AS88" s="42"/>
      <c r="AT88" s="41">
        <v>28.130800000000001</v>
      </c>
      <c r="AU88" s="41">
        <v>28.130800000000001</v>
      </c>
      <c r="AV88" s="41">
        <v>28.130800000000001</v>
      </c>
      <c r="AW88" s="42"/>
      <c r="AX88" s="50">
        <v>0.90600000000000003</v>
      </c>
      <c r="AY88" s="50">
        <v>0.70299999999999996</v>
      </c>
      <c r="BA88" s="55">
        <f t="shared" si="35"/>
        <v>-9.6574032666524312E-3</v>
      </c>
      <c r="BB88" s="55"/>
      <c r="BD88" s="56"/>
      <c r="BE88" s="56"/>
      <c r="BF88" s="56"/>
      <c r="BG88" s="62"/>
      <c r="BI88" s="56"/>
      <c r="BJ88" s="56"/>
      <c r="BK88" s="56"/>
      <c r="BL88" s="62"/>
      <c r="BN88" s="56"/>
      <c r="BO88" s="56"/>
      <c r="BP88" s="56"/>
      <c r="BQ88" s="62"/>
      <c r="BS88" s="56"/>
      <c r="BT88" s="56"/>
      <c r="BU88" s="56"/>
      <c r="BV88" s="62"/>
      <c r="BX88">
        <f t="shared" si="36"/>
        <v>0</v>
      </c>
      <c r="BY88">
        <f t="shared" si="37"/>
        <v>31200</v>
      </c>
      <c r="BZ88">
        <f t="shared" si="38"/>
        <v>0</v>
      </c>
      <c r="CA88">
        <f t="shared" si="39"/>
        <v>31200</v>
      </c>
      <c r="CB88">
        <f t="shared" si="40"/>
        <v>0</v>
      </c>
      <c r="CC88">
        <f t="shared" si="41"/>
        <v>7.4100000000001387E-2</v>
      </c>
      <c r="CD88">
        <f t="shared" si="42"/>
        <v>-0.34210000000000207</v>
      </c>
      <c r="CE88">
        <f t="shared" si="43"/>
        <v>6.2799999999995748E-2</v>
      </c>
      <c r="CF88">
        <f t="shared" si="44"/>
        <v>0</v>
      </c>
      <c r="CG88">
        <f t="shared" si="45"/>
        <v>0</v>
      </c>
      <c r="CH88">
        <f t="shared" si="46"/>
        <v>0</v>
      </c>
      <c r="CI88">
        <f t="shared" si="47"/>
        <v>0</v>
      </c>
      <c r="CJ88">
        <f t="shared" si="48"/>
        <v>0</v>
      </c>
    </row>
    <row r="89" spans="1:88" outlineLevel="1" x14ac:dyDescent="0.15">
      <c r="A89" s="5"/>
      <c r="B89" s="11" t="s">
        <v>108</v>
      </c>
      <c r="C89" s="12" t="s">
        <v>258</v>
      </c>
      <c r="D89" s="11">
        <v>757691</v>
      </c>
      <c r="E89" s="13">
        <v>10</v>
      </c>
      <c r="F89" s="12">
        <v>1</v>
      </c>
      <c r="G89" s="12"/>
      <c r="I89" s="27" t="str">
        <f t="shared" si="25"/>
        <v>·</v>
      </c>
      <c r="J89" s="28">
        <f t="shared" si="26"/>
        <v>1.5077280844038006</v>
      </c>
      <c r="K89" s="28">
        <f t="shared" si="27"/>
        <v>1.1048936835728549</v>
      </c>
      <c r="L89" s="28">
        <f t="shared" si="28"/>
        <v>0.40212698844251815</v>
      </c>
      <c r="M89" s="29"/>
      <c r="N89" s="28">
        <f t="shared" si="29"/>
        <v>1.5077280844038006</v>
      </c>
      <c r="O89" s="30">
        <v>757691</v>
      </c>
      <c r="P89" s="31">
        <v>1142392</v>
      </c>
      <c r="Q89" s="31">
        <v>837168</v>
      </c>
      <c r="R89" s="31">
        <v>304688</v>
      </c>
      <c r="S89" s="43"/>
      <c r="T89" s="44">
        <v>30.491299999999999</v>
      </c>
      <c r="U89" s="44">
        <v>35.317900000000002</v>
      </c>
      <c r="V89" s="44">
        <v>33.284799999999997</v>
      </c>
      <c r="W89" s="45"/>
      <c r="X89" s="44">
        <v>21.686399999999999</v>
      </c>
      <c r="Y89" s="44">
        <v>21.686399999999999</v>
      </c>
      <c r="Z89" s="44">
        <v>21.686399999999999</v>
      </c>
      <c r="AA89" s="45"/>
      <c r="AB89" s="51">
        <v>0.92100000000000004</v>
      </c>
      <c r="AC89" s="51">
        <v>0.65600000000000003</v>
      </c>
      <c r="AE89" s="27" t="str">
        <f t="shared" si="30"/>
        <v>·</v>
      </c>
      <c r="AF89" s="28">
        <f t="shared" si="31"/>
        <v>1.532645893906619</v>
      </c>
      <c r="AG89" s="28">
        <f t="shared" si="32"/>
        <v>1.1048936835728549</v>
      </c>
      <c r="AH89" s="28">
        <f t="shared" si="33"/>
        <v>0.42704479794533656</v>
      </c>
      <c r="AI89" s="29"/>
      <c r="AJ89" s="28">
        <f t="shared" si="34"/>
        <v>1.532645893906619</v>
      </c>
      <c r="AK89" s="30">
        <v>757691</v>
      </c>
      <c r="AL89" s="31">
        <v>1161272</v>
      </c>
      <c r="AM89" s="31">
        <v>837168</v>
      </c>
      <c r="AN89" s="31">
        <v>323568</v>
      </c>
      <c r="AO89" s="43"/>
      <c r="AP89" s="44">
        <v>30.460699999999999</v>
      </c>
      <c r="AQ89" s="44">
        <v>35.067100000000003</v>
      </c>
      <c r="AR89" s="44">
        <v>33.161499999999997</v>
      </c>
      <c r="AS89" s="45"/>
      <c r="AT89" s="44">
        <v>21.686399999999999</v>
      </c>
      <c r="AU89" s="44">
        <v>21.686399999999999</v>
      </c>
      <c r="AV89" s="44">
        <v>21.686399999999999</v>
      </c>
      <c r="AW89" s="45"/>
      <c r="AX89" s="51">
        <v>0.92100000000000004</v>
      </c>
      <c r="AY89" s="51">
        <v>0.70299999999999996</v>
      </c>
      <c r="BA89" s="57">
        <f t="shared" si="35"/>
        <v>-1.1914216882963236E-2</v>
      </c>
      <c r="BB89" s="57"/>
      <c r="BD89" s="58"/>
      <c r="BE89" s="58"/>
      <c r="BF89" s="58"/>
      <c r="BG89" s="63"/>
      <c r="BI89" s="58"/>
      <c r="BJ89" s="58"/>
      <c r="BK89" s="58"/>
      <c r="BL89" s="63"/>
      <c r="BN89" s="58"/>
      <c r="BO89" s="58"/>
      <c r="BP89" s="58"/>
      <c r="BQ89" s="63"/>
      <c r="BS89" s="58"/>
      <c r="BT89" s="58"/>
      <c r="BU89" s="58"/>
      <c r="BV89" s="63"/>
      <c r="BX89">
        <f t="shared" si="36"/>
        <v>0</v>
      </c>
      <c r="BY89">
        <f t="shared" si="37"/>
        <v>18880</v>
      </c>
      <c r="BZ89">
        <f t="shared" si="38"/>
        <v>0</v>
      </c>
      <c r="CA89">
        <f t="shared" si="39"/>
        <v>18880</v>
      </c>
      <c r="CB89">
        <f t="shared" si="40"/>
        <v>0</v>
      </c>
      <c r="CC89">
        <f t="shared" si="41"/>
        <v>-3.0599999999999739E-2</v>
      </c>
      <c r="CD89">
        <f t="shared" si="42"/>
        <v>-0.25079999999999814</v>
      </c>
      <c r="CE89">
        <f t="shared" si="43"/>
        <v>-0.12330000000000041</v>
      </c>
      <c r="CF89">
        <f t="shared" si="44"/>
        <v>0</v>
      </c>
      <c r="CG89">
        <f t="shared" si="45"/>
        <v>0</v>
      </c>
      <c r="CH89">
        <f t="shared" si="46"/>
        <v>0</v>
      </c>
      <c r="CI89">
        <f t="shared" si="47"/>
        <v>0</v>
      </c>
      <c r="CJ89">
        <f t="shared" si="48"/>
        <v>0</v>
      </c>
    </row>
    <row r="90" spans="1:88" x14ac:dyDescent="0.15">
      <c r="A90" s="8"/>
      <c r="B90" s="8" t="s">
        <v>111</v>
      </c>
      <c r="C90" s="9" t="s">
        <v>254</v>
      </c>
      <c r="D90" s="8">
        <v>1009132</v>
      </c>
      <c r="E90" s="10">
        <v>12</v>
      </c>
      <c r="F90" s="9">
        <v>1</v>
      </c>
      <c r="G90" s="9"/>
      <c r="I90" s="22" t="str">
        <f t="shared" si="25"/>
        <v>·</v>
      </c>
      <c r="J90" s="23">
        <f t="shared" si="26"/>
        <v>21.450371210109282</v>
      </c>
      <c r="K90" s="23">
        <f t="shared" si="27"/>
        <v>9.6524220815512738</v>
      </c>
      <c r="L90" s="23">
        <f t="shared" si="28"/>
        <v>11.797433834225849</v>
      </c>
      <c r="M90" s="24"/>
      <c r="N90" s="23">
        <f t="shared" si="29"/>
        <v>21.450371210109282</v>
      </c>
      <c r="O90" s="25">
        <v>1009132</v>
      </c>
      <c r="P90" s="26">
        <v>21646256</v>
      </c>
      <c r="Q90" s="26">
        <v>9740568</v>
      </c>
      <c r="R90" s="26">
        <v>11905168</v>
      </c>
      <c r="S90" s="40"/>
      <c r="T90" s="41">
        <v>53.526400000000002</v>
      </c>
      <c r="U90" s="41">
        <v>55.049199999999999</v>
      </c>
      <c r="V90" s="41">
        <v>54.758099999999999</v>
      </c>
      <c r="W90" s="42"/>
      <c r="X90" s="41">
        <v>48.130800000000001</v>
      </c>
      <c r="Y90" s="41">
        <v>48.130800000000001</v>
      </c>
      <c r="Z90" s="41">
        <v>48.130800000000001</v>
      </c>
      <c r="AA90" s="42"/>
      <c r="AB90" s="50">
        <v>2.25</v>
      </c>
      <c r="AC90" s="50">
        <v>1.968</v>
      </c>
      <c r="AE90" s="22" t="str">
        <f t="shared" si="30"/>
        <v>·</v>
      </c>
      <c r="AF90" s="23">
        <f t="shared" si="31"/>
        <v>21.560580776350367</v>
      </c>
      <c r="AG90" s="23">
        <f t="shared" si="32"/>
        <v>9.6524220815512738</v>
      </c>
      <c r="AH90" s="23">
        <f t="shared" si="33"/>
        <v>11.907643400466936</v>
      </c>
      <c r="AI90" s="24"/>
      <c r="AJ90" s="23">
        <f t="shared" si="34"/>
        <v>21.560580776350367</v>
      </c>
      <c r="AK90" s="25">
        <v>1009132</v>
      </c>
      <c r="AL90" s="26">
        <v>21757472</v>
      </c>
      <c r="AM90" s="26">
        <v>9740568</v>
      </c>
      <c r="AN90" s="26">
        <v>12016384</v>
      </c>
      <c r="AO90" s="40"/>
      <c r="AP90" s="41">
        <v>53.523200000000003</v>
      </c>
      <c r="AQ90" s="41">
        <v>55.028799999999997</v>
      </c>
      <c r="AR90" s="41">
        <v>54.745100000000001</v>
      </c>
      <c r="AS90" s="42"/>
      <c r="AT90" s="41">
        <v>48.130800000000001</v>
      </c>
      <c r="AU90" s="41">
        <v>48.130800000000001</v>
      </c>
      <c r="AV90" s="41">
        <v>48.130800000000001</v>
      </c>
      <c r="AW90" s="42"/>
      <c r="AX90" s="50">
        <v>2.2959999999999998</v>
      </c>
      <c r="AY90" s="50">
        <v>1.984</v>
      </c>
      <c r="BA90" s="55">
        <f t="shared" si="35"/>
        <v>-2.3001720932712688E-3</v>
      </c>
      <c r="BB90" s="55">
        <f t="array" ref="BB90">AVERAGE(AM90:AM94/AL90:AL94)-AVERAGE(Q90:Q94/P90:P94)</f>
        <v>-4.4800190515689176E-3</v>
      </c>
      <c r="BD90" s="56">
        <f>IF(OR(ISBLANK(R90:R94),ISBLANK(AN90:AN94),ISBLANK(T90:T94),ISBLANK(AP90:AP94)),"·",bdRateExtend(R90:R94,T90:T94,AN90:AN94,AP90:AP94))</f>
        <v>2.0422596392291492E-2</v>
      </c>
      <c r="BE90" s="56">
        <f>IF(OR(ISBLANK(R90:R94),ISBLANK(AN90:AN94),ISBLANK(U90:U94),ISBLANK(AQ90:AQ94)),"·",bdRateExtend(R90:R94,U90:U94,AN90:AN94,AQ90:AQ94))</f>
        <v>2.459804053349357E-2</v>
      </c>
      <c r="BF90" s="56">
        <f>IF(OR(ISBLANK(R90:R94),ISBLANK(AN90:AN94),ISBLANK(V90:V94),ISBLANK(AR90:AR94)),"·",bdRateExtend(R90:R94,V90:V94,AN90:AN94,AR90:AR94))</f>
        <v>2.2847920095987906E-2</v>
      </c>
      <c r="BG90" s="62"/>
      <c r="BI90" s="56">
        <f>IF(OR(ISBLANK(R90:R94),ISBLANK(AN90:AN94),ISBLANK(X90:X94),ISBLANK(AT90:AT94)),"·",bdRateExtend(R90:R94,X90:X94,AN90:AN94,AT90:AT94))</f>
        <v>2.2776946307446977E-2</v>
      </c>
      <c r="BJ90" s="56">
        <f>IF(OR(ISBLANK(R90:R94),ISBLANK(AN90:AN94),ISBLANK(Y90:Y94),ISBLANK(AU90:AU94)),"·",bdRateExtend(R90:R94,Y90:Y94,AN90:AN94,AU90:AU94))</f>
        <v>2.2776946307446977E-2</v>
      </c>
      <c r="BK90" s="56">
        <f>IF(OR(ISBLANK(R90:R94),ISBLANK(AN90:AN94),ISBLANK(Z90:Z94),ISBLANK(AV90:AV94)),"·",bdRateExtend(R90:R94,Z90:Z94,AN90:AN94,AV90:AV94))</f>
        <v>2.2776946307446977E-2</v>
      </c>
      <c r="BL90" s="62"/>
      <c r="BN90" s="56">
        <f>IF(OR(ISBLANK(P90:P94),ISBLANK(AL90:AL94),ISBLANK(T90:T94),ISBLANK(AP90:AP94)),"·",bdRateExtend(P90:P94,T90:T94,AL90:AL94,AP90:AP94))</f>
        <v>7.3137257981450432E-3</v>
      </c>
      <c r="BO90" s="56">
        <f>IF(OR(ISBLANK(P90:P94),ISBLANK(AL90:AL94),ISBLANK(U90:U94),ISBLANK(AQ90:AQ94)),"·",bdRateExtend(P90:P94,U90:U94,AL90:AL94,AQ90:AQ94))</f>
        <v>8.7205702094410587E-3</v>
      </c>
      <c r="BP90" s="56">
        <f>IF(OR(ISBLANK(P90:P94),ISBLANK(AL90:AL94),ISBLANK(V90:V94),ISBLANK(AR90:AR94)),"·",bdRateExtend(P90:P94,V90:V94,AL90:AL94,AR90:AR94))</f>
        <v>8.3897747043377713E-3</v>
      </c>
      <c r="BQ90" s="62"/>
      <c r="BS90" s="56">
        <f>IF(OR(ISBLANK(P90:P94),ISBLANK(AL90:AL94),ISBLANK(X90:X94),ISBLANK(AT90:AT94)),"·",bdRateExtend(P90:P94,X90:X94,AL90:AL94,AT90:AT94))</f>
        <v>8.0163544337352732E-3</v>
      </c>
      <c r="BT90" s="56">
        <f>IF(OR(ISBLANK(P90:P94),ISBLANK(AL90:AL94),ISBLANK(Y90:Y94),ISBLANK(AU90:AU94)),"·",bdRateExtend(P90:P94,Y90:Y94,AL90:AL94,AU90:AU94))</f>
        <v>8.0163544337352732E-3</v>
      </c>
      <c r="BU90" s="56">
        <f>IF(OR(ISBLANK(P90:P94),ISBLANK(AL90:AL94),ISBLANK(Z90:Z94),ISBLANK(AV90:AV94)),"·",bdRateExtend(P90:P94,Z90:Z94,AL90:AL94,AV90:AV94))</f>
        <v>8.0163544337352732E-3</v>
      </c>
      <c r="BV90" s="62"/>
      <c r="BX90">
        <f t="shared" si="36"/>
        <v>0</v>
      </c>
      <c r="BY90">
        <f t="shared" si="37"/>
        <v>111216</v>
      </c>
      <c r="BZ90">
        <f t="shared" si="38"/>
        <v>0</v>
      </c>
      <c r="CA90">
        <f t="shared" si="39"/>
        <v>111216</v>
      </c>
      <c r="CB90">
        <f t="shared" si="40"/>
        <v>0</v>
      </c>
      <c r="CC90">
        <f t="shared" si="41"/>
        <v>-3.1999999999996476E-3</v>
      </c>
      <c r="CD90">
        <f t="shared" si="42"/>
        <v>-2.0400000000002194E-2</v>
      </c>
      <c r="CE90">
        <f t="shared" si="43"/>
        <v>-1.2999999999998124E-2</v>
      </c>
      <c r="CF90">
        <f t="shared" si="44"/>
        <v>0</v>
      </c>
      <c r="CG90">
        <f t="shared" si="45"/>
        <v>0</v>
      </c>
      <c r="CH90">
        <f t="shared" si="46"/>
        <v>0</v>
      </c>
      <c r="CI90">
        <f t="shared" si="47"/>
        <v>0</v>
      </c>
      <c r="CJ90">
        <f t="shared" si="48"/>
        <v>0</v>
      </c>
    </row>
    <row r="91" spans="1:88" outlineLevel="1" x14ac:dyDescent="0.15">
      <c r="A91" s="5"/>
      <c r="B91" s="5" t="s">
        <v>111</v>
      </c>
      <c r="C91" s="6" t="s">
        <v>255</v>
      </c>
      <c r="D91" s="5">
        <v>1009132</v>
      </c>
      <c r="E91" s="7">
        <v>12</v>
      </c>
      <c r="F91" s="6">
        <v>1</v>
      </c>
      <c r="G91" s="6"/>
      <c r="I91" s="17" t="str">
        <f t="shared" si="25"/>
        <v>·</v>
      </c>
      <c r="J91" s="18">
        <f t="shared" si="26"/>
        <v>18.667076259597359</v>
      </c>
      <c r="K91" s="18">
        <f t="shared" si="27"/>
        <v>9.6524220815512738</v>
      </c>
      <c r="L91" s="18">
        <f t="shared" si="28"/>
        <v>9.0141388837139242</v>
      </c>
      <c r="M91" s="19"/>
      <c r="N91" s="18">
        <f t="shared" si="29"/>
        <v>18.667076259597359</v>
      </c>
      <c r="O91" s="20">
        <v>1009132</v>
      </c>
      <c r="P91" s="21">
        <v>18837544</v>
      </c>
      <c r="Q91" s="21">
        <v>9740568</v>
      </c>
      <c r="R91" s="21">
        <v>9096456</v>
      </c>
      <c r="S91" s="37"/>
      <c r="T91" s="38">
        <v>48.590600000000002</v>
      </c>
      <c r="U91" s="38">
        <v>50.481200000000001</v>
      </c>
      <c r="V91" s="38">
        <v>50.151800000000001</v>
      </c>
      <c r="W91" s="39"/>
      <c r="X91" s="38">
        <v>42.110199999999999</v>
      </c>
      <c r="Y91" s="38">
        <v>42.110199999999999</v>
      </c>
      <c r="Z91" s="38">
        <v>42.110199999999999</v>
      </c>
      <c r="AA91" s="39"/>
      <c r="AB91" s="49">
        <v>2.218</v>
      </c>
      <c r="AC91" s="49">
        <v>1.984</v>
      </c>
      <c r="AE91" s="17" t="str">
        <f t="shared" si="30"/>
        <v>·</v>
      </c>
      <c r="AF91" s="18">
        <f t="shared" si="31"/>
        <v>18.804643991073515</v>
      </c>
      <c r="AG91" s="18">
        <f t="shared" si="32"/>
        <v>9.6524220815512738</v>
      </c>
      <c r="AH91" s="18">
        <f t="shared" si="33"/>
        <v>9.1517066151900845</v>
      </c>
      <c r="AI91" s="19"/>
      <c r="AJ91" s="18">
        <f t="shared" si="34"/>
        <v>18.804643991073515</v>
      </c>
      <c r="AK91" s="20">
        <v>1009132</v>
      </c>
      <c r="AL91" s="21">
        <v>18976368</v>
      </c>
      <c r="AM91" s="21">
        <v>9740568</v>
      </c>
      <c r="AN91" s="21">
        <v>9235280</v>
      </c>
      <c r="AO91" s="37"/>
      <c r="AP91" s="38">
        <v>48.5929</v>
      </c>
      <c r="AQ91" s="38">
        <v>50.459800000000001</v>
      </c>
      <c r="AR91" s="38">
        <v>50.127099999999999</v>
      </c>
      <c r="AS91" s="39"/>
      <c r="AT91" s="38">
        <v>42.110199999999999</v>
      </c>
      <c r="AU91" s="38">
        <v>42.110199999999999</v>
      </c>
      <c r="AV91" s="38">
        <v>42.110199999999999</v>
      </c>
      <c r="AW91" s="39"/>
      <c r="AX91" s="49">
        <v>2.2959999999999998</v>
      </c>
      <c r="AY91" s="49">
        <v>1.968</v>
      </c>
      <c r="BA91" s="53">
        <f t="shared" si="35"/>
        <v>-3.7827832972495701E-3</v>
      </c>
      <c r="BB91" s="53"/>
      <c r="BD91" s="54"/>
      <c r="BE91" s="54"/>
      <c r="BF91" s="54"/>
      <c r="BG91" s="61"/>
      <c r="BI91" s="54"/>
      <c r="BJ91" s="54"/>
      <c r="BK91" s="54"/>
      <c r="BL91" s="61"/>
      <c r="BN91" s="54"/>
      <c r="BO91" s="54"/>
      <c r="BP91" s="54"/>
      <c r="BQ91" s="61"/>
      <c r="BS91" s="54"/>
      <c r="BT91" s="54"/>
      <c r="BU91" s="54"/>
      <c r="BV91" s="61"/>
      <c r="BX91">
        <f t="shared" si="36"/>
        <v>0</v>
      </c>
      <c r="BY91">
        <f t="shared" si="37"/>
        <v>138824</v>
      </c>
      <c r="BZ91">
        <f t="shared" si="38"/>
        <v>0</v>
      </c>
      <c r="CA91">
        <f t="shared" si="39"/>
        <v>138824</v>
      </c>
      <c r="CB91">
        <f t="shared" si="40"/>
        <v>0</v>
      </c>
      <c r="CC91">
        <f t="shared" si="41"/>
        <v>2.2999999999981924E-3</v>
      </c>
      <c r="CD91">
        <f t="shared" si="42"/>
        <v>-2.1399999999999864E-2</v>
      </c>
      <c r="CE91">
        <f t="shared" si="43"/>
        <v>-2.4700000000002831E-2</v>
      </c>
      <c r="CF91">
        <f t="shared" si="44"/>
        <v>0</v>
      </c>
      <c r="CG91">
        <f t="shared" si="45"/>
        <v>0</v>
      </c>
      <c r="CH91">
        <f t="shared" si="46"/>
        <v>0</v>
      </c>
      <c r="CI91">
        <f t="shared" si="47"/>
        <v>0</v>
      </c>
      <c r="CJ91">
        <f t="shared" si="48"/>
        <v>0</v>
      </c>
    </row>
    <row r="92" spans="1:88" outlineLevel="1" x14ac:dyDescent="0.15">
      <c r="A92" s="8"/>
      <c r="B92" s="8" t="s">
        <v>111</v>
      </c>
      <c r="C92" s="9" t="s">
        <v>256</v>
      </c>
      <c r="D92" s="8">
        <v>1009132</v>
      </c>
      <c r="E92" s="10">
        <v>12</v>
      </c>
      <c r="F92" s="9">
        <v>1</v>
      </c>
      <c r="G92" s="9"/>
      <c r="I92" s="22" t="str">
        <f t="shared" si="25"/>
        <v>·</v>
      </c>
      <c r="J92" s="23">
        <f t="shared" si="26"/>
        <v>15.714844044188471</v>
      </c>
      <c r="K92" s="23">
        <f t="shared" si="27"/>
        <v>9.6524220815512738</v>
      </c>
      <c r="L92" s="23">
        <f t="shared" si="28"/>
        <v>6.0619066683050384</v>
      </c>
      <c r="M92" s="24"/>
      <c r="N92" s="23">
        <f t="shared" si="29"/>
        <v>15.714844044188471</v>
      </c>
      <c r="O92" s="25">
        <v>1009132</v>
      </c>
      <c r="P92" s="26">
        <v>15858352</v>
      </c>
      <c r="Q92" s="26">
        <v>9740568</v>
      </c>
      <c r="R92" s="26">
        <v>6117264</v>
      </c>
      <c r="S92" s="40"/>
      <c r="T92" s="41">
        <v>41.3371</v>
      </c>
      <c r="U92" s="41">
        <v>44.135399999999997</v>
      </c>
      <c r="V92" s="41">
        <v>43.9955</v>
      </c>
      <c r="W92" s="42"/>
      <c r="X92" s="41">
        <v>34.151400000000002</v>
      </c>
      <c r="Y92" s="41">
        <v>34.151400000000002</v>
      </c>
      <c r="Z92" s="41">
        <v>34.151400000000002</v>
      </c>
      <c r="AA92" s="42"/>
      <c r="AB92" s="50">
        <v>2.1560000000000001</v>
      </c>
      <c r="AC92" s="50">
        <v>1.9530000000000001</v>
      </c>
      <c r="AE92" s="22" t="str">
        <f t="shared" si="30"/>
        <v>·</v>
      </c>
      <c r="AF92" s="23">
        <f t="shared" si="31"/>
        <v>15.863573843659699</v>
      </c>
      <c r="AG92" s="23">
        <f t="shared" si="32"/>
        <v>9.6524220815512738</v>
      </c>
      <c r="AH92" s="23">
        <f t="shared" si="33"/>
        <v>6.2106364677762675</v>
      </c>
      <c r="AI92" s="24"/>
      <c r="AJ92" s="23">
        <f t="shared" si="34"/>
        <v>15.863573843659699</v>
      </c>
      <c r="AK92" s="25">
        <v>1009132</v>
      </c>
      <c r="AL92" s="26">
        <v>16008440</v>
      </c>
      <c r="AM92" s="26">
        <v>9740568</v>
      </c>
      <c r="AN92" s="26">
        <v>6267352</v>
      </c>
      <c r="AO92" s="40"/>
      <c r="AP92" s="41">
        <v>41.371000000000002</v>
      </c>
      <c r="AQ92" s="41">
        <v>44.106699999999996</v>
      </c>
      <c r="AR92" s="41">
        <v>43.9619</v>
      </c>
      <c r="AS92" s="42"/>
      <c r="AT92" s="41">
        <v>34.151400000000002</v>
      </c>
      <c r="AU92" s="41">
        <v>34.151400000000002</v>
      </c>
      <c r="AV92" s="41">
        <v>34.151400000000002</v>
      </c>
      <c r="AW92" s="42"/>
      <c r="AX92" s="50">
        <v>2.2810000000000001</v>
      </c>
      <c r="AY92" s="50">
        <v>1.9370000000000001</v>
      </c>
      <c r="BA92" s="55">
        <f t="shared" si="35"/>
        <v>-5.758683192474745E-3</v>
      </c>
      <c r="BB92" s="55"/>
      <c r="BD92" s="56"/>
      <c r="BE92" s="56"/>
      <c r="BF92" s="56"/>
      <c r="BG92" s="62"/>
      <c r="BI92" s="56"/>
      <c r="BJ92" s="56"/>
      <c r="BK92" s="56"/>
      <c r="BL92" s="62"/>
      <c r="BN92" s="56"/>
      <c r="BO92" s="56"/>
      <c r="BP92" s="56"/>
      <c r="BQ92" s="62"/>
      <c r="BS92" s="56"/>
      <c r="BT92" s="56"/>
      <c r="BU92" s="56"/>
      <c r="BV92" s="62"/>
      <c r="BX92">
        <f t="shared" si="36"/>
        <v>0</v>
      </c>
      <c r="BY92">
        <f t="shared" si="37"/>
        <v>150088</v>
      </c>
      <c r="BZ92">
        <f t="shared" si="38"/>
        <v>0</v>
      </c>
      <c r="CA92">
        <f t="shared" si="39"/>
        <v>150088</v>
      </c>
      <c r="CB92">
        <f t="shared" si="40"/>
        <v>0</v>
      </c>
      <c r="CC92">
        <f t="shared" si="41"/>
        <v>3.3900000000002706E-2</v>
      </c>
      <c r="CD92">
        <f t="shared" si="42"/>
        <v>-2.8700000000000614E-2</v>
      </c>
      <c r="CE92">
        <f t="shared" si="43"/>
        <v>-3.3599999999999852E-2</v>
      </c>
      <c r="CF92">
        <f t="shared" si="44"/>
        <v>0</v>
      </c>
      <c r="CG92">
        <f t="shared" si="45"/>
        <v>0</v>
      </c>
      <c r="CH92">
        <f t="shared" si="46"/>
        <v>0</v>
      </c>
      <c r="CI92">
        <f t="shared" si="47"/>
        <v>0</v>
      </c>
      <c r="CJ92">
        <f t="shared" si="48"/>
        <v>0</v>
      </c>
    </row>
    <row r="93" spans="1:88" outlineLevel="1" x14ac:dyDescent="0.15">
      <c r="A93" s="5"/>
      <c r="B93" s="5" t="s">
        <v>111</v>
      </c>
      <c r="C93" s="6" t="s">
        <v>257</v>
      </c>
      <c r="D93" s="5">
        <v>1009132</v>
      </c>
      <c r="E93" s="7">
        <v>12</v>
      </c>
      <c r="F93" s="6">
        <v>1</v>
      </c>
      <c r="G93" s="6"/>
      <c r="I93" s="17" t="str">
        <f t="shared" si="25"/>
        <v>·</v>
      </c>
      <c r="J93" s="18">
        <f t="shared" si="26"/>
        <v>13.577997724777333</v>
      </c>
      <c r="K93" s="18">
        <f t="shared" si="27"/>
        <v>9.6524220815512738</v>
      </c>
      <c r="L93" s="18">
        <f t="shared" si="28"/>
        <v>3.9250603488939011</v>
      </c>
      <c r="M93" s="19"/>
      <c r="N93" s="18">
        <f t="shared" si="29"/>
        <v>13.577997724777333</v>
      </c>
      <c r="O93" s="20">
        <v>1009132</v>
      </c>
      <c r="P93" s="21">
        <v>13701992</v>
      </c>
      <c r="Q93" s="21">
        <v>9740568</v>
      </c>
      <c r="R93" s="21">
        <v>3960904</v>
      </c>
      <c r="S93" s="37"/>
      <c r="T93" s="38">
        <v>35.461100000000002</v>
      </c>
      <c r="U93" s="38">
        <v>39.136200000000002</v>
      </c>
      <c r="V93" s="38">
        <v>39.127899999999997</v>
      </c>
      <c r="W93" s="39"/>
      <c r="X93" s="38">
        <v>28.130800000000001</v>
      </c>
      <c r="Y93" s="38">
        <v>28.130800000000001</v>
      </c>
      <c r="Z93" s="38">
        <v>28.130800000000001</v>
      </c>
      <c r="AA93" s="39"/>
      <c r="AB93" s="49">
        <v>2.1709999999999998</v>
      </c>
      <c r="AC93" s="49">
        <v>1.875</v>
      </c>
      <c r="AE93" s="17" t="str">
        <f t="shared" si="30"/>
        <v>·</v>
      </c>
      <c r="AF93" s="18">
        <f t="shared" si="31"/>
        <v>13.704363750232874</v>
      </c>
      <c r="AG93" s="18">
        <f t="shared" si="32"/>
        <v>9.6524220815512738</v>
      </c>
      <c r="AH93" s="18">
        <f t="shared" si="33"/>
        <v>4.0514263743494405</v>
      </c>
      <c r="AI93" s="19"/>
      <c r="AJ93" s="18">
        <f t="shared" si="34"/>
        <v>13.704363750232874</v>
      </c>
      <c r="AK93" s="20">
        <v>1009132</v>
      </c>
      <c r="AL93" s="21">
        <v>13829512</v>
      </c>
      <c r="AM93" s="21">
        <v>9740568</v>
      </c>
      <c r="AN93" s="21">
        <v>4088424</v>
      </c>
      <c r="AO93" s="37"/>
      <c r="AP93" s="38">
        <v>35.505699999999997</v>
      </c>
      <c r="AQ93" s="38">
        <v>39.101999999999997</v>
      </c>
      <c r="AR93" s="38">
        <v>39.115499999999997</v>
      </c>
      <c r="AS93" s="39"/>
      <c r="AT93" s="38">
        <v>28.130800000000001</v>
      </c>
      <c r="AU93" s="38">
        <v>28.130800000000001</v>
      </c>
      <c r="AV93" s="38">
        <v>28.130800000000001</v>
      </c>
      <c r="AW93" s="39"/>
      <c r="AX93" s="49">
        <v>2.25</v>
      </c>
      <c r="AY93" s="49">
        <v>1.9059999999999999</v>
      </c>
      <c r="BA93" s="53">
        <f t="shared" si="35"/>
        <v>-6.5549898190102596E-3</v>
      </c>
      <c r="BB93" s="53"/>
      <c r="BD93" s="54"/>
      <c r="BE93" s="54"/>
      <c r="BF93" s="54"/>
      <c r="BG93" s="61"/>
      <c r="BI93" s="54"/>
      <c r="BJ93" s="54"/>
      <c r="BK93" s="54"/>
      <c r="BL93" s="61"/>
      <c r="BN93" s="54"/>
      <c r="BO93" s="54"/>
      <c r="BP93" s="54"/>
      <c r="BQ93" s="61"/>
      <c r="BS93" s="54"/>
      <c r="BT93" s="54"/>
      <c r="BU93" s="54"/>
      <c r="BV93" s="61"/>
      <c r="BX93">
        <f t="shared" si="36"/>
        <v>0</v>
      </c>
      <c r="BY93">
        <f t="shared" si="37"/>
        <v>127520</v>
      </c>
      <c r="BZ93">
        <f t="shared" si="38"/>
        <v>0</v>
      </c>
      <c r="CA93">
        <f t="shared" si="39"/>
        <v>127520</v>
      </c>
      <c r="CB93">
        <f t="shared" si="40"/>
        <v>0</v>
      </c>
      <c r="CC93">
        <f t="shared" si="41"/>
        <v>4.4599999999995532E-2</v>
      </c>
      <c r="CD93">
        <f t="shared" si="42"/>
        <v>-3.4200000000005559E-2</v>
      </c>
      <c r="CE93">
        <f t="shared" si="43"/>
        <v>-1.2399999999999523E-2</v>
      </c>
      <c r="CF93">
        <f t="shared" si="44"/>
        <v>0</v>
      </c>
      <c r="CG93">
        <f t="shared" si="45"/>
        <v>0</v>
      </c>
      <c r="CH93">
        <f t="shared" si="46"/>
        <v>0</v>
      </c>
      <c r="CI93">
        <f t="shared" si="47"/>
        <v>0</v>
      </c>
      <c r="CJ93">
        <f t="shared" si="48"/>
        <v>0</v>
      </c>
    </row>
    <row r="94" spans="1:88" outlineLevel="1" x14ac:dyDescent="0.15">
      <c r="A94" s="8"/>
      <c r="B94" s="14" t="s">
        <v>111</v>
      </c>
      <c r="C94" s="15" t="s">
        <v>258</v>
      </c>
      <c r="D94" s="14">
        <v>1009132</v>
      </c>
      <c r="E94" s="16">
        <v>12</v>
      </c>
      <c r="F94" s="15">
        <v>1</v>
      </c>
      <c r="G94" s="15"/>
      <c r="I94" s="32" t="str">
        <f t="shared" si="25"/>
        <v>·</v>
      </c>
      <c r="J94" s="33">
        <f t="shared" si="26"/>
        <v>11.800240206434838</v>
      </c>
      <c r="K94" s="33">
        <f t="shared" si="27"/>
        <v>9.6524220815512738</v>
      </c>
      <c r="L94" s="33">
        <f t="shared" si="28"/>
        <v>2.1473028305514044</v>
      </c>
      <c r="M94" s="34"/>
      <c r="N94" s="33">
        <f t="shared" si="29"/>
        <v>11.800240206434838</v>
      </c>
      <c r="O94" s="35">
        <v>1009132</v>
      </c>
      <c r="P94" s="36">
        <v>11908000</v>
      </c>
      <c r="Q94" s="36">
        <v>9740568</v>
      </c>
      <c r="R94" s="36">
        <v>2166912</v>
      </c>
      <c r="S94" s="46"/>
      <c r="T94" s="47">
        <v>29.061399999999999</v>
      </c>
      <c r="U94" s="47">
        <v>34.125300000000003</v>
      </c>
      <c r="V94" s="47">
        <v>34.431899999999999</v>
      </c>
      <c r="W94" s="48"/>
      <c r="X94" s="47">
        <v>21.686399999999999</v>
      </c>
      <c r="Y94" s="47">
        <v>21.686399999999999</v>
      </c>
      <c r="Z94" s="47">
        <v>21.686399999999999</v>
      </c>
      <c r="AA94" s="48"/>
      <c r="AB94" s="52">
        <v>2.125</v>
      </c>
      <c r="AC94" s="52">
        <v>1.89</v>
      </c>
      <c r="AE94" s="32" t="str">
        <f t="shared" si="30"/>
        <v>·</v>
      </c>
      <c r="AF94" s="33">
        <f t="shared" si="31"/>
        <v>11.85827820344613</v>
      </c>
      <c r="AG94" s="33">
        <f t="shared" si="32"/>
        <v>9.6524220815512738</v>
      </c>
      <c r="AH94" s="33">
        <f t="shared" si="33"/>
        <v>2.2053408275626976</v>
      </c>
      <c r="AI94" s="34"/>
      <c r="AJ94" s="33">
        <f t="shared" si="34"/>
        <v>11.85827820344613</v>
      </c>
      <c r="AK94" s="35">
        <v>1009132</v>
      </c>
      <c r="AL94" s="36">
        <v>11966568</v>
      </c>
      <c r="AM94" s="36">
        <v>9740568</v>
      </c>
      <c r="AN94" s="36">
        <v>2225480</v>
      </c>
      <c r="AO94" s="46"/>
      <c r="AP94" s="47">
        <v>29.174900000000001</v>
      </c>
      <c r="AQ94" s="47">
        <v>34.149299999999997</v>
      </c>
      <c r="AR94" s="47">
        <v>34.539499999999997</v>
      </c>
      <c r="AS94" s="48"/>
      <c r="AT94" s="47">
        <v>21.686399999999999</v>
      </c>
      <c r="AU94" s="47">
        <v>21.686399999999999</v>
      </c>
      <c r="AV94" s="47">
        <v>21.686399999999999</v>
      </c>
      <c r="AW94" s="48"/>
      <c r="AX94" s="52">
        <v>2.234</v>
      </c>
      <c r="AY94" s="52">
        <v>1.89</v>
      </c>
      <c r="BA94" s="59">
        <f t="shared" si="35"/>
        <v>-4.0034668558387443E-3</v>
      </c>
      <c r="BB94" s="59"/>
      <c r="BD94" s="60"/>
      <c r="BE94" s="60"/>
      <c r="BF94" s="60"/>
      <c r="BG94" s="64"/>
      <c r="BI94" s="60"/>
      <c r="BJ94" s="60"/>
      <c r="BK94" s="60"/>
      <c r="BL94" s="64"/>
      <c r="BN94" s="60"/>
      <c r="BO94" s="60"/>
      <c r="BP94" s="60"/>
      <c r="BQ94" s="64"/>
      <c r="BS94" s="60"/>
      <c r="BT94" s="60"/>
      <c r="BU94" s="60"/>
      <c r="BV94" s="64"/>
      <c r="BX94">
        <f t="shared" si="36"/>
        <v>0</v>
      </c>
      <c r="BY94">
        <f t="shared" si="37"/>
        <v>58568</v>
      </c>
      <c r="BZ94">
        <f t="shared" si="38"/>
        <v>0</v>
      </c>
      <c r="CA94">
        <f t="shared" si="39"/>
        <v>58568</v>
      </c>
      <c r="CB94">
        <f t="shared" si="40"/>
        <v>0</v>
      </c>
      <c r="CC94">
        <f t="shared" si="41"/>
        <v>0.11350000000000193</v>
      </c>
      <c r="CD94">
        <f t="shared" si="42"/>
        <v>2.3999999999993804E-2</v>
      </c>
      <c r="CE94">
        <f t="shared" si="43"/>
        <v>0.10759999999999792</v>
      </c>
      <c r="CF94">
        <f t="shared" si="44"/>
        <v>0</v>
      </c>
      <c r="CG94">
        <f t="shared" si="45"/>
        <v>0</v>
      </c>
      <c r="CH94">
        <f t="shared" si="46"/>
        <v>0</v>
      </c>
      <c r="CI94">
        <f t="shared" si="47"/>
        <v>0</v>
      </c>
      <c r="CJ94">
        <f t="shared" si="48"/>
        <v>0</v>
      </c>
    </row>
    <row r="95" spans="1:88" x14ac:dyDescent="0.15">
      <c r="A95" s="5"/>
      <c r="B95" s="5" t="s">
        <v>114</v>
      </c>
      <c r="C95" s="6" t="s">
        <v>254</v>
      </c>
      <c r="D95" s="5">
        <v>4001754</v>
      </c>
      <c r="E95" s="7">
        <v>12</v>
      </c>
      <c r="F95" s="6">
        <v>1</v>
      </c>
      <c r="G95" s="6"/>
      <c r="I95" s="17" t="str">
        <f t="shared" si="25"/>
        <v>·</v>
      </c>
      <c r="J95" s="18">
        <f t="shared" si="26"/>
        <v>7.1652340448713243</v>
      </c>
      <c r="K95" s="18">
        <f t="shared" si="27"/>
        <v>3.8442702874789405</v>
      </c>
      <c r="L95" s="18">
        <f t="shared" si="28"/>
        <v>3.3207138669693341</v>
      </c>
      <c r="M95" s="19"/>
      <c r="N95" s="18">
        <f t="shared" si="29"/>
        <v>7.1652340448713243</v>
      </c>
      <c r="O95" s="20">
        <v>4001754</v>
      </c>
      <c r="P95" s="21">
        <v>28673504</v>
      </c>
      <c r="Q95" s="21">
        <v>15383824</v>
      </c>
      <c r="R95" s="21">
        <v>13288680</v>
      </c>
      <c r="S95" s="37"/>
      <c r="T95" s="38">
        <v>52.438499999999998</v>
      </c>
      <c r="U95" s="38">
        <v>57.095100000000002</v>
      </c>
      <c r="V95" s="38">
        <v>56.724499999999999</v>
      </c>
      <c r="W95" s="39"/>
      <c r="X95" s="38">
        <v>48.130800000000001</v>
      </c>
      <c r="Y95" s="38">
        <v>48.130800000000001</v>
      </c>
      <c r="Z95" s="38">
        <v>48.130800000000001</v>
      </c>
      <c r="AA95" s="39"/>
      <c r="AB95" s="49">
        <v>6.593</v>
      </c>
      <c r="AC95" s="49">
        <v>5.2649999999999997</v>
      </c>
      <c r="AE95" s="17" t="str">
        <f t="shared" si="30"/>
        <v>·</v>
      </c>
      <c r="AF95" s="18">
        <f t="shared" si="31"/>
        <v>7.1658797617244838</v>
      </c>
      <c r="AG95" s="18">
        <f t="shared" si="32"/>
        <v>3.8442702874789405</v>
      </c>
      <c r="AH95" s="18">
        <f t="shared" si="33"/>
        <v>3.3213595838224936</v>
      </c>
      <c r="AI95" s="19"/>
      <c r="AJ95" s="18">
        <f t="shared" si="34"/>
        <v>7.1658797617244838</v>
      </c>
      <c r="AK95" s="20">
        <v>4001754</v>
      </c>
      <c r="AL95" s="21">
        <v>28676088</v>
      </c>
      <c r="AM95" s="21">
        <v>15383824</v>
      </c>
      <c r="AN95" s="21">
        <v>13291264</v>
      </c>
      <c r="AO95" s="37"/>
      <c r="AP95" s="38">
        <v>52.439599999999999</v>
      </c>
      <c r="AQ95" s="38">
        <v>57.101900000000001</v>
      </c>
      <c r="AR95" s="38">
        <v>56.726599999999998</v>
      </c>
      <c r="AS95" s="39"/>
      <c r="AT95" s="38">
        <v>48.130800000000001</v>
      </c>
      <c r="AU95" s="38">
        <v>48.130800000000001</v>
      </c>
      <c r="AV95" s="38">
        <v>48.130800000000001</v>
      </c>
      <c r="AW95" s="39"/>
      <c r="AX95" s="49">
        <v>6.625</v>
      </c>
      <c r="AY95" s="49">
        <v>5.2030000000000003</v>
      </c>
      <c r="BA95" s="53">
        <f t="shared" si="35"/>
        <v>-4.8345509230274253E-5</v>
      </c>
      <c r="BB95" s="53">
        <f t="array" ref="BB95">AVERAGE(AM95:AM99/AL95:AL99)-AVERAGE(Q95:Q99/P95:P99)</f>
        <v>-1.181404319688939E-4</v>
      </c>
      <c r="BD95" s="54">
        <f>IF(OR(ISBLANK(R95:R99),ISBLANK(AN95:AN99),ISBLANK(T95:T99),ISBLANK(AP95:AP99)),"·",bdRateExtend(R95:R99,T95:T99,AN95:AN99,AP95:AP99))</f>
        <v>-3.7259040552051204E-4</v>
      </c>
      <c r="BE95" s="54">
        <f>IF(OR(ISBLANK(R95:R99),ISBLANK(AN95:AN99),ISBLANK(U95:U99),ISBLANK(AQ95:AQ99)),"·",bdRateExtend(R95:R99,U95:U99,AN95:AN99,AQ95:AQ99))</f>
        <v>-6.6016637305337245E-3</v>
      </c>
      <c r="BF95" s="54">
        <f>IF(OR(ISBLANK(R95:R99),ISBLANK(AN95:AN99),ISBLANK(V95:V99),ISBLANK(AR95:AR99)),"·",bdRateExtend(R95:R99,V95:V99,AN95:AN99,AR95:AR99))</f>
        <v>6.659350427021149E-3</v>
      </c>
      <c r="BG95" s="61"/>
      <c r="BI95" s="54">
        <f>IF(OR(ISBLANK(R95:R99),ISBLANK(AN95:AN99),ISBLANK(X95:X99),ISBLANK(AT95:AT99)),"·",bdRateExtend(R95:R99,X95:X99,AN95:AN99,AT95:AT99))</f>
        <v>1.074789931297504E-3</v>
      </c>
      <c r="BJ95" s="54">
        <f>IF(OR(ISBLANK(R95:R99),ISBLANK(AN95:AN99),ISBLANK(Y95:Y99),ISBLANK(AU95:AU99)),"·",bdRateExtend(R95:R99,Y95:Y99,AN95:AN99,AU95:AU99))</f>
        <v>1.074789931297504E-3</v>
      </c>
      <c r="BK95" s="54">
        <f>IF(OR(ISBLANK(R95:R99),ISBLANK(AN95:AN99),ISBLANK(Z95:Z99),ISBLANK(AV95:AV99)),"·",bdRateExtend(R95:R99,Z95:Z99,AN95:AN99,AV95:AV99))</f>
        <v>1.074789931297504E-3</v>
      </c>
      <c r="BL95" s="61"/>
      <c r="BN95" s="54">
        <f>IF(OR(ISBLANK(P95:P99),ISBLANK(AL95:AL99),ISBLANK(T95:T99),ISBLANK(AP95:AP99)),"·",bdRateExtend(P95:P99,T95:T99,AL95:AL99,AP95:AP99))</f>
        <v>9.7401448210465702E-5</v>
      </c>
      <c r="BO95" s="54">
        <f>IF(OR(ISBLANK(P95:P99),ISBLANK(AL95:AL99),ISBLANK(U95:U99),ISBLANK(AQ95:AQ99)),"·",bdRateExtend(P95:P99,U95:U99,AL95:AL99,AQ95:AQ99))</f>
        <v>-2.6116778445206545E-4</v>
      </c>
      <c r="BP95" s="54">
        <f>IF(OR(ISBLANK(P95:P99),ISBLANK(AL95:AL99),ISBLANK(V95:V99),ISBLANK(AR95:AR99)),"·",bdRateExtend(P95:P99,V95:V99,AL95:AL99,AR95:AR99))</f>
        <v>4.9111350835695511E-4</v>
      </c>
      <c r="BQ95" s="61"/>
      <c r="BS95" s="54">
        <f>IF(OR(ISBLANK(P95:P99),ISBLANK(AL95:AL99),ISBLANK(X95:X99),ISBLANK(AT95:AT99)),"·",bdRateExtend(P95:P99,X95:X99,AL95:AL99,AT95:AT99))</f>
        <v>1.9898321538081021E-4</v>
      </c>
      <c r="BT95" s="54">
        <f>IF(OR(ISBLANK(P95:P99),ISBLANK(AL95:AL99),ISBLANK(Y95:Y99),ISBLANK(AU95:AU99)),"·",bdRateExtend(P95:P99,Y95:Y99,AL95:AL99,AU95:AU99))</f>
        <v>1.9898321538081021E-4</v>
      </c>
      <c r="BU95" s="54">
        <f>IF(OR(ISBLANK(P95:P99),ISBLANK(AL95:AL99),ISBLANK(Z95:Z99),ISBLANK(AV95:AV99)),"·",bdRateExtend(P95:P99,Z95:Z99,AL95:AL99,AV95:AV99))</f>
        <v>1.9898321538081021E-4</v>
      </c>
      <c r="BV95" s="61"/>
      <c r="BX95">
        <f t="shared" si="36"/>
        <v>0</v>
      </c>
      <c r="BY95">
        <f t="shared" si="37"/>
        <v>2584</v>
      </c>
      <c r="BZ95">
        <f t="shared" si="38"/>
        <v>0</v>
      </c>
      <c r="CA95">
        <f t="shared" si="39"/>
        <v>2584</v>
      </c>
      <c r="CB95">
        <f t="shared" si="40"/>
        <v>0</v>
      </c>
      <c r="CC95">
        <f t="shared" si="41"/>
        <v>1.1000000000009891E-3</v>
      </c>
      <c r="CD95">
        <f t="shared" si="42"/>
        <v>6.7999999999983629E-3</v>
      </c>
      <c r="CE95">
        <f t="shared" si="43"/>
        <v>2.0999999999986585E-3</v>
      </c>
      <c r="CF95">
        <f t="shared" si="44"/>
        <v>0</v>
      </c>
      <c r="CG95">
        <f t="shared" si="45"/>
        <v>0</v>
      </c>
      <c r="CH95">
        <f t="shared" si="46"/>
        <v>0</v>
      </c>
      <c r="CI95">
        <f t="shared" si="47"/>
        <v>0</v>
      </c>
      <c r="CJ95">
        <f t="shared" si="48"/>
        <v>0</v>
      </c>
    </row>
    <row r="96" spans="1:88" outlineLevel="1" x14ac:dyDescent="0.15">
      <c r="A96" s="8"/>
      <c r="B96" s="8" t="s">
        <v>114</v>
      </c>
      <c r="C96" s="9" t="s">
        <v>255</v>
      </c>
      <c r="D96" s="8">
        <v>4001754</v>
      </c>
      <c r="E96" s="10">
        <v>12</v>
      </c>
      <c r="F96" s="9">
        <v>1</v>
      </c>
      <c r="G96" s="9"/>
      <c r="I96" s="22" t="str">
        <f t="shared" si="25"/>
        <v>·</v>
      </c>
      <c r="J96" s="23">
        <f t="shared" si="26"/>
        <v>6.058359409398979</v>
      </c>
      <c r="K96" s="23">
        <f t="shared" si="27"/>
        <v>3.8442702874789405</v>
      </c>
      <c r="L96" s="23">
        <f t="shared" si="28"/>
        <v>2.2138392314969884</v>
      </c>
      <c r="M96" s="24"/>
      <c r="N96" s="23">
        <f t="shared" si="29"/>
        <v>6.058359409398979</v>
      </c>
      <c r="O96" s="25">
        <v>4001754</v>
      </c>
      <c r="P96" s="26">
        <v>24244064</v>
      </c>
      <c r="Q96" s="26">
        <v>15383824</v>
      </c>
      <c r="R96" s="26">
        <v>8859240</v>
      </c>
      <c r="S96" s="40"/>
      <c r="T96" s="41">
        <v>47.724400000000003</v>
      </c>
      <c r="U96" s="41">
        <v>52.87</v>
      </c>
      <c r="V96" s="41">
        <v>52.886699999999998</v>
      </c>
      <c r="W96" s="42"/>
      <c r="X96" s="41">
        <v>42.110199999999999</v>
      </c>
      <c r="Y96" s="41">
        <v>42.110199999999999</v>
      </c>
      <c r="Z96" s="41">
        <v>42.110199999999999</v>
      </c>
      <c r="AA96" s="42"/>
      <c r="AB96" s="50">
        <v>6.593</v>
      </c>
      <c r="AC96" s="50">
        <v>5.25</v>
      </c>
      <c r="AE96" s="22" t="str">
        <f t="shared" si="30"/>
        <v>·</v>
      </c>
      <c r="AF96" s="23">
        <f t="shared" si="31"/>
        <v>6.061162180383902</v>
      </c>
      <c r="AG96" s="23">
        <f t="shared" si="32"/>
        <v>3.8442702874789405</v>
      </c>
      <c r="AH96" s="23">
        <f t="shared" si="33"/>
        <v>2.2166420024819118</v>
      </c>
      <c r="AI96" s="24"/>
      <c r="AJ96" s="23">
        <f t="shared" si="34"/>
        <v>6.061162180383902</v>
      </c>
      <c r="AK96" s="25">
        <v>4001754</v>
      </c>
      <c r="AL96" s="26">
        <v>24255280</v>
      </c>
      <c r="AM96" s="26">
        <v>15383824</v>
      </c>
      <c r="AN96" s="26">
        <v>8870456</v>
      </c>
      <c r="AO96" s="40"/>
      <c r="AP96" s="41">
        <v>47.723999999999997</v>
      </c>
      <c r="AQ96" s="41">
        <v>52.867600000000003</v>
      </c>
      <c r="AR96" s="41">
        <v>52.890500000000003</v>
      </c>
      <c r="AS96" s="42"/>
      <c r="AT96" s="41">
        <v>42.110199999999999</v>
      </c>
      <c r="AU96" s="41">
        <v>42.110199999999999</v>
      </c>
      <c r="AV96" s="41">
        <v>42.110199999999999</v>
      </c>
      <c r="AW96" s="42"/>
      <c r="AX96" s="50">
        <v>6.609</v>
      </c>
      <c r="AY96" s="50">
        <v>5.25</v>
      </c>
      <c r="BA96" s="55">
        <f t="shared" si="35"/>
        <v>-2.9342059205472726E-4</v>
      </c>
      <c r="BB96" s="55"/>
      <c r="BD96" s="56"/>
      <c r="BE96" s="56"/>
      <c r="BF96" s="56"/>
      <c r="BG96" s="62"/>
      <c r="BI96" s="56"/>
      <c r="BJ96" s="56"/>
      <c r="BK96" s="56"/>
      <c r="BL96" s="62"/>
      <c r="BN96" s="56"/>
      <c r="BO96" s="56"/>
      <c r="BP96" s="56"/>
      <c r="BQ96" s="62"/>
      <c r="BS96" s="56"/>
      <c r="BT96" s="56"/>
      <c r="BU96" s="56"/>
      <c r="BV96" s="62"/>
      <c r="BX96">
        <f t="shared" si="36"/>
        <v>0</v>
      </c>
      <c r="BY96">
        <f t="shared" si="37"/>
        <v>11216</v>
      </c>
      <c r="BZ96">
        <f t="shared" si="38"/>
        <v>0</v>
      </c>
      <c r="CA96">
        <f t="shared" si="39"/>
        <v>11216</v>
      </c>
      <c r="CB96">
        <f t="shared" si="40"/>
        <v>0</v>
      </c>
      <c r="CC96">
        <f t="shared" si="41"/>
        <v>-4.000000000061732E-4</v>
      </c>
      <c r="CD96">
        <f t="shared" si="42"/>
        <v>-2.3999999999944066E-3</v>
      </c>
      <c r="CE96">
        <f t="shared" si="43"/>
        <v>3.8000000000053547E-3</v>
      </c>
      <c r="CF96">
        <f t="shared" si="44"/>
        <v>0</v>
      </c>
      <c r="CG96">
        <f t="shared" si="45"/>
        <v>0</v>
      </c>
      <c r="CH96">
        <f t="shared" si="46"/>
        <v>0</v>
      </c>
      <c r="CI96">
        <f t="shared" si="47"/>
        <v>0</v>
      </c>
      <c r="CJ96">
        <f t="shared" si="48"/>
        <v>0</v>
      </c>
    </row>
    <row r="97" spans="1:88" outlineLevel="1" x14ac:dyDescent="0.15">
      <c r="A97" s="5"/>
      <c r="B97" s="5" t="s">
        <v>114</v>
      </c>
      <c r="C97" s="6" t="s">
        <v>256</v>
      </c>
      <c r="D97" s="5">
        <v>4001754</v>
      </c>
      <c r="E97" s="7">
        <v>12</v>
      </c>
      <c r="F97" s="6">
        <v>1</v>
      </c>
      <c r="G97" s="6"/>
      <c r="I97" s="17" t="str">
        <f t="shared" si="25"/>
        <v>·</v>
      </c>
      <c r="J97" s="18">
        <f t="shared" si="26"/>
        <v>4.8828248812895545</v>
      </c>
      <c r="K97" s="18">
        <f t="shared" si="27"/>
        <v>3.8442702874789405</v>
      </c>
      <c r="L97" s="18">
        <f t="shared" si="28"/>
        <v>1.0383047033875645</v>
      </c>
      <c r="M97" s="19"/>
      <c r="N97" s="18">
        <f t="shared" si="29"/>
        <v>4.8828248812895545</v>
      </c>
      <c r="O97" s="20">
        <v>4001754</v>
      </c>
      <c r="P97" s="21">
        <v>19539864</v>
      </c>
      <c r="Q97" s="21">
        <v>15383824</v>
      </c>
      <c r="R97" s="21">
        <v>4155040</v>
      </c>
      <c r="S97" s="37"/>
      <c r="T97" s="38">
        <v>40.820099999999996</v>
      </c>
      <c r="U97" s="38">
        <v>48.0929</v>
      </c>
      <c r="V97" s="38">
        <v>48.212200000000003</v>
      </c>
      <c r="W97" s="39"/>
      <c r="X97" s="38">
        <v>34.151400000000002</v>
      </c>
      <c r="Y97" s="38">
        <v>34.151400000000002</v>
      </c>
      <c r="Z97" s="38">
        <v>34.151400000000002</v>
      </c>
      <c r="AA97" s="39"/>
      <c r="AB97" s="49">
        <v>6.5149999999999997</v>
      </c>
      <c r="AC97" s="49">
        <v>5.109</v>
      </c>
      <c r="AE97" s="17" t="str">
        <f t="shared" si="30"/>
        <v>·</v>
      </c>
      <c r="AF97" s="18">
        <f t="shared" si="31"/>
        <v>4.8828008918089418</v>
      </c>
      <c r="AG97" s="18">
        <f t="shared" si="32"/>
        <v>3.8442702874789405</v>
      </c>
      <c r="AH97" s="18">
        <f t="shared" si="33"/>
        <v>1.0382807139069519</v>
      </c>
      <c r="AI97" s="19"/>
      <c r="AJ97" s="18">
        <f t="shared" si="34"/>
        <v>4.8828008918089418</v>
      </c>
      <c r="AK97" s="20">
        <v>4001754</v>
      </c>
      <c r="AL97" s="21">
        <v>19539768</v>
      </c>
      <c r="AM97" s="21">
        <v>15383824</v>
      </c>
      <c r="AN97" s="21">
        <v>4154944</v>
      </c>
      <c r="AO97" s="37"/>
      <c r="AP97" s="38">
        <v>40.818899999999999</v>
      </c>
      <c r="AQ97" s="38">
        <v>48.092700000000001</v>
      </c>
      <c r="AR97" s="38">
        <v>48.201099999999997</v>
      </c>
      <c r="AS97" s="39"/>
      <c r="AT97" s="38">
        <v>34.151400000000002</v>
      </c>
      <c r="AU97" s="38">
        <v>34.151400000000002</v>
      </c>
      <c r="AV97" s="38">
        <v>34.151400000000002</v>
      </c>
      <c r="AW97" s="39"/>
      <c r="AX97" s="49">
        <v>6.6559999999999997</v>
      </c>
      <c r="AY97" s="49">
        <v>5.2030000000000003</v>
      </c>
      <c r="BA97" s="53">
        <f t="shared" si="35"/>
        <v>3.8680724161466173E-6</v>
      </c>
      <c r="BB97" s="53"/>
      <c r="BD97" s="54"/>
      <c r="BE97" s="54"/>
      <c r="BF97" s="54"/>
      <c r="BG97" s="61"/>
      <c r="BI97" s="54"/>
      <c r="BJ97" s="54"/>
      <c r="BK97" s="54"/>
      <c r="BL97" s="61"/>
      <c r="BN97" s="54"/>
      <c r="BO97" s="54"/>
      <c r="BP97" s="54"/>
      <c r="BQ97" s="61"/>
      <c r="BS97" s="54"/>
      <c r="BT97" s="54"/>
      <c r="BU97" s="54"/>
      <c r="BV97" s="61"/>
      <c r="BX97">
        <f t="shared" si="36"/>
        <v>0</v>
      </c>
      <c r="BY97">
        <f t="shared" si="37"/>
        <v>-96</v>
      </c>
      <c r="BZ97">
        <f t="shared" si="38"/>
        <v>0</v>
      </c>
      <c r="CA97">
        <f t="shared" si="39"/>
        <v>-96</v>
      </c>
      <c r="CB97">
        <f t="shared" si="40"/>
        <v>0</v>
      </c>
      <c r="CC97">
        <f t="shared" si="41"/>
        <v>-1.1999999999972033E-3</v>
      </c>
      <c r="CD97">
        <f t="shared" si="42"/>
        <v>-1.9999999999953388E-4</v>
      </c>
      <c r="CE97">
        <f t="shared" si="43"/>
        <v>-1.1100000000006105E-2</v>
      </c>
      <c r="CF97">
        <f t="shared" si="44"/>
        <v>0</v>
      </c>
      <c r="CG97">
        <f t="shared" si="45"/>
        <v>0</v>
      </c>
      <c r="CH97">
        <f t="shared" si="46"/>
        <v>0</v>
      </c>
      <c r="CI97">
        <f t="shared" si="47"/>
        <v>0</v>
      </c>
      <c r="CJ97">
        <f t="shared" si="48"/>
        <v>0</v>
      </c>
    </row>
    <row r="98" spans="1:88" outlineLevel="1" x14ac:dyDescent="0.15">
      <c r="A98" s="8"/>
      <c r="B98" s="8" t="s">
        <v>114</v>
      </c>
      <c r="C98" s="9" t="s">
        <v>257</v>
      </c>
      <c r="D98" s="8">
        <v>4001754</v>
      </c>
      <c r="E98" s="10">
        <v>12</v>
      </c>
      <c r="F98" s="9">
        <v>1</v>
      </c>
      <c r="G98" s="9"/>
      <c r="I98" s="22" t="str">
        <f t="shared" si="25"/>
        <v>·</v>
      </c>
      <c r="J98" s="23">
        <f t="shared" si="26"/>
        <v>4.325911087987917</v>
      </c>
      <c r="K98" s="23">
        <f t="shared" si="27"/>
        <v>3.8442702874789405</v>
      </c>
      <c r="L98" s="23">
        <f t="shared" si="28"/>
        <v>0.48139091008592733</v>
      </c>
      <c r="M98" s="24"/>
      <c r="N98" s="23">
        <f t="shared" si="29"/>
        <v>4.325911087987917</v>
      </c>
      <c r="O98" s="25">
        <v>4001754</v>
      </c>
      <c r="P98" s="26">
        <v>17311232</v>
      </c>
      <c r="Q98" s="26">
        <v>15383824</v>
      </c>
      <c r="R98" s="26">
        <v>1926408</v>
      </c>
      <c r="S98" s="40"/>
      <c r="T98" s="41">
        <v>35.389699999999998</v>
      </c>
      <c r="U98" s="41">
        <v>43.611800000000002</v>
      </c>
      <c r="V98" s="41">
        <v>43.589199999999998</v>
      </c>
      <c r="W98" s="42"/>
      <c r="X98" s="41">
        <v>28.130800000000001</v>
      </c>
      <c r="Y98" s="41">
        <v>28.130800000000001</v>
      </c>
      <c r="Z98" s="41">
        <v>28.130800000000001</v>
      </c>
      <c r="AA98" s="42"/>
      <c r="AB98" s="50">
        <v>6.5309999999999997</v>
      </c>
      <c r="AC98" s="50">
        <v>5.109</v>
      </c>
      <c r="AE98" s="22" t="str">
        <f t="shared" si="30"/>
        <v>·</v>
      </c>
      <c r="AF98" s="23">
        <f t="shared" si="31"/>
        <v>4.3265887908152276</v>
      </c>
      <c r="AG98" s="23">
        <f t="shared" si="32"/>
        <v>3.8442702874789405</v>
      </c>
      <c r="AH98" s="23">
        <f t="shared" si="33"/>
        <v>0.48206861291323755</v>
      </c>
      <c r="AI98" s="24"/>
      <c r="AJ98" s="23">
        <f t="shared" si="34"/>
        <v>4.3265887908152276</v>
      </c>
      <c r="AK98" s="25">
        <v>4001754</v>
      </c>
      <c r="AL98" s="26">
        <v>17313944</v>
      </c>
      <c r="AM98" s="26">
        <v>15383824</v>
      </c>
      <c r="AN98" s="26">
        <v>1929120</v>
      </c>
      <c r="AO98" s="40"/>
      <c r="AP98" s="41">
        <v>35.403799999999997</v>
      </c>
      <c r="AQ98" s="41">
        <v>43.645499999999998</v>
      </c>
      <c r="AR98" s="41">
        <v>43.580399999999997</v>
      </c>
      <c r="AS98" s="42"/>
      <c r="AT98" s="41">
        <v>28.130800000000001</v>
      </c>
      <c r="AU98" s="41">
        <v>28.130800000000001</v>
      </c>
      <c r="AV98" s="41">
        <v>28.130800000000001</v>
      </c>
      <c r="AW98" s="42"/>
      <c r="AX98" s="50">
        <v>6.5460000000000003</v>
      </c>
      <c r="AY98" s="50">
        <v>5.125</v>
      </c>
      <c r="BA98" s="55">
        <f t="shared" si="35"/>
        <v>-1.3919704079590201E-4</v>
      </c>
      <c r="BB98" s="55"/>
      <c r="BD98" s="56"/>
      <c r="BE98" s="56"/>
      <c r="BF98" s="56"/>
      <c r="BG98" s="62"/>
      <c r="BI98" s="56"/>
      <c r="BJ98" s="56"/>
      <c r="BK98" s="56"/>
      <c r="BL98" s="62"/>
      <c r="BN98" s="56"/>
      <c r="BO98" s="56"/>
      <c r="BP98" s="56"/>
      <c r="BQ98" s="62"/>
      <c r="BS98" s="56"/>
      <c r="BT98" s="56"/>
      <c r="BU98" s="56"/>
      <c r="BV98" s="62"/>
      <c r="BX98">
        <f t="shared" si="36"/>
        <v>0</v>
      </c>
      <c r="BY98">
        <f t="shared" si="37"/>
        <v>2712</v>
      </c>
      <c r="BZ98">
        <f t="shared" si="38"/>
        <v>0</v>
      </c>
      <c r="CA98">
        <f t="shared" si="39"/>
        <v>2712</v>
      </c>
      <c r="CB98">
        <f t="shared" si="40"/>
        <v>0</v>
      </c>
      <c r="CC98">
        <f t="shared" si="41"/>
        <v>1.4099999999999113E-2</v>
      </c>
      <c r="CD98">
        <f t="shared" si="42"/>
        <v>3.3699999999996066E-2</v>
      </c>
      <c r="CE98">
        <f t="shared" si="43"/>
        <v>-8.8000000000008072E-3</v>
      </c>
      <c r="CF98">
        <f t="shared" si="44"/>
        <v>0</v>
      </c>
      <c r="CG98">
        <f t="shared" si="45"/>
        <v>0</v>
      </c>
      <c r="CH98">
        <f t="shared" si="46"/>
        <v>0</v>
      </c>
      <c r="CI98">
        <f t="shared" si="47"/>
        <v>0</v>
      </c>
      <c r="CJ98">
        <f t="shared" si="48"/>
        <v>0</v>
      </c>
    </row>
    <row r="99" spans="1:88" outlineLevel="1" x14ac:dyDescent="0.15">
      <c r="A99" s="5"/>
      <c r="B99" s="11" t="s">
        <v>114</v>
      </c>
      <c r="C99" s="12" t="s">
        <v>258</v>
      </c>
      <c r="D99" s="11">
        <v>4001754</v>
      </c>
      <c r="E99" s="13">
        <v>12</v>
      </c>
      <c r="F99" s="12">
        <v>1</v>
      </c>
      <c r="G99" s="12"/>
      <c r="I99" s="27" t="str">
        <f t="shared" si="25"/>
        <v>·</v>
      </c>
      <c r="J99" s="28">
        <f t="shared" si="26"/>
        <v>3.9953460407611261</v>
      </c>
      <c r="K99" s="28">
        <f t="shared" si="27"/>
        <v>3.8442702874789405</v>
      </c>
      <c r="L99" s="28">
        <f t="shared" si="28"/>
        <v>0.15082586285913627</v>
      </c>
      <c r="M99" s="29"/>
      <c r="N99" s="28">
        <f t="shared" si="29"/>
        <v>3.9953460407611261</v>
      </c>
      <c r="O99" s="30">
        <v>4001754</v>
      </c>
      <c r="P99" s="31">
        <v>15988392</v>
      </c>
      <c r="Q99" s="31">
        <v>15383824</v>
      </c>
      <c r="R99" s="31">
        <v>603568</v>
      </c>
      <c r="S99" s="43"/>
      <c r="T99" s="44">
        <v>29.303799999999999</v>
      </c>
      <c r="U99" s="44">
        <v>39.352699999999999</v>
      </c>
      <c r="V99" s="44">
        <v>38.635800000000003</v>
      </c>
      <c r="W99" s="45"/>
      <c r="X99" s="44">
        <v>21.686399999999999</v>
      </c>
      <c r="Y99" s="44">
        <v>21.686399999999999</v>
      </c>
      <c r="Z99" s="44">
        <v>21.686399999999999</v>
      </c>
      <c r="AA99" s="45"/>
      <c r="AB99" s="51">
        <v>6.5780000000000003</v>
      </c>
      <c r="AC99" s="51">
        <v>5.109</v>
      </c>
      <c r="AE99" s="27" t="str">
        <f t="shared" si="30"/>
        <v>·</v>
      </c>
      <c r="AF99" s="28">
        <f t="shared" si="31"/>
        <v>3.9958178338798436</v>
      </c>
      <c r="AG99" s="28">
        <f t="shared" si="32"/>
        <v>3.8442702874789405</v>
      </c>
      <c r="AH99" s="28">
        <f t="shared" si="33"/>
        <v>0.15129765597785372</v>
      </c>
      <c r="AI99" s="29"/>
      <c r="AJ99" s="28">
        <f t="shared" si="34"/>
        <v>3.9958178338798436</v>
      </c>
      <c r="AK99" s="30">
        <v>4001754</v>
      </c>
      <c r="AL99" s="31">
        <v>15990280</v>
      </c>
      <c r="AM99" s="31">
        <v>15383824</v>
      </c>
      <c r="AN99" s="31">
        <v>605456</v>
      </c>
      <c r="AO99" s="43"/>
      <c r="AP99" s="44">
        <v>29.3428</v>
      </c>
      <c r="AQ99" s="44">
        <v>39.556399999999996</v>
      </c>
      <c r="AR99" s="44">
        <v>38.459299999999999</v>
      </c>
      <c r="AS99" s="45"/>
      <c r="AT99" s="44">
        <v>21.686399999999999</v>
      </c>
      <c r="AU99" s="44">
        <v>21.686399999999999</v>
      </c>
      <c r="AV99" s="44">
        <v>21.686399999999999</v>
      </c>
      <c r="AW99" s="45"/>
      <c r="AX99" s="51">
        <v>6.4210000000000003</v>
      </c>
      <c r="AY99" s="51">
        <v>5.1559999999999997</v>
      </c>
      <c r="BA99" s="57">
        <f t="shared" si="35"/>
        <v>-1.1360709017993464E-4</v>
      </c>
      <c r="BB99" s="57"/>
      <c r="BD99" s="58"/>
      <c r="BE99" s="58"/>
      <c r="BF99" s="58"/>
      <c r="BG99" s="63"/>
      <c r="BI99" s="58"/>
      <c r="BJ99" s="58"/>
      <c r="BK99" s="58"/>
      <c r="BL99" s="63"/>
      <c r="BN99" s="58"/>
      <c r="BO99" s="58"/>
      <c r="BP99" s="58"/>
      <c r="BQ99" s="63"/>
      <c r="BS99" s="58"/>
      <c r="BT99" s="58"/>
      <c r="BU99" s="58"/>
      <c r="BV99" s="63"/>
      <c r="BX99">
        <f t="shared" si="36"/>
        <v>0</v>
      </c>
      <c r="BY99">
        <f t="shared" si="37"/>
        <v>1888</v>
      </c>
      <c r="BZ99">
        <f t="shared" si="38"/>
        <v>0</v>
      </c>
      <c r="CA99">
        <f t="shared" si="39"/>
        <v>1888</v>
      </c>
      <c r="CB99">
        <f t="shared" si="40"/>
        <v>0</v>
      </c>
      <c r="CC99">
        <f t="shared" si="41"/>
        <v>3.9000000000001478E-2</v>
      </c>
      <c r="CD99">
        <f t="shared" si="42"/>
        <v>0.20369999999999777</v>
      </c>
      <c r="CE99">
        <f t="shared" si="43"/>
        <v>-0.17650000000000432</v>
      </c>
      <c r="CF99">
        <f t="shared" si="44"/>
        <v>0</v>
      </c>
      <c r="CG99">
        <f t="shared" si="45"/>
        <v>0</v>
      </c>
      <c r="CH99">
        <f t="shared" si="46"/>
        <v>0</v>
      </c>
      <c r="CI99">
        <f t="shared" si="47"/>
        <v>0</v>
      </c>
      <c r="CJ99">
        <f t="shared" si="48"/>
        <v>0</v>
      </c>
    </row>
    <row r="100" spans="1:88" x14ac:dyDescent="0.15">
      <c r="A100" s="8"/>
      <c r="B100" s="8" t="s">
        <v>116</v>
      </c>
      <c r="C100" s="9" t="s">
        <v>254</v>
      </c>
      <c r="D100" s="8">
        <v>1089091</v>
      </c>
      <c r="E100" s="10">
        <v>10</v>
      </c>
      <c r="F100" s="9">
        <v>1</v>
      </c>
      <c r="G100" s="9"/>
      <c r="I100" s="22" t="str">
        <f t="shared" si="25"/>
        <v>·</v>
      </c>
      <c r="J100" s="23">
        <f t="shared" si="26"/>
        <v>5.1977364609568895</v>
      </c>
      <c r="K100" s="23">
        <f t="shared" si="27"/>
        <v>1.0349474929092244</v>
      </c>
      <c r="L100" s="23">
        <f t="shared" si="28"/>
        <v>4.162296814499431</v>
      </c>
      <c r="M100" s="24"/>
      <c r="N100" s="23">
        <f t="shared" si="29"/>
        <v>5.1977364609568895</v>
      </c>
      <c r="O100" s="25">
        <v>1089091</v>
      </c>
      <c r="P100" s="26">
        <v>5660808</v>
      </c>
      <c r="Q100" s="26">
        <v>1127152</v>
      </c>
      <c r="R100" s="26">
        <v>4533120</v>
      </c>
      <c r="S100" s="40"/>
      <c r="T100" s="41">
        <v>52.467100000000002</v>
      </c>
      <c r="U100" s="41">
        <v>56.989199999999997</v>
      </c>
      <c r="V100" s="41">
        <v>56.630299999999998</v>
      </c>
      <c r="W100" s="42"/>
      <c r="X100" s="41">
        <v>48.130800000000001</v>
      </c>
      <c r="Y100" s="41">
        <v>48.130800000000001</v>
      </c>
      <c r="Z100" s="41">
        <v>48.130800000000001</v>
      </c>
      <c r="AA100" s="42"/>
      <c r="AB100" s="50">
        <v>1.2649999999999999</v>
      </c>
      <c r="AC100" s="50">
        <v>1.0149999999999999</v>
      </c>
      <c r="AE100" s="22" t="str">
        <f t="shared" si="30"/>
        <v>·</v>
      </c>
      <c r="AF100" s="23">
        <f t="shared" si="31"/>
        <v>5.2041050747825484</v>
      </c>
      <c r="AG100" s="23">
        <f t="shared" si="32"/>
        <v>1.0349474929092244</v>
      </c>
      <c r="AH100" s="23">
        <f t="shared" si="33"/>
        <v>4.168665428325089</v>
      </c>
      <c r="AI100" s="24"/>
      <c r="AJ100" s="23">
        <f t="shared" si="34"/>
        <v>5.2041050747825484</v>
      </c>
      <c r="AK100" s="25">
        <v>1089091</v>
      </c>
      <c r="AL100" s="26">
        <v>5667744</v>
      </c>
      <c r="AM100" s="26">
        <v>1127152</v>
      </c>
      <c r="AN100" s="26">
        <v>4540056</v>
      </c>
      <c r="AO100" s="40"/>
      <c r="AP100" s="41">
        <v>52.471699999999998</v>
      </c>
      <c r="AQ100" s="41">
        <v>56.986600000000003</v>
      </c>
      <c r="AR100" s="41">
        <v>56.625700000000002</v>
      </c>
      <c r="AS100" s="42"/>
      <c r="AT100" s="41">
        <v>48.130800000000001</v>
      </c>
      <c r="AU100" s="41">
        <v>48.130800000000001</v>
      </c>
      <c r="AV100" s="41">
        <v>48.130800000000001</v>
      </c>
      <c r="AW100" s="42"/>
      <c r="AX100" s="50">
        <v>1.359</v>
      </c>
      <c r="AY100" s="50">
        <v>1.0309999999999999</v>
      </c>
      <c r="BA100" s="55">
        <f t="shared" si="35"/>
        <v>-2.4367048044696138E-4</v>
      </c>
      <c r="BB100" s="55">
        <f t="array" ref="BB100">AVERAGE(AM100:AM104/AL100:AL104)-AVERAGE(Q100:Q104/P100:P104)</f>
        <v>-1.0369305102714277E-4</v>
      </c>
      <c r="BD100" s="56">
        <f>IF(OR(ISBLANK(R100:R104),ISBLANK(AN100:AN104),ISBLANK(T100:T104),ISBLANK(AP100:AP104)),"·",bdRateExtend(R100:R104,T100:T104,AN100:AN104,AP100:AP104))</f>
        <v>-1.9296252175138306E-4</v>
      </c>
      <c r="BE100" s="56">
        <f>IF(OR(ISBLANK(R100:R104),ISBLANK(AN100:AN104),ISBLANK(U100:U104),ISBLANK(AQ100:AQ104)),"·",bdRateExtend(R100:R104,U100:U104,AN100:AN104,AQ100:AQ104))</f>
        <v>-4.5486978278488355E-3</v>
      </c>
      <c r="BF100" s="56">
        <f>IF(OR(ISBLANK(R100:R104),ISBLANK(AN100:AN104),ISBLANK(V100:V104),ISBLANK(AR100:AR104)),"·",bdRateExtend(R100:R104,V100:V104,AN100:AN104,AR100:AR104))</f>
        <v>1.2589159233136193E-3</v>
      </c>
      <c r="BG100" s="62"/>
      <c r="BI100" s="56">
        <f>IF(OR(ISBLANK(R100:R104),ISBLANK(AN100:AN104),ISBLANK(X100:X104),ISBLANK(AT100:AT104)),"·",bdRateExtend(R100:R104,X100:X104,AN100:AN104,AT100:AT104))</f>
        <v>6.9031943944763974E-4</v>
      </c>
      <c r="BJ100" s="56">
        <f>IF(OR(ISBLANK(R100:R104),ISBLANK(AN100:AN104),ISBLANK(Y100:Y104),ISBLANK(AU100:AU104)),"·",bdRateExtend(R100:R104,Y100:Y104,AN100:AN104,AU100:AU104))</f>
        <v>6.9031943944763974E-4</v>
      </c>
      <c r="BK100" s="56">
        <f>IF(OR(ISBLANK(R100:R104),ISBLANK(AN100:AN104),ISBLANK(Z100:Z104),ISBLANK(AV100:AV104)),"·",bdRateExtend(R100:R104,Z100:Z104,AN100:AN104,AV100:AV104))</f>
        <v>6.9031943944763974E-4</v>
      </c>
      <c r="BL100" s="62"/>
      <c r="BN100" s="56">
        <f>IF(OR(ISBLANK(P100:P104),ISBLANK(AL100:AL104),ISBLANK(T100:T104),ISBLANK(AP100:AP104)),"·",bdRateExtend(P100:P104,T100:T104,AL100:AL104,AP100:AP104))</f>
        <v>1.3349927623274027E-4</v>
      </c>
      <c r="BO100" s="56">
        <f>IF(OR(ISBLANK(P100:P104),ISBLANK(AL100:AL104),ISBLANK(U100:U104),ISBLANK(AQ100:AQ104)),"·",bdRateExtend(P100:P104,U100:U104,AL100:AL104,AQ100:AQ104))</f>
        <v>-8.7615039340493972E-4</v>
      </c>
      <c r="BP100" s="56">
        <f>IF(OR(ISBLANK(P100:P104),ISBLANK(AL100:AL104),ISBLANK(V100:V104),ISBLANK(AR100:AR104)),"·",bdRateExtend(P100:P104,V100:V104,AL100:AL104,AR100:AR104))</f>
        <v>5.1060009762093905E-4</v>
      </c>
      <c r="BQ100" s="62"/>
      <c r="BS100" s="56">
        <f>IF(OR(ISBLANK(P100:P104),ISBLANK(AL100:AL104),ISBLANK(X100:X104),ISBLANK(AT100:AT104)),"·",bdRateExtend(P100:P104,X100:X104,AL100:AL104,AT100:AT104))</f>
        <v>6.2546261631024613E-4</v>
      </c>
      <c r="BT100" s="56">
        <f>IF(OR(ISBLANK(P100:P104),ISBLANK(AL100:AL104),ISBLANK(Y100:Y104),ISBLANK(AU100:AU104)),"·",bdRateExtend(P100:P104,Y100:Y104,AL100:AL104,AU100:AU104))</f>
        <v>6.2546261631024613E-4</v>
      </c>
      <c r="BU100" s="56">
        <f>IF(OR(ISBLANK(P100:P104),ISBLANK(AL100:AL104),ISBLANK(Z100:Z104),ISBLANK(AV100:AV104)),"·",bdRateExtend(P100:P104,Z100:Z104,AL100:AL104,AV100:AV104))</f>
        <v>6.2546261631024613E-4</v>
      </c>
      <c r="BV100" s="62"/>
      <c r="BX100">
        <f t="shared" si="36"/>
        <v>0</v>
      </c>
      <c r="BY100">
        <f t="shared" si="37"/>
        <v>6936</v>
      </c>
      <c r="BZ100">
        <f t="shared" si="38"/>
        <v>0</v>
      </c>
      <c r="CA100">
        <f t="shared" si="39"/>
        <v>6936</v>
      </c>
      <c r="CB100">
        <f t="shared" si="40"/>
        <v>0</v>
      </c>
      <c r="CC100">
        <f t="shared" si="41"/>
        <v>4.5999999999963848E-3</v>
      </c>
      <c r="CD100">
        <f t="shared" si="42"/>
        <v>-2.5999999999939405E-3</v>
      </c>
      <c r="CE100">
        <f t="shared" si="43"/>
        <v>-4.5999999999963848E-3</v>
      </c>
      <c r="CF100">
        <f t="shared" si="44"/>
        <v>0</v>
      </c>
      <c r="CG100">
        <f t="shared" si="45"/>
        <v>0</v>
      </c>
      <c r="CH100">
        <f t="shared" si="46"/>
        <v>0</v>
      </c>
      <c r="CI100">
        <f t="shared" si="47"/>
        <v>0</v>
      </c>
      <c r="CJ100">
        <f t="shared" si="48"/>
        <v>0</v>
      </c>
    </row>
    <row r="101" spans="1:88" outlineLevel="1" x14ac:dyDescent="0.15">
      <c r="A101" s="5"/>
      <c r="B101" s="5" t="s">
        <v>116</v>
      </c>
      <c r="C101" s="6" t="s">
        <v>255</v>
      </c>
      <c r="D101" s="5">
        <v>1089091</v>
      </c>
      <c r="E101" s="7">
        <v>10</v>
      </c>
      <c r="F101" s="6">
        <v>1</v>
      </c>
      <c r="G101" s="6"/>
      <c r="I101" s="17" t="str">
        <f t="shared" si="25"/>
        <v>·</v>
      </c>
      <c r="J101" s="18">
        <f t="shared" si="26"/>
        <v>3.9400417412319082</v>
      </c>
      <c r="K101" s="18">
        <f t="shared" si="27"/>
        <v>1.0349474929092244</v>
      </c>
      <c r="L101" s="18">
        <f t="shared" si="28"/>
        <v>2.9046020947744493</v>
      </c>
      <c r="M101" s="19"/>
      <c r="N101" s="18">
        <f t="shared" si="29"/>
        <v>3.9400417412319082</v>
      </c>
      <c r="O101" s="20">
        <v>1089091</v>
      </c>
      <c r="P101" s="21">
        <v>4291064</v>
      </c>
      <c r="Q101" s="21">
        <v>1127152</v>
      </c>
      <c r="R101" s="21">
        <v>3163376</v>
      </c>
      <c r="S101" s="37"/>
      <c r="T101" s="38">
        <v>47.655500000000004</v>
      </c>
      <c r="U101" s="38">
        <v>52.6541</v>
      </c>
      <c r="V101" s="38">
        <v>52.572800000000001</v>
      </c>
      <c r="W101" s="39"/>
      <c r="X101" s="38">
        <v>42.110199999999999</v>
      </c>
      <c r="Y101" s="38">
        <v>42.110199999999999</v>
      </c>
      <c r="Z101" s="38">
        <v>42.110199999999999</v>
      </c>
      <c r="AA101" s="39"/>
      <c r="AB101" s="49">
        <v>1.3280000000000001</v>
      </c>
      <c r="AC101" s="49">
        <v>1.0149999999999999</v>
      </c>
      <c r="AE101" s="17" t="str">
        <f t="shared" si="30"/>
        <v>·</v>
      </c>
      <c r="AF101" s="18">
        <f t="shared" si="31"/>
        <v>3.9464030094822196</v>
      </c>
      <c r="AG101" s="18">
        <f t="shared" si="32"/>
        <v>1.0349474929092244</v>
      </c>
      <c r="AH101" s="18">
        <f t="shared" si="33"/>
        <v>2.9109633630247611</v>
      </c>
      <c r="AI101" s="19"/>
      <c r="AJ101" s="18">
        <f t="shared" si="34"/>
        <v>3.9464030094822196</v>
      </c>
      <c r="AK101" s="20">
        <v>1089091</v>
      </c>
      <c r="AL101" s="21">
        <v>4297992</v>
      </c>
      <c r="AM101" s="21">
        <v>1127152</v>
      </c>
      <c r="AN101" s="21">
        <v>3170304</v>
      </c>
      <c r="AO101" s="37"/>
      <c r="AP101" s="38">
        <v>47.6556</v>
      </c>
      <c r="AQ101" s="38">
        <v>52.649000000000001</v>
      </c>
      <c r="AR101" s="38">
        <v>52.592399999999998</v>
      </c>
      <c r="AS101" s="39"/>
      <c r="AT101" s="38">
        <v>42.110199999999999</v>
      </c>
      <c r="AU101" s="38">
        <v>42.110199999999999</v>
      </c>
      <c r="AV101" s="38">
        <v>42.110199999999999</v>
      </c>
      <c r="AW101" s="39"/>
      <c r="AX101" s="49">
        <v>1.296</v>
      </c>
      <c r="AY101" s="49">
        <v>1</v>
      </c>
      <c r="BA101" s="53">
        <f t="shared" si="35"/>
        <v>-4.2340869296569883E-4</v>
      </c>
      <c r="BB101" s="53"/>
      <c r="BD101" s="54"/>
      <c r="BE101" s="54"/>
      <c r="BF101" s="54"/>
      <c r="BG101" s="61"/>
      <c r="BI101" s="54"/>
      <c r="BJ101" s="54"/>
      <c r="BK101" s="54"/>
      <c r="BL101" s="61"/>
      <c r="BN101" s="54"/>
      <c r="BO101" s="54"/>
      <c r="BP101" s="54"/>
      <c r="BQ101" s="61"/>
      <c r="BS101" s="54"/>
      <c r="BT101" s="54"/>
      <c r="BU101" s="54"/>
      <c r="BV101" s="61"/>
      <c r="BX101">
        <f t="shared" si="36"/>
        <v>0</v>
      </c>
      <c r="BY101">
        <f t="shared" si="37"/>
        <v>6928</v>
      </c>
      <c r="BZ101">
        <f t="shared" si="38"/>
        <v>0</v>
      </c>
      <c r="CA101">
        <f t="shared" si="39"/>
        <v>6928</v>
      </c>
      <c r="CB101">
        <f t="shared" si="40"/>
        <v>0</v>
      </c>
      <c r="CC101">
        <f t="shared" si="41"/>
        <v>9.9999999996214228E-5</v>
      </c>
      <c r="CD101">
        <f t="shared" si="42"/>
        <v>-5.0999999999987722E-3</v>
      </c>
      <c r="CE101">
        <f t="shared" si="43"/>
        <v>1.9599999999996953E-2</v>
      </c>
      <c r="CF101">
        <f t="shared" si="44"/>
        <v>0</v>
      </c>
      <c r="CG101">
        <f t="shared" si="45"/>
        <v>0</v>
      </c>
      <c r="CH101">
        <f t="shared" si="46"/>
        <v>0</v>
      </c>
      <c r="CI101">
        <f t="shared" si="47"/>
        <v>0</v>
      </c>
      <c r="CJ101">
        <f t="shared" si="48"/>
        <v>0</v>
      </c>
    </row>
    <row r="102" spans="1:88" outlineLevel="1" x14ac:dyDescent="0.15">
      <c r="A102" s="8"/>
      <c r="B102" s="8" t="s">
        <v>116</v>
      </c>
      <c r="C102" s="9" t="s">
        <v>256</v>
      </c>
      <c r="D102" s="8">
        <v>1089091</v>
      </c>
      <c r="E102" s="10">
        <v>10</v>
      </c>
      <c r="F102" s="9">
        <v>1</v>
      </c>
      <c r="G102" s="9"/>
      <c r="I102" s="22" t="str">
        <f t="shared" si="25"/>
        <v>·</v>
      </c>
      <c r="J102" s="23">
        <f t="shared" si="26"/>
        <v>2.5804565458717406</v>
      </c>
      <c r="K102" s="23">
        <f t="shared" si="27"/>
        <v>1.0349474929092244</v>
      </c>
      <c r="L102" s="23">
        <f t="shared" si="28"/>
        <v>1.5450168994142821</v>
      </c>
      <c r="M102" s="24"/>
      <c r="N102" s="23">
        <f t="shared" si="29"/>
        <v>2.5804565458717406</v>
      </c>
      <c r="O102" s="25">
        <v>1089091</v>
      </c>
      <c r="P102" s="26">
        <v>2810352</v>
      </c>
      <c r="Q102" s="26">
        <v>1127152</v>
      </c>
      <c r="R102" s="26">
        <v>1682664</v>
      </c>
      <c r="S102" s="40"/>
      <c r="T102" s="41">
        <v>40.593200000000003</v>
      </c>
      <c r="U102" s="41">
        <v>47.7575</v>
      </c>
      <c r="V102" s="41">
        <v>47.870899999999999</v>
      </c>
      <c r="W102" s="42"/>
      <c r="X102" s="41">
        <v>34.151400000000002</v>
      </c>
      <c r="Y102" s="41">
        <v>34.151400000000002</v>
      </c>
      <c r="Z102" s="41">
        <v>34.151400000000002</v>
      </c>
      <c r="AA102" s="42"/>
      <c r="AB102" s="50">
        <v>1.296</v>
      </c>
      <c r="AC102" s="50">
        <v>1.0149999999999999</v>
      </c>
      <c r="AE102" s="22" t="str">
        <f t="shared" si="30"/>
        <v>·</v>
      </c>
      <c r="AF102" s="23">
        <f t="shared" si="31"/>
        <v>2.5826455273250812</v>
      </c>
      <c r="AG102" s="23">
        <f t="shared" si="32"/>
        <v>1.0349474929092244</v>
      </c>
      <c r="AH102" s="23">
        <f t="shared" si="33"/>
        <v>1.5472058808676226</v>
      </c>
      <c r="AI102" s="24"/>
      <c r="AJ102" s="23">
        <f t="shared" si="34"/>
        <v>2.5826455273250812</v>
      </c>
      <c r="AK102" s="25">
        <v>1089091</v>
      </c>
      <c r="AL102" s="26">
        <v>2812736</v>
      </c>
      <c r="AM102" s="26">
        <v>1127152</v>
      </c>
      <c r="AN102" s="26">
        <v>1685048</v>
      </c>
      <c r="AO102" s="40"/>
      <c r="AP102" s="41">
        <v>40.611600000000003</v>
      </c>
      <c r="AQ102" s="41">
        <v>47.760599999999997</v>
      </c>
      <c r="AR102" s="41">
        <v>47.889499999999998</v>
      </c>
      <c r="AS102" s="42"/>
      <c r="AT102" s="41">
        <v>34.151400000000002</v>
      </c>
      <c r="AU102" s="41">
        <v>34.151400000000002</v>
      </c>
      <c r="AV102" s="41">
        <v>34.151400000000002</v>
      </c>
      <c r="AW102" s="42"/>
      <c r="AX102" s="50">
        <v>1.25</v>
      </c>
      <c r="AY102" s="50">
        <v>0.98399999999999999</v>
      </c>
      <c r="BA102" s="55">
        <f t="shared" si="35"/>
        <v>-3.3993747646937633E-4</v>
      </c>
      <c r="BB102" s="55"/>
      <c r="BD102" s="56"/>
      <c r="BE102" s="56"/>
      <c r="BF102" s="56"/>
      <c r="BG102" s="62"/>
      <c r="BI102" s="56"/>
      <c r="BJ102" s="56"/>
      <c r="BK102" s="56"/>
      <c r="BL102" s="62"/>
      <c r="BN102" s="56"/>
      <c r="BO102" s="56"/>
      <c r="BP102" s="56"/>
      <c r="BQ102" s="62"/>
      <c r="BS102" s="56"/>
      <c r="BT102" s="56"/>
      <c r="BU102" s="56"/>
      <c r="BV102" s="62"/>
      <c r="BX102">
        <f t="shared" si="36"/>
        <v>0</v>
      </c>
      <c r="BY102">
        <f t="shared" si="37"/>
        <v>2384</v>
      </c>
      <c r="BZ102">
        <f t="shared" si="38"/>
        <v>0</v>
      </c>
      <c r="CA102">
        <f t="shared" si="39"/>
        <v>2384</v>
      </c>
      <c r="CB102">
        <f t="shared" si="40"/>
        <v>0</v>
      </c>
      <c r="CC102">
        <f t="shared" si="41"/>
        <v>1.839999999999975E-2</v>
      </c>
      <c r="CD102">
        <f t="shared" si="42"/>
        <v>3.0999999999963279E-3</v>
      </c>
      <c r="CE102">
        <f t="shared" si="43"/>
        <v>1.8599999999999284E-2</v>
      </c>
      <c r="CF102">
        <f t="shared" si="44"/>
        <v>0</v>
      </c>
      <c r="CG102">
        <f t="shared" si="45"/>
        <v>0</v>
      </c>
      <c r="CH102">
        <f t="shared" si="46"/>
        <v>0</v>
      </c>
      <c r="CI102">
        <f t="shared" si="47"/>
        <v>0</v>
      </c>
      <c r="CJ102">
        <f t="shared" si="48"/>
        <v>0</v>
      </c>
    </row>
    <row r="103" spans="1:88" outlineLevel="1" x14ac:dyDescent="0.15">
      <c r="A103" s="5"/>
      <c r="B103" s="5" t="s">
        <v>116</v>
      </c>
      <c r="C103" s="6" t="s">
        <v>257</v>
      </c>
      <c r="D103" s="5">
        <v>1089091</v>
      </c>
      <c r="E103" s="7">
        <v>10</v>
      </c>
      <c r="F103" s="6">
        <v>1</v>
      </c>
      <c r="G103" s="6"/>
      <c r="I103" s="17" t="str">
        <f t="shared" si="25"/>
        <v>·</v>
      </c>
      <c r="J103" s="18">
        <f t="shared" si="26"/>
        <v>1.8350936698586253</v>
      </c>
      <c r="K103" s="18">
        <f t="shared" si="27"/>
        <v>1.0349474929092244</v>
      </c>
      <c r="L103" s="18">
        <f t="shared" si="28"/>
        <v>0.79965402340116665</v>
      </c>
      <c r="M103" s="19"/>
      <c r="N103" s="18">
        <f t="shared" si="29"/>
        <v>1.8350936698586253</v>
      </c>
      <c r="O103" s="20">
        <v>1089091</v>
      </c>
      <c r="P103" s="21">
        <v>1998584</v>
      </c>
      <c r="Q103" s="21">
        <v>1127152</v>
      </c>
      <c r="R103" s="21">
        <v>870896</v>
      </c>
      <c r="S103" s="37"/>
      <c r="T103" s="38">
        <v>35.143300000000004</v>
      </c>
      <c r="U103" s="38">
        <v>43.241300000000003</v>
      </c>
      <c r="V103" s="38">
        <v>43.429200000000002</v>
      </c>
      <c r="W103" s="39"/>
      <c r="X103" s="38">
        <v>28.130800000000001</v>
      </c>
      <c r="Y103" s="38">
        <v>28.130800000000001</v>
      </c>
      <c r="Z103" s="38">
        <v>28.130800000000001</v>
      </c>
      <c r="AA103" s="39"/>
      <c r="AB103" s="49">
        <v>1.296</v>
      </c>
      <c r="AC103" s="49">
        <v>1.0309999999999999</v>
      </c>
      <c r="AE103" s="17" t="str">
        <f t="shared" si="30"/>
        <v>·</v>
      </c>
      <c r="AF103" s="18">
        <f t="shared" si="31"/>
        <v>1.833999179131955</v>
      </c>
      <c r="AG103" s="18">
        <f t="shared" si="32"/>
        <v>1.0349474929092244</v>
      </c>
      <c r="AH103" s="18">
        <f t="shared" si="33"/>
        <v>0.79855953267449642</v>
      </c>
      <c r="AI103" s="19"/>
      <c r="AJ103" s="18">
        <f t="shared" si="34"/>
        <v>1.833999179131955</v>
      </c>
      <c r="AK103" s="20">
        <v>1089091</v>
      </c>
      <c r="AL103" s="21">
        <v>1997392</v>
      </c>
      <c r="AM103" s="21">
        <v>1127152</v>
      </c>
      <c r="AN103" s="21">
        <v>869704</v>
      </c>
      <c r="AO103" s="37"/>
      <c r="AP103" s="38">
        <v>35.152799999999999</v>
      </c>
      <c r="AQ103" s="38">
        <v>43.262599999999999</v>
      </c>
      <c r="AR103" s="38">
        <v>43.395699999999998</v>
      </c>
      <c r="AS103" s="39"/>
      <c r="AT103" s="38">
        <v>28.130800000000001</v>
      </c>
      <c r="AU103" s="38">
        <v>28.130800000000001</v>
      </c>
      <c r="AV103" s="38">
        <v>28.130800000000001</v>
      </c>
      <c r="AW103" s="39"/>
      <c r="AX103" s="49">
        <v>1.2809999999999999</v>
      </c>
      <c r="AY103" s="49">
        <v>0.96799999999999997</v>
      </c>
      <c r="BA103" s="53">
        <f t="shared" si="35"/>
        <v>3.365681604082793E-4</v>
      </c>
      <c r="BB103" s="53"/>
      <c r="BD103" s="54"/>
      <c r="BE103" s="54"/>
      <c r="BF103" s="54"/>
      <c r="BG103" s="61"/>
      <c r="BI103" s="54"/>
      <c r="BJ103" s="54"/>
      <c r="BK103" s="54"/>
      <c r="BL103" s="61"/>
      <c r="BN103" s="54"/>
      <c r="BO103" s="54"/>
      <c r="BP103" s="54"/>
      <c r="BQ103" s="61"/>
      <c r="BS103" s="54"/>
      <c r="BT103" s="54"/>
      <c r="BU103" s="54"/>
      <c r="BV103" s="61"/>
      <c r="BX103">
        <f t="shared" si="36"/>
        <v>0</v>
      </c>
      <c r="BY103">
        <f t="shared" si="37"/>
        <v>-1192</v>
      </c>
      <c r="BZ103">
        <f t="shared" si="38"/>
        <v>0</v>
      </c>
      <c r="CA103">
        <f t="shared" si="39"/>
        <v>-1192</v>
      </c>
      <c r="CB103">
        <f t="shared" si="40"/>
        <v>0</v>
      </c>
      <c r="CC103">
        <f t="shared" si="41"/>
        <v>9.4999999999956231E-3</v>
      </c>
      <c r="CD103">
        <f t="shared" si="42"/>
        <v>2.1299999999996544E-2</v>
      </c>
      <c r="CE103">
        <f t="shared" si="43"/>
        <v>-3.3500000000003638E-2</v>
      </c>
      <c r="CF103">
        <f t="shared" si="44"/>
        <v>0</v>
      </c>
      <c r="CG103">
        <f t="shared" si="45"/>
        <v>0</v>
      </c>
      <c r="CH103">
        <f t="shared" si="46"/>
        <v>0</v>
      </c>
      <c r="CI103">
        <f t="shared" si="47"/>
        <v>0</v>
      </c>
      <c r="CJ103">
        <f t="shared" si="48"/>
        <v>0</v>
      </c>
    </row>
    <row r="104" spans="1:88" outlineLevel="1" x14ac:dyDescent="0.15">
      <c r="A104" s="8"/>
      <c r="B104" s="14" t="s">
        <v>116</v>
      </c>
      <c r="C104" s="15" t="s">
        <v>258</v>
      </c>
      <c r="D104" s="14">
        <v>1089091</v>
      </c>
      <c r="E104" s="16">
        <v>10</v>
      </c>
      <c r="F104" s="15">
        <v>1</v>
      </c>
      <c r="G104" s="15"/>
      <c r="I104" s="32" t="str">
        <f t="shared" si="25"/>
        <v>·</v>
      </c>
      <c r="J104" s="33">
        <f t="shared" si="26"/>
        <v>1.3232760164210338</v>
      </c>
      <c r="K104" s="33">
        <f t="shared" si="27"/>
        <v>1.0349474929092244</v>
      </c>
      <c r="L104" s="33">
        <f t="shared" si="28"/>
        <v>0.28783636996357514</v>
      </c>
      <c r="M104" s="34"/>
      <c r="N104" s="33">
        <f t="shared" si="29"/>
        <v>1.3232760164210338</v>
      </c>
      <c r="O104" s="35">
        <v>1089091</v>
      </c>
      <c r="P104" s="36">
        <v>1441168</v>
      </c>
      <c r="Q104" s="36">
        <v>1127152</v>
      </c>
      <c r="R104" s="36">
        <v>313480</v>
      </c>
      <c r="S104" s="46"/>
      <c r="T104" s="47">
        <v>29.213699999999999</v>
      </c>
      <c r="U104" s="47">
        <v>39.076999999999998</v>
      </c>
      <c r="V104" s="47">
        <v>38.042200000000001</v>
      </c>
      <c r="W104" s="48"/>
      <c r="X104" s="47">
        <v>21.686399999999999</v>
      </c>
      <c r="Y104" s="47">
        <v>21.686399999999999</v>
      </c>
      <c r="Z104" s="47">
        <v>21.686399999999999</v>
      </c>
      <c r="AA104" s="48"/>
      <c r="AB104" s="52">
        <v>1.296</v>
      </c>
      <c r="AC104" s="52">
        <v>0.98399999999999999</v>
      </c>
      <c r="AE104" s="32" t="str">
        <f t="shared" si="30"/>
        <v>·</v>
      </c>
      <c r="AF104" s="33">
        <f t="shared" si="31"/>
        <v>1.3230189212838963</v>
      </c>
      <c r="AG104" s="33">
        <f t="shared" si="32"/>
        <v>1.0349474929092244</v>
      </c>
      <c r="AH104" s="33">
        <f t="shared" si="33"/>
        <v>0.2875792748264378</v>
      </c>
      <c r="AI104" s="34"/>
      <c r="AJ104" s="33">
        <f t="shared" si="34"/>
        <v>1.3230189212838963</v>
      </c>
      <c r="AK104" s="35">
        <v>1089091</v>
      </c>
      <c r="AL104" s="36">
        <v>1440888</v>
      </c>
      <c r="AM104" s="36">
        <v>1127152</v>
      </c>
      <c r="AN104" s="36">
        <v>313200</v>
      </c>
      <c r="AO104" s="46"/>
      <c r="AP104" s="47">
        <v>29.2103</v>
      </c>
      <c r="AQ104" s="47">
        <v>39.247100000000003</v>
      </c>
      <c r="AR104" s="47">
        <v>38.035600000000002</v>
      </c>
      <c r="AS104" s="48"/>
      <c r="AT104" s="47">
        <v>21.686399999999999</v>
      </c>
      <c r="AU104" s="47">
        <v>21.686399999999999</v>
      </c>
      <c r="AV104" s="47">
        <v>21.686399999999999</v>
      </c>
      <c r="AW104" s="48"/>
      <c r="AX104" s="52">
        <v>1.3280000000000001</v>
      </c>
      <c r="AY104" s="52">
        <v>0.98399999999999999</v>
      </c>
      <c r="BA104" s="59">
        <f t="shared" si="35"/>
        <v>1.5198323433762706E-4</v>
      </c>
      <c r="BB104" s="59"/>
      <c r="BD104" s="60"/>
      <c r="BE104" s="60"/>
      <c r="BF104" s="60"/>
      <c r="BG104" s="64"/>
      <c r="BI104" s="60"/>
      <c r="BJ104" s="60"/>
      <c r="BK104" s="60"/>
      <c r="BL104" s="64"/>
      <c r="BN104" s="60"/>
      <c r="BO104" s="60"/>
      <c r="BP104" s="60"/>
      <c r="BQ104" s="64"/>
      <c r="BS104" s="60"/>
      <c r="BT104" s="60"/>
      <c r="BU104" s="60"/>
      <c r="BV104" s="64"/>
      <c r="BX104">
        <f t="shared" si="36"/>
        <v>0</v>
      </c>
      <c r="BY104">
        <f t="shared" si="37"/>
        <v>-280</v>
      </c>
      <c r="BZ104">
        <f t="shared" si="38"/>
        <v>0</v>
      </c>
      <c r="CA104">
        <f t="shared" si="39"/>
        <v>-280</v>
      </c>
      <c r="CB104">
        <f t="shared" si="40"/>
        <v>0</v>
      </c>
      <c r="CC104">
        <f t="shared" si="41"/>
        <v>-3.3999999999991815E-3</v>
      </c>
      <c r="CD104">
        <f t="shared" si="42"/>
        <v>0.17010000000000502</v>
      </c>
      <c r="CE104">
        <f t="shared" si="43"/>
        <v>-6.599999999998829E-3</v>
      </c>
      <c r="CF104">
        <f t="shared" si="44"/>
        <v>0</v>
      </c>
      <c r="CG104">
        <f t="shared" si="45"/>
        <v>0</v>
      </c>
      <c r="CH104">
        <f t="shared" si="46"/>
        <v>0</v>
      </c>
      <c r="CI104">
        <f t="shared" si="47"/>
        <v>0</v>
      </c>
      <c r="CJ104">
        <f t="shared" si="48"/>
        <v>0</v>
      </c>
    </row>
    <row r="105" spans="1:88" x14ac:dyDescent="0.15">
      <c r="A105" s="5"/>
      <c r="B105" s="5" t="s">
        <v>119</v>
      </c>
      <c r="C105" s="6" t="s">
        <v>254</v>
      </c>
      <c r="D105" s="5">
        <v>3130215</v>
      </c>
      <c r="E105" s="7">
        <v>12</v>
      </c>
      <c r="F105" s="6">
        <v>1</v>
      </c>
      <c r="G105" s="6"/>
      <c r="I105" s="17" t="str">
        <f t="shared" si="25"/>
        <v>·</v>
      </c>
      <c r="J105" s="18">
        <f t="shared" si="26"/>
        <v>5.6907733174877766</v>
      </c>
      <c r="K105" s="18">
        <f t="shared" si="27"/>
        <v>1.0974786076994711</v>
      </c>
      <c r="L105" s="18">
        <f t="shared" si="28"/>
        <v>4.592990577324561</v>
      </c>
      <c r="M105" s="19"/>
      <c r="N105" s="18">
        <f t="shared" si="29"/>
        <v>5.6907733174877766</v>
      </c>
      <c r="O105" s="20">
        <v>3130215</v>
      </c>
      <c r="P105" s="21">
        <v>17813344</v>
      </c>
      <c r="Q105" s="21">
        <v>3435344</v>
      </c>
      <c r="R105" s="21">
        <v>14377048</v>
      </c>
      <c r="S105" s="37"/>
      <c r="T105" s="38">
        <v>52.790100000000002</v>
      </c>
      <c r="U105" s="38">
        <v>55.270699999999998</v>
      </c>
      <c r="V105" s="38">
        <v>56.254100000000001</v>
      </c>
      <c r="W105" s="39"/>
      <c r="X105" s="38">
        <v>48.130800000000001</v>
      </c>
      <c r="Y105" s="38">
        <v>48.130800000000001</v>
      </c>
      <c r="Z105" s="38">
        <v>48.130800000000001</v>
      </c>
      <c r="AA105" s="39"/>
      <c r="AB105" s="49">
        <v>4.1559999999999997</v>
      </c>
      <c r="AC105" s="49">
        <v>3.125</v>
      </c>
      <c r="AE105" s="17" t="str">
        <f t="shared" si="30"/>
        <v>·</v>
      </c>
      <c r="AF105" s="18">
        <f t="shared" si="31"/>
        <v>5.7046790715653719</v>
      </c>
      <c r="AG105" s="18">
        <f t="shared" si="32"/>
        <v>1.0974786076994711</v>
      </c>
      <c r="AH105" s="18">
        <f t="shared" si="33"/>
        <v>4.6068963314021563</v>
      </c>
      <c r="AI105" s="19"/>
      <c r="AJ105" s="18">
        <f t="shared" si="34"/>
        <v>5.7046790715653719</v>
      </c>
      <c r="AK105" s="20">
        <v>3130215</v>
      </c>
      <c r="AL105" s="21">
        <v>17856872</v>
      </c>
      <c r="AM105" s="21">
        <v>3435344</v>
      </c>
      <c r="AN105" s="21">
        <v>14420576</v>
      </c>
      <c r="AO105" s="37"/>
      <c r="AP105" s="38">
        <v>52.791800000000002</v>
      </c>
      <c r="AQ105" s="38">
        <v>55.278199999999998</v>
      </c>
      <c r="AR105" s="38">
        <v>56.253999999999998</v>
      </c>
      <c r="AS105" s="39"/>
      <c r="AT105" s="38">
        <v>48.130800000000001</v>
      </c>
      <c r="AU105" s="38">
        <v>48.130800000000001</v>
      </c>
      <c r="AV105" s="38">
        <v>48.130800000000001</v>
      </c>
      <c r="AW105" s="39"/>
      <c r="AX105" s="49">
        <v>4.125</v>
      </c>
      <c r="AY105" s="49">
        <v>3.2029999999999998</v>
      </c>
      <c r="BA105" s="53">
        <f t="shared" si="35"/>
        <v>-4.7009767623643062E-4</v>
      </c>
      <c r="BB105" s="53">
        <f t="array" ref="BB105">AVERAGE(AM105:AM109/AL105:AL109)-AVERAGE(Q105:Q109/P105:P109)</f>
        <v>-1.9861819331727926E-3</v>
      </c>
      <c r="BD105" s="54">
        <f>IF(OR(ISBLANK(R105:R109),ISBLANK(AN105:AN109),ISBLANK(T105:T109),ISBLANK(AP105:AP109)),"·",bdRateExtend(R105:R109,T105:T109,AN105:AN109,AP105:AP109))</f>
        <v>8.0572653769750424E-3</v>
      </c>
      <c r="BE105" s="54">
        <f>IF(OR(ISBLANK(R105:R109),ISBLANK(AN105:AN109),ISBLANK(U105:U109),ISBLANK(AQ105:AQ109)),"·",bdRateExtend(R105:R109,U105:U109,AN105:AN109,AQ105:AQ109))</f>
        <v>1.2998197231935071E-2</v>
      </c>
      <c r="BF105" s="54">
        <f>IF(OR(ISBLANK(R105:R109),ISBLANK(AN105:AN109),ISBLANK(V105:V109),ISBLANK(AR105:AR109)),"·",bdRateExtend(R105:R109,V105:V109,AN105:AN109,AR105:AR109))</f>
        <v>3.1980568307163892E-3</v>
      </c>
      <c r="BG105" s="61"/>
      <c r="BI105" s="54">
        <f>IF(OR(ISBLANK(R105:R109),ISBLANK(AN105:AN109),ISBLANK(X105:X109),ISBLANK(AT105:AT109)),"·",bdRateExtend(R105:R109,X105:X109,AN105:AN109,AT105:AT109))</f>
        <v>9.3857263624868015E-3</v>
      </c>
      <c r="BJ105" s="54">
        <f>IF(OR(ISBLANK(R105:R109),ISBLANK(AN105:AN109),ISBLANK(Y105:Y109),ISBLANK(AU105:AU109)),"·",bdRateExtend(R105:R109,Y105:Y109,AN105:AN109,AU105:AU109))</f>
        <v>9.3857263624868015E-3</v>
      </c>
      <c r="BK105" s="54">
        <f>IF(OR(ISBLANK(R105:R109),ISBLANK(AN105:AN109),ISBLANK(Z105:Z109),ISBLANK(AV105:AV109)),"·",bdRateExtend(R105:R109,Z105:Z109,AN105:AN109,AV105:AV109))</f>
        <v>9.3857263624868015E-3</v>
      </c>
      <c r="BL105" s="61"/>
      <c r="BN105" s="54">
        <f>IF(OR(ISBLANK(P105:P109),ISBLANK(AL105:AL109),ISBLANK(T105:T109),ISBLANK(AP105:AP109)),"·",bdRateExtend(P105:P109,T105:T109,AL105:AL109,AP105:AP109))</f>
        <v>4.2828164323269746E-3</v>
      </c>
      <c r="BO105" s="54">
        <f>IF(OR(ISBLANK(P105:P109),ISBLANK(AL105:AL109),ISBLANK(U105:U109),ISBLANK(AQ105:AQ109)),"·",bdRateExtend(P105:P109,U105:U109,AL105:AL109,AQ105:AQ109))</f>
        <v>6.0594153191846356E-3</v>
      </c>
      <c r="BP105" s="54">
        <f>IF(OR(ISBLANK(P105:P109),ISBLANK(AL105:AL109),ISBLANK(V105:V109),ISBLANK(AR105:AR109)),"·",bdRateExtend(P105:P109,V105:V109,AL105:AL109,AR105:AR109))</f>
        <v>2.6318537972986888E-3</v>
      </c>
      <c r="BQ105" s="61"/>
      <c r="BS105" s="54">
        <f>IF(OR(ISBLANK(P105:P109),ISBLANK(AL105:AL109),ISBLANK(X105:X109),ISBLANK(AT105:AT109)),"·",bdRateExtend(P105:P109,X105:X109,AL105:AL109,AT105:AT109))</f>
        <v>4.8023358170494745E-3</v>
      </c>
      <c r="BT105" s="54">
        <f>IF(OR(ISBLANK(P105:P109),ISBLANK(AL105:AL109),ISBLANK(Y105:Y109),ISBLANK(AU105:AU109)),"·",bdRateExtend(P105:P109,Y105:Y109,AL105:AL109,AU105:AU109))</f>
        <v>4.8023358170494745E-3</v>
      </c>
      <c r="BU105" s="54">
        <f>IF(OR(ISBLANK(P105:P109),ISBLANK(AL105:AL109),ISBLANK(Z105:Z109),ISBLANK(AV105:AV109)),"·",bdRateExtend(P105:P109,Z105:Z109,AL105:AL109,AV105:AV109))</f>
        <v>4.8023358170494745E-3</v>
      </c>
      <c r="BV105" s="61"/>
      <c r="BX105">
        <f t="shared" si="36"/>
        <v>0</v>
      </c>
      <c r="BY105">
        <f t="shared" si="37"/>
        <v>43528</v>
      </c>
      <c r="BZ105">
        <f t="shared" si="38"/>
        <v>0</v>
      </c>
      <c r="CA105">
        <f t="shared" si="39"/>
        <v>43528</v>
      </c>
      <c r="CB105">
        <f t="shared" si="40"/>
        <v>0</v>
      </c>
      <c r="CC105">
        <f t="shared" si="41"/>
        <v>1.6999999999995907E-3</v>
      </c>
      <c r="CD105">
        <f t="shared" si="42"/>
        <v>7.5000000000002842E-3</v>
      </c>
      <c r="CE105">
        <f t="shared" si="43"/>
        <v>-1.0000000000331966E-4</v>
      </c>
      <c r="CF105">
        <f t="shared" si="44"/>
        <v>0</v>
      </c>
      <c r="CG105">
        <f t="shared" si="45"/>
        <v>0</v>
      </c>
      <c r="CH105">
        <f t="shared" si="46"/>
        <v>0</v>
      </c>
      <c r="CI105">
        <f t="shared" si="47"/>
        <v>0</v>
      </c>
      <c r="CJ105">
        <f t="shared" si="48"/>
        <v>0</v>
      </c>
    </row>
    <row r="106" spans="1:88" outlineLevel="1" x14ac:dyDescent="0.15">
      <c r="A106" s="8"/>
      <c r="B106" s="8" t="s">
        <v>119</v>
      </c>
      <c r="C106" s="9" t="s">
        <v>255</v>
      </c>
      <c r="D106" s="8">
        <v>3130215</v>
      </c>
      <c r="E106" s="10">
        <v>12</v>
      </c>
      <c r="F106" s="9">
        <v>1</v>
      </c>
      <c r="G106" s="9"/>
      <c r="I106" s="22" t="str">
        <f t="shared" si="25"/>
        <v>·</v>
      </c>
      <c r="J106" s="23">
        <f t="shared" si="26"/>
        <v>4.1468538103612689</v>
      </c>
      <c r="K106" s="23">
        <f t="shared" si="27"/>
        <v>1.0974786076994711</v>
      </c>
      <c r="L106" s="23">
        <f t="shared" si="28"/>
        <v>3.0490710701980537</v>
      </c>
      <c r="M106" s="24"/>
      <c r="N106" s="23">
        <f t="shared" si="29"/>
        <v>4.1468538103612689</v>
      </c>
      <c r="O106" s="25">
        <v>3130215</v>
      </c>
      <c r="P106" s="26">
        <v>12980544</v>
      </c>
      <c r="Q106" s="26">
        <v>3435344</v>
      </c>
      <c r="R106" s="26">
        <v>9544248</v>
      </c>
      <c r="S106" s="40"/>
      <c r="T106" s="41">
        <v>48.2864</v>
      </c>
      <c r="U106" s="41">
        <v>51.717399999999998</v>
      </c>
      <c r="V106" s="41">
        <v>51.6128</v>
      </c>
      <c r="W106" s="42"/>
      <c r="X106" s="41">
        <v>42.110199999999999</v>
      </c>
      <c r="Y106" s="41">
        <v>42.110199999999999</v>
      </c>
      <c r="Z106" s="41">
        <v>42.110199999999999</v>
      </c>
      <c r="AA106" s="42"/>
      <c r="AB106" s="50">
        <v>4.2030000000000003</v>
      </c>
      <c r="AC106" s="50">
        <v>3.218</v>
      </c>
      <c r="AE106" s="22" t="str">
        <f t="shared" si="30"/>
        <v>·</v>
      </c>
      <c r="AF106" s="23">
        <f t="shared" si="31"/>
        <v>4.1638724496560142</v>
      </c>
      <c r="AG106" s="23">
        <f t="shared" si="32"/>
        <v>1.0974786076994711</v>
      </c>
      <c r="AH106" s="23">
        <f t="shared" si="33"/>
        <v>3.0660897094927986</v>
      </c>
      <c r="AI106" s="24"/>
      <c r="AJ106" s="23">
        <f t="shared" si="34"/>
        <v>4.1638724496560142</v>
      </c>
      <c r="AK106" s="25">
        <v>3130215</v>
      </c>
      <c r="AL106" s="26">
        <v>13033816</v>
      </c>
      <c r="AM106" s="26">
        <v>3435344</v>
      </c>
      <c r="AN106" s="26">
        <v>9597520</v>
      </c>
      <c r="AO106" s="40"/>
      <c r="AP106" s="41">
        <v>48.299500000000002</v>
      </c>
      <c r="AQ106" s="41">
        <v>51.708199999999998</v>
      </c>
      <c r="AR106" s="41">
        <v>51.618899999999996</v>
      </c>
      <c r="AS106" s="42"/>
      <c r="AT106" s="41">
        <v>42.110199999999999</v>
      </c>
      <c r="AU106" s="41">
        <v>42.110199999999999</v>
      </c>
      <c r="AV106" s="41">
        <v>42.110199999999999</v>
      </c>
      <c r="AW106" s="42"/>
      <c r="AX106" s="50">
        <v>4.1399999999999997</v>
      </c>
      <c r="AY106" s="50">
        <v>3.0310000000000001</v>
      </c>
      <c r="BA106" s="55">
        <f t="shared" si="35"/>
        <v>-1.0816948310652941E-3</v>
      </c>
      <c r="BB106" s="55"/>
      <c r="BD106" s="56"/>
      <c r="BE106" s="56"/>
      <c r="BF106" s="56"/>
      <c r="BG106" s="62"/>
      <c r="BI106" s="56"/>
      <c r="BJ106" s="56"/>
      <c r="BK106" s="56"/>
      <c r="BL106" s="62"/>
      <c r="BN106" s="56"/>
      <c r="BO106" s="56"/>
      <c r="BP106" s="56"/>
      <c r="BQ106" s="62"/>
      <c r="BS106" s="56"/>
      <c r="BT106" s="56"/>
      <c r="BU106" s="56"/>
      <c r="BV106" s="62"/>
      <c r="BX106">
        <f t="shared" si="36"/>
        <v>0</v>
      </c>
      <c r="BY106">
        <f t="shared" si="37"/>
        <v>53272</v>
      </c>
      <c r="BZ106">
        <f t="shared" si="38"/>
        <v>0</v>
      </c>
      <c r="CA106">
        <f t="shared" si="39"/>
        <v>53272</v>
      </c>
      <c r="CB106">
        <f t="shared" si="40"/>
        <v>0</v>
      </c>
      <c r="CC106">
        <f t="shared" si="41"/>
        <v>1.3100000000001444E-2</v>
      </c>
      <c r="CD106">
        <f t="shared" si="42"/>
        <v>-9.1999999999998749E-3</v>
      </c>
      <c r="CE106">
        <f t="shared" si="43"/>
        <v>6.0999999999964416E-3</v>
      </c>
      <c r="CF106">
        <f t="shared" si="44"/>
        <v>0</v>
      </c>
      <c r="CG106">
        <f t="shared" si="45"/>
        <v>0</v>
      </c>
      <c r="CH106">
        <f t="shared" si="46"/>
        <v>0</v>
      </c>
      <c r="CI106">
        <f t="shared" si="47"/>
        <v>0</v>
      </c>
      <c r="CJ106">
        <f t="shared" si="48"/>
        <v>0</v>
      </c>
    </row>
    <row r="107" spans="1:88" outlineLevel="1" x14ac:dyDescent="0.15">
      <c r="A107" s="5"/>
      <c r="B107" s="5" t="s">
        <v>119</v>
      </c>
      <c r="C107" s="6" t="s">
        <v>256</v>
      </c>
      <c r="D107" s="5">
        <v>3130215</v>
      </c>
      <c r="E107" s="7">
        <v>12</v>
      </c>
      <c r="F107" s="6">
        <v>1</v>
      </c>
      <c r="G107" s="6"/>
      <c r="I107" s="17" t="str">
        <f t="shared" si="25"/>
        <v>·</v>
      </c>
      <c r="J107" s="18">
        <f t="shared" si="26"/>
        <v>2.7399498117541445</v>
      </c>
      <c r="K107" s="18">
        <f t="shared" si="27"/>
        <v>1.0974786076994711</v>
      </c>
      <c r="L107" s="18">
        <f t="shared" si="28"/>
        <v>1.6421670715909291</v>
      </c>
      <c r="M107" s="19"/>
      <c r="N107" s="18">
        <f t="shared" si="29"/>
        <v>2.7399498117541445</v>
      </c>
      <c r="O107" s="20">
        <v>3130215</v>
      </c>
      <c r="P107" s="21">
        <v>8576632</v>
      </c>
      <c r="Q107" s="21">
        <v>3435344</v>
      </c>
      <c r="R107" s="21">
        <v>5140336</v>
      </c>
      <c r="S107" s="37"/>
      <c r="T107" s="38">
        <v>41.237499999999997</v>
      </c>
      <c r="U107" s="38">
        <v>45.7361</v>
      </c>
      <c r="V107" s="38">
        <v>46.255899999999997</v>
      </c>
      <c r="W107" s="39"/>
      <c r="X107" s="38">
        <v>34.151400000000002</v>
      </c>
      <c r="Y107" s="38">
        <v>34.151400000000002</v>
      </c>
      <c r="Z107" s="38">
        <v>34.151400000000002</v>
      </c>
      <c r="AA107" s="39"/>
      <c r="AB107" s="49">
        <v>4.093</v>
      </c>
      <c r="AC107" s="49">
        <v>3</v>
      </c>
      <c r="AE107" s="17" t="str">
        <f t="shared" si="30"/>
        <v>·</v>
      </c>
      <c r="AF107" s="18">
        <f t="shared" si="31"/>
        <v>2.7546682895583849</v>
      </c>
      <c r="AG107" s="18">
        <f t="shared" si="32"/>
        <v>1.0974786076994711</v>
      </c>
      <c r="AH107" s="18">
        <f t="shared" si="33"/>
        <v>1.6568855493951693</v>
      </c>
      <c r="AI107" s="19"/>
      <c r="AJ107" s="18">
        <f t="shared" si="34"/>
        <v>2.7546682895583849</v>
      </c>
      <c r="AK107" s="20">
        <v>3130215</v>
      </c>
      <c r="AL107" s="21">
        <v>8622704</v>
      </c>
      <c r="AM107" s="21">
        <v>3435344</v>
      </c>
      <c r="AN107" s="21">
        <v>5186408</v>
      </c>
      <c r="AO107" s="37"/>
      <c r="AP107" s="38">
        <v>41.231999999999999</v>
      </c>
      <c r="AQ107" s="38">
        <v>45.704099999999997</v>
      </c>
      <c r="AR107" s="38">
        <v>46.259700000000002</v>
      </c>
      <c r="AS107" s="39"/>
      <c r="AT107" s="38">
        <v>34.151400000000002</v>
      </c>
      <c r="AU107" s="38">
        <v>34.151400000000002</v>
      </c>
      <c r="AV107" s="38">
        <v>34.151400000000002</v>
      </c>
      <c r="AW107" s="39"/>
      <c r="AX107" s="49">
        <v>4.0780000000000003</v>
      </c>
      <c r="AY107" s="49">
        <v>3.0310000000000001</v>
      </c>
      <c r="BA107" s="53">
        <f t="shared" si="35"/>
        <v>-2.1401639456180566E-3</v>
      </c>
      <c r="BB107" s="53"/>
      <c r="BD107" s="54"/>
      <c r="BE107" s="54"/>
      <c r="BF107" s="54"/>
      <c r="BG107" s="61"/>
      <c r="BI107" s="54"/>
      <c r="BJ107" s="54"/>
      <c r="BK107" s="54"/>
      <c r="BL107" s="61"/>
      <c r="BN107" s="54"/>
      <c r="BO107" s="54"/>
      <c r="BP107" s="54"/>
      <c r="BQ107" s="61"/>
      <c r="BS107" s="54"/>
      <c r="BT107" s="54"/>
      <c r="BU107" s="54"/>
      <c r="BV107" s="61"/>
      <c r="BX107">
        <f t="shared" si="36"/>
        <v>0</v>
      </c>
      <c r="BY107">
        <f t="shared" si="37"/>
        <v>46072</v>
      </c>
      <c r="BZ107">
        <f t="shared" si="38"/>
        <v>0</v>
      </c>
      <c r="CA107">
        <f t="shared" si="39"/>
        <v>46072</v>
      </c>
      <c r="CB107">
        <f t="shared" si="40"/>
        <v>0</v>
      </c>
      <c r="CC107">
        <f t="shared" si="41"/>
        <v>-5.49999999999784E-3</v>
      </c>
      <c r="CD107">
        <f t="shared" si="42"/>
        <v>-3.2000000000003581E-2</v>
      </c>
      <c r="CE107">
        <f t="shared" si="43"/>
        <v>3.8000000000053547E-3</v>
      </c>
      <c r="CF107">
        <f t="shared" si="44"/>
        <v>0</v>
      </c>
      <c r="CG107">
        <f t="shared" si="45"/>
        <v>0</v>
      </c>
      <c r="CH107">
        <f t="shared" si="46"/>
        <v>0</v>
      </c>
      <c r="CI107">
        <f t="shared" si="47"/>
        <v>0</v>
      </c>
      <c r="CJ107">
        <f t="shared" si="48"/>
        <v>0</v>
      </c>
    </row>
    <row r="108" spans="1:88" outlineLevel="1" x14ac:dyDescent="0.15">
      <c r="A108" s="8"/>
      <c r="B108" s="8" t="s">
        <v>119</v>
      </c>
      <c r="C108" s="9" t="s">
        <v>257</v>
      </c>
      <c r="D108" s="8">
        <v>3130215</v>
      </c>
      <c r="E108" s="10">
        <v>12</v>
      </c>
      <c r="F108" s="9">
        <v>1</v>
      </c>
      <c r="G108" s="9"/>
      <c r="I108" s="22" t="str">
        <f t="shared" si="25"/>
        <v>·</v>
      </c>
      <c r="J108" s="23">
        <f t="shared" si="26"/>
        <v>1.9587306303241152</v>
      </c>
      <c r="K108" s="23">
        <f t="shared" si="27"/>
        <v>1.0974786076994711</v>
      </c>
      <c r="L108" s="23">
        <f t="shared" si="28"/>
        <v>0.86094789016089945</v>
      </c>
      <c r="M108" s="24"/>
      <c r="N108" s="23">
        <f t="shared" si="29"/>
        <v>1.9587306303241152</v>
      </c>
      <c r="O108" s="25">
        <v>3130215</v>
      </c>
      <c r="P108" s="26">
        <v>6131248</v>
      </c>
      <c r="Q108" s="26">
        <v>3435344</v>
      </c>
      <c r="R108" s="26">
        <v>2694952</v>
      </c>
      <c r="S108" s="40"/>
      <c r="T108" s="41">
        <v>35.708100000000002</v>
      </c>
      <c r="U108" s="41">
        <v>40.893099999999997</v>
      </c>
      <c r="V108" s="41">
        <v>41.252400000000002</v>
      </c>
      <c r="W108" s="42"/>
      <c r="X108" s="41">
        <v>28.130800000000001</v>
      </c>
      <c r="Y108" s="41">
        <v>28.130800000000001</v>
      </c>
      <c r="Z108" s="41">
        <v>28.130800000000001</v>
      </c>
      <c r="AA108" s="42"/>
      <c r="AB108" s="50">
        <v>4.1559999999999997</v>
      </c>
      <c r="AC108" s="50">
        <v>3.0619999999999998</v>
      </c>
      <c r="AE108" s="22" t="str">
        <f t="shared" si="30"/>
        <v>·</v>
      </c>
      <c r="AF108" s="23">
        <f t="shared" si="31"/>
        <v>1.9706889143397499</v>
      </c>
      <c r="AG108" s="23">
        <f t="shared" si="32"/>
        <v>1.0974786076994711</v>
      </c>
      <c r="AH108" s="23">
        <f t="shared" si="33"/>
        <v>0.87290617417653416</v>
      </c>
      <c r="AI108" s="24"/>
      <c r="AJ108" s="23">
        <f t="shared" si="34"/>
        <v>1.9706889143397499</v>
      </c>
      <c r="AK108" s="25">
        <v>3130215</v>
      </c>
      <c r="AL108" s="26">
        <v>6168680</v>
      </c>
      <c r="AM108" s="26">
        <v>3435344</v>
      </c>
      <c r="AN108" s="26">
        <v>2732384</v>
      </c>
      <c r="AO108" s="40"/>
      <c r="AP108" s="41">
        <v>35.715200000000003</v>
      </c>
      <c r="AQ108" s="41">
        <v>40.905700000000003</v>
      </c>
      <c r="AR108" s="41">
        <v>41.302799999999998</v>
      </c>
      <c r="AS108" s="42"/>
      <c r="AT108" s="41">
        <v>28.130800000000001</v>
      </c>
      <c r="AU108" s="41">
        <v>28.130800000000001</v>
      </c>
      <c r="AV108" s="41">
        <v>28.130800000000001</v>
      </c>
      <c r="AW108" s="42"/>
      <c r="AX108" s="50">
        <v>4.109</v>
      </c>
      <c r="AY108" s="50">
        <v>3.0459999999999998</v>
      </c>
      <c r="BA108" s="55">
        <f t="shared" si="35"/>
        <v>-3.3999469380114888E-3</v>
      </c>
      <c r="BB108" s="55"/>
      <c r="BD108" s="56"/>
      <c r="BE108" s="56"/>
      <c r="BF108" s="56"/>
      <c r="BG108" s="62"/>
      <c r="BI108" s="56"/>
      <c r="BJ108" s="56"/>
      <c r="BK108" s="56"/>
      <c r="BL108" s="62"/>
      <c r="BN108" s="56"/>
      <c r="BO108" s="56"/>
      <c r="BP108" s="56"/>
      <c r="BQ108" s="62"/>
      <c r="BS108" s="56"/>
      <c r="BT108" s="56"/>
      <c r="BU108" s="56"/>
      <c r="BV108" s="62"/>
      <c r="BX108">
        <f t="shared" si="36"/>
        <v>0</v>
      </c>
      <c r="BY108">
        <f t="shared" si="37"/>
        <v>37432</v>
      </c>
      <c r="BZ108">
        <f t="shared" si="38"/>
        <v>0</v>
      </c>
      <c r="CA108">
        <f t="shared" si="39"/>
        <v>37432</v>
      </c>
      <c r="CB108">
        <f t="shared" si="40"/>
        <v>0</v>
      </c>
      <c r="CC108">
        <f t="shared" si="41"/>
        <v>7.1000000000012164E-3</v>
      </c>
      <c r="CD108">
        <f t="shared" si="42"/>
        <v>1.2600000000006162E-2</v>
      </c>
      <c r="CE108">
        <f t="shared" si="43"/>
        <v>5.0399999999996226E-2</v>
      </c>
      <c r="CF108">
        <f t="shared" si="44"/>
        <v>0</v>
      </c>
      <c r="CG108">
        <f t="shared" si="45"/>
        <v>0</v>
      </c>
      <c r="CH108">
        <f t="shared" si="46"/>
        <v>0</v>
      </c>
      <c r="CI108">
        <f t="shared" si="47"/>
        <v>0</v>
      </c>
      <c r="CJ108">
        <f t="shared" si="48"/>
        <v>0</v>
      </c>
    </row>
    <row r="109" spans="1:88" outlineLevel="1" x14ac:dyDescent="0.15">
      <c r="A109" s="5"/>
      <c r="B109" s="11" t="s">
        <v>119</v>
      </c>
      <c r="C109" s="12" t="s">
        <v>258</v>
      </c>
      <c r="D109" s="11">
        <v>3130215</v>
      </c>
      <c r="E109" s="13">
        <v>12</v>
      </c>
      <c r="F109" s="12">
        <v>1</v>
      </c>
      <c r="G109" s="12"/>
      <c r="I109" s="27" t="str">
        <f t="shared" si="25"/>
        <v>·</v>
      </c>
      <c r="J109" s="28">
        <f t="shared" si="26"/>
        <v>1.4540240846076069</v>
      </c>
      <c r="K109" s="28">
        <f t="shared" si="27"/>
        <v>1.0974786076994711</v>
      </c>
      <c r="L109" s="28">
        <f t="shared" si="28"/>
        <v>0.35624134444439121</v>
      </c>
      <c r="M109" s="29"/>
      <c r="N109" s="28">
        <f t="shared" si="29"/>
        <v>1.4540240846076069</v>
      </c>
      <c r="O109" s="30">
        <v>3130215</v>
      </c>
      <c r="P109" s="31">
        <v>4551408</v>
      </c>
      <c r="Q109" s="31">
        <v>3435344</v>
      </c>
      <c r="R109" s="31">
        <v>1115112</v>
      </c>
      <c r="S109" s="43"/>
      <c r="T109" s="44">
        <v>29.461400000000001</v>
      </c>
      <c r="U109" s="44">
        <v>35.177199999999999</v>
      </c>
      <c r="V109" s="44">
        <v>35.7166</v>
      </c>
      <c r="W109" s="45"/>
      <c r="X109" s="44">
        <v>21.686399999999999</v>
      </c>
      <c r="Y109" s="44">
        <v>21.686399999999999</v>
      </c>
      <c r="Z109" s="44">
        <v>21.686399999999999</v>
      </c>
      <c r="AA109" s="45"/>
      <c r="AB109" s="51">
        <v>3.984</v>
      </c>
      <c r="AC109" s="51">
        <v>2.968</v>
      </c>
      <c r="AE109" s="27" t="str">
        <f t="shared" si="30"/>
        <v>·</v>
      </c>
      <c r="AF109" s="28">
        <f t="shared" si="31"/>
        <v>1.4595138033649446</v>
      </c>
      <c r="AG109" s="28">
        <f t="shared" si="32"/>
        <v>1.0974786076994711</v>
      </c>
      <c r="AH109" s="28">
        <f t="shared" si="33"/>
        <v>0.36173106320172893</v>
      </c>
      <c r="AI109" s="29"/>
      <c r="AJ109" s="28">
        <f t="shared" si="34"/>
        <v>1.4595138033649446</v>
      </c>
      <c r="AK109" s="30">
        <v>3130215</v>
      </c>
      <c r="AL109" s="31">
        <v>4568592</v>
      </c>
      <c r="AM109" s="31">
        <v>3435344</v>
      </c>
      <c r="AN109" s="31">
        <v>1132296</v>
      </c>
      <c r="AO109" s="43"/>
      <c r="AP109" s="44">
        <v>29.537600000000001</v>
      </c>
      <c r="AQ109" s="44">
        <v>35.035600000000002</v>
      </c>
      <c r="AR109" s="44">
        <v>35.942799999999998</v>
      </c>
      <c r="AS109" s="45"/>
      <c r="AT109" s="44">
        <v>21.686399999999999</v>
      </c>
      <c r="AU109" s="44">
        <v>21.686399999999999</v>
      </c>
      <c r="AV109" s="44">
        <v>21.686399999999999</v>
      </c>
      <c r="AW109" s="45"/>
      <c r="AX109" s="51">
        <v>4.1399999999999997</v>
      </c>
      <c r="AY109" s="51">
        <v>3.0150000000000001</v>
      </c>
      <c r="BA109" s="57">
        <f t="shared" si="35"/>
        <v>-2.8390062749326095E-3</v>
      </c>
      <c r="BB109" s="57"/>
      <c r="BD109" s="58"/>
      <c r="BE109" s="58"/>
      <c r="BF109" s="58"/>
      <c r="BG109" s="63"/>
      <c r="BI109" s="58"/>
      <c r="BJ109" s="58"/>
      <c r="BK109" s="58"/>
      <c r="BL109" s="63"/>
      <c r="BN109" s="58"/>
      <c r="BO109" s="58"/>
      <c r="BP109" s="58"/>
      <c r="BQ109" s="63"/>
      <c r="BS109" s="58"/>
      <c r="BT109" s="58"/>
      <c r="BU109" s="58"/>
      <c r="BV109" s="63"/>
      <c r="BX109">
        <f t="shared" si="36"/>
        <v>0</v>
      </c>
      <c r="BY109">
        <f t="shared" si="37"/>
        <v>17184</v>
      </c>
      <c r="BZ109">
        <f t="shared" si="38"/>
        <v>0</v>
      </c>
      <c r="CA109">
        <f t="shared" si="39"/>
        <v>17184</v>
      </c>
      <c r="CB109">
        <f t="shared" si="40"/>
        <v>0</v>
      </c>
      <c r="CC109">
        <f t="shared" si="41"/>
        <v>7.6200000000000045E-2</v>
      </c>
      <c r="CD109">
        <f t="shared" si="42"/>
        <v>-0.14159999999999684</v>
      </c>
      <c r="CE109">
        <f t="shared" si="43"/>
        <v>0.22619999999999862</v>
      </c>
      <c r="CF109">
        <f t="shared" si="44"/>
        <v>0</v>
      </c>
      <c r="CG109">
        <f t="shared" si="45"/>
        <v>0</v>
      </c>
      <c r="CH109">
        <f t="shared" si="46"/>
        <v>0</v>
      </c>
      <c r="CI109">
        <f t="shared" si="47"/>
        <v>0</v>
      </c>
      <c r="CJ109">
        <f t="shared" si="48"/>
        <v>0</v>
      </c>
    </row>
    <row r="110" spans="1:88" x14ac:dyDescent="0.15">
      <c r="A110" s="8"/>
      <c r="B110" s="8" t="s">
        <v>122</v>
      </c>
      <c r="C110" s="9" t="s">
        <v>254</v>
      </c>
      <c r="D110" s="8">
        <v>1995189</v>
      </c>
      <c r="E110" s="10">
        <v>13</v>
      </c>
      <c r="F110" s="9">
        <v>1</v>
      </c>
      <c r="G110" s="9"/>
      <c r="I110" s="22" t="str">
        <f t="shared" si="25"/>
        <v>·</v>
      </c>
      <c r="J110" s="23">
        <f t="shared" si="26"/>
        <v>15.796470409570221</v>
      </c>
      <c r="K110" s="23">
        <f t="shared" si="27"/>
        <v>11.243005048644514</v>
      </c>
      <c r="L110" s="23">
        <f t="shared" si="28"/>
        <v>4.5531646375355921</v>
      </c>
      <c r="M110" s="24"/>
      <c r="N110" s="23">
        <f t="shared" si="29"/>
        <v>15.796470409570221</v>
      </c>
      <c r="O110" s="25">
        <v>1995189</v>
      </c>
      <c r="P110" s="26">
        <v>31516944</v>
      </c>
      <c r="Q110" s="26">
        <v>22431920</v>
      </c>
      <c r="R110" s="26">
        <v>9084424</v>
      </c>
      <c r="S110" s="40"/>
      <c r="T110" s="41">
        <v>53.42</v>
      </c>
      <c r="U110" s="41">
        <v>56.096800000000002</v>
      </c>
      <c r="V110" s="41">
        <v>55.376199999999997</v>
      </c>
      <c r="W110" s="42"/>
      <c r="X110" s="41">
        <v>48.130800000000001</v>
      </c>
      <c r="Y110" s="41">
        <v>48.130800000000001</v>
      </c>
      <c r="Z110" s="41">
        <v>48.130800000000001</v>
      </c>
      <c r="AA110" s="42"/>
      <c r="AB110" s="50">
        <v>4.984</v>
      </c>
      <c r="AC110" s="50">
        <v>4.6710000000000003</v>
      </c>
      <c r="AE110" s="22" t="str">
        <f t="shared" si="30"/>
        <v>·</v>
      </c>
      <c r="AF110" s="23">
        <f t="shared" si="31"/>
        <v>15.919113427349489</v>
      </c>
      <c r="AG110" s="23">
        <f t="shared" si="32"/>
        <v>11.243005048644514</v>
      </c>
      <c r="AH110" s="23">
        <f t="shared" si="33"/>
        <v>4.67580765531486</v>
      </c>
      <c r="AI110" s="24"/>
      <c r="AJ110" s="23">
        <f t="shared" si="34"/>
        <v>15.919113427349489</v>
      </c>
      <c r="AK110" s="25">
        <v>1995189</v>
      </c>
      <c r="AL110" s="26">
        <v>31761640</v>
      </c>
      <c r="AM110" s="26">
        <v>22431920</v>
      </c>
      <c r="AN110" s="26">
        <v>9329120</v>
      </c>
      <c r="AO110" s="40"/>
      <c r="AP110" s="41">
        <v>53.541800000000002</v>
      </c>
      <c r="AQ110" s="41">
        <v>56.147100000000002</v>
      </c>
      <c r="AR110" s="41">
        <v>55.2102</v>
      </c>
      <c r="AS110" s="42"/>
      <c r="AT110" s="41">
        <v>48.130800000000001</v>
      </c>
      <c r="AU110" s="41">
        <v>48.130800000000001</v>
      </c>
      <c r="AV110" s="41">
        <v>48.130800000000001</v>
      </c>
      <c r="AW110" s="42"/>
      <c r="AX110" s="50">
        <v>5.093</v>
      </c>
      <c r="AY110" s="50">
        <v>4.6710000000000003</v>
      </c>
      <c r="BA110" s="55">
        <f t="shared" si="35"/>
        <v>-5.4833541779192307E-3</v>
      </c>
      <c r="BB110" s="55">
        <f t="array" ref="BB110">AVERAGE(AM110:AM114/AL110:AL114)-AVERAGE(Q110:Q114/P110:P114)</f>
        <v>-7.6760023592127302E-3</v>
      </c>
      <c r="BD110" s="56">
        <f>IF(OR(ISBLANK(R110:R114),ISBLANK(AN110:AN114),ISBLANK(T110:T114),ISBLANK(AP110:AP114)),"·",bdRateExtend(R110:R114,T110:T114,AN110:AN114,AP110:AP114))</f>
        <v>5.6937418758298719E-2</v>
      </c>
      <c r="BE110" s="56">
        <f>IF(OR(ISBLANK(R110:R114),ISBLANK(AN110:AN114),ISBLANK(U110:U114),ISBLANK(AQ110:AQ114)),"·",bdRateExtend(R110:R114,U110:U114,AN110:AN114,AQ110:AQ114))</f>
        <v>4.6797824636177543E-2</v>
      </c>
      <c r="BF110" s="56">
        <f>IF(OR(ISBLANK(R110:R114),ISBLANK(AN110:AN114),ISBLANK(V110:V114),ISBLANK(AR110:AR114)),"·",bdRateExtend(R110:R114,V110:V114,AN110:AN114,AR110:AR114))</f>
        <v>8.4797062511565935E-2</v>
      </c>
      <c r="BG110" s="62"/>
      <c r="BI110" s="56">
        <f>IF(OR(ISBLANK(R110:R114),ISBLANK(AN110:AN114),ISBLANK(X110:X114),ISBLANK(AT110:AT114)),"·",bdRateExtend(R110:R114,X110:X114,AN110:AN114,AT110:AT114))</f>
        <v>6.9614673699209151E-2</v>
      </c>
      <c r="BJ110" s="56">
        <f>IF(OR(ISBLANK(R110:R114),ISBLANK(AN110:AN114),ISBLANK(Y110:Y114),ISBLANK(AU110:AU114)),"·",bdRateExtend(R110:R114,Y110:Y114,AN110:AN114,AU110:AU114))</f>
        <v>6.9614673699209151E-2</v>
      </c>
      <c r="BK110" s="56">
        <f>IF(OR(ISBLANK(R110:R114),ISBLANK(AN110:AN114),ISBLANK(Z110:Z114),ISBLANK(AV110:AV114)),"·",bdRateExtend(R110:R114,Z110:Z114,AN110:AN114,AV110:AV114))</f>
        <v>6.9614673699209151E-2</v>
      </c>
      <c r="BL110" s="62"/>
      <c r="BN110" s="56">
        <f>IF(OR(ISBLANK(P110:P114),ISBLANK(AL110:AL114),ISBLANK(T110:T114),ISBLANK(AP110:AP114)),"·",bdRateExtend(P110:P114,T110:T114,AL110:AL114,AP110:AP114))</f>
        <v>7.8831311522882253E-3</v>
      </c>
      <c r="BO110" s="56">
        <f>IF(OR(ISBLANK(P110:P114),ISBLANK(AL110:AL114),ISBLANK(U110:U114),ISBLANK(AQ110:AQ114)),"·",bdRateExtend(P110:P114,U110:U114,AL110:AL114,AQ110:AQ114))</f>
        <v>7.5200226161191708E-3</v>
      </c>
      <c r="BP110" s="56">
        <f>IF(OR(ISBLANK(P110:P114),ISBLANK(AL110:AL114),ISBLANK(V110:V114),ISBLANK(AR110:AR114)),"·",bdRateExtend(P110:P114,V110:V114,AL110:AL114,AR110:AR114))</f>
        <v>1.1469252935450758E-2</v>
      </c>
      <c r="BQ110" s="62"/>
      <c r="BS110" s="56">
        <f>IF(OR(ISBLANK(P110:P114),ISBLANK(AL110:AL114),ISBLANK(X110:X114),ISBLANK(AT110:AT114)),"·",bdRateExtend(P110:P114,X110:X114,AL110:AL114,AT110:AT114))</f>
        <v>9.6259665697557839E-3</v>
      </c>
      <c r="BT110" s="56">
        <f>IF(OR(ISBLANK(P110:P114),ISBLANK(AL110:AL114),ISBLANK(Y110:Y114),ISBLANK(AU110:AU114)),"·",bdRateExtend(P110:P114,Y110:Y114,AL110:AL114,AU110:AU114))</f>
        <v>9.6259665697557839E-3</v>
      </c>
      <c r="BU110" s="56">
        <f>IF(OR(ISBLANK(P110:P114),ISBLANK(AL110:AL114),ISBLANK(Z110:Z114),ISBLANK(AV110:AV114)),"·",bdRateExtend(P110:P114,Z110:Z114,AL110:AL114,AV110:AV114))</f>
        <v>9.6259665697557839E-3</v>
      </c>
      <c r="BV110" s="62"/>
      <c r="BX110">
        <f t="shared" si="36"/>
        <v>0</v>
      </c>
      <c r="BY110">
        <f t="shared" si="37"/>
        <v>244696</v>
      </c>
      <c r="BZ110">
        <f t="shared" si="38"/>
        <v>0</v>
      </c>
      <c r="CA110">
        <f t="shared" si="39"/>
        <v>244696</v>
      </c>
      <c r="CB110">
        <f t="shared" si="40"/>
        <v>0</v>
      </c>
      <c r="CC110">
        <f t="shared" si="41"/>
        <v>0.12180000000000035</v>
      </c>
      <c r="CD110">
        <f t="shared" si="42"/>
        <v>5.0300000000000011E-2</v>
      </c>
      <c r="CE110">
        <f t="shared" si="43"/>
        <v>-0.16599999999999682</v>
      </c>
      <c r="CF110">
        <f t="shared" si="44"/>
        <v>0</v>
      </c>
      <c r="CG110">
        <f t="shared" si="45"/>
        <v>0</v>
      </c>
      <c r="CH110">
        <f t="shared" si="46"/>
        <v>0</v>
      </c>
      <c r="CI110">
        <f t="shared" si="47"/>
        <v>0</v>
      </c>
      <c r="CJ110">
        <f t="shared" si="48"/>
        <v>0</v>
      </c>
    </row>
    <row r="111" spans="1:88" outlineLevel="1" x14ac:dyDescent="0.15">
      <c r="A111" s="5"/>
      <c r="B111" s="5" t="s">
        <v>122</v>
      </c>
      <c r="C111" s="6" t="s">
        <v>255</v>
      </c>
      <c r="D111" s="5">
        <v>1995189</v>
      </c>
      <c r="E111" s="7">
        <v>13</v>
      </c>
      <c r="F111" s="6">
        <v>1</v>
      </c>
      <c r="G111" s="6"/>
      <c r="I111" s="17" t="str">
        <f t="shared" si="25"/>
        <v>·</v>
      </c>
      <c r="J111" s="18">
        <f t="shared" si="26"/>
        <v>14.646211461671049</v>
      </c>
      <c r="K111" s="18">
        <f t="shared" si="27"/>
        <v>11.243005048644514</v>
      </c>
      <c r="L111" s="18">
        <f t="shared" si="28"/>
        <v>3.4029056896364205</v>
      </c>
      <c r="M111" s="19"/>
      <c r="N111" s="18">
        <f t="shared" si="29"/>
        <v>14.646211461671049</v>
      </c>
      <c r="O111" s="20">
        <v>1995189</v>
      </c>
      <c r="P111" s="21">
        <v>29221960</v>
      </c>
      <c r="Q111" s="21">
        <v>22431920</v>
      </c>
      <c r="R111" s="21">
        <v>6789440</v>
      </c>
      <c r="S111" s="37"/>
      <c r="T111" s="38">
        <v>49.158900000000003</v>
      </c>
      <c r="U111" s="38">
        <v>51.991</v>
      </c>
      <c r="V111" s="38">
        <v>51.523600000000002</v>
      </c>
      <c r="W111" s="39"/>
      <c r="X111" s="38">
        <v>42.110199999999999</v>
      </c>
      <c r="Y111" s="38">
        <v>42.110199999999999</v>
      </c>
      <c r="Z111" s="38">
        <v>42.110199999999999</v>
      </c>
      <c r="AA111" s="39"/>
      <c r="AB111" s="49">
        <v>5.0460000000000003</v>
      </c>
      <c r="AC111" s="49">
        <v>4.593</v>
      </c>
      <c r="AE111" s="17" t="str">
        <f t="shared" si="30"/>
        <v>·</v>
      </c>
      <c r="AF111" s="18">
        <f t="shared" si="31"/>
        <v>14.779103132585433</v>
      </c>
      <c r="AG111" s="18">
        <f t="shared" si="32"/>
        <v>11.243005048644514</v>
      </c>
      <c r="AH111" s="18">
        <f t="shared" si="33"/>
        <v>3.5357973605508048</v>
      </c>
      <c r="AI111" s="19"/>
      <c r="AJ111" s="18">
        <f t="shared" si="34"/>
        <v>14.779103132585433</v>
      </c>
      <c r="AK111" s="20">
        <v>1995189</v>
      </c>
      <c r="AL111" s="21">
        <v>29487104</v>
      </c>
      <c r="AM111" s="21">
        <v>22431920</v>
      </c>
      <c r="AN111" s="21">
        <v>7054584</v>
      </c>
      <c r="AO111" s="37"/>
      <c r="AP111" s="38">
        <v>49.244700000000002</v>
      </c>
      <c r="AQ111" s="38">
        <v>52.036499999999997</v>
      </c>
      <c r="AR111" s="38">
        <v>51.3399</v>
      </c>
      <c r="AS111" s="39"/>
      <c r="AT111" s="38">
        <v>42.110199999999999</v>
      </c>
      <c r="AU111" s="38">
        <v>42.110199999999999</v>
      </c>
      <c r="AV111" s="38">
        <v>42.110199999999999</v>
      </c>
      <c r="AW111" s="39"/>
      <c r="AX111" s="49">
        <v>5.0309999999999997</v>
      </c>
      <c r="AY111" s="49">
        <v>4.6710000000000003</v>
      </c>
      <c r="BA111" s="53">
        <f t="shared" si="35"/>
        <v>-6.9025059201013317E-3</v>
      </c>
      <c r="BB111" s="53"/>
      <c r="BD111" s="54"/>
      <c r="BE111" s="54"/>
      <c r="BF111" s="54"/>
      <c r="BG111" s="61"/>
      <c r="BI111" s="54"/>
      <c r="BJ111" s="54"/>
      <c r="BK111" s="54"/>
      <c r="BL111" s="61"/>
      <c r="BN111" s="54"/>
      <c r="BO111" s="54"/>
      <c r="BP111" s="54"/>
      <c r="BQ111" s="61"/>
      <c r="BS111" s="54"/>
      <c r="BT111" s="54"/>
      <c r="BU111" s="54"/>
      <c r="BV111" s="61"/>
      <c r="BX111">
        <f t="shared" si="36"/>
        <v>0</v>
      </c>
      <c r="BY111">
        <f t="shared" si="37"/>
        <v>265144</v>
      </c>
      <c r="BZ111">
        <f t="shared" si="38"/>
        <v>0</v>
      </c>
      <c r="CA111">
        <f t="shared" si="39"/>
        <v>265144</v>
      </c>
      <c r="CB111">
        <f t="shared" si="40"/>
        <v>0</v>
      </c>
      <c r="CC111">
        <f t="shared" si="41"/>
        <v>8.5799999999998988E-2</v>
      </c>
      <c r="CD111">
        <f t="shared" si="42"/>
        <v>4.5499999999996987E-2</v>
      </c>
      <c r="CE111">
        <f t="shared" si="43"/>
        <v>-0.18370000000000175</v>
      </c>
      <c r="CF111">
        <f t="shared" si="44"/>
        <v>0</v>
      </c>
      <c r="CG111">
        <f t="shared" si="45"/>
        <v>0</v>
      </c>
      <c r="CH111">
        <f t="shared" si="46"/>
        <v>0</v>
      </c>
      <c r="CI111">
        <f t="shared" si="47"/>
        <v>0</v>
      </c>
      <c r="CJ111">
        <f t="shared" si="48"/>
        <v>0</v>
      </c>
    </row>
    <row r="112" spans="1:88" outlineLevel="1" x14ac:dyDescent="0.15">
      <c r="A112" s="8"/>
      <c r="B112" s="8" t="s">
        <v>122</v>
      </c>
      <c r="C112" s="9" t="s">
        <v>256</v>
      </c>
      <c r="D112" s="8">
        <v>1995189</v>
      </c>
      <c r="E112" s="10">
        <v>13</v>
      </c>
      <c r="F112" s="9">
        <v>1</v>
      </c>
      <c r="G112" s="9"/>
      <c r="I112" s="22" t="str">
        <f t="shared" si="25"/>
        <v>·</v>
      </c>
      <c r="J112" s="23">
        <f t="shared" si="26"/>
        <v>13.387339244552772</v>
      </c>
      <c r="K112" s="23">
        <f t="shared" si="27"/>
        <v>11.243005048644514</v>
      </c>
      <c r="L112" s="23">
        <f t="shared" si="28"/>
        <v>2.1440334725181422</v>
      </c>
      <c r="M112" s="24"/>
      <c r="N112" s="23">
        <f t="shared" si="29"/>
        <v>13.387339244552772</v>
      </c>
      <c r="O112" s="25">
        <v>1995189</v>
      </c>
      <c r="P112" s="26">
        <v>26710272</v>
      </c>
      <c r="Q112" s="26">
        <v>22431920</v>
      </c>
      <c r="R112" s="26">
        <v>4277752</v>
      </c>
      <c r="S112" s="40"/>
      <c r="T112" s="41">
        <v>42.008800000000001</v>
      </c>
      <c r="U112" s="41">
        <v>45.976799999999997</v>
      </c>
      <c r="V112" s="41">
        <v>45.4756</v>
      </c>
      <c r="W112" s="42"/>
      <c r="X112" s="41">
        <v>34.151400000000002</v>
      </c>
      <c r="Y112" s="41">
        <v>34.151400000000002</v>
      </c>
      <c r="Z112" s="41">
        <v>34.151400000000002</v>
      </c>
      <c r="AA112" s="42"/>
      <c r="AB112" s="50">
        <v>4.9210000000000003</v>
      </c>
      <c r="AC112" s="50">
        <v>4.5780000000000003</v>
      </c>
      <c r="AE112" s="22" t="str">
        <f t="shared" si="30"/>
        <v>·</v>
      </c>
      <c r="AF112" s="23">
        <f t="shared" si="31"/>
        <v>13.525094615096615</v>
      </c>
      <c r="AG112" s="23">
        <f t="shared" si="32"/>
        <v>11.243005048644514</v>
      </c>
      <c r="AH112" s="23">
        <f t="shared" si="33"/>
        <v>2.2817888430619857</v>
      </c>
      <c r="AI112" s="24"/>
      <c r="AJ112" s="23">
        <f t="shared" si="34"/>
        <v>13.525094615096615</v>
      </c>
      <c r="AK112" s="25">
        <v>1995189</v>
      </c>
      <c r="AL112" s="26">
        <v>26985120</v>
      </c>
      <c r="AM112" s="26">
        <v>22431920</v>
      </c>
      <c r="AN112" s="26">
        <v>4552600</v>
      </c>
      <c r="AO112" s="40"/>
      <c r="AP112" s="41">
        <v>42.1753</v>
      </c>
      <c r="AQ112" s="41">
        <v>45.991300000000003</v>
      </c>
      <c r="AR112" s="41">
        <v>45.380899999999997</v>
      </c>
      <c r="AS112" s="42"/>
      <c r="AT112" s="41">
        <v>34.151400000000002</v>
      </c>
      <c r="AU112" s="41">
        <v>34.151400000000002</v>
      </c>
      <c r="AV112" s="41">
        <v>34.151400000000002</v>
      </c>
      <c r="AW112" s="42"/>
      <c r="AX112" s="50">
        <v>5.0780000000000003</v>
      </c>
      <c r="AY112" s="50">
        <v>4.5780000000000003</v>
      </c>
      <c r="BA112" s="55">
        <f t="shared" si="35"/>
        <v>-8.55374628180261E-3</v>
      </c>
      <c r="BB112" s="55"/>
      <c r="BD112" s="56"/>
      <c r="BE112" s="56"/>
      <c r="BF112" s="56"/>
      <c r="BG112" s="62"/>
      <c r="BI112" s="56"/>
      <c r="BJ112" s="56"/>
      <c r="BK112" s="56"/>
      <c r="BL112" s="62"/>
      <c r="BN112" s="56"/>
      <c r="BO112" s="56"/>
      <c r="BP112" s="56"/>
      <c r="BQ112" s="62"/>
      <c r="BS112" s="56"/>
      <c r="BT112" s="56"/>
      <c r="BU112" s="56"/>
      <c r="BV112" s="62"/>
      <c r="BX112">
        <f t="shared" si="36"/>
        <v>0</v>
      </c>
      <c r="BY112">
        <f t="shared" si="37"/>
        <v>274848</v>
      </c>
      <c r="BZ112">
        <f t="shared" si="38"/>
        <v>0</v>
      </c>
      <c r="CA112">
        <f t="shared" si="39"/>
        <v>274848</v>
      </c>
      <c r="CB112">
        <f t="shared" si="40"/>
        <v>0</v>
      </c>
      <c r="CC112">
        <f t="shared" si="41"/>
        <v>0.1664999999999992</v>
      </c>
      <c r="CD112">
        <f t="shared" si="42"/>
        <v>1.4500000000005286E-2</v>
      </c>
      <c r="CE112">
        <f t="shared" si="43"/>
        <v>-9.4700000000003115E-2</v>
      </c>
      <c r="CF112">
        <f t="shared" si="44"/>
        <v>0</v>
      </c>
      <c r="CG112">
        <f t="shared" si="45"/>
        <v>0</v>
      </c>
      <c r="CH112">
        <f t="shared" si="46"/>
        <v>0</v>
      </c>
      <c r="CI112">
        <f t="shared" si="47"/>
        <v>0</v>
      </c>
      <c r="CJ112">
        <f t="shared" si="48"/>
        <v>0</v>
      </c>
    </row>
    <row r="113" spans="1:88" outlineLevel="1" x14ac:dyDescent="0.15">
      <c r="A113" s="5"/>
      <c r="B113" s="5" t="s">
        <v>122</v>
      </c>
      <c r="C113" s="6" t="s">
        <v>257</v>
      </c>
      <c r="D113" s="5">
        <v>1995189</v>
      </c>
      <c r="E113" s="7">
        <v>13</v>
      </c>
      <c r="F113" s="6">
        <v>1</v>
      </c>
      <c r="G113" s="6"/>
      <c r="I113" s="17" t="str">
        <f t="shared" si="25"/>
        <v>·</v>
      </c>
      <c r="J113" s="18">
        <f t="shared" si="26"/>
        <v>12.589103087476925</v>
      </c>
      <c r="K113" s="18">
        <f t="shared" si="27"/>
        <v>11.243005048644514</v>
      </c>
      <c r="L113" s="18">
        <f t="shared" si="28"/>
        <v>1.3457973154422964</v>
      </c>
      <c r="M113" s="19"/>
      <c r="N113" s="18">
        <f t="shared" si="29"/>
        <v>12.589103087476925</v>
      </c>
      <c r="O113" s="20">
        <v>1995189</v>
      </c>
      <c r="P113" s="21">
        <v>25117640</v>
      </c>
      <c r="Q113" s="21">
        <v>22431920</v>
      </c>
      <c r="R113" s="21">
        <v>2685120</v>
      </c>
      <c r="S113" s="37"/>
      <c r="T113" s="38">
        <v>36.417999999999999</v>
      </c>
      <c r="U113" s="38">
        <v>40.5976</v>
      </c>
      <c r="V113" s="38">
        <v>40.418900000000001</v>
      </c>
      <c r="W113" s="39"/>
      <c r="X113" s="38">
        <v>28.130800000000001</v>
      </c>
      <c r="Y113" s="38">
        <v>28.130800000000001</v>
      </c>
      <c r="Z113" s="38">
        <v>28.130800000000001</v>
      </c>
      <c r="AA113" s="39"/>
      <c r="AB113" s="49">
        <v>4.984</v>
      </c>
      <c r="AC113" s="49">
        <v>4.5780000000000003</v>
      </c>
      <c r="AE113" s="17" t="str">
        <f t="shared" si="30"/>
        <v>·</v>
      </c>
      <c r="AF113" s="18">
        <f t="shared" si="31"/>
        <v>12.720747758733634</v>
      </c>
      <c r="AG113" s="18">
        <f t="shared" si="32"/>
        <v>11.243005048644514</v>
      </c>
      <c r="AH113" s="18">
        <f t="shared" si="33"/>
        <v>1.4774419866990045</v>
      </c>
      <c r="AI113" s="19"/>
      <c r="AJ113" s="18">
        <f t="shared" si="34"/>
        <v>12.720747758733634</v>
      </c>
      <c r="AK113" s="20">
        <v>1995189</v>
      </c>
      <c r="AL113" s="21">
        <v>25380296</v>
      </c>
      <c r="AM113" s="21">
        <v>22431920</v>
      </c>
      <c r="AN113" s="21">
        <v>2947776</v>
      </c>
      <c r="AO113" s="37"/>
      <c r="AP113" s="38">
        <v>36.5715</v>
      </c>
      <c r="AQ113" s="38">
        <v>40.956800000000001</v>
      </c>
      <c r="AR113" s="38">
        <v>40.290199999999999</v>
      </c>
      <c r="AS113" s="39"/>
      <c r="AT113" s="38">
        <v>28.130800000000001</v>
      </c>
      <c r="AU113" s="38">
        <v>28.130800000000001</v>
      </c>
      <c r="AV113" s="38">
        <v>28.130800000000001</v>
      </c>
      <c r="AW113" s="39"/>
      <c r="AX113" s="49">
        <v>5.0460000000000003</v>
      </c>
      <c r="AY113" s="49">
        <v>4.5620000000000003</v>
      </c>
      <c r="BA113" s="53">
        <f t="shared" si="35"/>
        <v>-9.2422616466216745E-3</v>
      </c>
      <c r="BB113" s="53"/>
      <c r="BD113" s="54"/>
      <c r="BE113" s="54"/>
      <c r="BF113" s="54"/>
      <c r="BG113" s="61"/>
      <c r="BI113" s="54"/>
      <c r="BJ113" s="54"/>
      <c r="BK113" s="54"/>
      <c r="BL113" s="61"/>
      <c r="BN113" s="54"/>
      <c r="BO113" s="54"/>
      <c r="BP113" s="54"/>
      <c r="BQ113" s="61"/>
      <c r="BS113" s="54"/>
      <c r="BT113" s="54"/>
      <c r="BU113" s="54"/>
      <c r="BV113" s="61"/>
      <c r="BX113">
        <f t="shared" si="36"/>
        <v>0</v>
      </c>
      <c r="BY113">
        <f t="shared" si="37"/>
        <v>262656</v>
      </c>
      <c r="BZ113">
        <f t="shared" si="38"/>
        <v>0</v>
      </c>
      <c r="CA113">
        <f t="shared" si="39"/>
        <v>262656</v>
      </c>
      <c r="CB113">
        <f t="shared" si="40"/>
        <v>0</v>
      </c>
      <c r="CC113">
        <f t="shared" si="41"/>
        <v>0.15350000000000108</v>
      </c>
      <c r="CD113">
        <f t="shared" si="42"/>
        <v>0.3592000000000013</v>
      </c>
      <c r="CE113">
        <f t="shared" si="43"/>
        <v>-0.12870000000000203</v>
      </c>
      <c r="CF113">
        <f t="shared" si="44"/>
        <v>0</v>
      </c>
      <c r="CG113">
        <f t="shared" si="45"/>
        <v>0</v>
      </c>
      <c r="CH113">
        <f t="shared" si="46"/>
        <v>0</v>
      </c>
      <c r="CI113">
        <f t="shared" si="47"/>
        <v>0</v>
      </c>
      <c r="CJ113">
        <f t="shared" si="48"/>
        <v>0</v>
      </c>
    </row>
    <row r="114" spans="1:88" outlineLevel="1" x14ac:dyDescent="0.15">
      <c r="A114" s="14"/>
      <c r="B114" s="14" t="s">
        <v>122</v>
      </c>
      <c r="C114" s="15" t="s">
        <v>258</v>
      </c>
      <c r="D114" s="14">
        <v>1995189</v>
      </c>
      <c r="E114" s="16">
        <v>13</v>
      </c>
      <c r="F114" s="15">
        <v>1</v>
      </c>
      <c r="G114" s="15"/>
      <c r="I114" s="32" t="str">
        <f t="shared" si="25"/>
        <v>·</v>
      </c>
      <c r="J114" s="33">
        <f t="shared" si="26"/>
        <v>11.969797347519458</v>
      </c>
      <c r="K114" s="33">
        <f t="shared" si="27"/>
        <v>11.243005048644514</v>
      </c>
      <c r="L114" s="33">
        <f t="shared" si="28"/>
        <v>0.72649157548482879</v>
      </c>
      <c r="M114" s="34"/>
      <c r="N114" s="33">
        <f t="shared" si="29"/>
        <v>11.969797347519458</v>
      </c>
      <c r="O114" s="35">
        <v>1995189</v>
      </c>
      <c r="P114" s="36">
        <v>23882008</v>
      </c>
      <c r="Q114" s="36">
        <v>22431920</v>
      </c>
      <c r="R114" s="36">
        <v>1449488</v>
      </c>
      <c r="S114" s="46"/>
      <c r="T114" s="47">
        <v>29.818000000000001</v>
      </c>
      <c r="U114" s="47">
        <v>34.976199999999999</v>
      </c>
      <c r="V114" s="47">
        <v>34.218499999999999</v>
      </c>
      <c r="W114" s="48"/>
      <c r="X114" s="47">
        <v>21.686399999999999</v>
      </c>
      <c r="Y114" s="47">
        <v>21.686399999999999</v>
      </c>
      <c r="Z114" s="47">
        <v>21.686399999999999</v>
      </c>
      <c r="AA114" s="48"/>
      <c r="AB114" s="52">
        <v>4.968</v>
      </c>
      <c r="AC114" s="52">
        <v>4.5780000000000003</v>
      </c>
      <c r="AE114" s="32" t="str">
        <f t="shared" si="30"/>
        <v>·</v>
      </c>
      <c r="AF114" s="33">
        <f t="shared" si="31"/>
        <v>12.075190871641734</v>
      </c>
      <c r="AG114" s="33">
        <f t="shared" si="32"/>
        <v>11.243005048644514</v>
      </c>
      <c r="AH114" s="33">
        <f t="shared" si="33"/>
        <v>0.83188509960710488</v>
      </c>
      <c r="AI114" s="34"/>
      <c r="AJ114" s="33">
        <f t="shared" si="34"/>
        <v>12.075190871641734</v>
      </c>
      <c r="AK114" s="35">
        <v>1995189</v>
      </c>
      <c r="AL114" s="36">
        <v>24092288</v>
      </c>
      <c r="AM114" s="36">
        <v>22431920</v>
      </c>
      <c r="AN114" s="36">
        <v>1659768</v>
      </c>
      <c r="AO114" s="46"/>
      <c r="AP114" s="47">
        <v>30.389399999999998</v>
      </c>
      <c r="AQ114" s="47">
        <v>36.020099999999999</v>
      </c>
      <c r="AR114" s="47">
        <v>34.259</v>
      </c>
      <c r="AS114" s="48"/>
      <c r="AT114" s="47">
        <v>21.686399999999999</v>
      </c>
      <c r="AU114" s="47">
        <v>21.686399999999999</v>
      </c>
      <c r="AV114" s="47">
        <v>21.686399999999999</v>
      </c>
      <c r="AW114" s="48"/>
      <c r="AX114" s="52">
        <v>4.9530000000000003</v>
      </c>
      <c r="AY114" s="52">
        <v>4.5460000000000003</v>
      </c>
      <c r="BA114" s="59">
        <f t="shared" si="35"/>
        <v>-8.1981437696191373E-3</v>
      </c>
      <c r="BB114" s="59"/>
      <c r="BD114" s="60"/>
      <c r="BE114" s="60"/>
      <c r="BF114" s="60"/>
      <c r="BG114" s="64"/>
      <c r="BI114" s="60"/>
      <c r="BJ114" s="60"/>
      <c r="BK114" s="60"/>
      <c r="BL114" s="64"/>
      <c r="BN114" s="60"/>
      <c r="BO114" s="60"/>
      <c r="BP114" s="60"/>
      <c r="BQ114" s="64"/>
      <c r="BS114" s="60"/>
      <c r="BT114" s="60"/>
      <c r="BU114" s="60"/>
      <c r="BV114" s="64"/>
      <c r="BX114">
        <f t="shared" si="36"/>
        <v>0</v>
      </c>
      <c r="BY114">
        <f t="shared" si="37"/>
        <v>210280</v>
      </c>
      <c r="BZ114">
        <f t="shared" si="38"/>
        <v>0</v>
      </c>
      <c r="CA114">
        <f t="shared" si="39"/>
        <v>210280</v>
      </c>
      <c r="CB114">
        <f t="shared" si="40"/>
        <v>0</v>
      </c>
      <c r="CC114">
        <f t="shared" si="41"/>
        <v>0.57139999999999702</v>
      </c>
      <c r="CD114">
        <f t="shared" si="42"/>
        <v>1.0439000000000007</v>
      </c>
      <c r="CE114">
        <f t="shared" si="43"/>
        <v>4.0500000000001535E-2</v>
      </c>
      <c r="CF114">
        <f t="shared" si="44"/>
        <v>0</v>
      </c>
      <c r="CG114">
        <f t="shared" si="45"/>
        <v>0</v>
      </c>
      <c r="CH114">
        <f t="shared" si="46"/>
        <v>0</v>
      </c>
      <c r="CI114">
        <f t="shared" si="47"/>
        <v>0</v>
      </c>
      <c r="CJ114">
        <f t="shared" si="48"/>
        <v>0</v>
      </c>
    </row>
    <row r="115" spans="1:88" x14ac:dyDescent="0.15">
      <c r="A115" s="5" t="s">
        <v>260</v>
      </c>
      <c r="B115" s="5" t="s">
        <v>125</v>
      </c>
      <c r="C115" s="6" t="s">
        <v>254</v>
      </c>
      <c r="D115" s="5">
        <v>1481746</v>
      </c>
      <c r="E115" s="7">
        <v>12</v>
      </c>
      <c r="F115" s="6">
        <v>1</v>
      </c>
      <c r="G115" s="6"/>
      <c r="I115" s="17" t="str">
        <f t="shared" si="25"/>
        <v>·</v>
      </c>
      <c r="J115" s="18">
        <f t="shared" si="26"/>
        <v>22.236696437851023</v>
      </c>
      <c r="K115" s="18">
        <f t="shared" si="27"/>
        <v>10.003965591943558</v>
      </c>
      <c r="L115" s="18">
        <f t="shared" si="28"/>
        <v>12.232217937487261</v>
      </c>
      <c r="M115" s="19"/>
      <c r="N115" s="18">
        <f t="shared" si="29"/>
        <v>22.236696437851023</v>
      </c>
      <c r="O115" s="20">
        <v>1481746</v>
      </c>
      <c r="P115" s="21">
        <v>32949136</v>
      </c>
      <c r="Q115" s="21">
        <v>14823336</v>
      </c>
      <c r="R115" s="21">
        <v>18125040</v>
      </c>
      <c r="S115" s="37"/>
      <c r="T115" s="38">
        <v>53.360999999999997</v>
      </c>
      <c r="U115" s="38">
        <v>54.907400000000003</v>
      </c>
      <c r="V115" s="38">
        <v>54.918900000000001</v>
      </c>
      <c r="W115" s="39"/>
      <c r="X115" s="38">
        <v>48.130800000000001</v>
      </c>
      <c r="Y115" s="38">
        <v>48.130800000000001</v>
      </c>
      <c r="Z115" s="38">
        <v>48.130800000000001</v>
      </c>
      <c r="AA115" s="39"/>
      <c r="AB115" s="49">
        <v>3.5459999999999998</v>
      </c>
      <c r="AC115" s="49">
        <v>3.0150000000000001</v>
      </c>
      <c r="AE115" s="17" t="str">
        <f t="shared" si="30"/>
        <v>·</v>
      </c>
      <c r="AF115" s="18">
        <f t="shared" si="31"/>
        <v>22.324673729505598</v>
      </c>
      <c r="AG115" s="18">
        <f t="shared" si="32"/>
        <v>10.003965591943558</v>
      </c>
      <c r="AH115" s="18">
        <f t="shared" si="33"/>
        <v>12.320195229141836</v>
      </c>
      <c r="AI115" s="19"/>
      <c r="AJ115" s="18">
        <f t="shared" si="34"/>
        <v>22.324673729505598</v>
      </c>
      <c r="AK115" s="20">
        <v>1481746</v>
      </c>
      <c r="AL115" s="21">
        <v>33079496</v>
      </c>
      <c r="AM115" s="21">
        <v>14823336</v>
      </c>
      <c r="AN115" s="21">
        <v>18255400</v>
      </c>
      <c r="AO115" s="37"/>
      <c r="AP115" s="38">
        <v>53.366799999999998</v>
      </c>
      <c r="AQ115" s="38">
        <v>54.886600000000001</v>
      </c>
      <c r="AR115" s="38">
        <v>54.913899999999998</v>
      </c>
      <c r="AS115" s="39"/>
      <c r="AT115" s="38">
        <v>48.130800000000001</v>
      </c>
      <c r="AU115" s="38">
        <v>48.130800000000001</v>
      </c>
      <c r="AV115" s="38">
        <v>48.130800000000001</v>
      </c>
      <c r="AW115" s="39"/>
      <c r="AX115" s="49">
        <v>3.625</v>
      </c>
      <c r="AY115" s="49">
        <v>2.9529999999999998</v>
      </c>
      <c r="BA115" s="53">
        <f t="shared" si="35"/>
        <v>-1.7729128579930253E-3</v>
      </c>
      <c r="BB115" s="53">
        <f t="array" ref="BB115">AVERAGE(AM115:AM119/AL115:AL119)-AVERAGE(Q115:Q119/P115:P119)</f>
        <v>-2.6961713878482785E-3</v>
      </c>
      <c r="BD115" s="54">
        <f>IF(OR(ISBLANK(R115:R119),ISBLANK(AN115:AN119),ISBLANK(T115:T119),ISBLANK(AP115:AP119)),"·",bdRateExtend(R115:R119,T115:T119,AN115:AN119,AP115:AP119))</f>
        <v>1.0696358276489182E-2</v>
      </c>
      <c r="BE115" s="54">
        <f>IF(OR(ISBLANK(R115:R119),ISBLANK(AN115:AN119),ISBLANK(U115:U119),ISBLANK(AQ115:AQ119)),"·",bdRateExtend(R115:R119,U115:U119,AN115:AN119,AQ115:AQ119))</f>
        <v>1.4820121296380107E-2</v>
      </c>
      <c r="BF115" s="54">
        <f>IF(OR(ISBLANK(R115:R119),ISBLANK(AN115:AN119),ISBLANK(V115:V119),ISBLANK(AR115:AR119)),"·",bdRateExtend(R115:R119,V115:V119,AN115:AN119,AR115:AR119))</f>
        <v>1.0696471478826464E-2</v>
      </c>
      <c r="BG115" s="61"/>
      <c r="BI115" s="54">
        <f>IF(OR(ISBLANK(R115:R119),ISBLANK(AN115:AN119),ISBLANK(X115:X119),ISBLANK(AT115:AT119)),"·",bdRateExtend(R115:R119,X115:X119,AN115:AN119,AT115:AT119))</f>
        <v>1.4021812885995022E-2</v>
      </c>
      <c r="BJ115" s="54">
        <f>IF(OR(ISBLANK(R115:R119),ISBLANK(AN115:AN119),ISBLANK(Y115:Y119),ISBLANK(AU115:AU119)),"·",bdRateExtend(R115:R119,Y115:Y119,AN115:AN119,AU115:AU119))</f>
        <v>1.4021812885995022E-2</v>
      </c>
      <c r="BK115" s="54">
        <f>IF(OR(ISBLANK(R115:R119),ISBLANK(AN115:AN119),ISBLANK(Z115:Z119),ISBLANK(AV115:AV119)),"·",bdRateExtend(R115:R119,Z115:Z119,AN115:AN119,AV115:AV119))</f>
        <v>1.4021812885995022E-2</v>
      </c>
      <c r="BL115" s="61"/>
      <c r="BN115" s="54">
        <f>IF(OR(ISBLANK(P115:P119),ISBLANK(AL115:AL119),ISBLANK(T115:T119),ISBLANK(AP115:AP119)),"·",bdRateExtend(P115:P119,T115:T119,AL115:AL119,AP115:AP119))</f>
        <v>4.4647960316268609E-3</v>
      </c>
      <c r="BO115" s="54">
        <f>IF(OR(ISBLANK(P115:P119),ISBLANK(AL115:AL119),ISBLANK(U115:U119),ISBLANK(AQ115:AQ119)),"·",bdRateExtend(P115:P119,U115:U119,AL115:AL119,AQ115:AQ119))</f>
        <v>6.1533748181843428E-3</v>
      </c>
      <c r="BP115" s="54">
        <f>IF(OR(ISBLANK(P115:P119),ISBLANK(AL115:AL119),ISBLANK(V115:V119),ISBLANK(AR115:AR119)),"·",bdRateExtend(P115:P119,V115:V119,AL115:AL119,AR115:AR119))</f>
        <v>4.7714720910920772E-3</v>
      </c>
      <c r="BQ115" s="61"/>
      <c r="BS115" s="54">
        <f>IF(OR(ISBLANK(P115:P119),ISBLANK(AL115:AL119),ISBLANK(X115:X119),ISBLANK(AT115:AT119)),"·",bdRateExtend(P115:P119,X115:X119,AL115:AL119,AT115:AT119))</f>
        <v>5.5230652489335341E-3</v>
      </c>
      <c r="BT115" s="54">
        <f>IF(OR(ISBLANK(P115:P119),ISBLANK(AL115:AL119),ISBLANK(Y115:Y119),ISBLANK(AU115:AU119)),"·",bdRateExtend(P115:P119,Y115:Y119,AL115:AL119,AU115:AU119))</f>
        <v>5.5230652489335341E-3</v>
      </c>
      <c r="BU115" s="54">
        <f>IF(OR(ISBLANK(P115:P119),ISBLANK(AL115:AL119),ISBLANK(Z115:Z119),ISBLANK(AV115:AV119)),"·",bdRateExtend(P115:P119,Z115:Z119,AL115:AL119,AV115:AV119))</f>
        <v>5.5230652489335341E-3</v>
      </c>
      <c r="BV115" s="61"/>
      <c r="BX115">
        <f t="shared" si="36"/>
        <v>0</v>
      </c>
      <c r="BY115">
        <f t="shared" si="37"/>
        <v>130360</v>
      </c>
      <c r="BZ115">
        <f t="shared" si="38"/>
        <v>0</v>
      </c>
      <c r="CA115">
        <f t="shared" si="39"/>
        <v>130360</v>
      </c>
      <c r="CB115">
        <f t="shared" si="40"/>
        <v>0</v>
      </c>
      <c r="CC115">
        <f t="shared" si="41"/>
        <v>5.8000000000006935E-3</v>
      </c>
      <c r="CD115">
        <f t="shared" si="42"/>
        <v>-2.0800000000001262E-2</v>
      </c>
      <c r="CE115">
        <f t="shared" si="43"/>
        <v>-5.000000000002558E-3</v>
      </c>
      <c r="CF115">
        <f t="shared" si="44"/>
        <v>0</v>
      </c>
      <c r="CG115">
        <f t="shared" si="45"/>
        <v>0</v>
      </c>
      <c r="CH115">
        <f t="shared" si="46"/>
        <v>0</v>
      </c>
      <c r="CI115">
        <f t="shared" si="47"/>
        <v>0</v>
      </c>
      <c r="CJ115">
        <f t="shared" si="48"/>
        <v>0</v>
      </c>
    </row>
    <row r="116" spans="1:88" outlineLevel="1" x14ac:dyDescent="0.15">
      <c r="A116" s="8"/>
      <c r="B116" s="8" t="s">
        <v>125</v>
      </c>
      <c r="C116" s="9" t="s">
        <v>255</v>
      </c>
      <c r="D116" s="8">
        <v>1481746</v>
      </c>
      <c r="E116" s="10">
        <v>12</v>
      </c>
      <c r="F116" s="9">
        <v>1</v>
      </c>
      <c r="G116" s="9"/>
      <c r="I116" s="22" t="str">
        <f t="shared" si="25"/>
        <v>·</v>
      </c>
      <c r="J116" s="23">
        <f t="shared" si="26"/>
        <v>19.419214899179753</v>
      </c>
      <c r="K116" s="23">
        <f t="shared" si="27"/>
        <v>10.003965591943558</v>
      </c>
      <c r="L116" s="23">
        <f t="shared" si="28"/>
        <v>9.4147363988159913</v>
      </c>
      <c r="M116" s="24"/>
      <c r="N116" s="23">
        <f t="shared" si="29"/>
        <v>19.419214899179753</v>
      </c>
      <c r="O116" s="25">
        <v>1481746</v>
      </c>
      <c r="P116" s="26">
        <v>28774344</v>
      </c>
      <c r="Q116" s="26">
        <v>14823336</v>
      </c>
      <c r="R116" s="26">
        <v>13950248</v>
      </c>
      <c r="S116" s="40"/>
      <c r="T116" s="41">
        <v>48.5672</v>
      </c>
      <c r="U116" s="41">
        <v>50.4467</v>
      </c>
      <c r="V116" s="41">
        <v>50.107500000000002</v>
      </c>
      <c r="W116" s="42"/>
      <c r="X116" s="41">
        <v>42.110199999999999</v>
      </c>
      <c r="Y116" s="41">
        <v>42.110199999999999</v>
      </c>
      <c r="Z116" s="41">
        <v>42.110199999999999</v>
      </c>
      <c r="AA116" s="42"/>
      <c r="AB116" s="50">
        <v>3.5310000000000001</v>
      </c>
      <c r="AC116" s="50">
        <v>2.9369999999999998</v>
      </c>
      <c r="AE116" s="22" t="str">
        <f t="shared" si="30"/>
        <v>·</v>
      </c>
      <c r="AF116" s="23">
        <f t="shared" si="31"/>
        <v>19.541767617391915</v>
      </c>
      <c r="AG116" s="23">
        <f t="shared" si="32"/>
        <v>10.003965591943558</v>
      </c>
      <c r="AH116" s="23">
        <f t="shared" si="33"/>
        <v>9.5372891170281537</v>
      </c>
      <c r="AI116" s="24"/>
      <c r="AJ116" s="23">
        <f t="shared" si="34"/>
        <v>19.541767617391915</v>
      </c>
      <c r="AK116" s="25">
        <v>1481746</v>
      </c>
      <c r="AL116" s="26">
        <v>28955936</v>
      </c>
      <c r="AM116" s="26">
        <v>14823336</v>
      </c>
      <c r="AN116" s="26">
        <v>14131840</v>
      </c>
      <c r="AO116" s="40"/>
      <c r="AP116" s="41">
        <v>48.575499999999998</v>
      </c>
      <c r="AQ116" s="41">
        <v>50.4255</v>
      </c>
      <c r="AR116" s="41">
        <v>50.094499999999996</v>
      </c>
      <c r="AS116" s="42"/>
      <c r="AT116" s="41">
        <v>42.110199999999999</v>
      </c>
      <c r="AU116" s="41">
        <v>42.110199999999999</v>
      </c>
      <c r="AV116" s="41">
        <v>42.110199999999999</v>
      </c>
      <c r="AW116" s="42"/>
      <c r="AX116" s="50">
        <v>3.6560000000000001</v>
      </c>
      <c r="AY116" s="50">
        <v>2.9209999999999998</v>
      </c>
      <c r="BA116" s="55">
        <f t="shared" si="35"/>
        <v>-3.2307222696292826E-3</v>
      </c>
      <c r="BB116" s="55"/>
      <c r="BD116" s="56"/>
      <c r="BE116" s="56"/>
      <c r="BF116" s="56"/>
      <c r="BG116" s="62"/>
      <c r="BI116" s="56"/>
      <c r="BJ116" s="56"/>
      <c r="BK116" s="56"/>
      <c r="BL116" s="62"/>
      <c r="BN116" s="56"/>
      <c r="BO116" s="56"/>
      <c r="BP116" s="56"/>
      <c r="BQ116" s="62"/>
      <c r="BS116" s="56"/>
      <c r="BT116" s="56"/>
      <c r="BU116" s="56"/>
      <c r="BV116" s="62"/>
      <c r="BX116">
        <f t="shared" si="36"/>
        <v>0</v>
      </c>
      <c r="BY116">
        <f t="shared" si="37"/>
        <v>181592</v>
      </c>
      <c r="BZ116">
        <f t="shared" si="38"/>
        <v>0</v>
      </c>
      <c r="CA116">
        <f t="shared" si="39"/>
        <v>181592</v>
      </c>
      <c r="CB116">
        <f t="shared" si="40"/>
        <v>0</v>
      </c>
      <c r="CC116">
        <f t="shared" si="41"/>
        <v>8.2999999999984198E-3</v>
      </c>
      <c r="CD116">
        <f t="shared" si="42"/>
        <v>-2.120000000000033E-2</v>
      </c>
      <c r="CE116">
        <f t="shared" si="43"/>
        <v>-1.300000000000523E-2</v>
      </c>
      <c r="CF116">
        <f t="shared" si="44"/>
        <v>0</v>
      </c>
      <c r="CG116">
        <f t="shared" si="45"/>
        <v>0</v>
      </c>
      <c r="CH116">
        <f t="shared" si="46"/>
        <v>0</v>
      </c>
      <c r="CI116">
        <f t="shared" si="47"/>
        <v>0</v>
      </c>
      <c r="CJ116">
        <f t="shared" si="48"/>
        <v>0</v>
      </c>
    </row>
    <row r="117" spans="1:88" outlineLevel="1" x14ac:dyDescent="0.15">
      <c r="A117" s="5"/>
      <c r="B117" s="5" t="s">
        <v>125</v>
      </c>
      <c r="C117" s="6" t="s">
        <v>256</v>
      </c>
      <c r="D117" s="5">
        <v>1481746</v>
      </c>
      <c r="E117" s="7">
        <v>12</v>
      </c>
      <c r="F117" s="6">
        <v>1</v>
      </c>
      <c r="G117" s="6"/>
      <c r="I117" s="17" t="str">
        <f t="shared" si="25"/>
        <v>·</v>
      </c>
      <c r="J117" s="18">
        <f t="shared" si="26"/>
        <v>16.523582314377769</v>
      </c>
      <c r="K117" s="18">
        <f t="shared" si="27"/>
        <v>10.003965591943558</v>
      </c>
      <c r="L117" s="18">
        <f t="shared" si="28"/>
        <v>6.5191038140140076</v>
      </c>
      <c r="M117" s="19"/>
      <c r="N117" s="18">
        <f t="shared" si="29"/>
        <v>16.523582314377769</v>
      </c>
      <c r="O117" s="20">
        <v>1481746</v>
      </c>
      <c r="P117" s="21">
        <v>24483752</v>
      </c>
      <c r="Q117" s="21">
        <v>14823336</v>
      </c>
      <c r="R117" s="21">
        <v>9659656</v>
      </c>
      <c r="S117" s="37"/>
      <c r="T117" s="38">
        <v>41.215000000000003</v>
      </c>
      <c r="U117" s="38">
        <v>44.312100000000001</v>
      </c>
      <c r="V117" s="38">
        <v>43.895400000000002</v>
      </c>
      <c r="W117" s="39"/>
      <c r="X117" s="38">
        <v>34.151400000000002</v>
      </c>
      <c r="Y117" s="38">
        <v>34.151400000000002</v>
      </c>
      <c r="Z117" s="38">
        <v>34.151400000000002</v>
      </c>
      <c r="AA117" s="39"/>
      <c r="AB117" s="49">
        <v>3.4060000000000001</v>
      </c>
      <c r="AC117" s="49">
        <v>2.875</v>
      </c>
      <c r="AE117" s="17" t="str">
        <f t="shared" si="30"/>
        <v>·</v>
      </c>
      <c r="AF117" s="18">
        <f t="shared" si="31"/>
        <v>16.643397721336854</v>
      </c>
      <c r="AG117" s="18">
        <f t="shared" si="32"/>
        <v>10.003965591943558</v>
      </c>
      <c r="AH117" s="18">
        <f t="shared" si="33"/>
        <v>6.6389192209730954</v>
      </c>
      <c r="AI117" s="19"/>
      <c r="AJ117" s="18">
        <f t="shared" si="34"/>
        <v>16.643397721336854</v>
      </c>
      <c r="AK117" s="20">
        <v>1481746</v>
      </c>
      <c r="AL117" s="21">
        <v>24661288</v>
      </c>
      <c r="AM117" s="21">
        <v>14823336</v>
      </c>
      <c r="AN117" s="21">
        <v>9837192</v>
      </c>
      <c r="AO117" s="37"/>
      <c r="AP117" s="38">
        <v>41.256100000000004</v>
      </c>
      <c r="AQ117" s="38">
        <v>44.244900000000001</v>
      </c>
      <c r="AR117" s="38">
        <v>43.893000000000001</v>
      </c>
      <c r="AS117" s="39"/>
      <c r="AT117" s="38">
        <v>34.151400000000002</v>
      </c>
      <c r="AU117" s="38">
        <v>34.151400000000002</v>
      </c>
      <c r="AV117" s="38">
        <v>34.151400000000002</v>
      </c>
      <c r="AW117" s="39"/>
      <c r="AX117" s="49">
        <v>3.5</v>
      </c>
      <c r="AY117" s="49">
        <v>2.875</v>
      </c>
      <c r="BA117" s="53">
        <f t="shared" si="35"/>
        <v>-4.3585161219270585E-3</v>
      </c>
      <c r="BB117" s="53"/>
      <c r="BD117" s="54"/>
      <c r="BE117" s="54"/>
      <c r="BF117" s="54"/>
      <c r="BG117" s="61"/>
      <c r="BI117" s="54"/>
      <c r="BJ117" s="54"/>
      <c r="BK117" s="54"/>
      <c r="BL117" s="61"/>
      <c r="BN117" s="54"/>
      <c r="BO117" s="54"/>
      <c r="BP117" s="54"/>
      <c r="BQ117" s="61"/>
      <c r="BS117" s="54"/>
      <c r="BT117" s="54"/>
      <c r="BU117" s="54"/>
      <c r="BV117" s="61"/>
      <c r="BX117">
        <f t="shared" si="36"/>
        <v>0</v>
      </c>
      <c r="BY117">
        <f t="shared" si="37"/>
        <v>177536</v>
      </c>
      <c r="BZ117">
        <f t="shared" si="38"/>
        <v>0</v>
      </c>
      <c r="CA117">
        <f t="shared" si="39"/>
        <v>177536</v>
      </c>
      <c r="CB117">
        <f t="shared" si="40"/>
        <v>0</v>
      </c>
      <c r="CC117">
        <f t="shared" si="41"/>
        <v>4.1100000000000136E-2</v>
      </c>
      <c r="CD117">
        <f t="shared" si="42"/>
        <v>-6.7199999999999704E-2</v>
      </c>
      <c r="CE117">
        <f t="shared" si="43"/>
        <v>-2.400000000001512E-3</v>
      </c>
      <c r="CF117">
        <f t="shared" si="44"/>
        <v>0</v>
      </c>
      <c r="CG117">
        <f t="shared" si="45"/>
        <v>0</v>
      </c>
      <c r="CH117">
        <f t="shared" si="46"/>
        <v>0</v>
      </c>
      <c r="CI117">
        <f t="shared" si="47"/>
        <v>0</v>
      </c>
      <c r="CJ117">
        <f t="shared" si="48"/>
        <v>0</v>
      </c>
    </row>
    <row r="118" spans="1:88" outlineLevel="1" x14ac:dyDescent="0.15">
      <c r="A118" s="8"/>
      <c r="B118" s="8" t="s">
        <v>125</v>
      </c>
      <c r="C118" s="9" t="s">
        <v>257</v>
      </c>
      <c r="D118" s="8">
        <v>1481746</v>
      </c>
      <c r="E118" s="10">
        <v>12</v>
      </c>
      <c r="F118" s="9">
        <v>1</v>
      </c>
      <c r="G118" s="9"/>
      <c r="I118" s="22" t="str">
        <f t="shared" si="25"/>
        <v>·</v>
      </c>
      <c r="J118" s="23">
        <f t="shared" si="26"/>
        <v>14.431326286691512</v>
      </c>
      <c r="K118" s="23">
        <f t="shared" si="27"/>
        <v>10.003965591943558</v>
      </c>
      <c r="L118" s="23">
        <f t="shared" si="28"/>
        <v>4.4268477863277509</v>
      </c>
      <c r="M118" s="24"/>
      <c r="N118" s="23">
        <f t="shared" si="29"/>
        <v>14.431326286691512</v>
      </c>
      <c r="O118" s="25">
        <v>1481746</v>
      </c>
      <c r="P118" s="26">
        <v>21383560</v>
      </c>
      <c r="Q118" s="26">
        <v>14823336</v>
      </c>
      <c r="R118" s="26">
        <v>6559464</v>
      </c>
      <c r="S118" s="40"/>
      <c r="T118" s="41">
        <v>35.300800000000002</v>
      </c>
      <c r="U118" s="41">
        <v>39.534399999999998</v>
      </c>
      <c r="V118" s="41">
        <v>38.860399999999998</v>
      </c>
      <c r="W118" s="42"/>
      <c r="X118" s="41">
        <v>28.130800000000001</v>
      </c>
      <c r="Y118" s="41">
        <v>28.130800000000001</v>
      </c>
      <c r="Z118" s="41">
        <v>28.130800000000001</v>
      </c>
      <c r="AA118" s="42"/>
      <c r="AB118" s="50">
        <v>3.4209999999999998</v>
      </c>
      <c r="AC118" s="50">
        <v>2.8279999999999998</v>
      </c>
      <c r="AE118" s="22" t="str">
        <f t="shared" si="30"/>
        <v>·</v>
      </c>
      <c r="AF118" s="23">
        <f t="shared" si="31"/>
        <v>14.505401060640622</v>
      </c>
      <c r="AG118" s="23">
        <f t="shared" si="32"/>
        <v>10.003965591943558</v>
      </c>
      <c r="AH118" s="23">
        <f t="shared" si="33"/>
        <v>4.5009225602768623</v>
      </c>
      <c r="AI118" s="24"/>
      <c r="AJ118" s="23">
        <f t="shared" si="34"/>
        <v>14.505401060640622</v>
      </c>
      <c r="AK118" s="25">
        <v>1481746</v>
      </c>
      <c r="AL118" s="26">
        <v>21493320</v>
      </c>
      <c r="AM118" s="26">
        <v>14823336</v>
      </c>
      <c r="AN118" s="26">
        <v>6669224</v>
      </c>
      <c r="AO118" s="40"/>
      <c r="AP118" s="41">
        <v>35.371299999999998</v>
      </c>
      <c r="AQ118" s="41">
        <v>39.523099999999999</v>
      </c>
      <c r="AR118" s="41">
        <v>38.938499999999998</v>
      </c>
      <c r="AS118" s="42"/>
      <c r="AT118" s="41">
        <v>28.130800000000001</v>
      </c>
      <c r="AU118" s="41">
        <v>28.130800000000001</v>
      </c>
      <c r="AV118" s="41">
        <v>28.130800000000001</v>
      </c>
      <c r="AW118" s="42"/>
      <c r="AX118" s="50">
        <v>3.5</v>
      </c>
      <c r="AY118" s="50">
        <v>2.9369999999999998</v>
      </c>
      <c r="BA118" s="55">
        <f t="shared" si="35"/>
        <v>-3.5400266949114911E-3</v>
      </c>
      <c r="BB118" s="55"/>
      <c r="BD118" s="56"/>
      <c r="BE118" s="56"/>
      <c r="BF118" s="56"/>
      <c r="BG118" s="62"/>
      <c r="BI118" s="56"/>
      <c r="BJ118" s="56"/>
      <c r="BK118" s="56"/>
      <c r="BL118" s="62"/>
      <c r="BN118" s="56"/>
      <c r="BO118" s="56"/>
      <c r="BP118" s="56"/>
      <c r="BQ118" s="62"/>
      <c r="BS118" s="56"/>
      <c r="BT118" s="56"/>
      <c r="BU118" s="56"/>
      <c r="BV118" s="62"/>
      <c r="BX118">
        <f t="shared" si="36"/>
        <v>0</v>
      </c>
      <c r="BY118">
        <f t="shared" si="37"/>
        <v>109760</v>
      </c>
      <c r="BZ118">
        <f t="shared" si="38"/>
        <v>0</v>
      </c>
      <c r="CA118">
        <f t="shared" si="39"/>
        <v>109760</v>
      </c>
      <c r="CB118">
        <f t="shared" si="40"/>
        <v>0</v>
      </c>
      <c r="CC118">
        <f t="shared" si="41"/>
        <v>7.0499999999995566E-2</v>
      </c>
      <c r="CD118">
        <f t="shared" si="42"/>
        <v>-1.1299999999998533E-2</v>
      </c>
      <c r="CE118">
        <f t="shared" si="43"/>
        <v>7.809999999999917E-2</v>
      </c>
      <c r="CF118">
        <f t="shared" si="44"/>
        <v>0</v>
      </c>
      <c r="CG118">
        <f t="shared" si="45"/>
        <v>0</v>
      </c>
      <c r="CH118">
        <f t="shared" si="46"/>
        <v>0</v>
      </c>
      <c r="CI118">
        <f t="shared" si="47"/>
        <v>0</v>
      </c>
      <c r="CJ118">
        <f t="shared" si="48"/>
        <v>0</v>
      </c>
    </row>
    <row r="119" spans="1:88" outlineLevel="1" x14ac:dyDescent="0.15">
      <c r="A119" s="5"/>
      <c r="B119" s="11" t="s">
        <v>125</v>
      </c>
      <c r="C119" s="12" t="s">
        <v>258</v>
      </c>
      <c r="D119" s="11">
        <v>1481746</v>
      </c>
      <c r="E119" s="13">
        <v>12</v>
      </c>
      <c r="F119" s="12">
        <v>1</v>
      </c>
      <c r="G119" s="12"/>
      <c r="I119" s="27" t="str">
        <f t="shared" si="25"/>
        <v>·</v>
      </c>
      <c r="J119" s="28">
        <f t="shared" si="26"/>
        <v>12.595610853682075</v>
      </c>
      <c r="K119" s="28">
        <f t="shared" si="27"/>
        <v>10.003965591943558</v>
      </c>
      <c r="L119" s="28">
        <f t="shared" si="28"/>
        <v>2.591132353318315</v>
      </c>
      <c r="M119" s="29"/>
      <c r="N119" s="28">
        <f t="shared" si="29"/>
        <v>12.595610853682075</v>
      </c>
      <c r="O119" s="30">
        <v>1481746</v>
      </c>
      <c r="P119" s="31">
        <v>18663496</v>
      </c>
      <c r="Q119" s="31">
        <v>14823336</v>
      </c>
      <c r="R119" s="31">
        <v>3839400</v>
      </c>
      <c r="S119" s="43"/>
      <c r="T119" s="44">
        <v>28.7028</v>
      </c>
      <c r="U119" s="44">
        <v>35.239899999999999</v>
      </c>
      <c r="V119" s="44">
        <v>34.3065</v>
      </c>
      <c r="W119" s="45"/>
      <c r="X119" s="44">
        <v>21.686399999999999</v>
      </c>
      <c r="Y119" s="44">
        <v>21.686399999999999</v>
      </c>
      <c r="Z119" s="44">
        <v>21.686399999999999</v>
      </c>
      <c r="AA119" s="45"/>
      <c r="AB119" s="51">
        <v>3.359</v>
      </c>
      <c r="AC119" s="51">
        <v>2.8279999999999998</v>
      </c>
      <c r="AE119" s="27" t="str">
        <f t="shared" si="30"/>
        <v>·</v>
      </c>
      <c r="AF119" s="28">
        <f t="shared" si="31"/>
        <v>12.604794613921685</v>
      </c>
      <c r="AG119" s="28">
        <f t="shared" si="32"/>
        <v>10.003965591943558</v>
      </c>
      <c r="AH119" s="28">
        <f t="shared" si="33"/>
        <v>2.6003161135579242</v>
      </c>
      <c r="AI119" s="29"/>
      <c r="AJ119" s="28">
        <f t="shared" si="34"/>
        <v>12.604794613921685</v>
      </c>
      <c r="AK119" s="30">
        <v>1481746</v>
      </c>
      <c r="AL119" s="31">
        <v>18677104</v>
      </c>
      <c r="AM119" s="31">
        <v>14823336</v>
      </c>
      <c r="AN119" s="31">
        <v>3853008</v>
      </c>
      <c r="AO119" s="43"/>
      <c r="AP119" s="44">
        <v>28.831099999999999</v>
      </c>
      <c r="AQ119" s="44">
        <v>35.362000000000002</v>
      </c>
      <c r="AR119" s="44">
        <v>34.463700000000003</v>
      </c>
      <c r="AS119" s="45"/>
      <c r="AT119" s="44">
        <v>21.686399999999999</v>
      </c>
      <c r="AU119" s="44">
        <v>21.686399999999999</v>
      </c>
      <c r="AV119" s="44">
        <v>21.686399999999999</v>
      </c>
      <c r="AW119" s="45"/>
      <c r="AX119" s="51">
        <v>3.468</v>
      </c>
      <c r="AY119" s="51">
        <v>2.8119999999999998</v>
      </c>
      <c r="BA119" s="57">
        <f t="shared" si="35"/>
        <v>-5.7867899477959117E-4</v>
      </c>
      <c r="BB119" s="57"/>
      <c r="BD119" s="58"/>
      <c r="BE119" s="58"/>
      <c r="BF119" s="58"/>
      <c r="BG119" s="63"/>
      <c r="BI119" s="58"/>
      <c r="BJ119" s="58"/>
      <c r="BK119" s="58"/>
      <c r="BL119" s="63"/>
      <c r="BN119" s="58"/>
      <c r="BO119" s="58"/>
      <c r="BP119" s="58"/>
      <c r="BQ119" s="63"/>
      <c r="BS119" s="58"/>
      <c r="BT119" s="58"/>
      <c r="BU119" s="58"/>
      <c r="BV119" s="63"/>
      <c r="BX119">
        <f t="shared" si="36"/>
        <v>0</v>
      </c>
      <c r="BY119">
        <f t="shared" si="37"/>
        <v>13608</v>
      </c>
      <c r="BZ119">
        <f t="shared" si="38"/>
        <v>0</v>
      </c>
      <c r="CA119">
        <f t="shared" si="39"/>
        <v>13608</v>
      </c>
      <c r="CB119">
        <f t="shared" si="40"/>
        <v>0</v>
      </c>
      <c r="CC119">
        <f t="shared" si="41"/>
        <v>0.12829999999999941</v>
      </c>
      <c r="CD119">
        <f t="shared" si="42"/>
        <v>0.12210000000000321</v>
      </c>
      <c r="CE119">
        <f t="shared" si="43"/>
        <v>0.15720000000000312</v>
      </c>
      <c r="CF119">
        <f t="shared" si="44"/>
        <v>0</v>
      </c>
      <c r="CG119">
        <f t="shared" si="45"/>
        <v>0</v>
      </c>
      <c r="CH119">
        <f t="shared" si="46"/>
        <v>0</v>
      </c>
      <c r="CI119">
        <f t="shared" si="47"/>
        <v>0</v>
      </c>
      <c r="CJ119">
        <f t="shared" si="48"/>
        <v>0</v>
      </c>
    </row>
    <row r="120" spans="1:88" x14ac:dyDescent="0.15">
      <c r="A120" s="8"/>
      <c r="B120" s="8" t="s">
        <v>128</v>
      </c>
      <c r="C120" s="9" t="s">
        <v>254</v>
      </c>
      <c r="D120" s="8">
        <v>1530552</v>
      </c>
      <c r="E120" s="10">
        <v>20</v>
      </c>
      <c r="F120" s="9">
        <v>1</v>
      </c>
      <c r="G120" s="9"/>
      <c r="I120" s="22" t="str">
        <f t="shared" si="25"/>
        <v>·</v>
      </c>
      <c r="J120" s="23">
        <f t="shared" si="26"/>
        <v>46.636491932322457</v>
      </c>
      <c r="K120" s="23">
        <f t="shared" si="27"/>
        <v>34.420867765355247</v>
      </c>
      <c r="L120" s="23">
        <f t="shared" si="28"/>
        <v>12.215111933472368</v>
      </c>
      <c r="M120" s="24"/>
      <c r="N120" s="23">
        <f t="shared" si="29"/>
        <v>46.636491932322457</v>
      </c>
      <c r="O120" s="25">
        <v>1530552</v>
      </c>
      <c r="P120" s="26">
        <v>71379576</v>
      </c>
      <c r="Q120" s="26">
        <v>52682928</v>
      </c>
      <c r="R120" s="26">
        <v>18695864</v>
      </c>
      <c r="S120" s="40"/>
      <c r="T120" s="41">
        <v>53.366</v>
      </c>
      <c r="U120" s="41">
        <v>54.908200000000001</v>
      </c>
      <c r="V120" s="41">
        <v>54.924900000000001</v>
      </c>
      <c r="W120" s="42"/>
      <c r="X120" s="41">
        <v>48.130800000000001</v>
      </c>
      <c r="Y120" s="41">
        <v>48.130800000000001</v>
      </c>
      <c r="Z120" s="41">
        <v>48.130800000000001</v>
      </c>
      <c r="AA120" s="42"/>
      <c r="AB120" s="50">
        <v>6.4059999999999997</v>
      </c>
      <c r="AC120" s="50">
        <v>5.359</v>
      </c>
      <c r="AE120" s="22" t="str">
        <f t="shared" si="30"/>
        <v>·</v>
      </c>
      <c r="AF120" s="23">
        <f t="shared" si="31"/>
        <v>46.723827743193304</v>
      </c>
      <c r="AG120" s="23">
        <f t="shared" si="32"/>
        <v>34.420867765355247</v>
      </c>
      <c r="AH120" s="23">
        <f t="shared" si="33"/>
        <v>12.302447744343217</v>
      </c>
      <c r="AI120" s="24"/>
      <c r="AJ120" s="23">
        <f t="shared" si="34"/>
        <v>46.723827743193304</v>
      </c>
      <c r="AK120" s="25">
        <v>1530552</v>
      </c>
      <c r="AL120" s="26">
        <v>71513248</v>
      </c>
      <c r="AM120" s="26">
        <v>52682928</v>
      </c>
      <c r="AN120" s="26">
        <v>18829536</v>
      </c>
      <c r="AO120" s="40"/>
      <c r="AP120" s="41">
        <v>53.376300000000001</v>
      </c>
      <c r="AQ120" s="41">
        <v>54.889899999999997</v>
      </c>
      <c r="AR120" s="41">
        <v>54.913400000000003</v>
      </c>
      <c r="AS120" s="42"/>
      <c r="AT120" s="41">
        <v>48.130800000000001</v>
      </c>
      <c r="AU120" s="41">
        <v>48.130800000000001</v>
      </c>
      <c r="AV120" s="41">
        <v>48.130800000000001</v>
      </c>
      <c r="AW120" s="42"/>
      <c r="AX120" s="50">
        <v>6.5</v>
      </c>
      <c r="AY120" s="50">
        <v>5.343</v>
      </c>
      <c r="BA120" s="55">
        <f t="shared" si="35"/>
        <v>-1.3795895081163412E-3</v>
      </c>
      <c r="BB120" s="55">
        <f t="array" ref="BB120">AVERAGE(AM120:AM124/AL120:AL124)-AVERAGE(Q120:Q124/P120:P124)</f>
        <v>-1.5564449264147129E-3</v>
      </c>
      <c r="BD120" s="56">
        <f>IF(OR(ISBLANK(R120:R124),ISBLANK(AN120:AN124),ISBLANK(T120:T124),ISBLANK(AP120:AP124)),"·",bdRateExtend(R120:R124,T120:T124,AN120:AN124,AP120:AP124))</f>
        <v>1.0274273414136781E-2</v>
      </c>
      <c r="BE120" s="56">
        <f>IF(OR(ISBLANK(R120:R124),ISBLANK(AN120:AN124),ISBLANK(U120:U124),ISBLANK(AQ120:AQ124)),"·",bdRateExtend(R120:R124,U120:U124,AN120:AN124,AQ120:AQ124))</f>
        <v>1.3188947198804701E-2</v>
      </c>
      <c r="BF120" s="56">
        <f>IF(OR(ISBLANK(R120:R124),ISBLANK(AN120:AN124),ISBLANK(V120:V124),ISBLANK(AR120:AR124)),"·",bdRateExtend(R120:R124,V120:V124,AN120:AN124,AR120:AR124))</f>
        <v>1.0751944123104318E-2</v>
      </c>
      <c r="BG120" s="62"/>
      <c r="BI120" s="56">
        <f>IF(OR(ISBLANK(R120:R124),ISBLANK(AN120:AN124),ISBLANK(X120:X124),ISBLANK(AT120:AT124)),"·",bdRateExtend(R120:R124,X120:X124,AN120:AN124,AT120:AT124))</f>
        <v>1.3749700272043919E-2</v>
      </c>
      <c r="BJ120" s="56">
        <f>IF(OR(ISBLANK(R120:R124),ISBLANK(AN120:AN124),ISBLANK(Y120:Y124),ISBLANK(AU120:AU124)),"·",bdRateExtend(R120:R124,Y120:Y124,AN120:AN124,AU120:AU124))</f>
        <v>1.3749700272043919E-2</v>
      </c>
      <c r="BK120" s="56">
        <f>IF(OR(ISBLANK(R120:R124),ISBLANK(AN120:AN124),ISBLANK(Z120:Z124),ISBLANK(AV120:AV124)),"·",bdRateExtend(R120:R124,Z120:Z124,AN120:AN124,AV120:AV124))</f>
        <v>1.3749700272043919E-2</v>
      </c>
      <c r="BL120" s="62"/>
      <c r="BN120" s="56">
        <f>IF(OR(ISBLANK(P120:P124),ISBLANK(AL120:AL124),ISBLANK(T120:T124),ISBLANK(AP120:AP124)),"·",bdRateExtend(P120:P124,T120:T124,AL120:AL124,AP120:AP124))</f>
        <v>1.8140325880724451E-3</v>
      </c>
      <c r="BO120" s="56">
        <f>IF(OR(ISBLANK(P120:P124),ISBLANK(AL120:AL124),ISBLANK(U120:U124),ISBLANK(AQ120:AQ124)),"·",bdRateExtend(P120:P124,U120:U124,AL120:AL124,AQ120:AQ124))</f>
        <v>2.4297886049899908E-3</v>
      </c>
      <c r="BP120" s="56">
        <f>IF(OR(ISBLANK(P120:P124),ISBLANK(AL120:AL124),ISBLANK(V120:V124),ISBLANK(AR120:AR124)),"·",bdRateExtend(P120:P124,V120:V124,AL120:AL124,AR120:AR124))</f>
        <v>2.0226167200403378E-3</v>
      </c>
      <c r="BQ120" s="62"/>
      <c r="BS120" s="56">
        <f>IF(OR(ISBLANK(P120:P124),ISBLANK(AL120:AL124),ISBLANK(X120:X124),ISBLANK(AT120:AT124)),"·",bdRateExtend(P120:P124,X120:X124,AL120:AL124,AT120:AT124))</f>
        <v>2.2557323802809837E-3</v>
      </c>
      <c r="BT120" s="56">
        <f>IF(OR(ISBLANK(P120:P124),ISBLANK(AL120:AL124),ISBLANK(Y120:Y124),ISBLANK(AU120:AU124)),"·",bdRateExtend(P120:P124,Y120:Y124,AL120:AL124,AU120:AU124))</f>
        <v>2.2557323802809837E-3</v>
      </c>
      <c r="BU120" s="56">
        <f>IF(OR(ISBLANK(P120:P124),ISBLANK(AL120:AL124),ISBLANK(Z120:Z124),ISBLANK(AV120:AV124)),"·",bdRateExtend(P120:P124,Z120:Z124,AL120:AL124,AV120:AV124))</f>
        <v>2.2557323802809837E-3</v>
      </c>
      <c r="BV120" s="62"/>
      <c r="BX120">
        <f t="shared" si="36"/>
        <v>0</v>
      </c>
      <c r="BY120">
        <f t="shared" si="37"/>
        <v>133672</v>
      </c>
      <c r="BZ120">
        <f t="shared" si="38"/>
        <v>0</v>
      </c>
      <c r="CA120">
        <f t="shared" si="39"/>
        <v>133672</v>
      </c>
      <c r="CB120">
        <f t="shared" si="40"/>
        <v>0</v>
      </c>
      <c r="CC120">
        <f t="shared" si="41"/>
        <v>1.0300000000000864E-2</v>
      </c>
      <c r="CD120">
        <f t="shared" si="42"/>
        <v>-1.8300000000003536E-2</v>
      </c>
      <c r="CE120">
        <f t="shared" si="43"/>
        <v>-1.1499999999998067E-2</v>
      </c>
      <c r="CF120">
        <f t="shared" si="44"/>
        <v>0</v>
      </c>
      <c r="CG120">
        <f t="shared" si="45"/>
        <v>0</v>
      </c>
      <c r="CH120">
        <f t="shared" si="46"/>
        <v>0</v>
      </c>
      <c r="CI120">
        <f t="shared" si="47"/>
        <v>0</v>
      </c>
      <c r="CJ120">
        <f t="shared" si="48"/>
        <v>0</v>
      </c>
    </row>
    <row r="121" spans="1:88" outlineLevel="1" x14ac:dyDescent="0.15">
      <c r="A121" s="5"/>
      <c r="B121" s="5" t="s">
        <v>128</v>
      </c>
      <c r="C121" s="6" t="s">
        <v>255</v>
      </c>
      <c r="D121" s="5">
        <v>1530552</v>
      </c>
      <c r="E121" s="7">
        <v>20</v>
      </c>
      <c r="F121" s="6">
        <v>1</v>
      </c>
      <c r="G121" s="6"/>
      <c r="I121" s="17" t="str">
        <f t="shared" si="25"/>
        <v>·</v>
      </c>
      <c r="J121" s="18">
        <f t="shared" si="26"/>
        <v>43.825239521427562</v>
      </c>
      <c r="K121" s="18">
        <f t="shared" si="27"/>
        <v>34.420867765355247</v>
      </c>
      <c r="L121" s="18">
        <f t="shared" si="28"/>
        <v>9.4038595225774753</v>
      </c>
      <c r="M121" s="19"/>
      <c r="N121" s="18">
        <f t="shared" si="29"/>
        <v>43.825239521427562</v>
      </c>
      <c r="O121" s="20">
        <v>1530552</v>
      </c>
      <c r="P121" s="21">
        <v>67076808</v>
      </c>
      <c r="Q121" s="21">
        <v>52682928</v>
      </c>
      <c r="R121" s="21">
        <v>14393096</v>
      </c>
      <c r="S121" s="37"/>
      <c r="T121" s="38">
        <v>48.567999999999998</v>
      </c>
      <c r="U121" s="38">
        <v>50.451300000000003</v>
      </c>
      <c r="V121" s="38">
        <v>50.100499999999997</v>
      </c>
      <c r="W121" s="39"/>
      <c r="X121" s="38">
        <v>42.110199999999999</v>
      </c>
      <c r="Y121" s="38">
        <v>42.110199999999999</v>
      </c>
      <c r="Z121" s="38">
        <v>42.110199999999999</v>
      </c>
      <c r="AA121" s="39"/>
      <c r="AB121" s="49">
        <v>6.343</v>
      </c>
      <c r="AC121" s="49">
        <v>5.359</v>
      </c>
      <c r="AE121" s="17" t="str">
        <f t="shared" si="30"/>
        <v>·</v>
      </c>
      <c r="AF121" s="18">
        <f t="shared" si="31"/>
        <v>43.946983833283682</v>
      </c>
      <c r="AG121" s="18">
        <f t="shared" si="32"/>
        <v>34.420867765355247</v>
      </c>
      <c r="AH121" s="18">
        <f t="shared" si="33"/>
        <v>9.5256038344335892</v>
      </c>
      <c r="AI121" s="19"/>
      <c r="AJ121" s="18">
        <f t="shared" si="34"/>
        <v>43.946983833283682</v>
      </c>
      <c r="AK121" s="20">
        <v>1530552</v>
      </c>
      <c r="AL121" s="21">
        <v>67263144</v>
      </c>
      <c r="AM121" s="21">
        <v>52682928</v>
      </c>
      <c r="AN121" s="21">
        <v>14579432</v>
      </c>
      <c r="AO121" s="37"/>
      <c r="AP121" s="38">
        <v>48.578200000000002</v>
      </c>
      <c r="AQ121" s="38">
        <v>50.421100000000003</v>
      </c>
      <c r="AR121" s="38">
        <v>50.096800000000002</v>
      </c>
      <c r="AS121" s="39"/>
      <c r="AT121" s="38">
        <v>42.110199999999999</v>
      </c>
      <c r="AU121" s="38">
        <v>42.110199999999999</v>
      </c>
      <c r="AV121" s="38">
        <v>42.110199999999999</v>
      </c>
      <c r="AW121" s="39"/>
      <c r="AX121" s="49">
        <v>6.5</v>
      </c>
      <c r="AY121" s="49">
        <v>5.343</v>
      </c>
      <c r="BA121" s="53">
        <f t="shared" si="35"/>
        <v>-2.1757907284966072E-3</v>
      </c>
      <c r="BB121" s="53"/>
      <c r="BD121" s="54"/>
      <c r="BE121" s="54"/>
      <c r="BF121" s="54"/>
      <c r="BG121" s="61"/>
      <c r="BI121" s="54"/>
      <c r="BJ121" s="54"/>
      <c r="BK121" s="54"/>
      <c r="BL121" s="61"/>
      <c r="BN121" s="54"/>
      <c r="BO121" s="54"/>
      <c r="BP121" s="54"/>
      <c r="BQ121" s="61"/>
      <c r="BS121" s="54"/>
      <c r="BT121" s="54"/>
      <c r="BU121" s="54"/>
      <c r="BV121" s="61"/>
      <c r="BX121">
        <f t="shared" si="36"/>
        <v>0</v>
      </c>
      <c r="BY121">
        <f t="shared" si="37"/>
        <v>186336</v>
      </c>
      <c r="BZ121">
        <f t="shared" si="38"/>
        <v>0</v>
      </c>
      <c r="CA121">
        <f t="shared" si="39"/>
        <v>186336</v>
      </c>
      <c r="CB121">
        <f t="shared" si="40"/>
        <v>0</v>
      </c>
      <c r="CC121">
        <f t="shared" si="41"/>
        <v>1.020000000000465E-2</v>
      </c>
      <c r="CD121">
        <f t="shared" si="42"/>
        <v>-3.0200000000000671E-2</v>
      </c>
      <c r="CE121">
        <f t="shared" si="43"/>
        <v>-3.6999999999949296E-3</v>
      </c>
      <c r="CF121">
        <f t="shared" si="44"/>
        <v>0</v>
      </c>
      <c r="CG121">
        <f t="shared" si="45"/>
        <v>0</v>
      </c>
      <c r="CH121">
        <f t="shared" si="46"/>
        <v>0</v>
      </c>
      <c r="CI121">
        <f t="shared" si="47"/>
        <v>0</v>
      </c>
      <c r="CJ121">
        <f t="shared" si="48"/>
        <v>0</v>
      </c>
    </row>
    <row r="122" spans="1:88" outlineLevel="1" x14ac:dyDescent="0.15">
      <c r="A122" s="8"/>
      <c r="B122" s="8" t="s">
        <v>128</v>
      </c>
      <c r="C122" s="9" t="s">
        <v>256</v>
      </c>
      <c r="D122" s="8">
        <v>1530552</v>
      </c>
      <c r="E122" s="10">
        <v>20</v>
      </c>
      <c r="F122" s="9">
        <v>1</v>
      </c>
      <c r="G122" s="9"/>
      <c r="I122" s="22" t="str">
        <f t="shared" si="25"/>
        <v>·</v>
      </c>
      <c r="J122" s="23">
        <f t="shared" si="26"/>
        <v>40.933932332909954</v>
      </c>
      <c r="K122" s="23">
        <f t="shared" si="27"/>
        <v>34.420867765355247</v>
      </c>
      <c r="L122" s="23">
        <f t="shared" si="28"/>
        <v>6.512552334059869</v>
      </c>
      <c r="M122" s="24"/>
      <c r="N122" s="23">
        <f t="shared" si="29"/>
        <v>40.933932332909954</v>
      </c>
      <c r="O122" s="25">
        <v>1530552</v>
      </c>
      <c r="P122" s="26">
        <v>62651512</v>
      </c>
      <c r="Q122" s="26">
        <v>52682928</v>
      </c>
      <c r="R122" s="26">
        <v>9967800</v>
      </c>
      <c r="S122" s="40"/>
      <c r="T122" s="41">
        <v>41.226300000000002</v>
      </c>
      <c r="U122" s="41">
        <v>44.307499999999997</v>
      </c>
      <c r="V122" s="41">
        <v>43.899299999999997</v>
      </c>
      <c r="W122" s="42"/>
      <c r="X122" s="41">
        <v>34.151400000000002</v>
      </c>
      <c r="Y122" s="41">
        <v>34.151400000000002</v>
      </c>
      <c r="Z122" s="41">
        <v>34.151400000000002</v>
      </c>
      <c r="AA122" s="42"/>
      <c r="AB122" s="50">
        <v>6.2809999999999997</v>
      </c>
      <c r="AC122" s="50">
        <v>5.2809999999999997</v>
      </c>
      <c r="AE122" s="22" t="str">
        <f t="shared" si="30"/>
        <v>·</v>
      </c>
      <c r="AF122" s="23">
        <f t="shared" si="31"/>
        <v>41.055357805549896</v>
      </c>
      <c r="AG122" s="23">
        <f t="shared" si="32"/>
        <v>34.420867765355247</v>
      </c>
      <c r="AH122" s="23">
        <f t="shared" si="33"/>
        <v>6.6339778066998054</v>
      </c>
      <c r="AI122" s="24"/>
      <c r="AJ122" s="23">
        <f t="shared" si="34"/>
        <v>41.055357805549896</v>
      </c>
      <c r="AK122" s="25">
        <v>1530552</v>
      </c>
      <c r="AL122" s="26">
        <v>62837360</v>
      </c>
      <c r="AM122" s="26">
        <v>52682928</v>
      </c>
      <c r="AN122" s="26">
        <v>10153648</v>
      </c>
      <c r="AO122" s="40"/>
      <c r="AP122" s="41">
        <v>41.273000000000003</v>
      </c>
      <c r="AQ122" s="41">
        <v>44.249600000000001</v>
      </c>
      <c r="AR122" s="41">
        <v>43.8962</v>
      </c>
      <c r="AS122" s="42"/>
      <c r="AT122" s="41">
        <v>34.151400000000002</v>
      </c>
      <c r="AU122" s="41">
        <v>34.151400000000002</v>
      </c>
      <c r="AV122" s="41">
        <v>34.151400000000002</v>
      </c>
      <c r="AW122" s="42"/>
      <c r="AX122" s="50">
        <v>6.468</v>
      </c>
      <c r="AY122" s="50">
        <v>5.3280000000000003</v>
      </c>
      <c r="BA122" s="55">
        <f t="shared" si="35"/>
        <v>-2.4870144507982417E-3</v>
      </c>
      <c r="BB122" s="55"/>
      <c r="BD122" s="56"/>
      <c r="BE122" s="56"/>
      <c r="BF122" s="56"/>
      <c r="BG122" s="62"/>
      <c r="BI122" s="56"/>
      <c r="BJ122" s="56"/>
      <c r="BK122" s="56"/>
      <c r="BL122" s="62"/>
      <c r="BN122" s="56"/>
      <c r="BO122" s="56"/>
      <c r="BP122" s="56"/>
      <c r="BQ122" s="62"/>
      <c r="BS122" s="56"/>
      <c r="BT122" s="56"/>
      <c r="BU122" s="56"/>
      <c r="BV122" s="62"/>
      <c r="BX122">
        <f t="shared" si="36"/>
        <v>0</v>
      </c>
      <c r="BY122">
        <f t="shared" si="37"/>
        <v>185848</v>
      </c>
      <c r="BZ122">
        <f t="shared" si="38"/>
        <v>0</v>
      </c>
      <c r="CA122">
        <f t="shared" si="39"/>
        <v>185848</v>
      </c>
      <c r="CB122">
        <f t="shared" si="40"/>
        <v>0</v>
      </c>
      <c r="CC122">
        <f t="shared" si="41"/>
        <v>4.6700000000001296E-2</v>
      </c>
      <c r="CD122">
        <f t="shared" si="42"/>
        <v>-5.789999999999651E-2</v>
      </c>
      <c r="CE122">
        <f t="shared" si="43"/>
        <v>-3.0999999999963279E-3</v>
      </c>
      <c r="CF122">
        <f t="shared" si="44"/>
        <v>0</v>
      </c>
      <c r="CG122">
        <f t="shared" si="45"/>
        <v>0</v>
      </c>
      <c r="CH122">
        <f t="shared" si="46"/>
        <v>0</v>
      </c>
      <c r="CI122">
        <f t="shared" si="47"/>
        <v>0</v>
      </c>
      <c r="CJ122">
        <f t="shared" si="48"/>
        <v>0</v>
      </c>
    </row>
    <row r="123" spans="1:88" outlineLevel="1" x14ac:dyDescent="0.15">
      <c r="A123" s="5"/>
      <c r="B123" s="5" t="s">
        <v>128</v>
      </c>
      <c r="C123" s="6" t="s">
        <v>257</v>
      </c>
      <c r="D123" s="5">
        <v>1530552</v>
      </c>
      <c r="E123" s="7">
        <v>20</v>
      </c>
      <c r="F123" s="6">
        <v>1</v>
      </c>
      <c r="G123" s="6"/>
      <c r="I123" s="17" t="str">
        <f t="shared" si="25"/>
        <v>·</v>
      </c>
      <c r="J123" s="18">
        <f t="shared" si="26"/>
        <v>38.846878773148511</v>
      </c>
      <c r="K123" s="18">
        <f t="shared" si="27"/>
        <v>34.420867765355247</v>
      </c>
      <c r="L123" s="18">
        <f t="shared" si="28"/>
        <v>4.4254987742984229</v>
      </c>
      <c r="M123" s="19"/>
      <c r="N123" s="18">
        <f t="shared" si="29"/>
        <v>38.846878773148511</v>
      </c>
      <c r="O123" s="20">
        <v>1530552</v>
      </c>
      <c r="P123" s="21">
        <v>59457168</v>
      </c>
      <c r="Q123" s="21">
        <v>52682928</v>
      </c>
      <c r="R123" s="21">
        <v>6773456</v>
      </c>
      <c r="S123" s="37"/>
      <c r="T123" s="38">
        <v>35.296599999999998</v>
      </c>
      <c r="U123" s="38">
        <v>39.524700000000003</v>
      </c>
      <c r="V123" s="38">
        <v>38.855200000000004</v>
      </c>
      <c r="W123" s="39"/>
      <c r="X123" s="38">
        <v>28.130800000000001</v>
      </c>
      <c r="Y123" s="38">
        <v>28.130800000000001</v>
      </c>
      <c r="Z123" s="38">
        <v>28.130800000000001</v>
      </c>
      <c r="AA123" s="39"/>
      <c r="AB123" s="49">
        <v>6.25</v>
      </c>
      <c r="AC123" s="49">
        <v>5.234</v>
      </c>
      <c r="AE123" s="17" t="str">
        <f t="shared" si="30"/>
        <v>·</v>
      </c>
      <c r="AF123" s="18">
        <f t="shared" si="31"/>
        <v>38.91887371353603</v>
      </c>
      <c r="AG123" s="18">
        <f t="shared" si="32"/>
        <v>34.420867765355247</v>
      </c>
      <c r="AH123" s="18">
        <f t="shared" si="33"/>
        <v>4.4974937146859437</v>
      </c>
      <c r="AI123" s="19"/>
      <c r="AJ123" s="18">
        <f t="shared" si="34"/>
        <v>38.91887371353603</v>
      </c>
      <c r="AK123" s="20">
        <v>1530552</v>
      </c>
      <c r="AL123" s="21">
        <v>59567360</v>
      </c>
      <c r="AM123" s="21">
        <v>52682928</v>
      </c>
      <c r="AN123" s="21">
        <v>6883648</v>
      </c>
      <c r="AO123" s="37"/>
      <c r="AP123" s="38">
        <v>35.370800000000003</v>
      </c>
      <c r="AQ123" s="38">
        <v>39.532699999999998</v>
      </c>
      <c r="AR123" s="38">
        <v>38.9251</v>
      </c>
      <c r="AS123" s="39"/>
      <c r="AT123" s="38">
        <v>28.130800000000001</v>
      </c>
      <c r="AU123" s="38">
        <v>28.130800000000001</v>
      </c>
      <c r="AV123" s="38">
        <v>28.130800000000001</v>
      </c>
      <c r="AW123" s="39"/>
      <c r="AX123" s="49">
        <v>6.343</v>
      </c>
      <c r="AY123" s="49">
        <v>5.25</v>
      </c>
      <c r="BA123" s="53">
        <f t="shared" si="35"/>
        <v>-1.6391073488533081E-3</v>
      </c>
      <c r="BB123" s="53"/>
      <c r="BD123" s="54"/>
      <c r="BE123" s="54"/>
      <c r="BF123" s="54"/>
      <c r="BG123" s="61"/>
      <c r="BI123" s="54"/>
      <c r="BJ123" s="54"/>
      <c r="BK123" s="54"/>
      <c r="BL123" s="61"/>
      <c r="BN123" s="54"/>
      <c r="BO123" s="54"/>
      <c r="BP123" s="54"/>
      <c r="BQ123" s="61"/>
      <c r="BS123" s="54"/>
      <c r="BT123" s="54"/>
      <c r="BU123" s="54"/>
      <c r="BV123" s="61"/>
      <c r="BX123">
        <f t="shared" si="36"/>
        <v>0</v>
      </c>
      <c r="BY123">
        <f t="shared" si="37"/>
        <v>110192</v>
      </c>
      <c r="BZ123">
        <f t="shared" si="38"/>
        <v>0</v>
      </c>
      <c r="CA123">
        <f t="shared" si="39"/>
        <v>110192</v>
      </c>
      <c r="CB123">
        <f t="shared" si="40"/>
        <v>0</v>
      </c>
      <c r="CC123">
        <f t="shared" si="41"/>
        <v>7.4200000000004707E-2</v>
      </c>
      <c r="CD123">
        <f t="shared" si="42"/>
        <v>7.9999999999955662E-3</v>
      </c>
      <c r="CE123">
        <f t="shared" si="43"/>
        <v>6.9899999999996965E-2</v>
      </c>
      <c r="CF123">
        <f t="shared" si="44"/>
        <v>0</v>
      </c>
      <c r="CG123">
        <f t="shared" si="45"/>
        <v>0</v>
      </c>
      <c r="CH123">
        <f t="shared" si="46"/>
        <v>0</v>
      </c>
      <c r="CI123">
        <f t="shared" si="47"/>
        <v>0</v>
      </c>
      <c r="CJ123">
        <f t="shared" si="48"/>
        <v>0</v>
      </c>
    </row>
    <row r="124" spans="1:88" outlineLevel="1" x14ac:dyDescent="0.15">
      <c r="A124" s="8"/>
      <c r="B124" s="14" t="s">
        <v>128</v>
      </c>
      <c r="C124" s="15" t="s">
        <v>258</v>
      </c>
      <c r="D124" s="14">
        <v>1530552</v>
      </c>
      <c r="E124" s="16">
        <v>20</v>
      </c>
      <c r="F124" s="15">
        <v>1</v>
      </c>
      <c r="G124" s="15"/>
      <c r="I124" s="32" t="str">
        <f t="shared" si="25"/>
        <v>·</v>
      </c>
      <c r="J124" s="33">
        <f t="shared" si="26"/>
        <v>37.012000899022055</v>
      </c>
      <c r="K124" s="33">
        <f t="shared" si="27"/>
        <v>34.420867765355247</v>
      </c>
      <c r="L124" s="33">
        <f t="shared" si="28"/>
        <v>2.590620900171964</v>
      </c>
      <c r="M124" s="34"/>
      <c r="N124" s="33">
        <f t="shared" si="29"/>
        <v>37.012000899022055</v>
      </c>
      <c r="O124" s="35">
        <v>1530552</v>
      </c>
      <c r="P124" s="36">
        <v>56648792</v>
      </c>
      <c r="Q124" s="36">
        <v>52682928</v>
      </c>
      <c r="R124" s="36">
        <v>3965080</v>
      </c>
      <c r="S124" s="46"/>
      <c r="T124" s="47">
        <v>28.7028</v>
      </c>
      <c r="U124" s="47">
        <v>35.177100000000003</v>
      </c>
      <c r="V124" s="47">
        <v>34.296900000000001</v>
      </c>
      <c r="W124" s="48"/>
      <c r="X124" s="47">
        <v>21.686399999999999</v>
      </c>
      <c r="Y124" s="47">
        <v>21.686399999999999</v>
      </c>
      <c r="Z124" s="47">
        <v>21.686399999999999</v>
      </c>
      <c r="AA124" s="48"/>
      <c r="AB124" s="52">
        <v>6.2960000000000003</v>
      </c>
      <c r="AC124" s="52">
        <v>5.2649999999999997</v>
      </c>
      <c r="AE124" s="32" t="str">
        <f t="shared" si="30"/>
        <v>·</v>
      </c>
      <c r="AF124" s="33">
        <f t="shared" si="31"/>
        <v>37.016009910150061</v>
      </c>
      <c r="AG124" s="33">
        <f t="shared" si="32"/>
        <v>34.420867765355247</v>
      </c>
      <c r="AH124" s="33">
        <f t="shared" si="33"/>
        <v>2.5946299112999753</v>
      </c>
      <c r="AI124" s="34"/>
      <c r="AJ124" s="33">
        <f t="shared" si="34"/>
        <v>37.016009910150061</v>
      </c>
      <c r="AK124" s="35">
        <v>1530552</v>
      </c>
      <c r="AL124" s="36">
        <v>56654928</v>
      </c>
      <c r="AM124" s="36">
        <v>52682928</v>
      </c>
      <c r="AN124" s="36">
        <v>3971216</v>
      </c>
      <c r="AO124" s="46"/>
      <c r="AP124" s="47">
        <v>28.822500000000002</v>
      </c>
      <c r="AQ124" s="47">
        <v>35.377099999999999</v>
      </c>
      <c r="AR124" s="47">
        <v>34.435000000000002</v>
      </c>
      <c r="AS124" s="48"/>
      <c r="AT124" s="47">
        <v>21.686399999999999</v>
      </c>
      <c r="AU124" s="47">
        <v>21.686399999999999</v>
      </c>
      <c r="AV124" s="47">
        <v>21.686399999999999</v>
      </c>
      <c r="AW124" s="48"/>
      <c r="AX124" s="52">
        <v>6.2960000000000003</v>
      </c>
      <c r="AY124" s="52">
        <v>5.2809999999999997</v>
      </c>
      <c r="BA124" s="59">
        <f t="shared" si="35"/>
        <v>-1.0072259580917731E-4</v>
      </c>
      <c r="BB124" s="59"/>
      <c r="BD124" s="60"/>
      <c r="BE124" s="60"/>
      <c r="BF124" s="60"/>
      <c r="BG124" s="64"/>
      <c r="BI124" s="60"/>
      <c r="BJ124" s="60"/>
      <c r="BK124" s="60"/>
      <c r="BL124" s="64"/>
      <c r="BN124" s="60"/>
      <c r="BO124" s="60"/>
      <c r="BP124" s="60"/>
      <c r="BQ124" s="64"/>
      <c r="BS124" s="60"/>
      <c r="BT124" s="60"/>
      <c r="BU124" s="60"/>
      <c r="BV124" s="64"/>
      <c r="BX124">
        <f t="shared" si="36"/>
        <v>0</v>
      </c>
      <c r="BY124">
        <f t="shared" si="37"/>
        <v>6136</v>
      </c>
      <c r="BZ124">
        <f t="shared" si="38"/>
        <v>0</v>
      </c>
      <c r="CA124">
        <f t="shared" si="39"/>
        <v>6136</v>
      </c>
      <c r="CB124">
        <f t="shared" si="40"/>
        <v>0</v>
      </c>
      <c r="CC124">
        <f t="shared" si="41"/>
        <v>0.11970000000000169</v>
      </c>
      <c r="CD124">
        <f t="shared" si="42"/>
        <v>0.19999999999999574</v>
      </c>
      <c r="CE124">
        <f t="shared" si="43"/>
        <v>0.13810000000000144</v>
      </c>
      <c r="CF124">
        <f t="shared" si="44"/>
        <v>0</v>
      </c>
      <c r="CG124">
        <f t="shared" si="45"/>
        <v>0</v>
      </c>
      <c r="CH124">
        <f t="shared" si="46"/>
        <v>0</v>
      </c>
      <c r="CI124">
        <f t="shared" si="47"/>
        <v>0</v>
      </c>
      <c r="CJ124">
        <f t="shared" si="48"/>
        <v>0</v>
      </c>
    </row>
    <row r="125" spans="1:88" x14ac:dyDescent="0.15">
      <c r="A125" s="5"/>
      <c r="B125" s="5" t="s">
        <v>131</v>
      </c>
      <c r="C125" s="6" t="s">
        <v>254</v>
      </c>
      <c r="D125" s="5">
        <v>272689</v>
      </c>
      <c r="E125" s="7">
        <v>20</v>
      </c>
      <c r="F125" s="6">
        <v>1</v>
      </c>
      <c r="G125" s="6"/>
      <c r="I125" s="17" t="str">
        <f t="shared" si="25"/>
        <v>·</v>
      </c>
      <c r="J125" s="18">
        <f t="shared" si="26"/>
        <v>41.107195376417828</v>
      </c>
      <c r="K125" s="18">
        <f t="shared" si="27"/>
        <v>35.39316950812097</v>
      </c>
      <c r="L125" s="18">
        <f t="shared" si="28"/>
        <v>5.7120309216726746</v>
      </c>
      <c r="M125" s="19"/>
      <c r="N125" s="18">
        <f t="shared" si="29"/>
        <v>41.107195376417828</v>
      </c>
      <c r="O125" s="20">
        <v>272689</v>
      </c>
      <c r="P125" s="21">
        <v>11209480</v>
      </c>
      <c r="Q125" s="21">
        <v>9651328</v>
      </c>
      <c r="R125" s="21">
        <v>1557608</v>
      </c>
      <c r="S125" s="37"/>
      <c r="T125" s="38">
        <v>52.905799999999999</v>
      </c>
      <c r="U125" s="38">
        <v>54.748800000000003</v>
      </c>
      <c r="V125" s="38">
        <v>56.313600000000001</v>
      </c>
      <c r="W125" s="39"/>
      <c r="X125" s="38">
        <v>48.130800000000001</v>
      </c>
      <c r="Y125" s="38">
        <v>48.130800000000001</v>
      </c>
      <c r="Z125" s="38">
        <v>48.130800000000001</v>
      </c>
      <c r="AA125" s="39"/>
      <c r="AB125" s="49">
        <v>1.125</v>
      </c>
      <c r="AC125" s="49">
        <v>0.95299999999999996</v>
      </c>
      <c r="AE125" s="17" t="str">
        <f t="shared" si="30"/>
        <v>·</v>
      </c>
      <c r="AF125" s="18">
        <f t="shared" si="31"/>
        <v>41.136210114819448</v>
      </c>
      <c r="AG125" s="18">
        <f t="shared" si="32"/>
        <v>35.39316950812097</v>
      </c>
      <c r="AH125" s="18">
        <f t="shared" si="33"/>
        <v>5.7410456600742972</v>
      </c>
      <c r="AI125" s="19"/>
      <c r="AJ125" s="18">
        <f t="shared" si="34"/>
        <v>41.136210114819448</v>
      </c>
      <c r="AK125" s="20">
        <v>272689</v>
      </c>
      <c r="AL125" s="21">
        <v>11217392</v>
      </c>
      <c r="AM125" s="21">
        <v>9651328</v>
      </c>
      <c r="AN125" s="21">
        <v>1565520</v>
      </c>
      <c r="AO125" s="37"/>
      <c r="AP125" s="38">
        <v>52.9039</v>
      </c>
      <c r="AQ125" s="38">
        <v>54.744900000000001</v>
      </c>
      <c r="AR125" s="38">
        <v>56.314999999999998</v>
      </c>
      <c r="AS125" s="39"/>
      <c r="AT125" s="38">
        <v>48.130800000000001</v>
      </c>
      <c r="AU125" s="38">
        <v>48.130800000000001</v>
      </c>
      <c r="AV125" s="38">
        <v>48.130800000000001</v>
      </c>
      <c r="AW125" s="39"/>
      <c r="AX125" s="49">
        <v>1.0780000000000001</v>
      </c>
      <c r="AY125" s="49">
        <v>0.95299999999999996</v>
      </c>
      <c r="BA125" s="53">
        <f t="shared" si="35"/>
        <v>-6.0728980534052734E-4</v>
      </c>
      <c r="BB125" s="53">
        <f t="array" ref="BB125">AVERAGE(AM125:AM129/AL125:AL129)-AVERAGE(Q125:Q129/P125:P129)</f>
        <v>-9.0130793857534641E-4</v>
      </c>
      <c r="BD125" s="54">
        <f>IF(OR(ISBLANK(R125:R129),ISBLANK(AN125:AN129),ISBLANK(T125:T129),ISBLANK(AP125:AP129)),"·",bdRateExtend(R125:R129,T125:T129,AN125:AN129,AP125:AP129))</f>
        <v>3.1819926891065275E-2</v>
      </c>
      <c r="BE125" s="54">
        <f>IF(OR(ISBLANK(R125:R129),ISBLANK(AN125:AN129),ISBLANK(U125:U129),ISBLANK(AQ125:AQ129)),"·",bdRateExtend(R125:R129,U125:U129,AN125:AN129,AQ125:AQ129))</f>
        <v>5.4549999676438699E-2</v>
      </c>
      <c r="BF125" s="54">
        <f>IF(OR(ISBLANK(R125:R129),ISBLANK(AN125:AN129),ISBLANK(V125:V129),ISBLANK(AR125:AR129)),"·",bdRateExtend(R125:R129,V125:V129,AN125:AN129,AR125:AR129))</f>
        <v>1.368293293465328E-2</v>
      </c>
      <c r="BG125" s="61"/>
      <c r="BI125" s="54">
        <f>IF(OR(ISBLANK(R125:R129),ISBLANK(AN125:AN129),ISBLANK(X125:X129),ISBLANK(AT125:AT129)),"·",bdRateExtend(R125:R129,X125:X129,AN125:AN129,AT125:AT129))</f>
        <v>3.1469315031152023E-2</v>
      </c>
      <c r="BJ125" s="54">
        <f>IF(OR(ISBLANK(R125:R129),ISBLANK(AN125:AN129),ISBLANK(Y125:Y129),ISBLANK(AU125:AU129)),"·",bdRateExtend(R125:R129,Y125:Y129,AN125:AN129,AU125:AU129))</f>
        <v>3.1469315031152023E-2</v>
      </c>
      <c r="BK125" s="54">
        <f>IF(OR(ISBLANK(R125:R129),ISBLANK(AN125:AN129),ISBLANK(Z125:Z129),ISBLANK(AV125:AV129)),"·",bdRateExtend(R125:R129,Z125:Z129,AN125:AN129,AV125:AV129))</f>
        <v>3.1469315031152023E-2</v>
      </c>
      <c r="BL125" s="61"/>
      <c r="BN125" s="54">
        <f>IF(OR(ISBLANK(P125:P129),ISBLANK(AL125:AL129),ISBLANK(T125:T129),ISBLANK(AP125:AP129)),"·",bdRateExtend(P125:P129,T125:T129,AL125:AL129,AP125:AP129))</f>
        <v>1.0193253969277283E-3</v>
      </c>
      <c r="BO125" s="54">
        <f>IF(OR(ISBLANK(P125:P129),ISBLANK(AL125:AL129),ISBLANK(U125:U129),ISBLANK(AQ125:AQ129)),"·",bdRateExtend(P125:P129,U125:U129,AL125:AL129,AQ125:AQ129))</f>
        <v>1.2448747008739769E-3</v>
      </c>
      <c r="BP125" s="54">
        <f>IF(OR(ISBLANK(P125:P129),ISBLANK(AL125:AL129),ISBLANK(V125:V129),ISBLANK(AR125:AR129)),"·",bdRateExtend(P125:P129,V125:V129,AL125:AL129,AR125:AR129))</f>
        <v>7.4702948703708749E-4</v>
      </c>
      <c r="BQ125" s="61"/>
      <c r="BS125" s="54">
        <f>IF(OR(ISBLANK(P125:P129),ISBLANK(AL125:AL129),ISBLANK(X125:X129),ISBLANK(AT125:AT129)),"·",bdRateExtend(P125:P129,X125:X129,AL125:AL129,AT125:AT129))</f>
        <v>1.0011988571356767E-3</v>
      </c>
      <c r="BT125" s="54">
        <f>IF(OR(ISBLANK(P125:P129),ISBLANK(AL125:AL129),ISBLANK(Y125:Y129),ISBLANK(AU125:AU129)),"·",bdRateExtend(P125:P129,Y125:Y129,AL125:AL129,AU125:AU129))</f>
        <v>1.0011988571356767E-3</v>
      </c>
      <c r="BU125" s="54">
        <f>IF(OR(ISBLANK(P125:P129),ISBLANK(AL125:AL129),ISBLANK(Z125:Z129),ISBLANK(AV125:AV129)),"·",bdRateExtend(P125:P129,Z125:Z129,AL125:AL129,AV125:AV129))</f>
        <v>1.0011988571356767E-3</v>
      </c>
      <c r="BV125" s="61"/>
      <c r="BX125">
        <f t="shared" si="36"/>
        <v>0</v>
      </c>
      <c r="BY125">
        <f t="shared" si="37"/>
        <v>7912</v>
      </c>
      <c r="BZ125">
        <f t="shared" si="38"/>
        <v>0</v>
      </c>
      <c r="CA125">
        <f t="shared" si="39"/>
        <v>7912</v>
      </c>
      <c r="CB125">
        <f t="shared" si="40"/>
        <v>0</v>
      </c>
      <c r="CC125">
        <f t="shared" si="41"/>
        <v>-1.8999999999991246E-3</v>
      </c>
      <c r="CD125">
        <f t="shared" si="42"/>
        <v>-3.9000000000015689E-3</v>
      </c>
      <c r="CE125">
        <f t="shared" si="43"/>
        <v>1.3999999999967372E-3</v>
      </c>
      <c r="CF125">
        <f t="shared" si="44"/>
        <v>0</v>
      </c>
      <c r="CG125">
        <f t="shared" si="45"/>
        <v>0</v>
      </c>
      <c r="CH125">
        <f t="shared" si="46"/>
        <v>0</v>
      </c>
      <c r="CI125">
        <f t="shared" si="47"/>
        <v>0</v>
      </c>
      <c r="CJ125">
        <f t="shared" si="48"/>
        <v>0</v>
      </c>
    </row>
    <row r="126" spans="1:88" outlineLevel="1" x14ac:dyDescent="0.15">
      <c r="A126" s="8"/>
      <c r="B126" s="8" t="s">
        <v>131</v>
      </c>
      <c r="C126" s="9" t="s">
        <v>255</v>
      </c>
      <c r="D126" s="8">
        <v>272689</v>
      </c>
      <c r="E126" s="10">
        <v>20</v>
      </c>
      <c r="F126" s="9">
        <v>1</v>
      </c>
      <c r="G126" s="9"/>
      <c r="I126" s="22" t="str">
        <f t="shared" si="25"/>
        <v>·</v>
      </c>
      <c r="J126" s="23">
        <f t="shared" si="26"/>
        <v>39.150270087902335</v>
      </c>
      <c r="K126" s="23">
        <f t="shared" si="27"/>
        <v>35.39316950812097</v>
      </c>
      <c r="L126" s="23">
        <f t="shared" si="28"/>
        <v>3.7551056331571866</v>
      </c>
      <c r="M126" s="24"/>
      <c r="N126" s="23">
        <f t="shared" si="29"/>
        <v>39.150270087902335</v>
      </c>
      <c r="O126" s="25">
        <v>272689</v>
      </c>
      <c r="P126" s="26">
        <v>10675848</v>
      </c>
      <c r="Q126" s="26">
        <v>9651328</v>
      </c>
      <c r="R126" s="26">
        <v>1023976</v>
      </c>
      <c r="S126" s="40"/>
      <c r="T126" s="41">
        <v>48.248600000000003</v>
      </c>
      <c r="U126" s="41">
        <v>51.232500000000002</v>
      </c>
      <c r="V126" s="41">
        <v>51.023899999999998</v>
      </c>
      <c r="W126" s="42"/>
      <c r="X126" s="41">
        <v>42.110199999999999</v>
      </c>
      <c r="Y126" s="41">
        <v>42.110199999999999</v>
      </c>
      <c r="Z126" s="41">
        <v>42.110199999999999</v>
      </c>
      <c r="AA126" s="42"/>
      <c r="AB126" s="50">
        <v>1.0780000000000001</v>
      </c>
      <c r="AC126" s="50">
        <v>0.92100000000000004</v>
      </c>
      <c r="AE126" s="22" t="str">
        <f t="shared" si="30"/>
        <v>·</v>
      </c>
      <c r="AF126" s="23">
        <f t="shared" si="31"/>
        <v>39.188350098463815</v>
      </c>
      <c r="AG126" s="23">
        <f t="shared" si="32"/>
        <v>35.39316950812097</v>
      </c>
      <c r="AH126" s="23">
        <f t="shared" si="33"/>
        <v>3.7931856437186684</v>
      </c>
      <c r="AI126" s="24"/>
      <c r="AJ126" s="23">
        <f t="shared" si="34"/>
        <v>39.188350098463815</v>
      </c>
      <c r="AK126" s="25">
        <v>272689</v>
      </c>
      <c r="AL126" s="26">
        <v>10686232</v>
      </c>
      <c r="AM126" s="26">
        <v>9651328</v>
      </c>
      <c r="AN126" s="26">
        <v>1034360</v>
      </c>
      <c r="AO126" s="40"/>
      <c r="AP126" s="41">
        <v>48.247100000000003</v>
      </c>
      <c r="AQ126" s="41">
        <v>51.241500000000002</v>
      </c>
      <c r="AR126" s="41">
        <v>51.026200000000003</v>
      </c>
      <c r="AS126" s="42"/>
      <c r="AT126" s="41">
        <v>42.110199999999999</v>
      </c>
      <c r="AU126" s="41">
        <v>42.110199999999999</v>
      </c>
      <c r="AV126" s="41">
        <v>42.110199999999999</v>
      </c>
      <c r="AW126" s="42"/>
      <c r="AX126" s="50">
        <v>1.046</v>
      </c>
      <c r="AY126" s="50">
        <v>0.93700000000000006</v>
      </c>
      <c r="BA126" s="55">
        <f t="shared" si="35"/>
        <v>-8.7846563017823787E-4</v>
      </c>
      <c r="BB126" s="55"/>
      <c r="BD126" s="56"/>
      <c r="BE126" s="56"/>
      <c r="BF126" s="56"/>
      <c r="BG126" s="62"/>
      <c r="BI126" s="56"/>
      <c r="BJ126" s="56"/>
      <c r="BK126" s="56"/>
      <c r="BL126" s="62"/>
      <c r="BN126" s="56"/>
      <c r="BO126" s="56"/>
      <c r="BP126" s="56"/>
      <c r="BQ126" s="62"/>
      <c r="BS126" s="56"/>
      <c r="BT126" s="56"/>
      <c r="BU126" s="56"/>
      <c r="BV126" s="62"/>
      <c r="BX126">
        <f t="shared" si="36"/>
        <v>0</v>
      </c>
      <c r="BY126">
        <f t="shared" si="37"/>
        <v>10384</v>
      </c>
      <c r="BZ126">
        <f t="shared" si="38"/>
        <v>0</v>
      </c>
      <c r="CA126">
        <f t="shared" si="39"/>
        <v>10384</v>
      </c>
      <c r="CB126">
        <f t="shared" si="40"/>
        <v>0</v>
      </c>
      <c r="CC126">
        <f t="shared" si="41"/>
        <v>-1.5000000000000568E-3</v>
      </c>
      <c r="CD126">
        <f t="shared" si="42"/>
        <v>9.0000000000003411E-3</v>
      </c>
      <c r="CE126">
        <f t="shared" si="43"/>
        <v>2.3000000000052978E-3</v>
      </c>
      <c r="CF126">
        <f t="shared" si="44"/>
        <v>0</v>
      </c>
      <c r="CG126">
        <f t="shared" si="45"/>
        <v>0</v>
      </c>
      <c r="CH126">
        <f t="shared" si="46"/>
        <v>0</v>
      </c>
      <c r="CI126">
        <f t="shared" si="47"/>
        <v>0</v>
      </c>
      <c r="CJ126">
        <f t="shared" si="48"/>
        <v>0</v>
      </c>
    </row>
    <row r="127" spans="1:88" outlineLevel="1" x14ac:dyDescent="0.15">
      <c r="A127" s="5"/>
      <c r="B127" s="5" t="s">
        <v>131</v>
      </c>
      <c r="C127" s="6" t="s">
        <v>256</v>
      </c>
      <c r="D127" s="5">
        <v>272689</v>
      </c>
      <c r="E127" s="7">
        <v>20</v>
      </c>
      <c r="F127" s="6">
        <v>1</v>
      </c>
      <c r="G127" s="6"/>
      <c r="I127" s="17" t="str">
        <f t="shared" si="25"/>
        <v>·</v>
      </c>
      <c r="J127" s="18">
        <f t="shared" si="26"/>
        <v>37.191203165510892</v>
      </c>
      <c r="K127" s="18">
        <f t="shared" si="27"/>
        <v>35.39316950812097</v>
      </c>
      <c r="L127" s="18">
        <f t="shared" si="28"/>
        <v>1.7960387107657441</v>
      </c>
      <c r="M127" s="19"/>
      <c r="N127" s="18">
        <f t="shared" si="29"/>
        <v>37.191203165510892</v>
      </c>
      <c r="O127" s="20">
        <v>272689</v>
      </c>
      <c r="P127" s="21">
        <v>10141632</v>
      </c>
      <c r="Q127" s="21">
        <v>9651328</v>
      </c>
      <c r="R127" s="21">
        <v>489760</v>
      </c>
      <c r="S127" s="37"/>
      <c r="T127" s="38">
        <v>41.395200000000003</v>
      </c>
      <c r="U127" s="38">
        <v>46.292999999999999</v>
      </c>
      <c r="V127" s="38">
        <v>46.025199999999998</v>
      </c>
      <c r="W127" s="39"/>
      <c r="X127" s="38">
        <v>34.151400000000002</v>
      </c>
      <c r="Y127" s="38">
        <v>34.151400000000002</v>
      </c>
      <c r="Z127" s="38">
        <v>34.151400000000002</v>
      </c>
      <c r="AA127" s="39"/>
      <c r="AB127" s="49">
        <v>1.109</v>
      </c>
      <c r="AC127" s="49">
        <v>0.93700000000000006</v>
      </c>
      <c r="AE127" s="17" t="str">
        <f t="shared" si="30"/>
        <v>·</v>
      </c>
      <c r="AF127" s="18">
        <f t="shared" si="31"/>
        <v>37.232216921107927</v>
      </c>
      <c r="AG127" s="18">
        <f t="shared" si="32"/>
        <v>35.39316950812097</v>
      </c>
      <c r="AH127" s="18">
        <f t="shared" si="33"/>
        <v>1.8370524663627796</v>
      </c>
      <c r="AI127" s="19"/>
      <c r="AJ127" s="18">
        <f t="shared" si="34"/>
        <v>37.232216921107927</v>
      </c>
      <c r="AK127" s="20">
        <v>272689</v>
      </c>
      <c r="AL127" s="21">
        <v>10152816</v>
      </c>
      <c r="AM127" s="21">
        <v>9651328</v>
      </c>
      <c r="AN127" s="21">
        <v>500944</v>
      </c>
      <c r="AO127" s="37"/>
      <c r="AP127" s="38">
        <v>41.389600000000002</v>
      </c>
      <c r="AQ127" s="38">
        <v>46.273899999999998</v>
      </c>
      <c r="AR127" s="38">
        <v>46.037399999999998</v>
      </c>
      <c r="AS127" s="39"/>
      <c r="AT127" s="38">
        <v>34.151400000000002</v>
      </c>
      <c r="AU127" s="38">
        <v>34.151400000000002</v>
      </c>
      <c r="AV127" s="38">
        <v>34.151400000000002</v>
      </c>
      <c r="AW127" s="39"/>
      <c r="AX127" s="49">
        <v>1.093</v>
      </c>
      <c r="AY127" s="49">
        <v>0.90600000000000003</v>
      </c>
      <c r="BA127" s="53">
        <f t="shared" si="35"/>
        <v>-1.0483103426703888E-3</v>
      </c>
      <c r="BB127" s="53"/>
      <c r="BD127" s="54"/>
      <c r="BE127" s="54"/>
      <c r="BF127" s="54"/>
      <c r="BG127" s="61"/>
      <c r="BI127" s="54"/>
      <c r="BJ127" s="54"/>
      <c r="BK127" s="54"/>
      <c r="BL127" s="61"/>
      <c r="BN127" s="54"/>
      <c r="BO127" s="54"/>
      <c r="BP127" s="54"/>
      <c r="BQ127" s="61"/>
      <c r="BS127" s="54"/>
      <c r="BT127" s="54"/>
      <c r="BU127" s="54"/>
      <c r="BV127" s="61"/>
      <c r="BX127">
        <f t="shared" si="36"/>
        <v>0</v>
      </c>
      <c r="BY127">
        <f t="shared" si="37"/>
        <v>11184</v>
      </c>
      <c r="BZ127">
        <f t="shared" si="38"/>
        <v>0</v>
      </c>
      <c r="CA127">
        <f t="shared" si="39"/>
        <v>11184</v>
      </c>
      <c r="CB127">
        <f t="shared" si="40"/>
        <v>0</v>
      </c>
      <c r="CC127">
        <f t="shared" si="41"/>
        <v>-5.6000000000011596E-3</v>
      </c>
      <c r="CD127">
        <f t="shared" si="42"/>
        <v>-1.9100000000001671E-2</v>
      </c>
      <c r="CE127">
        <f t="shared" si="43"/>
        <v>1.2199999999999989E-2</v>
      </c>
      <c r="CF127">
        <f t="shared" si="44"/>
        <v>0</v>
      </c>
      <c r="CG127">
        <f t="shared" si="45"/>
        <v>0</v>
      </c>
      <c r="CH127">
        <f t="shared" si="46"/>
        <v>0</v>
      </c>
      <c r="CI127">
        <f t="shared" si="47"/>
        <v>0</v>
      </c>
      <c r="CJ127">
        <f t="shared" si="48"/>
        <v>0</v>
      </c>
    </row>
    <row r="128" spans="1:88" outlineLevel="1" x14ac:dyDescent="0.15">
      <c r="A128" s="8"/>
      <c r="B128" s="8" t="s">
        <v>131</v>
      </c>
      <c r="C128" s="9" t="s">
        <v>257</v>
      </c>
      <c r="D128" s="8">
        <v>272689</v>
      </c>
      <c r="E128" s="10">
        <v>20</v>
      </c>
      <c r="F128" s="9">
        <v>1</v>
      </c>
      <c r="G128" s="9"/>
      <c r="I128" s="22" t="str">
        <f t="shared" si="25"/>
        <v>·</v>
      </c>
      <c r="J128" s="23">
        <f t="shared" si="26"/>
        <v>36.238440127764598</v>
      </c>
      <c r="K128" s="23">
        <f t="shared" si="27"/>
        <v>35.39316950812097</v>
      </c>
      <c r="L128" s="23">
        <f t="shared" si="28"/>
        <v>0.84327567301944706</v>
      </c>
      <c r="M128" s="24"/>
      <c r="N128" s="23">
        <f t="shared" si="29"/>
        <v>36.238440127764598</v>
      </c>
      <c r="O128" s="25">
        <v>272689</v>
      </c>
      <c r="P128" s="26">
        <v>9881824</v>
      </c>
      <c r="Q128" s="26">
        <v>9651328</v>
      </c>
      <c r="R128" s="26">
        <v>229952</v>
      </c>
      <c r="S128" s="40"/>
      <c r="T128" s="41">
        <v>36.064900000000002</v>
      </c>
      <c r="U128" s="41">
        <v>42.298900000000003</v>
      </c>
      <c r="V128" s="41">
        <v>41.384700000000002</v>
      </c>
      <c r="W128" s="42"/>
      <c r="X128" s="41">
        <v>28.130800000000001</v>
      </c>
      <c r="Y128" s="41">
        <v>28.130800000000001</v>
      </c>
      <c r="Z128" s="41">
        <v>28.130800000000001</v>
      </c>
      <c r="AA128" s="42"/>
      <c r="AB128" s="50">
        <v>1.046</v>
      </c>
      <c r="AC128" s="50">
        <v>0.90600000000000003</v>
      </c>
      <c r="AE128" s="22" t="str">
        <f t="shared" si="30"/>
        <v>·</v>
      </c>
      <c r="AF128" s="23">
        <f t="shared" si="31"/>
        <v>36.275904051868615</v>
      </c>
      <c r="AG128" s="23">
        <f t="shared" si="32"/>
        <v>35.39316950812097</v>
      </c>
      <c r="AH128" s="23">
        <f t="shared" si="33"/>
        <v>0.88073959712346295</v>
      </c>
      <c r="AI128" s="24"/>
      <c r="AJ128" s="23">
        <f t="shared" si="34"/>
        <v>36.275904051868615</v>
      </c>
      <c r="AK128" s="25">
        <v>272689</v>
      </c>
      <c r="AL128" s="26">
        <v>9892040</v>
      </c>
      <c r="AM128" s="26">
        <v>9651328</v>
      </c>
      <c r="AN128" s="26">
        <v>240168</v>
      </c>
      <c r="AO128" s="40"/>
      <c r="AP128" s="41">
        <v>36.050400000000003</v>
      </c>
      <c r="AQ128" s="41">
        <v>42.1922</v>
      </c>
      <c r="AR128" s="41">
        <v>41.490900000000003</v>
      </c>
      <c r="AS128" s="42"/>
      <c r="AT128" s="41">
        <v>28.130800000000001</v>
      </c>
      <c r="AU128" s="41">
        <v>28.130800000000001</v>
      </c>
      <c r="AV128" s="41">
        <v>28.130800000000001</v>
      </c>
      <c r="AW128" s="42"/>
      <c r="AX128" s="50">
        <v>1.0620000000000001</v>
      </c>
      <c r="AY128" s="50">
        <v>0.90600000000000003</v>
      </c>
      <c r="BA128" s="55">
        <f t="shared" si="35"/>
        <v>-1.0086604241159591E-3</v>
      </c>
      <c r="BB128" s="55"/>
      <c r="BD128" s="56"/>
      <c r="BE128" s="56"/>
      <c r="BF128" s="56"/>
      <c r="BG128" s="62"/>
      <c r="BI128" s="56"/>
      <c r="BJ128" s="56"/>
      <c r="BK128" s="56"/>
      <c r="BL128" s="62"/>
      <c r="BN128" s="56"/>
      <c r="BO128" s="56"/>
      <c r="BP128" s="56"/>
      <c r="BQ128" s="62"/>
      <c r="BS128" s="56"/>
      <c r="BT128" s="56"/>
      <c r="BU128" s="56"/>
      <c r="BV128" s="62"/>
      <c r="BX128">
        <f t="shared" si="36"/>
        <v>0</v>
      </c>
      <c r="BY128">
        <f t="shared" si="37"/>
        <v>10216</v>
      </c>
      <c r="BZ128">
        <f t="shared" si="38"/>
        <v>0</v>
      </c>
      <c r="CA128">
        <f t="shared" si="39"/>
        <v>10216</v>
      </c>
      <c r="CB128">
        <f t="shared" si="40"/>
        <v>0</v>
      </c>
      <c r="CC128">
        <f t="shared" si="41"/>
        <v>-1.4499999999998181E-2</v>
      </c>
      <c r="CD128">
        <f t="shared" si="42"/>
        <v>-0.10670000000000357</v>
      </c>
      <c r="CE128">
        <f t="shared" si="43"/>
        <v>0.10620000000000118</v>
      </c>
      <c r="CF128">
        <f t="shared" si="44"/>
        <v>0</v>
      </c>
      <c r="CG128">
        <f t="shared" si="45"/>
        <v>0</v>
      </c>
      <c r="CH128">
        <f t="shared" si="46"/>
        <v>0</v>
      </c>
      <c r="CI128">
        <f t="shared" si="47"/>
        <v>0</v>
      </c>
      <c r="CJ128">
        <f t="shared" si="48"/>
        <v>0</v>
      </c>
    </row>
    <row r="129" spans="1:88" outlineLevel="1" x14ac:dyDescent="0.15">
      <c r="A129" s="5"/>
      <c r="B129" s="11" t="s">
        <v>131</v>
      </c>
      <c r="C129" s="12" t="s">
        <v>258</v>
      </c>
      <c r="D129" s="11">
        <v>272689</v>
      </c>
      <c r="E129" s="13">
        <v>20</v>
      </c>
      <c r="F129" s="12">
        <v>1</v>
      </c>
      <c r="G129" s="12"/>
      <c r="I129" s="27" t="str">
        <f t="shared" si="25"/>
        <v>·</v>
      </c>
      <c r="J129" s="28">
        <f t="shared" si="26"/>
        <v>35.697604230460342</v>
      </c>
      <c r="K129" s="28">
        <f t="shared" si="27"/>
        <v>35.39316950812097</v>
      </c>
      <c r="L129" s="28">
        <f t="shared" si="28"/>
        <v>0.30243977571519204</v>
      </c>
      <c r="M129" s="29"/>
      <c r="N129" s="28">
        <f t="shared" si="29"/>
        <v>35.697604230460342</v>
      </c>
      <c r="O129" s="30">
        <v>272689</v>
      </c>
      <c r="P129" s="31">
        <v>9734344</v>
      </c>
      <c r="Q129" s="31">
        <v>9651328</v>
      </c>
      <c r="R129" s="31">
        <v>82472</v>
      </c>
      <c r="S129" s="43"/>
      <c r="T129" s="44">
        <v>29.992799999999999</v>
      </c>
      <c r="U129" s="44">
        <v>36.580399999999997</v>
      </c>
      <c r="V129" s="44">
        <v>36.744399999999999</v>
      </c>
      <c r="W129" s="45"/>
      <c r="X129" s="44">
        <v>21.686399999999999</v>
      </c>
      <c r="Y129" s="44">
        <v>21.686399999999999</v>
      </c>
      <c r="Z129" s="44">
        <v>21.686399999999999</v>
      </c>
      <c r="AA129" s="45"/>
      <c r="AB129" s="51">
        <v>1.0620000000000001</v>
      </c>
      <c r="AC129" s="51">
        <v>0.92100000000000004</v>
      </c>
      <c r="AE129" s="27" t="str">
        <f t="shared" si="30"/>
        <v>·</v>
      </c>
      <c r="AF129" s="28">
        <f t="shared" si="31"/>
        <v>35.732339771681289</v>
      </c>
      <c r="AG129" s="28">
        <f t="shared" si="32"/>
        <v>35.39316950812097</v>
      </c>
      <c r="AH129" s="28">
        <f t="shared" si="33"/>
        <v>0.33717531693614339</v>
      </c>
      <c r="AI129" s="29"/>
      <c r="AJ129" s="28">
        <f t="shared" si="34"/>
        <v>35.732339771681289</v>
      </c>
      <c r="AK129" s="30">
        <v>272689</v>
      </c>
      <c r="AL129" s="31">
        <v>9743816</v>
      </c>
      <c r="AM129" s="31">
        <v>9651328</v>
      </c>
      <c r="AN129" s="31">
        <v>91944</v>
      </c>
      <c r="AO129" s="43"/>
      <c r="AP129" s="44">
        <v>30.096900000000002</v>
      </c>
      <c r="AQ129" s="44">
        <v>35.934399999999997</v>
      </c>
      <c r="AR129" s="44">
        <v>37.231099999999998</v>
      </c>
      <c r="AS129" s="45"/>
      <c r="AT129" s="44">
        <v>21.686399999999999</v>
      </c>
      <c r="AU129" s="44">
        <v>21.686399999999999</v>
      </c>
      <c r="AV129" s="44">
        <v>21.686399999999999</v>
      </c>
      <c r="AW129" s="45"/>
      <c r="AX129" s="51">
        <v>1.0620000000000001</v>
      </c>
      <c r="AY129" s="51">
        <v>0.875</v>
      </c>
      <c r="BA129" s="57">
        <f t="shared" si="35"/>
        <v>-9.6381349057139687E-4</v>
      </c>
      <c r="BB129" s="57"/>
      <c r="BD129" s="58"/>
      <c r="BE129" s="58"/>
      <c r="BF129" s="58"/>
      <c r="BG129" s="63"/>
      <c r="BI129" s="58"/>
      <c r="BJ129" s="58"/>
      <c r="BK129" s="58"/>
      <c r="BL129" s="63"/>
      <c r="BN129" s="58"/>
      <c r="BO129" s="58"/>
      <c r="BP129" s="58"/>
      <c r="BQ129" s="63"/>
      <c r="BS129" s="58"/>
      <c r="BT129" s="58"/>
      <c r="BU129" s="58"/>
      <c r="BV129" s="63"/>
      <c r="BX129">
        <f t="shared" si="36"/>
        <v>0</v>
      </c>
      <c r="BY129">
        <f t="shared" si="37"/>
        <v>9472</v>
      </c>
      <c r="BZ129">
        <f t="shared" si="38"/>
        <v>0</v>
      </c>
      <c r="CA129">
        <f t="shared" si="39"/>
        <v>9472</v>
      </c>
      <c r="CB129">
        <f t="shared" si="40"/>
        <v>0</v>
      </c>
      <c r="CC129">
        <f t="shared" si="41"/>
        <v>0.10410000000000252</v>
      </c>
      <c r="CD129">
        <f t="shared" si="42"/>
        <v>-0.6460000000000008</v>
      </c>
      <c r="CE129">
        <f t="shared" si="43"/>
        <v>0.48669999999999902</v>
      </c>
      <c r="CF129">
        <f t="shared" si="44"/>
        <v>0</v>
      </c>
      <c r="CG129">
        <f t="shared" si="45"/>
        <v>0</v>
      </c>
      <c r="CH129">
        <f t="shared" si="46"/>
        <v>0</v>
      </c>
      <c r="CI129">
        <f t="shared" si="47"/>
        <v>0</v>
      </c>
      <c r="CJ129">
        <f t="shared" si="48"/>
        <v>0</v>
      </c>
    </row>
    <row r="130" spans="1:88" x14ac:dyDescent="0.15">
      <c r="A130" s="8"/>
      <c r="B130" s="8" t="s">
        <v>134</v>
      </c>
      <c r="C130" s="9" t="s">
        <v>254</v>
      </c>
      <c r="D130" s="8">
        <v>1602990</v>
      </c>
      <c r="E130" s="10">
        <v>20</v>
      </c>
      <c r="F130" s="9">
        <v>1</v>
      </c>
      <c r="G130" s="9"/>
      <c r="I130" s="22" t="str">
        <f t="shared" si="25"/>
        <v>·</v>
      </c>
      <c r="J130" s="23">
        <f t="shared" si="26"/>
        <v>36.518740603497214</v>
      </c>
      <c r="K130" s="23">
        <f t="shared" si="27"/>
        <v>28.597982520165441</v>
      </c>
      <c r="L130" s="23">
        <f t="shared" si="28"/>
        <v>7.9203688107848462</v>
      </c>
      <c r="M130" s="24"/>
      <c r="N130" s="23">
        <f t="shared" si="29"/>
        <v>36.518740603497214</v>
      </c>
      <c r="O130" s="25">
        <v>1602990</v>
      </c>
      <c r="P130" s="26">
        <v>58539176</v>
      </c>
      <c r="Q130" s="26">
        <v>45842280</v>
      </c>
      <c r="R130" s="26">
        <v>12696272</v>
      </c>
      <c r="S130" s="40"/>
      <c r="T130" s="41">
        <v>53.428899999999999</v>
      </c>
      <c r="U130" s="41">
        <v>55.401299999999999</v>
      </c>
      <c r="V130" s="41">
        <v>54.7624</v>
      </c>
      <c r="W130" s="42"/>
      <c r="X130" s="41">
        <v>48.130800000000001</v>
      </c>
      <c r="Y130" s="41">
        <v>48.130800000000001</v>
      </c>
      <c r="Z130" s="41">
        <v>48.130800000000001</v>
      </c>
      <c r="AA130" s="42"/>
      <c r="AB130" s="50">
        <v>6.2649999999999997</v>
      </c>
      <c r="AC130" s="50">
        <v>5.468</v>
      </c>
      <c r="AE130" s="22" t="str">
        <f t="shared" si="30"/>
        <v>·</v>
      </c>
      <c r="AF130" s="23">
        <f t="shared" si="31"/>
        <v>36.609371237499921</v>
      </c>
      <c r="AG130" s="23">
        <f t="shared" si="32"/>
        <v>28.597982520165441</v>
      </c>
      <c r="AH130" s="23">
        <f t="shared" si="33"/>
        <v>8.0109994447875525</v>
      </c>
      <c r="AI130" s="24"/>
      <c r="AJ130" s="23">
        <f t="shared" si="34"/>
        <v>36.609371237499921</v>
      </c>
      <c r="AK130" s="25">
        <v>1602990</v>
      </c>
      <c r="AL130" s="26">
        <v>58684456</v>
      </c>
      <c r="AM130" s="26">
        <v>45842280</v>
      </c>
      <c r="AN130" s="26">
        <v>12841552</v>
      </c>
      <c r="AO130" s="40"/>
      <c r="AP130" s="41">
        <v>53.436599999999999</v>
      </c>
      <c r="AQ130" s="41">
        <v>55.376800000000003</v>
      </c>
      <c r="AR130" s="41">
        <v>54.7455</v>
      </c>
      <c r="AS130" s="42"/>
      <c r="AT130" s="41">
        <v>48.130800000000001</v>
      </c>
      <c r="AU130" s="41">
        <v>48.130800000000001</v>
      </c>
      <c r="AV130" s="41">
        <v>48.130800000000001</v>
      </c>
      <c r="AW130" s="42"/>
      <c r="AX130" s="50">
        <v>6.2960000000000003</v>
      </c>
      <c r="AY130" s="50">
        <v>5.468</v>
      </c>
      <c r="BA130" s="55">
        <f t="shared" si="35"/>
        <v>-1.9386631376792085E-3</v>
      </c>
      <c r="BB130" s="55">
        <f t="array" ref="BB130">AVERAGE(AM130:AM134/AL130:AL134)-AVERAGE(Q130:Q134/P130:P134)</f>
        <v>-1.6489413510397677E-3</v>
      </c>
      <c r="BD130" s="56">
        <f>IF(OR(ISBLANK(R130:R134),ISBLANK(AN130:AN134),ISBLANK(T130:T134),ISBLANK(AP130:AP134)),"·",bdRateExtend(R130:R134,T130:T134,AN130:AN134,AP130:AP134))</f>
        <v>1.6795641463313693E-2</v>
      </c>
      <c r="BE130" s="56">
        <f>IF(OR(ISBLANK(R130:R134),ISBLANK(AN130:AN134),ISBLANK(U130:U134),ISBLANK(AQ130:AQ134)),"·",bdRateExtend(R130:R134,U130:U134,AN130:AN134,AQ130:AQ134))</f>
        <v>2.9088905452347324E-2</v>
      </c>
      <c r="BF130" s="56">
        <f>IF(OR(ISBLANK(R130:R134),ISBLANK(AN130:AN134),ISBLANK(V130:V134),ISBLANK(AR130:AR134)),"·",bdRateExtend(R130:R134,V130:V134,AN130:AN134,AR130:AR134))</f>
        <v>1.7423044634196305E-2</v>
      </c>
      <c r="BG130" s="62"/>
      <c r="BI130" s="56">
        <f>IF(OR(ISBLANK(R130:R134),ISBLANK(AN130:AN134),ISBLANK(X130:X134),ISBLANK(AT130:AT134)),"·",bdRateExtend(R130:R134,X130:X134,AN130:AN134,AT130:AT134))</f>
        <v>1.9125002556212189E-2</v>
      </c>
      <c r="BJ130" s="56">
        <f>IF(OR(ISBLANK(R130:R134),ISBLANK(AN130:AN134),ISBLANK(Y130:Y134),ISBLANK(AU130:AU134)),"·",bdRateExtend(R130:R134,Y130:Y134,AN130:AN134,AU130:AU134))</f>
        <v>1.9125002556212189E-2</v>
      </c>
      <c r="BK130" s="56">
        <f>IF(OR(ISBLANK(R130:R134),ISBLANK(AN130:AN134),ISBLANK(Z130:Z134),ISBLANK(AV130:AV134)),"·",bdRateExtend(R130:R134,Z130:Z134,AN130:AN134,AV130:AV134))</f>
        <v>1.9125002556212189E-2</v>
      </c>
      <c r="BL130" s="62"/>
      <c r="BN130" s="56">
        <f>IF(OR(ISBLANK(P130:P134),ISBLANK(AL130:AL134),ISBLANK(T130:T134),ISBLANK(AP130:AP134)),"·",bdRateExtend(P130:P134,T130:T134,AL130:AL134,AP130:AP134))</f>
        <v>2.0319020164238921E-3</v>
      </c>
      <c r="BO130" s="56">
        <f>IF(OR(ISBLANK(P130:P134),ISBLANK(AL130:AL134),ISBLANK(U130:U134),ISBLANK(AQ130:AQ134)),"·",bdRateExtend(P130:P134,U130:U134,AL130:AL134,AQ130:AQ134))</f>
        <v>3.0045317869713539E-3</v>
      </c>
      <c r="BP130" s="56">
        <f>IF(OR(ISBLANK(P130:P134),ISBLANK(AL130:AL134),ISBLANK(V130:V134),ISBLANK(AR130:AR134)),"·",bdRateExtend(P130:P134,V130:V134,AL130:AL134,AR130:AR134))</f>
        <v>2.3557762224510892E-3</v>
      </c>
      <c r="BQ130" s="62"/>
      <c r="BS130" s="56">
        <f>IF(OR(ISBLANK(P130:P134),ISBLANK(AL130:AL134),ISBLANK(X130:X134),ISBLANK(AT130:AT134)),"·",bdRateExtend(P130:P134,X130:X134,AL130:AL134,AT130:AT134))</f>
        <v>2.2182517873488017E-3</v>
      </c>
      <c r="BT130" s="56">
        <f>IF(OR(ISBLANK(P130:P134),ISBLANK(AL130:AL134),ISBLANK(Y130:Y134),ISBLANK(AU130:AU134)),"·",bdRateExtend(P130:P134,Y130:Y134,AL130:AL134,AU130:AU134))</f>
        <v>2.2182517873488017E-3</v>
      </c>
      <c r="BU130" s="56">
        <f>IF(OR(ISBLANK(P130:P134),ISBLANK(AL130:AL134),ISBLANK(Z130:Z134),ISBLANK(AV130:AV134)),"·",bdRateExtend(P130:P134,Z130:Z134,AL130:AL134,AV130:AV134))</f>
        <v>2.2182517873488017E-3</v>
      </c>
      <c r="BV130" s="62"/>
      <c r="BX130">
        <f t="shared" si="36"/>
        <v>0</v>
      </c>
      <c r="BY130">
        <f t="shared" si="37"/>
        <v>145280</v>
      </c>
      <c r="BZ130">
        <f t="shared" si="38"/>
        <v>0</v>
      </c>
      <c r="CA130">
        <f t="shared" si="39"/>
        <v>145280</v>
      </c>
      <c r="CB130">
        <f t="shared" si="40"/>
        <v>0</v>
      </c>
      <c r="CC130">
        <f t="shared" si="41"/>
        <v>7.6999999999998181E-3</v>
      </c>
      <c r="CD130">
        <f t="shared" si="42"/>
        <v>-2.4499999999996191E-2</v>
      </c>
      <c r="CE130">
        <f t="shared" si="43"/>
        <v>-1.6899999999999693E-2</v>
      </c>
      <c r="CF130">
        <f t="shared" si="44"/>
        <v>0</v>
      </c>
      <c r="CG130">
        <f t="shared" si="45"/>
        <v>0</v>
      </c>
      <c r="CH130">
        <f t="shared" si="46"/>
        <v>0</v>
      </c>
      <c r="CI130">
        <f t="shared" si="47"/>
        <v>0</v>
      </c>
      <c r="CJ130">
        <f t="shared" si="48"/>
        <v>0</v>
      </c>
    </row>
    <row r="131" spans="1:88" outlineLevel="1" x14ac:dyDescent="0.15">
      <c r="A131" s="5"/>
      <c r="B131" s="5" t="s">
        <v>134</v>
      </c>
      <c r="C131" s="6" t="s">
        <v>255</v>
      </c>
      <c r="D131" s="5">
        <v>1602990</v>
      </c>
      <c r="E131" s="7">
        <v>20</v>
      </c>
      <c r="F131" s="6">
        <v>1</v>
      </c>
      <c r="G131" s="6"/>
      <c r="I131" s="17" t="str">
        <f t="shared" si="25"/>
        <v>·</v>
      </c>
      <c r="J131" s="18">
        <f t="shared" si="26"/>
        <v>34.315148566117067</v>
      </c>
      <c r="K131" s="18">
        <f t="shared" si="27"/>
        <v>28.597982520165441</v>
      </c>
      <c r="L131" s="18">
        <f t="shared" si="28"/>
        <v>5.7167767734046997</v>
      </c>
      <c r="M131" s="19"/>
      <c r="N131" s="18">
        <f t="shared" si="29"/>
        <v>34.315148566117067</v>
      </c>
      <c r="O131" s="20">
        <v>1602990</v>
      </c>
      <c r="P131" s="21">
        <v>55006840</v>
      </c>
      <c r="Q131" s="21">
        <v>45842280</v>
      </c>
      <c r="R131" s="21">
        <v>9163936</v>
      </c>
      <c r="S131" s="37"/>
      <c r="T131" s="38">
        <v>48.344299999999997</v>
      </c>
      <c r="U131" s="38">
        <v>51.165799999999997</v>
      </c>
      <c r="V131" s="38">
        <v>50.476700000000001</v>
      </c>
      <c r="W131" s="39"/>
      <c r="X131" s="38">
        <v>42.110199999999999</v>
      </c>
      <c r="Y131" s="38">
        <v>42.110199999999999</v>
      </c>
      <c r="Z131" s="38">
        <v>42.110199999999999</v>
      </c>
      <c r="AA131" s="39"/>
      <c r="AB131" s="49">
        <v>6.2030000000000003</v>
      </c>
      <c r="AC131" s="49">
        <v>5.484</v>
      </c>
      <c r="AE131" s="17" t="str">
        <f t="shared" si="30"/>
        <v>·</v>
      </c>
      <c r="AF131" s="18">
        <f t="shared" si="31"/>
        <v>34.42170943050175</v>
      </c>
      <c r="AG131" s="18">
        <f t="shared" si="32"/>
        <v>28.597982520165441</v>
      </c>
      <c r="AH131" s="18">
        <f t="shared" si="33"/>
        <v>5.8233376377893808</v>
      </c>
      <c r="AI131" s="19"/>
      <c r="AJ131" s="18">
        <f t="shared" si="34"/>
        <v>34.42170943050175</v>
      </c>
      <c r="AK131" s="20">
        <v>1602990</v>
      </c>
      <c r="AL131" s="21">
        <v>55177656</v>
      </c>
      <c r="AM131" s="21">
        <v>45842280</v>
      </c>
      <c r="AN131" s="21">
        <v>9334752</v>
      </c>
      <c r="AO131" s="37"/>
      <c r="AP131" s="38">
        <v>48.345500000000001</v>
      </c>
      <c r="AQ131" s="38">
        <v>51.1402</v>
      </c>
      <c r="AR131" s="38">
        <v>50.464100000000002</v>
      </c>
      <c r="AS131" s="39"/>
      <c r="AT131" s="38">
        <v>42.110199999999999</v>
      </c>
      <c r="AU131" s="38">
        <v>42.110199999999999</v>
      </c>
      <c r="AV131" s="38">
        <v>42.110199999999999</v>
      </c>
      <c r="AW131" s="39"/>
      <c r="AX131" s="49">
        <v>6.2809999999999997</v>
      </c>
      <c r="AY131" s="49">
        <v>5.375</v>
      </c>
      <c r="BA131" s="53">
        <f t="shared" si="35"/>
        <v>-2.5799709348484079E-3</v>
      </c>
      <c r="BB131" s="53"/>
      <c r="BD131" s="54"/>
      <c r="BE131" s="54"/>
      <c r="BF131" s="54"/>
      <c r="BG131" s="61"/>
      <c r="BI131" s="54"/>
      <c r="BJ131" s="54"/>
      <c r="BK131" s="54"/>
      <c r="BL131" s="61"/>
      <c r="BN131" s="54"/>
      <c r="BO131" s="54"/>
      <c r="BP131" s="54"/>
      <c r="BQ131" s="61"/>
      <c r="BS131" s="54"/>
      <c r="BT131" s="54"/>
      <c r="BU131" s="54"/>
      <c r="BV131" s="61"/>
      <c r="BX131">
        <f t="shared" si="36"/>
        <v>0</v>
      </c>
      <c r="BY131">
        <f t="shared" si="37"/>
        <v>170816</v>
      </c>
      <c r="BZ131">
        <f t="shared" si="38"/>
        <v>0</v>
      </c>
      <c r="CA131">
        <f t="shared" si="39"/>
        <v>170816</v>
      </c>
      <c r="CB131">
        <f t="shared" si="40"/>
        <v>0</v>
      </c>
      <c r="CC131">
        <f t="shared" si="41"/>
        <v>1.2000000000043087E-3</v>
      </c>
      <c r="CD131">
        <f t="shared" si="42"/>
        <v>-2.5599999999997181E-2</v>
      </c>
      <c r="CE131">
        <f t="shared" si="43"/>
        <v>-1.2599999999999056E-2</v>
      </c>
      <c r="CF131">
        <f t="shared" si="44"/>
        <v>0</v>
      </c>
      <c r="CG131">
        <f t="shared" si="45"/>
        <v>0</v>
      </c>
      <c r="CH131">
        <f t="shared" si="46"/>
        <v>0</v>
      </c>
      <c r="CI131">
        <f t="shared" si="47"/>
        <v>0</v>
      </c>
      <c r="CJ131">
        <f t="shared" si="48"/>
        <v>0</v>
      </c>
    </row>
    <row r="132" spans="1:88" outlineLevel="1" x14ac:dyDescent="0.15">
      <c r="A132" s="8"/>
      <c r="B132" s="8" t="s">
        <v>134</v>
      </c>
      <c r="C132" s="9" t="s">
        <v>256</v>
      </c>
      <c r="D132" s="8">
        <v>1602990</v>
      </c>
      <c r="E132" s="10">
        <v>20</v>
      </c>
      <c r="F132" s="9">
        <v>1</v>
      </c>
      <c r="G132" s="9"/>
      <c r="I132" s="22" t="str">
        <f t="shared" si="25"/>
        <v>·</v>
      </c>
      <c r="J132" s="23">
        <f t="shared" si="26"/>
        <v>31.96315385623117</v>
      </c>
      <c r="K132" s="23">
        <f t="shared" si="27"/>
        <v>28.597982520165441</v>
      </c>
      <c r="L132" s="23">
        <f t="shared" si="28"/>
        <v>3.364782063518799</v>
      </c>
      <c r="M132" s="24"/>
      <c r="N132" s="23">
        <f t="shared" si="29"/>
        <v>31.96315385623117</v>
      </c>
      <c r="O132" s="25">
        <v>1602990</v>
      </c>
      <c r="P132" s="26">
        <v>51236616</v>
      </c>
      <c r="Q132" s="26">
        <v>45842280</v>
      </c>
      <c r="R132" s="26">
        <v>5393712</v>
      </c>
      <c r="S132" s="40"/>
      <c r="T132" s="41">
        <v>41.143999999999998</v>
      </c>
      <c r="U132" s="41">
        <v>45.72</v>
      </c>
      <c r="V132" s="41">
        <v>44.869799999999998</v>
      </c>
      <c r="W132" s="42"/>
      <c r="X132" s="41">
        <v>34.151400000000002</v>
      </c>
      <c r="Y132" s="41">
        <v>34.151400000000002</v>
      </c>
      <c r="Z132" s="41">
        <v>34.151400000000002</v>
      </c>
      <c r="AA132" s="42"/>
      <c r="AB132" s="50">
        <v>6.125</v>
      </c>
      <c r="AC132" s="50">
        <v>5.4210000000000003</v>
      </c>
      <c r="AE132" s="22" t="str">
        <f t="shared" si="30"/>
        <v>·</v>
      </c>
      <c r="AF132" s="23">
        <f t="shared" si="31"/>
        <v>32.048254823798025</v>
      </c>
      <c r="AG132" s="23">
        <f t="shared" si="32"/>
        <v>28.597982520165441</v>
      </c>
      <c r="AH132" s="23">
        <f t="shared" si="33"/>
        <v>3.4498830310856587</v>
      </c>
      <c r="AI132" s="24"/>
      <c r="AJ132" s="23">
        <f t="shared" si="34"/>
        <v>32.048254823798025</v>
      </c>
      <c r="AK132" s="25">
        <v>1602990</v>
      </c>
      <c r="AL132" s="26">
        <v>51373032</v>
      </c>
      <c r="AM132" s="26">
        <v>45842280</v>
      </c>
      <c r="AN132" s="26">
        <v>5530128</v>
      </c>
      <c r="AO132" s="40"/>
      <c r="AP132" s="41">
        <v>41.162599999999998</v>
      </c>
      <c r="AQ132" s="41">
        <v>45.629899999999999</v>
      </c>
      <c r="AR132" s="41">
        <v>44.810499999999998</v>
      </c>
      <c r="AS132" s="42"/>
      <c r="AT132" s="41">
        <v>34.151400000000002</v>
      </c>
      <c r="AU132" s="41">
        <v>34.151400000000002</v>
      </c>
      <c r="AV132" s="41">
        <v>34.151400000000002</v>
      </c>
      <c r="AW132" s="42"/>
      <c r="AX132" s="50">
        <v>6.218</v>
      </c>
      <c r="AY132" s="50">
        <v>5.4530000000000003</v>
      </c>
      <c r="BA132" s="55">
        <f t="shared" si="35"/>
        <v>-2.3758328549100538E-3</v>
      </c>
      <c r="BB132" s="55"/>
      <c r="BD132" s="56"/>
      <c r="BE132" s="56"/>
      <c r="BF132" s="56"/>
      <c r="BG132" s="62"/>
      <c r="BI132" s="56"/>
      <c r="BJ132" s="56"/>
      <c r="BK132" s="56"/>
      <c r="BL132" s="62"/>
      <c r="BN132" s="56"/>
      <c r="BO132" s="56"/>
      <c r="BP132" s="56"/>
      <c r="BQ132" s="62"/>
      <c r="BS132" s="56"/>
      <c r="BT132" s="56"/>
      <c r="BU132" s="56"/>
      <c r="BV132" s="62"/>
      <c r="BX132">
        <f t="shared" si="36"/>
        <v>0</v>
      </c>
      <c r="BY132">
        <f t="shared" si="37"/>
        <v>136416</v>
      </c>
      <c r="BZ132">
        <f t="shared" si="38"/>
        <v>0</v>
      </c>
      <c r="CA132">
        <f t="shared" si="39"/>
        <v>136416</v>
      </c>
      <c r="CB132">
        <f t="shared" si="40"/>
        <v>0</v>
      </c>
      <c r="CC132">
        <f t="shared" si="41"/>
        <v>1.8599999999999284E-2</v>
      </c>
      <c r="CD132">
        <f t="shared" si="42"/>
        <v>-9.0099999999999625E-2</v>
      </c>
      <c r="CE132">
        <f t="shared" si="43"/>
        <v>-5.9300000000000352E-2</v>
      </c>
      <c r="CF132">
        <f t="shared" si="44"/>
        <v>0</v>
      </c>
      <c r="CG132">
        <f t="shared" si="45"/>
        <v>0</v>
      </c>
      <c r="CH132">
        <f t="shared" si="46"/>
        <v>0</v>
      </c>
      <c r="CI132">
        <f t="shared" si="47"/>
        <v>0</v>
      </c>
      <c r="CJ132">
        <f t="shared" si="48"/>
        <v>0</v>
      </c>
    </row>
    <row r="133" spans="1:88" outlineLevel="1" x14ac:dyDescent="0.15">
      <c r="A133" s="5"/>
      <c r="B133" s="5" t="s">
        <v>134</v>
      </c>
      <c r="C133" s="6" t="s">
        <v>257</v>
      </c>
      <c r="D133" s="5">
        <v>1602990</v>
      </c>
      <c r="E133" s="7">
        <v>20</v>
      </c>
      <c r="F133" s="6">
        <v>1</v>
      </c>
      <c r="G133" s="6"/>
      <c r="I133" s="17" t="str">
        <f t="shared" ref="I133:I196" si="49">IF(OR(ISBLANK(P133),ISBLANK(G133)),"·",P133*G133/F133/1000000)</f>
        <v>·</v>
      </c>
      <c r="J133" s="18">
        <f t="shared" ref="J133:J196" si="50">IF(ISBLANK(P133),"·",P133/D133)</f>
        <v>30.560195634408199</v>
      </c>
      <c r="K133" s="18">
        <f t="shared" ref="K133:K196" si="51">IF(Q133="","·",Q133/D133)</f>
        <v>28.597982520165441</v>
      </c>
      <c r="L133" s="18">
        <f t="shared" ref="L133:L196" si="52">IF(ISBLANK(R133),"·",R133/D133)</f>
        <v>1.9618238416958309</v>
      </c>
      <c r="M133" s="19"/>
      <c r="N133" s="18">
        <f t="shared" ref="N133:N196" si="53">IF(ISBLANK(P133),"·",P133/O133)</f>
        <v>30.560195634408199</v>
      </c>
      <c r="O133" s="20">
        <v>1602990</v>
      </c>
      <c r="P133" s="21">
        <v>48987688</v>
      </c>
      <c r="Q133" s="21">
        <v>45842280</v>
      </c>
      <c r="R133" s="21">
        <v>3144784</v>
      </c>
      <c r="S133" s="37"/>
      <c r="T133" s="38">
        <v>35.4709</v>
      </c>
      <c r="U133" s="38">
        <v>41.2791</v>
      </c>
      <c r="V133" s="38">
        <v>40.424399999999999</v>
      </c>
      <c r="W133" s="39"/>
      <c r="X133" s="38">
        <v>28.130800000000001</v>
      </c>
      <c r="Y133" s="38">
        <v>28.130800000000001</v>
      </c>
      <c r="Z133" s="38">
        <v>28.130800000000001</v>
      </c>
      <c r="AA133" s="39"/>
      <c r="AB133" s="49">
        <v>6.1870000000000003</v>
      </c>
      <c r="AC133" s="49">
        <v>5.468</v>
      </c>
      <c r="AE133" s="17" t="str">
        <f t="shared" ref="AE133:AE196" si="54">IF(OR(ISBLANK(AL133),ISBLANK(G133)),"·",AL133*G133/F133/1000000)</f>
        <v>·</v>
      </c>
      <c r="AF133" s="18">
        <f t="shared" ref="AF133:AF196" si="55">IF(ISBLANK(AL133),"·",AL133/D133)</f>
        <v>30.606139776293052</v>
      </c>
      <c r="AG133" s="18">
        <f t="shared" ref="AG133:AG196" si="56">IF(AM133="","·",AM133/D133)</f>
        <v>28.597982520165441</v>
      </c>
      <c r="AH133" s="18">
        <f t="shared" ref="AH133:AH196" si="57">IF(ISBLANK(AN133),"·",AN133/D133)</f>
        <v>2.0077679835806834</v>
      </c>
      <c r="AI133" s="19"/>
      <c r="AJ133" s="18">
        <f t="shared" ref="AJ133:AJ196" si="58">IF(ISBLANK(AL133),"·",AL133/AK133)</f>
        <v>30.606139776293052</v>
      </c>
      <c r="AK133" s="20">
        <v>1602990</v>
      </c>
      <c r="AL133" s="21">
        <v>49061336</v>
      </c>
      <c r="AM133" s="21">
        <v>45842280</v>
      </c>
      <c r="AN133" s="21">
        <v>3218432</v>
      </c>
      <c r="AO133" s="37"/>
      <c r="AP133" s="38">
        <v>35.511499999999998</v>
      </c>
      <c r="AQ133" s="38">
        <v>41.130200000000002</v>
      </c>
      <c r="AR133" s="38">
        <v>40.414499999999997</v>
      </c>
      <c r="AS133" s="39"/>
      <c r="AT133" s="38">
        <v>28.130800000000001</v>
      </c>
      <c r="AU133" s="38">
        <v>28.130800000000001</v>
      </c>
      <c r="AV133" s="38">
        <v>28.130800000000001</v>
      </c>
      <c r="AW133" s="39"/>
      <c r="AX133" s="49">
        <v>6.2030000000000003</v>
      </c>
      <c r="AY133" s="49">
        <v>5.4059999999999997</v>
      </c>
      <c r="BA133" s="53">
        <f t="shared" ref="BA133:BA196" si="59">(AM133/AL133)-(Q133/P133)</f>
        <v>-1.4047558631601342E-3</v>
      </c>
      <c r="BB133" s="53"/>
      <c r="BD133" s="54"/>
      <c r="BE133" s="54"/>
      <c r="BF133" s="54"/>
      <c r="BG133" s="61"/>
      <c r="BI133" s="54"/>
      <c r="BJ133" s="54"/>
      <c r="BK133" s="54"/>
      <c r="BL133" s="61"/>
      <c r="BN133" s="54"/>
      <c r="BO133" s="54"/>
      <c r="BP133" s="54"/>
      <c r="BQ133" s="61"/>
      <c r="BS133" s="54"/>
      <c r="BT133" s="54"/>
      <c r="BU133" s="54"/>
      <c r="BV133" s="61"/>
      <c r="BX133">
        <f t="shared" si="36"/>
        <v>0</v>
      </c>
      <c r="BY133">
        <f t="shared" si="37"/>
        <v>73648</v>
      </c>
      <c r="BZ133">
        <f t="shared" si="38"/>
        <v>0</v>
      </c>
      <c r="CA133">
        <f t="shared" si="39"/>
        <v>73648</v>
      </c>
      <c r="CB133">
        <f t="shared" si="40"/>
        <v>0</v>
      </c>
      <c r="CC133">
        <f t="shared" si="41"/>
        <v>4.0599999999997749E-2</v>
      </c>
      <c r="CD133">
        <f t="shared" si="42"/>
        <v>-0.14889999999999759</v>
      </c>
      <c r="CE133">
        <f t="shared" si="43"/>
        <v>-9.9000000000017963E-3</v>
      </c>
      <c r="CF133">
        <f t="shared" si="44"/>
        <v>0</v>
      </c>
      <c r="CG133">
        <f t="shared" si="45"/>
        <v>0</v>
      </c>
      <c r="CH133">
        <f t="shared" si="46"/>
        <v>0</v>
      </c>
      <c r="CI133">
        <f t="shared" si="47"/>
        <v>0</v>
      </c>
      <c r="CJ133">
        <f t="shared" si="48"/>
        <v>0</v>
      </c>
    </row>
    <row r="134" spans="1:88" outlineLevel="1" x14ac:dyDescent="0.15">
      <c r="A134" s="8"/>
      <c r="B134" s="14" t="s">
        <v>134</v>
      </c>
      <c r="C134" s="15" t="s">
        <v>258</v>
      </c>
      <c r="D134" s="14">
        <v>1602990</v>
      </c>
      <c r="E134" s="16">
        <v>20</v>
      </c>
      <c r="F134" s="15">
        <v>1</v>
      </c>
      <c r="G134" s="15"/>
      <c r="I134" s="32" t="str">
        <f t="shared" si="49"/>
        <v>·</v>
      </c>
      <c r="J134" s="33">
        <f t="shared" si="50"/>
        <v>29.527011397451012</v>
      </c>
      <c r="K134" s="33">
        <f t="shared" si="51"/>
        <v>28.597982520165441</v>
      </c>
      <c r="L134" s="33">
        <f t="shared" si="52"/>
        <v>0.92863960473864471</v>
      </c>
      <c r="M134" s="34"/>
      <c r="N134" s="33">
        <f t="shared" si="53"/>
        <v>29.527011397451012</v>
      </c>
      <c r="O134" s="35">
        <v>1602990</v>
      </c>
      <c r="P134" s="36">
        <v>47331504</v>
      </c>
      <c r="Q134" s="36">
        <v>45842280</v>
      </c>
      <c r="R134" s="36">
        <v>1488600</v>
      </c>
      <c r="S134" s="46"/>
      <c r="T134" s="47">
        <v>29.2986</v>
      </c>
      <c r="U134" s="47">
        <v>36.664700000000003</v>
      </c>
      <c r="V134" s="47">
        <v>35.634</v>
      </c>
      <c r="W134" s="48"/>
      <c r="X134" s="47">
        <v>21.686399999999999</v>
      </c>
      <c r="Y134" s="47">
        <v>21.686399999999999</v>
      </c>
      <c r="Z134" s="47">
        <v>21.686399999999999</v>
      </c>
      <c r="AA134" s="48"/>
      <c r="AB134" s="52">
        <v>6.1559999999999997</v>
      </c>
      <c r="AC134" s="52">
        <v>5.39</v>
      </c>
      <c r="AE134" s="32" t="str">
        <f t="shared" si="54"/>
        <v>·</v>
      </c>
      <c r="AF134" s="33">
        <f t="shared" si="55"/>
        <v>29.52534950311605</v>
      </c>
      <c r="AG134" s="33">
        <f t="shared" si="56"/>
        <v>28.597982520165441</v>
      </c>
      <c r="AH134" s="33">
        <f t="shared" si="57"/>
        <v>0.92697771040368315</v>
      </c>
      <c r="AI134" s="34"/>
      <c r="AJ134" s="33">
        <f t="shared" si="58"/>
        <v>29.52534950311605</v>
      </c>
      <c r="AK134" s="35">
        <v>1602990</v>
      </c>
      <c r="AL134" s="36">
        <v>47328840</v>
      </c>
      <c r="AM134" s="36">
        <v>45842280</v>
      </c>
      <c r="AN134" s="36">
        <v>1485936</v>
      </c>
      <c r="AO134" s="46"/>
      <c r="AP134" s="47">
        <v>29.347300000000001</v>
      </c>
      <c r="AQ134" s="47">
        <v>36.632199999999997</v>
      </c>
      <c r="AR134" s="47">
        <v>35.896999999999998</v>
      </c>
      <c r="AS134" s="48"/>
      <c r="AT134" s="47">
        <v>21.686399999999999</v>
      </c>
      <c r="AU134" s="47">
        <v>21.686399999999999</v>
      </c>
      <c r="AV134" s="47">
        <v>21.686399999999999</v>
      </c>
      <c r="AW134" s="48"/>
      <c r="AX134" s="52">
        <v>6.0620000000000003</v>
      </c>
      <c r="AY134" s="52">
        <v>5.375</v>
      </c>
      <c r="BA134" s="59">
        <f t="shared" si="59"/>
        <v>5.4516035399188034E-5</v>
      </c>
      <c r="BB134" s="59"/>
      <c r="BD134" s="60"/>
      <c r="BE134" s="60"/>
      <c r="BF134" s="60"/>
      <c r="BG134" s="64"/>
      <c r="BI134" s="60"/>
      <c r="BJ134" s="60"/>
      <c r="BK134" s="60"/>
      <c r="BL134" s="64"/>
      <c r="BN134" s="60"/>
      <c r="BO134" s="60"/>
      <c r="BP134" s="60"/>
      <c r="BQ134" s="64"/>
      <c r="BS134" s="60"/>
      <c r="BT134" s="60"/>
      <c r="BU134" s="60"/>
      <c r="BV134" s="64"/>
      <c r="BX134">
        <f t="shared" ref="BX134:BX197" si="60">AK134-O134</f>
        <v>0</v>
      </c>
      <c r="BY134">
        <f t="shared" ref="BY134:BY197" si="61">AL134-P134</f>
        <v>-2664</v>
      </c>
      <c r="BZ134">
        <f t="shared" ref="BZ134:BZ197" si="62">AM134-Q134</f>
        <v>0</v>
      </c>
      <c r="CA134">
        <f t="shared" ref="CA134:CA197" si="63">AN134-R134</f>
        <v>-2664</v>
      </c>
      <c r="CB134">
        <f t="shared" ref="CB134:CB197" si="64">AO134-S134</f>
        <v>0</v>
      </c>
      <c r="CC134">
        <f t="shared" ref="CC134:CC197" si="65">AP134-T134</f>
        <v>4.8700000000000188E-2</v>
      </c>
      <c r="CD134">
        <f t="shared" ref="CD134:CD197" si="66">AQ134-U134</f>
        <v>-3.2500000000005969E-2</v>
      </c>
      <c r="CE134">
        <f t="shared" ref="CE134:CE197" si="67">AR134-V134</f>
        <v>0.26299999999999812</v>
      </c>
      <c r="CF134">
        <f t="shared" ref="CF134:CF197" si="68">AS134-W134</f>
        <v>0</v>
      </c>
      <c r="CG134">
        <f t="shared" ref="CG134:CG197" si="69">AT134-X134</f>
        <v>0</v>
      </c>
      <c r="CH134">
        <f t="shared" ref="CH134:CH197" si="70">AU134-Y134</f>
        <v>0</v>
      </c>
      <c r="CI134">
        <f t="shared" ref="CI134:CI197" si="71">AV134-Z134</f>
        <v>0</v>
      </c>
      <c r="CJ134">
        <f t="shared" ref="CJ134:CJ197" si="72">AW134-AA134</f>
        <v>0</v>
      </c>
    </row>
    <row r="135" spans="1:88" x14ac:dyDescent="0.15">
      <c r="A135" s="5"/>
      <c r="B135" s="5" t="s">
        <v>137</v>
      </c>
      <c r="C135" s="6" t="s">
        <v>254</v>
      </c>
      <c r="D135" s="5">
        <v>8929532</v>
      </c>
      <c r="E135" s="7">
        <v>20</v>
      </c>
      <c r="F135" s="6">
        <v>1</v>
      </c>
      <c r="G135" s="6"/>
      <c r="I135" s="17" t="str">
        <f t="shared" si="49"/>
        <v>·</v>
      </c>
      <c r="J135" s="18">
        <f t="shared" si="50"/>
        <v>34.198053828576903</v>
      </c>
      <c r="K135" s="18">
        <f t="shared" si="51"/>
        <v>26.894269486911519</v>
      </c>
      <c r="L135" s="18">
        <f t="shared" si="52"/>
        <v>7.3036427888941997</v>
      </c>
      <c r="M135" s="19"/>
      <c r="N135" s="18">
        <f t="shared" si="53"/>
        <v>34.198053828576903</v>
      </c>
      <c r="O135" s="20">
        <v>8929532</v>
      </c>
      <c r="P135" s="21">
        <v>305372616</v>
      </c>
      <c r="Q135" s="21">
        <v>240153240</v>
      </c>
      <c r="R135" s="21">
        <v>65218112</v>
      </c>
      <c r="S135" s="37"/>
      <c r="T135" s="38">
        <v>53.146299999999997</v>
      </c>
      <c r="U135" s="38">
        <v>55.478099999999998</v>
      </c>
      <c r="V135" s="38">
        <v>55.265099999999997</v>
      </c>
      <c r="W135" s="39"/>
      <c r="X135" s="38">
        <v>48.130800000000001</v>
      </c>
      <c r="Y135" s="38">
        <v>48.130800000000001</v>
      </c>
      <c r="Z135" s="38">
        <v>48.130800000000001</v>
      </c>
      <c r="AA135" s="39"/>
      <c r="AB135" s="49">
        <v>32.045999999999999</v>
      </c>
      <c r="AC135" s="49">
        <v>27.984000000000002</v>
      </c>
      <c r="AE135" s="17" t="str">
        <f t="shared" si="54"/>
        <v>·</v>
      </c>
      <c r="AF135" s="18">
        <f t="shared" si="55"/>
        <v>34.234475894145405</v>
      </c>
      <c r="AG135" s="18">
        <f t="shared" si="56"/>
        <v>26.894269486911519</v>
      </c>
      <c r="AH135" s="18">
        <f t="shared" si="57"/>
        <v>7.3400648544626979</v>
      </c>
      <c r="AI135" s="19"/>
      <c r="AJ135" s="18">
        <f t="shared" si="58"/>
        <v>34.234475894145405</v>
      </c>
      <c r="AK135" s="20">
        <v>8929532</v>
      </c>
      <c r="AL135" s="21">
        <v>305697848</v>
      </c>
      <c r="AM135" s="21">
        <v>240153240</v>
      </c>
      <c r="AN135" s="21">
        <v>65543344</v>
      </c>
      <c r="AO135" s="37"/>
      <c r="AP135" s="38">
        <v>53.148000000000003</v>
      </c>
      <c r="AQ135" s="38">
        <v>55.468400000000003</v>
      </c>
      <c r="AR135" s="38">
        <v>55.256599999999999</v>
      </c>
      <c r="AS135" s="39"/>
      <c r="AT135" s="38">
        <v>48.130800000000001</v>
      </c>
      <c r="AU135" s="38">
        <v>48.130800000000001</v>
      </c>
      <c r="AV135" s="38">
        <v>48.130800000000001</v>
      </c>
      <c r="AW135" s="39"/>
      <c r="AX135" s="49">
        <v>32.14</v>
      </c>
      <c r="AY135" s="49">
        <v>28</v>
      </c>
      <c r="BA135" s="53">
        <f t="shared" si="59"/>
        <v>-8.3667973289602848E-4</v>
      </c>
      <c r="BB135" s="53">
        <f t="array" ref="BB135">AVERAGE(AM135:AM139/AL135:AL139)-AVERAGE(Q135:Q139/P135:P139)</f>
        <v>-8.6927539786874064E-4</v>
      </c>
      <c r="BD135" s="54">
        <f>IF(OR(ISBLANK(R135:R139),ISBLANK(AN135:AN139),ISBLANK(T135:T139),ISBLANK(AP135:AP139)),"·",bdRateExtend(R135:R139,T135:T139,AN135:AN139,AP135:AP139))</f>
        <v>9.6944423049247774E-3</v>
      </c>
      <c r="BE135" s="54">
        <f>IF(OR(ISBLANK(R135:R139),ISBLANK(AN135:AN139),ISBLANK(U135:U139),ISBLANK(AQ135:AQ139)),"·",bdRateExtend(R135:R139,U135:U139,AN135:AN139,AQ135:AQ139))</f>
        <v>1.7472796452858042E-2</v>
      </c>
      <c r="BF135" s="54">
        <f>IF(OR(ISBLANK(R135:R139),ISBLANK(AN135:AN139),ISBLANK(V135:V139),ISBLANK(AR135:AR139)),"·",bdRateExtend(R135:R139,V135:V139,AN135:AN139,AR135:AR139))</f>
        <v>4.9434302701507615E-3</v>
      </c>
      <c r="BG135" s="61"/>
      <c r="BI135" s="54">
        <f>IF(OR(ISBLANK(R135:R139),ISBLANK(AN135:AN139),ISBLANK(X135:X139),ISBLANK(AT135:AT139)),"·",bdRateExtend(R135:R139,X135:X139,AN135:AN139,AT135:AT139))</f>
        <v>1.1034192194848469E-2</v>
      </c>
      <c r="BJ135" s="54">
        <f>IF(OR(ISBLANK(R135:R139),ISBLANK(AN135:AN139),ISBLANK(Y135:Y139),ISBLANK(AU135:AU139)),"·",bdRateExtend(R135:R139,Y135:Y139,AN135:AN139,AU135:AU139))</f>
        <v>1.1034192194848469E-2</v>
      </c>
      <c r="BK135" s="54">
        <f>IF(OR(ISBLANK(R135:R139),ISBLANK(AN135:AN139),ISBLANK(Z135:Z139),ISBLANK(AV135:AV139)),"·",bdRateExtend(R135:R139,Z135:Z139,AN135:AN139,AV135:AV139))</f>
        <v>1.1034192194848469E-2</v>
      </c>
      <c r="BL135" s="61"/>
      <c r="BN135" s="54">
        <f>IF(OR(ISBLANK(P135:P139),ISBLANK(AL135:AL139),ISBLANK(T135:T139),ISBLANK(AP135:AP139)),"·",bdRateExtend(P135:P139,T135:T139,AL135:AL139,AP135:AP139))</f>
        <v>1.0557935276689356E-3</v>
      </c>
      <c r="BO135" s="54">
        <f>IF(OR(ISBLANK(P135:P139),ISBLANK(AL135:AL139),ISBLANK(U135:U139),ISBLANK(AQ135:AQ139)),"·",bdRateExtend(P135:P139,U135:U139,AL135:AL139,AQ135:AQ139))</f>
        <v>1.5507153965967913E-3</v>
      </c>
      <c r="BP135" s="54">
        <f>IF(OR(ISBLANK(P135:P139),ISBLANK(AL135:AL139),ISBLANK(V135:V139),ISBLANK(AR135:AR139)),"·",bdRateExtend(P135:P139,V135:V139,AL135:AL139,AR135:AR139))</f>
        <v>8.8988287785962683E-4</v>
      </c>
      <c r="BQ135" s="61"/>
      <c r="BS135" s="54">
        <f>IF(OR(ISBLANK(P135:P139),ISBLANK(AL135:AL139),ISBLANK(X135:X139),ISBLANK(AT135:AT139)),"·",bdRateExtend(P135:P139,X135:X139,AL135:AL139,AT135:AT139))</f>
        <v>1.1430461399961622E-3</v>
      </c>
      <c r="BT135" s="54">
        <f>IF(OR(ISBLANK(P135:P139),ISBLANK(AL135:AL139),ISBLANK(Y135:Y139),ISBLANK(AU135:AU139)),"·",bdRateExtend(P135:P139,Y135:Y139,AL135:AL139,AU135:AU139))</f>
        <v>1.1430461399961622E-3</v>
      </c>
      <c r="BU135" s="54">
        <f>IF(OR(ISBLANK(P135:P139),ISBLANK(AL135:AL139),ISBLANK(Z135:Z139),ISBLANK(AV135:AV139)),"·",bdRateExtend(P135:P139,Z135:Z139,AL135:AL139,AV135:AV139))</f>
        <v>1.1430461399961622E-3</v>
      </c>
      <c r="BV135" s="61"/>
      <c r="BX135">
        <f t="shared" si="60"/>
        <v>0</v>
      </c>
      <c r="BY135">
        <f t="shared" si="61"/>
        <v>325232</v>
      </c>
      <c r="BZ135">
        <f t="shared" si="62"/>
        <v>0</v>
      </c>
      <c r="CA135">
        <f t="shared" si="63"/>
        <v>325232</v>
      </c>
      <c r="CB135">
        <f t="shared" si="64"/>
        <v>0</v>
      </c>
      <c r="CC135">
        <f t="shared" si="65"/>
        <v>1.7000000000066962E-3</v>
      </c>
      <c r="CD135">
        <f t="shared" si="66"/>
        <v>-9.6999999999951569E-3</v>
      </c>
      <c r="CE135">
        <f t="shared" si="67"/>
        <v>-8.4999999999979536E-3</v>
      </c>
      <c r="CF135">
        <f t="shared" si="68"/>
        <v>0</v>
      </c>
      <c r="CG135">
        <f t="shared" si="69"/>
        <v>0</v>
      </c>
      <c r="CH135">
        <f t="shared" si="70"/>
        <v>0</v>
      </c>
      <c r="CI135">
        <f t="shared" si="71"/>
        <v>0</v>
      </c>
      <c r="CJ135">
        <f t="shared" si="72"/>
        <v>0</v>
      </c>
    </row>
    <row r="136" spans="1:88" outlineLevel="1" x14ac:dyDescent="0.15">
      <c r="A136" s="8"/>
      <c r="B136" s="8" t="s">
        <v>137</v>
      </c>
      <c r="C136" s="9" t="s">
        <v>255</v>
      </c>
      <c r="D136" s="8">
        <v>8929532</v>
      </c>
      <c r="E136" s="10">
        <v>20</v>
      </c>
      <c r="F136" s="9">
        <v>1</v>
      </c>
      <c r="G136" s="9"/>
      <c r="I136" s="22" t="str">
        <f t="shared" si="49"/>
        <v>·</v>
      </c>
      <c r="J136" s="23">
        <f t="shared" si="50"/>
        <v>32.125416651175001</v>
      </c>
      <c r="K136" s="23">
        <f t="shared" si="51"/>
        <v>26.894269486911519</v>
      </c>
      <c r="L136" s="23">
        <f t="shared" si="52"/>
        <v>5.2310056114922929</v>
      </c>
      <c r="M136" s="24"/>
      <c r="N136" s="23">
        <f t="shared" si="53"/>
        <v>32.125416651175001</v>
      </c>
      <c r="O136" s="25">
        <v>8929532</v>
      </c>
      <c r="P136" s="26">
        <v>286864936</v>
      </c>
      <c r="Q136" s="26">
        <v>240153240</v>
      </c>
      <c r="R136" s="26">
        <v>46710432</v>
      </c>
      <c r="S136" s="40"/>
      <c r="T136" s="41">
        <v>48.281700000000001</v>
      </c>
      <c r="U136" s="41">
        <v>51.1312</v>
      </c>
      <c r="V136" s="41">
        <v>50.891100000000002</v>
      </c>
      <c r="W136" s="42"/>
      <c r="X136" s="41">
        <v>42.110199999999999</v>
      </c>
      <c r="Y136" s="41">
        <v>42.110199999999999</v>
      </c>
      <c r="Z136" s="41">
        <v>42.110199999999999</v>
      </c>
      <c r="AA136" s="42"/>
      <c r="AB136" s="50">
        <v>31.765000000000001</v>
      </c>
      <c r="AC136" s="50">
        <v>27.920999999999999</v>
      </c>
      <c r="AE136" s="22" t="str">
        <f t="shared" si="54"/>
        <v>·</v>
      </c>
      <c r="AF136" s="23">
        <f t="shared" si="55"/>
        <v>32.173860847354597</v>
      </c>
      <c r="AG136" s="23">
        <f t="shared" si="56"/>
        <v>26.894269486911519</v>
      </c>
      <c r="AH136" s="23">
        <f t="shared" si="57"/>
        <v>5.2794498076718916</v>
      </c>
      <c r="AI136" s="24"/>
      <c r="AJ136" s="23">
        <f t="shared" si="58"/>
        <v>32.173860847354597</v>
      </c>
      <c r="AK136" s="25">
        <v>8929532</v>
      </c>
      <c r="AL136" s="26">
        <v>287297520</v>
      </c>
      <c r="AM136" s="26">
        <v>240153240</v>
      </c>
      <c r="AN136" s="26">
        <v>47143016</v>
      </c>
      <c r="AO136" s="40"/>
      <c r="AP136" s="41">
        <v>48.282600000000002</v>
      </c>
      <c r="AQ136" s="41">
        <v>51.116799999999998</v>
      </c>
      <c r="AR136" s="41">
        <v>50.887500000000003</v>
      </c>
      <c r="AS136" s="42"/>
      <c r="AT136" s="41">
        <v>42.110199999999999</v>
      </c>
      <c r="AU136" s="41">
        <v>42.110199999999999</v>
      </c>
      <c r="AV136" s="41">
        <v>42.110199999999999</v>
      </c>
      <c r="AW136" s="42"/>
      <c r="AX136" s="50">
        <v>31.843</v>
      </c>
      <c r="AY136" s="50">
        <v>27.718</v>
      </c>
      <c r="BA136" s="55">
        <f t="shared" si="59"/>
        <v>-1.2605194705072043E-3</v>
      </c>
      <c r="BB136" s="55"/>
      <c r="BD136" s="56"/>
      <c r="BE136" s="56"/>
      <c r="BF136" s="56"/>
      <c r="BG136" s="62"/>
      <c r="BI136" s="56"/>
      <c r="BJ136" s="56"/>
      <c r="BK136" s="56"/>
      <c r="BL136" s="62"/>
      <c r="BN136" s="56"/>
      <c r="BO136" s="56"/>
      <c r="BP136" s="56"/>
      <c r="BQ136" s="62"/>
      <c r="BS136" s="56"/>
      <c r="BT136" s="56"/>
      <c r="BU136" s="56"/>
      <c r="BV136" s="62"/>
      <c r="BX136">
        <f t="shared" si="60"/>
        <v>0</v>
      </c>
      <c r="BY136">
        <f t="shared" si="61"/>
        <v>432584</v>
      </c>
      <c r="BZ136">
        <f t="shared" si="62"/>
        <v>0</v>
      </c>
      <c r="CA136">
        <f t="shared" si="63"/>
        <v>432584</v>
      </c>
      <c r="CB136">
        <f t="shared" si="64"/>
        <v>0</v>
      </c>
      <c r="CC136">
        <f t="shared" si="65"/>
        <v>9.0000000000145519E-4</v>
      </c>
      <c r="CD136">
        <f t="shared" si="66"/>
        <v>-1.4400000000001967E-2</v>
      </c>
      <c r="CE136">
        <f t="shared" si="67"/>
        <v>-3.5999999999987153E-3</v>
      </c>
      <c r="CF136">
        <f t="shared" si="68"/>
        <v>0</v>
      </c>
      <c r="CG136">
        <f t="shared" si="69"/>
        <v>0</v>
      </c>
      <c r="CH136">
        <f t="shared" si="70"/>
        <v>0</v>
      </c>
      <c r="CI136">
        <f t="shared" si="71"/>
        <v>0</v>
      </c>
      <c r="CJ136">
        <f t="shared" si="72"/>
        <v>0</v>
      </c>
    </row>
    <row r="137" spans="1:88" outlineLevel="1" x14ac:dyDescent="0.15">
      <c r="A137" s="5"/>
      <c r="B137" s="5" t="s">
        <v>137</v>
      </c>
      <c r="C137" s="6" t="s">
        <v>256</v>
      </c>
      <c r="D137" s="5">
        <v>8929532</v>
      </c>
      <c r="E137" s="7">
        <v>20</v>
      </c>
      <c r="F137" s="6">
        <v>1</v>
      </c>
      <c r="G137" s="6"/>
      <c r="I137" s="17" t="str">
        <f t="shared" si="49"/>
        <v>·</v>
      </c>
      <c r="J137" s="18">
        <f t="shared" si="50"/>
        <v>29.98352074890375</v>
      </c>
      <c r="K137" s="18">
        <f t="shared" si="51"/>
        <v>26.894269486911519</v>
      </c>
      <c r="L137" s="18">
        <f t="shared" si="52"/>
        <v>3.0891097092210433</v>
      </c>
      <c r="M137" s="19"/>
      <c r="N137" s="18">
        <f t="shared" si="53"/>
        <v>29.98352074890375</v>
      </c>
      <c r="O137" s="20">
        <v>8929532</v>
      </c>
      <c r="P137" s="21">
        <v>267738808</v>
      </c>
      <c r="Q137" s="21">
        <v>240153240</v>
      </c>
      <c r="R137" s="21">
        <v>27584304</v>
      </c>
      <c r="S137" s="37"/>
      <c r="T137" s="38">
        <v>41.038899999999998</v>
      </c>
      <c r="U137" s="38">
        <v>45.677999999999997</v>
      </c>
      <c r="V137" s="38">
        <v>45.692500000000003</v>
      </c>
      <c r="W137" s="39"/>
      <c r="X137" s="38">
        <v>34.151400000000002</v>
      </c>
      <c r="Y137" s="38">
        <v>34.151400000000002</v>
      </c>
      <c r="Z137" s="38">
        <v>34.151400000000002</v>
      </c>
      <c r="AA137" s="39"/>
      <c r="AB137" s="49">
        <v>31.468</v>
      </c>
      <c r="AC137" s="49">
        <v>27.562000000000001</v>
      </c>
      <c r="AE137" s="17" t="str">
        <f t="shared" si="54"/>
        <v>·</v>
      </c>
      <c r="AF137" s="18">
        <f t="shared" si="55"/>
        <v>30.02357749543873</v>
      </c>
      <c r="AG137" s="18">
        <f t="shared" si="56"/>
        <v>26.894269486911519</v>
      </c>
      <c r="AH137" s="18">
        <f t="shared" si="57"/>
        <v>3.1291664557560241</v>
      </c>
      <c r="AI137" s="19"/>
      <c r="AJ137" s="18">
        <f t="shared" si="58"/>
        <v>30.02357749543873</v>
      </c>
      <c r="AK137" s="20">
        <v>8929532</v>
      </c>
      <c r="AL137" s="21">
        <v>268096496</v>
      </c>
      <c r="AM137" s="21">
        <v>240153240</v>
      </c>
      <c r="AN137" s="21">
        <v>27941992</v>
      </c>
      <c r="AO137" s="37"/>
      <c r="AP137" s="38">
        <v>41.049199999999999</v>
      </c>
      <c r="AQ137" s="38">
        <v>45.636099999999999</v>
      </c>
      <c r="AR137" s="38">
        <v>45.700600000000001</v>
      </c>
      <c r="AS137" s="39"/>
      <c r="AT137" s="38">
        <v>34.151400000000002</v>
      </c>
      <c r="AU137" s="38">
        <v>34.151400000000002</v>
      </c>
      <c r="AV137" s="38">
        <v>34.151400000000002</v>
      </c>
      <c r="AW137" s="39"/>
      <c r="AX137" s="49">
        <v>31.609000000000002</v>
      </c>
      <c r="AY137" s="49">
        <v>27.577999999999999</v>
      </c>
      <c r="BA137" s="53">
        <f t="shared" si="59"/>
        <v>-1.1967139600093102E-3</v>
      </c>
      <c r="BB137" s="53"/>
      <c r="BD137" s="54"/>
      <c r="BE137" s="54"/>
      <c r="BF137" s="54"/>
      <c r="BG137" s="61"/>
      <c r="BI137" s="54"/>
      <c r="BJ137" s="54"/>
      <c r="BK137" s="54"/>
      <c r="BL137" s="61"/>
      <c r="BN137" s="54"/>
      <c r="BO137" s="54"/>
      <c r="BP137" s="54"/>
      <c r="BQ137" s="61"/>
      <c r="BS137" s="54"/>
      <c r="BT137" s="54"/>
      <c r="BU137" s="54"/>
      <c r="BV137" s="61"/>
      <c r="BX137">
        <f t="shared" si="60"/>
        <v>0</v>
      </c>
      <c r="BY137">
        <f t="shared" si="61"/>
        <v>357688</v>
      </c>
      <c r="BZ137">
        <f t="shared" si="62"/>
        <v>0</v>
      </c>
      <c r="CA137">
        <f t="shared" si="63"/>
        <v>357688</v>
      </c>
      <c r="CB137">
        <f t="shared" si="64"/>
        <v>0</v>
      </c>
      <c r="CC137">
        <f t="shared" si="65"/>
        <v>1.0300000000000864E-2</v>
      </c>
      <c r="CD137">
        <f t="shared" si="66"/>
        <v>-4.1899999999998272E-2</v>
      </c>
      <c r="CE137">
        <f t="shared" si="67"/>
        <v>8.0999999999988859E-3</v>
      </c>
      <c r="CF137">
        <f t="shared" si="68"/>
        <v>0</v>
      </c>
      <c r="CG137">
        <f t="shared" si="69"/>
        <v>0</v>
      </c>
      <c r="CH137">
        <f t="shared" si="70"/>
        <v>0</v>
      </c>
      <c r="CI137">
        <f t="shared" si="71"/>
        <v>0</v>
      </c>
      <c r="CJ137">
        <f t="shared" si="72"/>
        <v>0</v>
      </c>
    </row>
    <row r="138" spans="1:88" outlineLevel="1" x14ac:dyDescent="0.15">
      <c r="A138" s="8"/>
      <c r="B138" s="8" t="s">
        <v>137</v>
      </c>
      <c r="C138" s="9" t="s">
        <v>257</v>
      </c>
      <c r="D138" s="8">
        <v>8929532</v>
      </c>
      <c r="E138" s="10">
        <v>20</v>
      </c>
      <c r="F138" s="9">
        <v>1</v>
      </c>
      <c r="G138" s="9"/>
      <c r="I138" s="22" t="str">
        <f t="shared" si="49"/>
        <v>·</v>
      </c>
      <c r="J138" s="23">
        <f t="shared" si="50"/>
        <v>28.69860324146887</v>
      </c>
      <c r="K138" s="23">
        <f t="shared" si="51"/>
        <v>26.894269486911519</v>
      </c>
      <c r="L138" s="23">
        <f t="shared" si="52"/>
        <v>1.8041922017861631</v>
      </c>
      <c r="M138" s="24"/>
      <c r="N138" s="23">
        <f t="shared" si="53"/>
        <v>28.69860324146887</v>
      </c>
      <c r="O138" s="25">
        <v>8929532</v>
      </c>
      <c r="P138" s="26">
        <v>256265096</v>
      </c>
      <c r="Q138" s="26">
        <v>240153240</v>
      </c>
      <c r="R138" s="26">
        <v>16110592</v>
      </c>
      <c r="S138" s="40"/>
      <c r="T138" s="41">
        <v>35.3536</v>
      </c>
      <c r="U138" s="41">
        <v>41.277299999999997</v>
      </c>
      <c r="V138" s="41">
        <v>41.275399999999998</v>
      </c>
      <c r="W138" s="42"/>
      <c r="X138" s="41">
        <v>28.130800000000001</v>
      </c>
      <c r="Y138" s="41">
        <v>28.130800000000001</v>
      </c>
      <c r="Z138" s="41">
        <v>28.130800000000001</v>
      </c>
      <c r="AA138" s="42"/>
      <c r="AB138" s="50">
        <v>31.359000000000002</v>
      </c>
      <c r="AC138" s="50">
        <v>27.515000000000001</v>
      </c>
      <c r="AE138" s="22" t="str">
        <f t="shared" si="54"/>
        <v>·</v>
      </c>
      <c r="AF138" s="23">
        <f t="shared" si="55"/>
        <v>28.72408632389693</v>
      </c>
      <c r="AG138" s="23">
        <f t="shared" si="56"/>
        <v>26.894269486911519</v>
      </c>
      <c r="AH138" s="23">
        <f t="shared" si="57"/>
        <v>1.8296752842142232</v>
      </c>
      <c r="AI138" s="24"/>
      <c r="AJ138" s="23">
        <f t="shared" si="58"/>
        <v>28.72408632389693</v>
      </c>
      <c r="AK138" s="25">
        <v>8929532</v>
      </c>
      <c r="AL138" s="26">
        <v>256492648</v>
      </c>
      <c r="AM138" s="26">
        <v>240153240</v>
      </c>
      <c r="AN138" s="26">
        <v>16338144</v>
      </c>
      <c r="AO138" s="40"/>
      <c r="AP138" s="41">
        <v>35.363700000000001</v>
      </c>
      <c r="AQ138" s="41">
        <v>41.223399999999998</v>
      </c>
      <c r="AR138" s="41">
        <v>41.330599999999997</v>
      </c>
      <c r="AS138" s="42"/>
      <c r="AT138" s="41">
        <v>28.130800000000001</v>
      </c>
      <c r="AU138" s="41">
        <v>28.130800000000001</v>
      </c>
      <c r="AV138" s="41">
        <v>28.130800000000001</v>
      </c>
      <c r="AW138" s="42"/>
      <c r="AX138" s="50">
        <v>31.5</v>
      </c>
      <c r="AY138" s="50">
        <v>27.5</v>
      </c>
      <c r="BA138" s="55">
        <f t="shared" si="59"/>
        <v>-8.3138986869057963E-4</v>
      </c>
      <c r="BB138" s="55"/>
      <c r="BD138" s="56"/>
      <c r="BE138" s="56"/>
      <c r="BF138" s="56"/>
      <c r="BG138" s="62"/>
      <c r="BI138" s="56"/>
      <c r="BJ138" s="56"/>
      <c r="BK138" s="56"/>
      <c r="BL138" s="62"/>
      <c r="BN138" s="56"/>
      <c r="BO138" s="56"/>
      <c r="BP138" s="56"/>
      <c r="BQ138" s="62"/>
      <c r="BS138" s="56"/>
      <c r="BT138" s="56"/>
      <c r="BU138" s="56"/>
      <c r="BV138" s="62"/>
      <c r="BX138">
        <f t="shared" si="60"/>
        <v>0</v>
      </c>
      <c r="BY138">
        <f t="shared" si="61"/>
        <v>227552</v>
      </c>
      <c r="BZ138">
        <f t="shared" si="62"/>
        <v>0</v>
      </c>
      <c r="CA138">
        <f t="shared" si="63"/>
        <v>227552</v>
      </c>
      <c r="CB138">
        <f t="shared" si="64"/>
        <v>0</v>
      </c>
      <c r="CC138">
        <f t="shared" si="65"/>
        <v>1.010000000000133E-2</v>
      </c>
      <c r="CD138">
        <f t="shared" si="66"/>
        <v>-5.3899999999998727E-2</v>
      </c>
      <c r="CE138">
        <f t="shared" si="67"/>
        <v>5.519999999999925E-2</v>
      </c>
      <c r="CF138">
        <f t="shared" si="68"/>
        <v>0</v>
      </c>
      <c r="CG138">
        <f t="shared" si="69"/>
        <v>0</v>
      </c>
      <c r="CH138">
        <f t="shared" si="70"/>
        <v>0</v>
      </c>
      <c r="CI138">
        <f t="shared" si="71"/>
        <v>0</v>
      </c>
      <c r="CJ138">
        <f t="shared" si="72"/>
        <v>0</v>
      </c>
    </row>
    <row r="139" spans="1:88" outlineLevel="1" x14ac:dyDescent="0.15">
      <c r="A139" s="5"/>
      <c r="B139" s="11" t="s">
        <v>137</v>
      </c>
      <c r="C139" s="12" t="s">
        <v>258</v>
      </c>
      <c r="D139" s="11">
        <v>8929532</v>
      </c>
      <c r="E139" s="13">
        <v>20</v>
      </c>
      <c r="F139" s="12">
        <v>1</v>
      </c>
      <c r="G139" s="12"/>
      <c r="I139" s="27" t="str">
        <f t="shared" si="49"/>
        <v>·</v>
      </c>
      <c r="J139" s="28">
        <f t="shared" si="50"/>
        <v>27.706570064366197</v>
      </c>
      <c r="K139" s="28">
        <f t="shared" si="51"/>
        <v>26.894269486911519</v>
      </c>
      <c r="L139" s="28">
        <f t="shared" si="52"/>
        <v>0.81215902468348844</v>
      </c>
      <c r="M139" s="29"/>
      <c r="N139" s="28">
        <f t="shared" si="53"/>
        <v>27.706570064366197</v>
      </c>
      <c r="O139" s="30">
        <v>8929532</v>
      </c>
      <c r="P139" s="31">
        <v>247406704</v>
      </c>
      <c r="Q139" s="31">
        <v>240153240</v>
      </c>
      <c r="R139" s="31">
        <v>7252200</v>
      </c>
      <c r="S139" s="43"/>
      <c r="T139" s="44">
        <v>29.224799999999998</v>
      </c>
      <c r="U139" s="44">
        <v>36.698599999999999</v>
      </c>
      <c r="V139" s="44">
        <v>36.810899999999997</v>
      </c>
      <c r="W139" s="45"/>
      <c r="X139" s="44">
        <v>21.686399999999999</v>
      </c>
      <c r="Y139" s="44">
        <v>21.686399999999999</v>
      </c>
      <c r="Z139" s="44">
        <v>21.686399999999999</v>
      </c>
      <c r="AA139" s="45"/>
      <c r="AB139" s="51">
        <v>31.077999999999999</v>
      </c>
      <c r="AC139" s="51">
        <v>27.437000000000001</v>
      </c>
      <c r="AE139" s="27" t="str">
        <f t="shared" si="54"/>
        <v>·</v>
      </c>
      <c r="AF139" s="28">
        <f t="shared" si="55"/>
        <v>27.712881705334613</v>
      </c>
      <c r="AG139" s="28">
        <f t="shared" si="56"/>
        <v>26.894269486911519</v>
      </c>
      <c r="AH139" s="28">
        <f t="shared" si="57"/>
        <v>0.81847066565190651</v>
      </c>
      <c r="AI139" s="29"/>
      <c r="AJ139" s="28">
        <f t="shared" si="58"/>
        <v>27.712881705334613</v>
      </c>
      <c r="AK139" s="30">
        <v>8929532</v>
      </c>
      <c r="AL139" s="31">
        <v>247463064</v>
      </c>
      <c r="AM139" s="31">
        <v>240153240</v>
      </c>
      <c r="AN139" s="31">
        <v>7308560</v>
      </c>
      <c r="AO139" s="43"/>
      <c r="AP139" s="44">
        <v>29.2879</v>
      </c>
      <c r="AQ139" s="44">
        <v>36.552300000000002</v>
      </c>
      <c r="AR139" s="44">
        <v>37.012799999999999</v>
      </c>
      <c r="AS139" s="45"/>
      <c r="AT139" s="44">
        <v>21.686399999999999</v>
      </c>
      <c r="AU139" s="44">
        <v>21.686399999999999</v>
      </c>
      <c r="AV139" s="44">
        <v>21.686399999999999</v>
      </c>
      <c r="AW139" s="45"/>
      <c r="AX139" s="51">
        <v>31.327999999999999</v>
      </c>
      <c r="AY139" s="51">
        <v>27.437000000000001</v>
      </c>
      <c r="BA139" s="57">
        <f t="shared" si="59"/>
        <v>-2.2107395724069168E-4</v>
      </c>
      <c r="BB139" s="57"/>
      <c r="BD139" s="58"/>
      <c r="BE139" s="58"/>
      <c r="BF139" s="58"/>
      <c r="BG139" s="63"/>
      <c r="BI139" s="58"/>
      <c r="BJ139" s="58"/>
      <c r="BK139" s="58"/>
      <c r="BL139" s="63"/>
      <c r="BN139" s="58"/>
      <c r="BO139" s="58"/>
      <c r="BP139" s="58"/>
      <c r="BQ139" s="63"/>
      <c r="BS139" s="58"/>
      <c r="BT139" s="58"/>
      <c r="BU139" s="58"/>
      <c r="BV139" s="63"/>
      <c r="BX139">
        <f t="shared" si="60"/>
        <v>0</v>
      </c>
      <c r="BY139">
        <f t="shared" si="61"/>
        <v>56360</v>
      </c>
      <c r="BZ139">
        <f t="shared" si="62"/>
        <v>0</v>
      </c>
      <c r="CA139">
        <f t="shared" si="63"/>
        <v>56360</v>
      </c>
      <c r="CB139">
        <f t="shared" si="64"/>
        <v>0</v>
      </c>
      <c r="CC139">
        <f t="shared" si="65"/>
        <v>6.3100000000002154E-2</v>
      </c>
      <c r="CD139">
        <f t="shared" si="66"/>
        <v>-0.14629999999999654</v>
      </c>
      <c r="CE139">
        <f t="shared" si="67"/>
        <v>0.20190000000000197</v>
      </c>
      <c r="CF139">
        <f t="shared" si="68"/>
        <v>0</v>
      </c>
      <c r="CG139">
        <f t="shared" si="69"/>
        <v>0</v>
      </c>
      <c r="CH139">
        <f t="shared" si="70"/>
        <v>0</v>
      </c>
      <c r="CI139">
        <f t="shared" si="71"/>
        <v>0</v>
      </c>
      <c r="CJ139">
        <f t="shared" si="72"/>
        <v>0</v>
      </c>
    </row>
    <row r="140" spans="1:88" x14ac:dyDescent="0.15">
      <c r="A140" s="8"/>
      <c r="B140" s="8" t="s">
        <v>140</v>
      </c>
      <c r="C140" s="9" t="s">
        <v>254</v>
      </c>
      <c r="D140" s="8">
        <v>19702134</v>
      </c>
      <c r="E140" s="10">
        <v>14</v>
      </c>
      <c r="F140" s="9">
        <v>1</v>
      </c>
      <c r="G140" s="9"/>
      <c r="I140" s="22" t="str">
        <f t="shared" si="49"/>
        <v>·</v>
      </c>
      <c r="J140" s="23">
        <f t="shared" si="50"/>
        <v>12.098722706890532</v>
      </c>
      <c r="K140" s="23">
        <f t="shared" si="51"/>
        <v>5.9567277331480941</v>
      </c>
      <c r="L140" s="23">
        <f t="shared" si="52"/>
        <v>6.1418747837163226</v>
      </c>
      <c r="M140" s="24"/>
      <c r="N140" s="23">
        <f t="shared" si="53"/>
        <v>12.098722706890532</v>
      </c>
      <c r="O140" s="25">
        <v>19702134</v>
      </c>
      <c r="P140" s="26">
        <v>238370656</v>
      </c>
      <c r="Q140" s="26">
        <v>117360248</v>
      </c>
      <c r="R140" s="26">
        <v>121008040</v>
      </c>
      <c r="S140" s="40"/>
      <c r="T140" s="41">
        <v>53.107700000000001</v>
      </c>
      <c r="U140" s="41">
        <v>56.144199999999998</v>
      </c>
      <c r="V140" s="41">
        <v>55.138599999999997</v>
      </c>
      <c r="W140" s="42"/>
      <c r="X140" s="41">
        <v>48.130800000000001</v>
      </c>
      <c r="Y140" s="41">
        <v>48.130800000000001</v>
      </c>
      <c r="Z140" s="41">
        <v>48.130800000000001</v>
      </c>
      <c r="AA140" s="42"/>
      <c r="AB140" s="50">
        <v>37.39</v>
      </c>
      <c r="AC140" s="50">
        <v>32.280999999999999</v>
      </c>
      <c r="AE140" s="22" t="str">
        <f t="shared" si="54"/>
        <v>·</v>
      </c>
      <c r="AF140" s="23">
        <f t="shared" si="55"/>
        <v>12.100607578854149</v>
      </c>
      <c r="AG140" s="23">
        <f t="shared" si="56"/>
        <v>5.9567277331480941</v>
      </c>
      <c r="AH140" s="23">
        <f t="shared" si="57"/>
        <v>6.1437596556799381</v>
      </c>
      <c r="AI140" s="24"/>
      <c r="AJ140" s="23">
        <f t="shared" si="58"/>
        <v>12.100607578854149</v>
      </c>
      <c r="AK140" s="25">
        <v>19702134</v>
      </c>
      <c r="AL140" s="26">
        <v>238407792</v>
      </c>
      <c r="AM140" s="26">
        <v>117360248</v>
      </c>
      <c r="AN140" s="26">
        <v>121045176</v>
      </c>
      <c r="AO140" s="40"/>
      <c r="AP140" s="41">
        <v>53.107999999999997</v>
      </c>
      <c r="AQ140" s="41">
        <v>56.143300000000004</v>
      </c>
      <c r="AR140" s="41">
        <v>55.137700000000002</v>
      </c>
      <c r="AS140" s="42"/>
      <c r="AT140" s="41">
        <v>48.130800000000001</v>
      </c>
      <c r="AU140" s="41">
        <v>48.130800000000001</v>
      </c>
      <c r="AV140" s="41">
        <v>48.130800000000001</v>
      </c>
      <c r="AW140" s="42"/>
      <c r="AX140" s="50">
        <v>37.780999999999999</v>
      </c>
      <c r="AY140" s="50">
        <v>32.170999999999999</v>
      </c>
      <c r="BA140" s="55">
        <f t="shared" si="59"/>
        <v>-7.6690735777984465E-5</v>
      </c>
      <c r="BB140" s="55">
        <f t="array" ref="BB140">AVERAGE(AM140:AM144/AL140:AL144)-AVERAGE(Q140:Q144/P140:P144)</f>
        <v>-2.7589533538097122E-5</v>
      </c>
      <c r="BD140" s="56">
        <f>IF(OR(ISBLANK(R140:R144),ISBLANK(AN140:AN144),ISBLANK(T140:T144),ISBLANK(AP140:AP144)),"·",bdRateExtend(R140:R144,T140:T144,AN140:AN144,AP140:AP144))</f>
        <v>-5.2565445161789626E-4</v>
      </c>
      <c r="BE140" s="56">
        <f>IF(OR(ISBLANK(R140:R144),ISBLANK(AN140:AN144),ISBLANK(U140:U144),ISBLANK(AQ140:AQ144)),"·",bdRateExtend(R140:R144,U140:U144,AN140:AN144,AQ140:AQ144))</f>
        <v>-1.4688062274293978E-3</v>
      </c>
      <c r="BF140" s="56">
        <f>IF(OR(ISBLANK(R140:R144),ISBLANK(AN140:AN144),ISBLANK(V140:V144),ISBLANK(AR140:AR144)),"·",bdRateExtend(R140:R144,V140:V144,AN140:AN144,AR140:AR144))</f>
        <v>-1.823401958831794E-3</v>
      </c>
      <c r="BG140" s="62"/>
      <c r="BI140" s="56">
        <f>IF(OR(ISBLANK(R140:R144),ISBLANK(AN140:AN144),ISBLANK(X140:X144),ISBLANK(AT140:AT144)),"·",bdRateExtend(R140:R144,X140:X144,AN140:AN144,AT140:AT144))</f>
        <v>-7.2881415323466925E-5</v>
      </c>
      <c r="BJ140" s="56">
        <f>IF(OR(ISBLANK(R140:R144),ISBLANK(AN140:AN144),ISBLANK(Y140:Y144),ISBLANK(AU140:AU144)),"·",bdRateExtend(R140:R144,Y140:Y144,AN140:AN144,AU140:AU144))</f>
        <v>-7.2881415323466925E-5</v>
      </c>
      <c r="BK140" s="56">
        <f>IF(OR(ISBLANK(R140:R144),ISBLANK(AN140:AN144),ISBLANK(Z140:Z144),ISBLANK(AV140:AV144)),"·",bdRateExtend(R140:R144,Z140:Z144,AN140:AN144,AV140:AV144))</f>
        <v>-7.2881415323466925E-5</v>
      </c>
      <c r="BL140" s="62"/>
      <c r="BN140" s="56">
        <f>IF(OR(ISBLANK(P140:P144),ISBLANK(AL140:AL144),ISBLANK(T140:T144),ISBLANK(AP140:AP144)),"·",bdRateExtend(P140:P144,T140:T144,AL140:AL144,AP140:AP144))</f>
        <v>4.9271228001579459E-5</v>
      </c>
      <c r="BO140" s="56">
        <f>IF(OR(ISBLANK(P140:P144),ISBLANK(AL140:AL144),ISBLANK(U140:U144),ISBLANK(AQ140:AQ144)),"·",bdRateExtend(P140:P144,U140:U144,AL140:AL144,AQ140:AQ144))</f>
        <v>-7.8798056599049815E-5</v>
      </c>
      <c r="BP140" s="56">
        <f>IF(OR(ISBLANK(P140:P144),ISBLANK(AL140:AL144),ISBLANK(V140:V144),ISBLANK(AR140:AR144)),"·",bdRateExtend(P140:P144,V140:V144,AL140:AL144,AR140:AR144))</f>
        <v>8.5133538085591098E-5</v>
      </c>
      <c r="BQ140" s="62"/>
      <c r="BS140" s="56">
        <f>IF(OR(ISBLANK(P140:P144),ISBLANK(AL140:AL144),ISBLANK(X140:X144),ISBLANK(AT140:AT144)),"·",bdRateExtend(P140:P144,X140:X144,AL140:AL144,AT140:AT144))</f>
        <v>8.7963554749714845E-5</v>
      </c>
      <c r="BT140" s="56">
        <f>IF(OR(ISBLANK(P140:P144),ISBLANK(AL140:AL144),ISBLANK(Y140:Y144),ISBLANK(AU140:AU144)),"·",bdRateExtend(P140:P144,Y140:Y144,AL140:AL144,AU140:AU144))</f>
        <v>8.7963554749714845E-5</v>
      </c>
      <c r="BU140" s="56">
        <f>IF(OR(ISBLANK(P140:P144),ISBLANK(AL140:AL144),ISBLANK(Z140:Z144),ISBLANK(AV140:AV144)),"·",bdRateExtend(P140:P144,Z140:Z144,AL140:AL144,AV140:AV144))</f>
        <v>8.7963554749714845E-5</v>
      </c>
      <c r="BV140" s="62"/>
      <c r="BX140">
        <f t="shared" si="60"/>
        <v>0</v>
      </c>
      <c r="BY140">
        <f t="shared" si="61"/>
        <v>37136</v>
      </c>
      <c r="BZ140">
        <f t="shared" si="62"/>
        <v>0</v>
      </c>
      <c r="CA140">
        <f t="shared" si="63"/>
        <v>37136</v>
      </c>
      <c r="CB140">
        <f t="shared" si="64"/>
        <v>0</v>
      </c>
      <c r="CC140">
        <f t="shared" si="65"/>
        <v>2.9999999999574811E-4</v>
      </c>
      <c r="CD140">
        <f t="shared" si="66"/>
        <v>-8.9999999999434976E-4</v>
      </c>
      <c r="CE140">
        <f t="shared" si="67"/>
        <v>-8.9999999999434976E-4</v>
      </c>
      <c r="CF140">
        <f t="shared" si="68"/>
        <v>0</v>
      </c>
      <c r="CG140">
        <f t="shared" si="69"/>
        <v>0</v>
      </c>
      <c r="CH140">
        <f t="shared" si="70"/>
        <v>0</v>
      </c>
      <c r="CI140">
        <f t="shared" si="71"/>
        <v>0</v>
      </c>
      <c r="CJ140">
        <f t="shared" si="72"/>
        <v>0</v>
      </c>
    </row>
    <row r="141" spans="1:88" outlineLevel="1" x14ac:dyDescent="0.15">
      <c r="A141" s="5"/>
      <c r="B141" s="5" t="s">
        <v>140</v>
      </c>
      <c r="C141" s="6" t="s">
        <v>255</v>
      </c>
      <c r="D141" s="5">
        <v>19702134</v>
      </c>
      <c r="E141" s="7">
        <v>14</v>
      </c>
      <c r="F141" s="6">
        <v>1</v>
      </c>
      <c r="G141" s="6"/>
      <c r="I141" s="17" t="str">
        <f t="shared" si="49"/>
        <v>·</v>
      </c>
      <c r="J141" s="18">
        <f t="shared" si="50"/>
        <v>10.248664434015117</v>
      </c>
      <c r="K141" s="18">
        <f t="shared" si="51"/>
        <v>5.9567277331480941</v>
      </c>
      <c r="L141" s="18">
        <f t="shared" si="52"/>
        <v>4.2918165108409072</v>
      </c>
      <c r="M141" s="19"/>
      <c r="N141" s="18">
        <f t="shared" si="53"/>
        <v>10.248664434015117</v>
      </c>
      <c r="O141" s="20">
        <v>19702134</v>
      </c>
      <c r="P141" s="21">
        <v>201920560</v>
      </c>
      <c r="Q141" s="21">
        <v>117360248</v>
      </c>
      <c r="R141" s="21">
        <v>84557944</v>
      </c>
      <c r="S141" s="37"/>
      <c r="T141" s="38">
        <v>48.053699999999999</v>
      </c>
      <c r="U141" s="38">
        <v>51.211799999999997</v>
      </c>
      <c r="V141" s="38">
        <v>51.187899999999999</v>
      </c>
      <c r="W141" s="39"/>
      <c r="X141" s="38">
        <v>42.110199999999999</v>
      </c>
      <c r="Y141" s="38">
        <v>42.110199999999999</v>
      </c>
      <c r="Z141" s="38">
        <v>42.110199999999999</v>
      </c>
      <c r="AA141" s="39"/>
      <c r="AB141" s="49">
        <v>37.093000000000004</v>
      </c>
      <c r="AC141" s="49">
        <v>31.827999999999999</v>
      </c>
      <c r="AE141" s="17" t="str">
        <f t="shared" si="54"/>
        <v>·</v>
      </c>
      <c r="AF141" s="18">
        <f t="shared" si="55"/>
        <v>10.250932208663285</v>
      </c>
      <c r="AG141" s="18">
        <f t="shared" si="56"/>
        <v>5.9567277331480941</v>
      </c>
      <c r="AH141" s="18">
        <f t="shared" si="57"/>
        <v>4.2940842854890748</v>
      </c>
      <c r="AI141" s="19"/>
      <c r="AJ141" s="18">
        <f t="shared" si="58"/>
        <v>10.250932208663285</v>
      </c>
      <c r="AK141" s="20">
        <v>19702134</v>
      </c>
      <c r="AL141" s="21">
        <v>201965240</v>
      </c>
      <c r="AM141" s="21">
        <v>117360248</v>
      </c>
      <c r="AN141" s="21">
        <v>84602624</v>
      </c>
      <c r="AO141" s="37"/>
      <c r="AP141" s="38">
        <v>48.054900000000004</v>
      </c>
      <c r="AQ141" s="38">
        <v>51.2119</v>
      </c>
      <c r="AR141" s="38">
        <v>51.187600000000003</v>
      </c>
      <c r="AS141" s="39"/>
      <c r="AT141" s="38">
        <v>42.110199999999999</v>
      </c>
      <c r="AU141" s="38">
        <v>42.110199999999999</v>
      </c>
      <c r="AV141" s="38">
        <v>42.110199999999999</v>
      </c>
      <c r="AW141" s="39"/>
      <c r="AX141" s="49">
        <v>37.311999999999998</v>
      </c>
      <c r="AY141" s="49">
        <v>31.655999999999999</v>
      </c>
      <c r="BA141" s="53">
        <f t="shared" si="59"/>
        <v>-1.2858106276281145E-4</v>
      </c>
      <c r="BB141" s="53"/>
      <c r="BD141" s="54"/>
      <c r="BE141" s="54"/>
      <c r="BF141" s="54"/>
      <c r="BG141" s="61"/>
      <c r="BI141" s="54"/>
      <c r="BJ141" s="54"/>
      <c r="BK141" s="54"/>
      <c r="BL141" s="61"/>
      <c r="BN141" s="54"/>
      <c r="BO141" s="54"/>
      <c r="BP141" s="54"/>
      <c r="BQ141" s="61"/>
      <c r="BS141" s="54"/>
      <c r="BT141" s="54"/>
      <c r="BU141" s="54"/>
      <c r="BV141" s="61"/>
      <c r="BX141">
        <f t="shared" si="60"/>
        <v>0</v>
      </c>
      <c r="BY141">
        <f t="shared" si="61"/>
        <v>44680</v>
      </c>
      <c r="BZ141">
        <f t="shared" si="62"/>
        <v>0</v>
      </c>
      <c r="CA141">
        <f t="shared" si="63"/>
        <v>44680</v>
      </c>
      <c r="CB141">
        <f t="shared" si="64"/>
        <v>0</v>
      </c>
      <c r="CC141">
        <f t="shared" si="65"/>
        <v>1.2000000000043087E-3</v>
      </c>
      <c r="CD141">
        <f t="shared" si="66"/>
        <v>1.0000000000331966E-4</v>
      </c>
      <c r="CE141">
        <f t="shared" si="67"/>
        <v>-2.9999999999574811E-4</v>
      </c>
      <c r="CF141">
        <f t="shared" si="68"/>
        <v>0</v>
      </c>
      <c r="CG141">
        <f t="shared" si="69"/>
        <v>0</v>
      </c>
      <c r="CH141">
        <f t="shared" si="70"/>
        <v>0</v>
      </c>
      <c r="CI141">
        <f t="shared" si="71"/>
        <v>0</v>
      </c>
      <c r="CJ141">
        <f t="shared" si="72"/>
        <v>0</v>
      </c>
    </row>
    <row r="142" spans="1:88" outlineLevel="1" x14ac:dyDescent="0.15">
      <c r="A142" s="8"/>
      <c r="B142" s="8" t="s">
        <v>140</v>
      </c>
      <c r="C142" s="9" t="s">
        <v>256</v>
      </c>
      <c r="D142" s="8">
        <v>19702134</v>
      </c>
      <c r="E142" s="10">
        <v>14</v>
      </c>
      <c r="F142" s="9">
        <v>1</v>
      </c>
      <c r="G142" s="9"/>
      <c r="I142" s="22" t="str">
        <f t="shared" si="49"/>
        <v>·</v>
      </c>
      <c r="J142" s="23">
        <f t="shared" si="50"/>
        <v>8.203345282292771</v>
      </c>
      <c r="K142" s="23">
        <f t="shared" si="51"/>
        <v>5.9567277331480941</v>
      </c>
      <c r="L142" s="23">
        <f t="shared" si="52"/>
        <v>2.2464973591185604</v>
      </c>
      <c r="M142" s="24"/>
      <c r="N142" s="23">
        <f t="shared" si="53"/>
        <v>8.203345282292771</v>
      </c>
      <c r="O142" s="25">
        <v>19702134</v>
      </c>
      <c r="P142" s="26">
        <v>161623408</v>
      </c>
      <c r="Q142" s="26">
        <v>117360248</v>
      </c>
      <c r="R142" s="26">
        <v>44260792</v>
      </c>
      <c r="S142" s="40"/>
      <c r="T142" s="41">
        <v>40.819600000000001</v>
      </c>
      <c r="U142" s="41">
        <v>46.092799999999997</v>
      </c>
      <c r="V142" s="41">
        <v>46.710299999999997</v>
      </c>
      <c r="W142" s="42"/>
      <c r="X142" s="41">
        <v>34.151400000000002</v>
      </c>
      <c r="Y142" s="41">
        <v>34.151400000000002</v>
      </c>
      <c r="Z142" s="41">
        <v>34.151400000000002</v>
      </c>
      <c r="AA142" s="42"/>
      <c r="AB142" s="50">
        <v>36.468000000000004</v>
      </c>
      <c r="AC142" s="50">
        <v>31.530999999999999</v>
      </c>
      <c r="AE142" s="22" t="str">
        <f t="shared" si="54"/>
        <v>·</v>
      </c>
      <c r="AF142" s="23">
        <f t="shared" si="55"/>
        <v>8.2050596143544645</v>
      </c>
      <c r="AG142" s="23">
        <f t="shared" si="56"/>
        <v>5.9567277331480941</v>
      </c>
      <c r="AH142" s="23">
        <f t="shared" si="57"/>
        <v>2.2482116911802548</v>
      </c>
      <c r="AI142" s="24"/>
      <c r="AJ142" s="23">
        <f t="shared" si="58"/>
        <v>8.2050596143544645</v>
      </c>
      <c r="AK142" s="25">
        <v>19702134</v>
      </c>
      <c r="AL142" s="26">
        <v>161657184</v>
      </c>
      <c r="AM142" s="26">
        <v>117360248</v>
      </c>
      <c r="AN142" s="26">
        <v>44294568</v>
      </c>
      <c r="AO142" s="40"/>
      <c r="AP142" s="41">
        <v>40.821399999999997</v>
      </c>
      <c r="AQ142" s="41">
        <v>46.093299999999999</v>
      </c>
      <c r="AR142" s="41">
        <v>46.701999999999998</v>
      </c>
      <c r="AS142" s="42"/>
      <c r="AT142" s="41">
        <v>34.151400000000002</v>
      </c>
      <c r="AU142" s="41">
        <v>34.151400000000002</v>
      </c>
      <c r="AV142" s="41">
        <v>34.151400000000002</v>
      </c>
      <c r="AW142" s="42"/>
      <c r="AX142" s="50">
        <v>36.780999999999999</v>
      </c>
      <c r="AY142" s="50">
        <v>31.593</v>
      </c>
      <c r="BA142" s="55">
        <f t="shared" si="59"/>
        <v>-1.5171550434434078E-4</v>
      </c>
      <c r="BB142" s="55"/>
      <c r="BD142" s="56"/>
      <c r="BE142" s="56"/>
      <c r="BF142" s="56"/>
      <c r="BG142" s="62"/>
      <c r="BI142" s="56"/>
      <c r="BJ142" s="56"/>
      <c r="BK142" s="56"/>
      <c r="BL142" s="62"/>
      <c r="BN142" s="56"/>
      <c r="BO142" s="56"/>
      <c r="BP142" s="56"/>
      <c r="BQ142" s="62"/>
      <c r="BS142" s="56"/>
      <c r="BT142" s="56"/>
      <c r="BU142" s="56"/>
      <c r="BV142" s="62"/>
      <c r="BX142">
        <f t="shared" si="60"/>
        <v>0</v>
      </c>
      <c r="BY142">
        <f t="shared" si="61"/>
        <v>33776</v>
      </c>
      <c r="BZ142">
        <f t="shared" si="62"/>
        <v>0</v>
      </c>
      <c r="CA142">
        <f t="shared" si="63"/>
        <v>33776</v>
      </c>
      <c r="CB142">
        <f t="shared" si="64"/>
        <v>0</v>
      </c>
      <c r="CC142">
        <f t="shared" si="65"/>
        <v>1.799999999995805E-3</v>
      </c>
      <c r="CD142">
        <f t="shared" si="66"/>
        <v>5.0000000000238742E-4</v>
      </c>
      <c r="CE142">
        <f t="shared" si="67"/>
        <v>-8.2999999999984198E-3</v>
      </c>
      <c r="CF142">
        <f t="shared" si="68"/>
        <v>0</v>
      </c>
      <c r="CG142">
        <f t="shared" si="69"/>
        <v>0</v>
      </c>
      <c r="CH142">
        <f t="shared" si="70"/>
        <v>0</v>
      </c>
      <c r="CI142">
        <f t="shared" si="71"/>
        <v>0</v>
      </c>
      <c r="CJ142">
        <f t="shared" si="72"/>
        <v>0</v>
      </c>
    </row>
    <row r="143" spans="1:88" outlineLevel="1" x14ac:dyDescent="0.15">
      <c r="A143" s="5"/>
      <c r="B143" s="5" t="s">
        <v>140</v>
      </c>
      <c r="C143" s="6" t="s">
        <v>257</v>
      </c>
      <c r="D143" s="5">
        <v>19702134</v>
      </c>
      <c r="E143" s="7">
        <v>14</v>
      </c>
      <c r="F143" s="6">
        <v>1</v>
      </c>
      <c r="G143" s="6"/>
      <c r="I143" s="17" t="str">
        <f t="shared" si="49"/>
        <v>·</v>
      </c>
      <c r="J143" s="18">
        <f t="shared" si="50"/>
        <v>7.0268002440750834</v>
      </c>
      <c r="K143" s="18">
        <f t="shared" si="51"/>
        <v>5.9567277331480941</v>
      </c>
      <c r="L143" s="18">
        <f t="shared" si="52"/>
        <v>1.069952320900873</v>
      </c>
      <c r="M143" s="19"/>
      <c r="N143" s="18">
        <f t="shared" si="53"/>
        <v>7.0268002440750834</v>
      </c>
      <c r="O143" s="20">
        <v>19702134</v>
      </c>
      <c r="P143" s="21">
        <v>138442960</v>
      </c>
      <c r="Q143" s="21">
        <v>117360248</v>
      </c>
      <c r="R143" s="21">
        <v>21080344</v>
      </c>
      <c r="S143" s="37"/>
      <c r="T143" s="38">
        <v>35.463999999999999</v>
      </c>
      <c r="U143" s="38">
        <v>41.847999999999999</v>
      </c>
      <c r="V143" s="38">
        <v>43.006300000000003</v>
      </c>
      <c r="W143" s="39"/>
      <c r="X143" s="38">
        <v>28.130800000000001</v>
      </c>
      <c r="Y143" s="38">
        <v>28.130800000000001</v>
      </c>
      <c r="Z143" s="38">
        <v>28.130800000000001</v>
      </c>
      <c r="AA143" s="39"/>
      <c r="AB143" s="49">
        <v>36.280999999999999</v>
      </c>
      <c r="AC143" s="49">
        <v>31.234000000000002</v>
      </c>
      <c r="AE143" s="17" t="str">
        <f t="shared" si="54"/>
        <v>·</v>
      </c>
      <c r="AF143" s="18">
        <f t="shared" si="55"/>
        <v>7.0259101882060087</v>
      </c>
      <c r="AG143" s="18">
        <f t="shared" si="56"/>
        <v>5.9567277331480941</v>
      </c>
      <c r="AH143" s="18">
        <f t="shared" si="57"/>
        <v>1.069062265031798</v>
      </c>
      <c r="AI143" s="19"/>
      <c r="AJ143" s="18">
        <f t="shared" si="58"/>
        <v>7.0259101882060087</v>
      </c>
      <c r="AK143" s="20">
        <v>19702134</v>
      </c>
      <c r="AL143" s="21">
        <v>138425424</v>
      </c>
      <c r="AM143" s="21">
        <v>117360248</v>
      </c>
      <c r="AN143" s="21">
        <v>21062808</v>
      </c>
      <c r="AO143" s="37"/>
      <c r="AP143" s="38">
        <v>35.461300000000001</v>
      </c>
      <c r="AQ143" s="38">
        <v>41.865400000000001</v>
      </c>
      <c r="AR143" s="38">
        <v>43.001399999999997</v>
      </c>
      <c r="AS143" s="39"/>
      <c r="AT143" s="38">
        <v>28.130800000000001</v>
      </c>
      <c r="AU143" s="38">
        <v>28.130800000000001</v>
      </c>
      <c r="AV143" s="38">
        <v>28.130800000000001</v>
      </c>
      <c r="AW143" s="39"/>
      <c r="AX143" s="49">
        <v>36.64</v>
      </c>
      <c r="AY143" s="49">
        <v>31.14</v>
      </c>
      <c r="BA143" s="53">
        <f t="shared" si="59"/>
        <v>1.0739024092853988E-4</v>
      </c>
      <c r="BB143" s="53"/>
      <c r="BD143" s="54"/>
      <c r="BE143" s="54"/>
      <c r="BF143" s="54"/>
      <c r="BG143" s="61"/>
      <c r="BI143" s="54"/>
      <c r="BJ143" s="54"/>
      <c r="BK143" s="54"/>
      <c r="BL143" s="61"/>
      <c r="BN143" s="54"/>
      <c r="BO143" s="54"/>
      <c r="BP143" s="54"/>
      <c r="BQ143" s="61"/>
      <c r="BS143" s="54"/>
      <c r="BT143" s="54"/>
      <c r="BU143" s="54"/>
      <c r="BV143" s="61"/>
      <c r="BX143">
        <f t="shared" si="60"/>
        <v>0</v>
      </c>
      <c r="BY143">
        <f t="shared" si="61"/>
        <v>-17536</v>
      </c>
      <c r="BZ143">
        <f t="shared" si="62"/>
        <v>0</v>
      </c>
      <c r="CA143">
        <f t="shared" si="63"/>
        <v>-17536</v>
      </c>
      <c r="CB143">
        <f t="shared" si="64"/>
        <v>0</v>
      </c>
      <c r="CC143">
        <f t="shared" si="65"/>
        <v>-2.6999999999972601E-3</v>
      </c>
      <c r="CD143">
        <f t="shared" si="66"/>
        <v>1.740000000000208E-2</v>
      </c>
      <c r="CE143">
        <f t="shared" si="67"/>
        <v>-4.9000000000063437E-3</v>
      </c>
      <c r="CF143">
        <f t="shared" si="68"/>
        <v>0</v>
      </c>
      <c r="CG143">
        <f t="shared" si="69"/>
        <v>0</v>
      </c>
      <c r="CH143">
        <f t="shared" si="70"/>
        <v>0</v>
      </c>
      <c r="CI143">
        <f t="shared" si="71"/>
        <v>0</v>
      </c>
      <c r="CJ143">
        <f t="shared" si="72"/>
        <v>0</v>
      </c>
    </row>
    <row r="144" spans="1:88" outlineLevel="1" x14ac:dyDescent="0.15">
      <c r="A144" s="8"/>
      <c r="B144" s="14" t="s">
        <v>140</v>
      </c>
      <c r="C144" s="15" t="s">
        <v>258</v>
      </c>
      <c r="D144" s="14">
        <v>19702134</v>
      </c>
      <c r="E144" s="16">
        <v>14</v>
      </c>
      <c r="F144" s="15">
        <v>1</v>
      </c>
      <c r="G144" s="15"/>
      <c r="I144" s="32" t="str">
        <f t="shared" si="49"/>
        <v>·</v>
      </c>
      <c r="J144" s="33">
        <f t="shared" si="50"/>
        <v>6.2639569906488299</v>
      </c>
      <c r="K144" s="33">
        <f t="shared" si="51"/>
        <v>5.9567277331480941</v>
      </c>
      <c r="L144" s="33">
        <f t="shared" si="52"/>
        <v>0.30710906747461975</v>
      </c>
      <c r="M144" s="34"/>
      <c r="N144" s="33">
        <f t="shared" si="53"/>
        <v>6.2639569906488299</v>
      </c>
      <c r="O144" s="35">
        <v>19702134</v>
      </c>
      <c r="P144" s="36">
        <v>123413320</v>
      </c>
      <c r="Q144" s="36">
        <v>117360248</v>
      </c>
      <c r="R144" s="36">
        <v>6050704</v>
      </c>
      <c r="S144" s="46"/>
      <c r="T144" s="47">
        <v>29.978899999999999</v>
      </c>
      <c r="U144" s="47">
        <v>37.7089</v>
      </c>
      <c r="V144" s="47">
        <v>38.258800000000001</v>
      </c>
      <c r="W144" s="48"/>
      <c r="X144" s="47">
        <v>21.686399999999999</v>
      </c>
      <c r="Y144" s="47">
        <v>21.686399999999999</v>
      </c>
      <c r="Z144" s="47">
        <v>21.686399999999999</v>
      </c>
      <c r="AA144" s="48"/>
      <c r="AB144" s="52">
        <v>35.905999999999999</v>
      </c>
      <c r="AC144" s="52">
        <v>30.875</v>
      </c>
      <c r="AE144" s="32" t="str">
        <f t="shared" si="54"/>
        <v>·</v>
      </c>
      <c r="AF144" s="33">
        <f t="shared" si="55"/>
        <v>6.2632216388336408</v>
      </c>
      <c r="AG144" s="33">
        <f t="shared" si="56"/>
        <v>5.9567277331480941</v>
      </c>
      <c r="AH144" s="33">
        <f t="shared" si="57"/>
        <v>0.30637371565943061</v>
      </c>
      <c r="AI144" s="34"/>
      <c r="AJ144" s="33">
        <f t="shared" si="58"/>
        <v>6.2632216388336408</v>
      </c>
      <c r="AK144" s="35">
        <v>19702134</v>
      </c>
      <c r="AL144" s="36">
        <v>123398832</v>
      </c>
      <c r="AM144" s="36">
        <v>117360248</v>
      </c>
      <c r="AN144" s="36">
        <v>6036216</v>
      </c>
      <c r="AO144" s="46"/>
      <c r="AP144" s="47">
        <v>30.0001</v>
      </c>
      <c r="AQ144" s="47">
        <v>37.7209</v>
      </c>
      <c r="AR144" s="47">
        <v>38.3324</v>
      </c>
      <c r="AS144" s="48"/>
      <c r="AT144" s="47">
        <v>21.686399999999999</v>
      </c>
      <c r="AU144" s="47">
        <v>21.686399999999999</v>
      </c>
      <c r="AV144" s="47">
        <v>21.686399999999999</v>
      </c>
      <c r="AW144" s="48"/>
      <c r="AX144" s="52">
        <v>36.420999999999999</v>
      </c>
      <c r="AY144" s="52">
        <v>31.234000000000002</v>
      </c>
      <c r="BA144" s="59">
        <f t="shared" si="59"/>
        <v>1.1164939426622222E-4</v>
      </c>
      <c r="BB144" s="59"/>
      <c r="BD144" s="60"/>
      <c r="BE144" s="60"/>
      <c r="BF144" s="60"/>
      <c r="BG144" s="64"/>
      <c r="BI144" s="60"/>
      <c r="BJ144" s="60"/>
      <c r="BK144" s="60"/>
      <c r="BL144" s="64"/>
      <c r="BN144" s="60"/>
      <c r="BO144" s="60"/>
      <c r="BP144" s="60"/>
      <c r="BQ144" s="64"/>
      <c r="BS144" s="60"/>
      <c r="BT144" s="60"/>
      <c r="BU144" s="60"/>
      <c r="BV144" s="64"/>
      <c r="BX144">
        <f t="shared" si="60"/>
        <v>0</v>
      </c>
      <c r="BY144">
        <f t="shared" si="61"/>
        <v>-14488</v>
      </c>
      <c r="BZ144">
        <f t="shared" si="62"/>
        <v>0</v>
      </c>
      <c r="CA144">
        <f t="shared" si="63"/>
        <v>-14488</v>
      </c>
      <c r="CB144">
        <f t="shared" si="64"/>
        <v>0</v>
      </c>
      <c r="CC144">
        <f t="shared" si="65"/>
        <v>2.120000000000033E-2</v>
      </c>
      <c r="CD144">
        <f t="shared" si="66"/>
        <v>1.2000000000000455E-2</v>
      </c>
      <c r="CE144">
        <f t="shared" si="67"/>
        <v>7.3599999999999E-2</v>
      </c>
      <c r="CF144">
        <f t="shared" si="68"/>
        <v>0</v>
      </c>
      <c r="CG144">
        <f t="shared" si="69"/>
        <v>0</v>
      </c>
      <c r="CH144">
        <f t="shared" si="70"/>
        <v>0</v>
      </c>
      <c r="CI144">
        <f t="shared" si="71"/>
        <v>0</v>
      </c>
      <c r="CJ144">
        <f t="shared" si="72"/>
        <v>0</v>
      </c>
    </row>
    <row r="145" spans="1:88" x14ac:dyDescent="0.15">
      <c r="A145" s="5"/>
      <c r="B145" s="5" t="s">
        <v>143</v>
      </c>
      <c r="C145" s="6" t="s">
        <v>254</v>
      </c>
      <c r="D145" s="5">
        <v>19714629</v>
      </c>
      <c r="E145" s="7">
        <v>20</v>
      </c>
      <c r="F145" s="6">
        <v>1</v>
      </c>
      <c r="G145" s="6"/>
      <c r="I145" s="17" t="str">
        <f t="shared" si="49"/>
        <v>·</v>
      </c>
      <c r="J145" s="18">
        <f t="shared" si="50"/>
        <v>28.499756602064387</v>
      </c>
      <c r="K145" s="18">
        <f t="shared" si="51"/>
        <v>22.383093894386754</v>
      </c>
      <c r="L145" s="18">
        <f t="shared" si="52"/>
        <v>6.116541782247082</v>
      </c>
      <c r="M145" s="19"/>
      <c r="N145" s="18">
        <f t="shared" si="53"/>
        <v>28.499756602064387</v>
      </c>
      <c r="O145" s="20">
        <v>19714629</v>
      </c>
      <c r="P145" s="21">
        <v>561862128</v>
      </c>
      <c r="Q145" s="21">
        <v>441274392</v>
      </c>
      <c r="R145" s="21">
        <v>120585352</v>
      </c>
      <c r="S145" s="37"/>
      <c r="T145" s="38">
        <v>53.104199999999999</v>
      </c>
      <c r="U145" s="38">
        <v>56.146099999999997</v>
      </c>
      <c r="V145" s="38">
        <v>55.145400000000002</v>
      </c>
      <c r="W145" s="39"/>
      <c r="X145" s="38">
        <v>48.130800000000001</v>
      </c>
      <c r="Y145" s="38">
        <v>48.130800000000001</v>
      </c>
      <c r="Z145" s="38">
        <v>48.130800000000001</v>
      </c>
      <c r="AA145" s="39"/>
      <c r="AB145" s="49">
        <v>62.578000000000003</v>
      </c>
      <c r="AC145" s="49">
        <v>55.609000000000002</v>
      </c>
      <c r="AE145" s="17" t="str">
        <f t="shared" si="54"/>
        <v>·</v>
      </c>
      <c r="AF145" s="18">
        <f t="shared" si="55"/>
        <v>28.501546136120542</v>
      </c>
      <c r="AG145" s="18">
        <f t="shared" si="56"/>
        <v>22.383093894386754</v>
      </c>
      <c r="AH145" s="18">
        <f t="shared" si="57"/>
        <v>6.1183313163032382</v>
      </c>
      <c r="AI145" s="19"/>
      <c r="AJ145" s="18">
        <f t="shared" si="58"/>
        <v>28.501546136120542</v>
      </c>
      <c r="AK145" s="20">
        <v>19714629</v>
      </c>
      <c r="AL145" s="21">
        <v>561897408</v>
      </c>
      <c r="AM145" s="21">
        <v>441274392</v>
      </c>
      <c r="AN145" s="21">
        <v>120620632</v>
      </c>
      <c r="AO145" s="37"/>
      <c r="AP145" s="38">
        <v>53.104199999999999</v>
      </c>
      <c r="AQ145" s="38">
        <v>56.145699999999998</v>
      </c>
      <c r="AR145" s="38">
        <v>55.144199999999998</v>
      </c>
      <c r="AS145" s="39"/>
      <c r="AT145" s="38">
        <v>48.130800000000001</v>
      </c>
      <c r="AU145" s="38">
        <v>48.130800000000001</v>
      </c>
      <c r="AV145" s="38">
        <v>48.130800000000001</v>
      </c>
      <c r="AW145" s="39"/>
      <c r="AX145" s="49">
        <v>62.25</v>
      </c>
      <c r="AY145" s="49">
        <v>55.655999999999999</v>
      </c>
      <c r="BA145" s="53">
        <f t="shared" si="59"/>
        <v>-4.9311761127435183E-5</v>
      </c>
      <c r="BB145" s="53">
        <f t="array" ref="BB145">AVERAGE(AM145:AM149/AL145:AL149)-AVERAGE(Q145:Q149/P145:P149)</f>
        <v>-3.490915033221853E-5</v>
      </c>
      <c r="BD145" s="54">
        <f>IF(OR(ISBLANK(R145:R149),ISBLANK(AN145:AN149),ISBLANK(T145:T149),ISBLANK(AP145:AP149)),"·",bdRateExtend(R145:R149,T145:T149,AN145:AN149,AP145:AP149))</f>
        <v>-1.1939532653515439E-4</v>
      </c>
      <c r="BE145" s="54">
        <f>IF(OR(ISBLANK(R145:R149),ISBLANK(AN145:AN149),ISBLANK(U145:U149),ISBLANK(AQ145:AQ149)),"·",bdRateExtend(R145:R149,U145:U149,AN145:AN149,AQ145:AQ149))</f>
        <v>-6.7520876856763667E-4</v>
      </c>
      <c r="BF145" s="54">
        <f>IF(OR(ISBLANK(R145:R149),ISBLANK(AN145:AN149),ISBLANK(V145:V149),ISBLANK(AR145:AR149)),"·",bdRateExtend(R145:R149,V145:V149,AN145:AN149,AR145:AR149))</f>
        <v>1.2098534705453634E-3</v>
      </c>
      <c r="BG145" s="61"/>
      <c r="BI145" s="54">
        <f>IF(OR(ISBLANK(R145:R149),ISBLANK(AN145:AN149),ISBLANK(X145:X149),ISBLANK(AT145:AT149)),"·",bdRateExtend(R145:R149,X145:X149,AN145:AN149,AT145:AT149))</f>
        <v>3.1647675632484606E-4</v>
      </c>
      <c r="BJ145" s="54">
        <f>IF(OR(ISBLANK(R145:R149),ISBLANK(AN145:AN149),ISBLANK(Y145:Y149),ISBLANK(AU145:AU149)),"·",bdRateExtend(R145:R149,Y145:Y149,AN145:AN149,AU145:AU149))</f>
        <v>3.1647675632484606E-4</v>
      </c>
      <c r="BK145" s="54">
        <f>IF(OR(ISBLANK(R145:R149),ISBLANK(AN145:AN149),ISBLANK(Z145:Z149),ISBLANK(AV145:AV149)),"·",bdRateExtend(R145:R149,Z145:Z149,AN145:AN149,AV145:AV149))</f>
        <v>3.1647675632484606E-4</v>
      </c>
      <c r="BL145" s="61"/>
      <c r="BN145" s="54">
        <f>IF(OR(ISBLANK(P145:P149),ISBLANK(AL145:AL149),ISBLANK(T145:T149),ISBLANK(AP145:AP149)),"·",bdRateExtend(P145:P149,T145:T149,AL145:AL149,AP145:AP149))</f>
        <v>3.742092607450509E-5</v>
      </c>
      <c r="BO145" s="54">
        <f>IF(OR(ISBLANK(P145:P149),ISBLANK(AL145:AL149),ISBLANK(U145:U149),ISBLANK(AQ145:AQ149)),"·",bdRateExtend(P145:P149,U145:U149,AL145:AL149,AQ145:AQ149))</f>
        <v>2.8434813610367371E-5</v>
      </c>
      <c r="BP145" s="54">
        <f>IF(OR(ISBLANK(P145:P149),ISBLANK(AL145:AL149),ISBLANK(V145:V149),ISBLANK(AR145:AR149)),"·",bdRateExtend(P145:P149,V145:V149,AL145:AL149,AR145:AR149))</f>
        <v>1.1782390362546913E-4</v>
      </c>
      <c r="BQ145" s="61"/>
      <c r="BS145" s="54">
        <f>IF(OR(ISBLANK(P145:P149),ISBLANK(AL145:AL149),ISBLANK(X145:X149),ISBLANK(AT145:AT149)),"·",bdRateExtend(P145:P149,X145:X149,AL145:AL149,AT145:AT149))</f>
        <v>5.1661084177645478E-5</v>
      </c>
      <c r="BT145" s="54">
        <f>IF(OR(ISBLANK(P145:P149),ISBLANK(AL145:AL149),ISBLANK(Y145:Y149),ISBLANK(AU145:AU149)),"·",bdRateExtend(P145:P149,Y145:Y149,AL145:AL149,AU145:AU149))</f>
        <v>5.1661084177645478E-5</v>
      </c>
      <c r="BU145" s="54">
        <f>IF(OR(ISBLANK(P145:P149),ISBLANK(AL145:AL149),ISBLANK(Z145:Z149),ISBLANK(AV145:AV149)),"·",bdRateExtend(P145:P149,Z145:Z149,AL145:AL149,AV145:AV149))</f>
        <v>5.1661084177645478E-5</v>
      </c>
      <c r="BV145" s="61"/>
      <c r="BX145">
        <f t="shared" si="60"/>
        <v>0</v>
      </c>
      <c r="BY145">
        <f t="shared" si="61"/>
        <v>35280</v>
      </c>
      <c r="BZ145">
        <f t="shared" si="62"/>
        <v>0</v>
      </c>
      <c r="CA145">
        <f t="shared" si="63"/>
        <v>35280</v>
      </c>
      <c r="CB145">
        <f t="shared" si="64"/>
        <v>0</v>
      </c>
      <c r="CC145">
        <f t="shared" si="65"/>
        <v>0</v>
      </c>
      <c r="CD145">
        <f t="shared" si="66"/>
        <v>-3.9999999999906777E-4</v>
      </c>
      <c r="CE145">
        <f t="shared" si="67"/>
        <v>-1.2000000000043087E-3</v>
      </c>
      <c r="CF145">
        <f t="shared" si="68"/>
        <v>0</v>
      </c>
      <c r="CG145">
        <f t="shared" si="69"/>
        <v>0</v>
      </c>
      <c r="CH145">
        <f t="shared" si="70"/>
        <v>0</v>
      </c>
      <c r="CI145">
        <f t="shared" si="71"/>
        <v>0</v>
      </c>
      <c r="CJ145">
        <f t="shared" si="72"/>
        <v>0</v>
      </c>
    </row>
    <row r="146" spans="1:88" outlineLevel="1" x14ac:dyDescent="0.15">
      <c r="A146" s="8"/>
      <c r="B146" s="8" t="s">
        <v>143</v>
      </c>
      <c r="C146" s="9" t="s">
        <v>255</v>
      </c>
      <c r="D146" s="8">
        <v>19714629</v>
      </c>
      <c r="E146" s="10">
        <v>20</v>
      </c>
      <c r="F146" s="9">
        <v>1</v>
      </c>
      <c r="G146" s="9"/>
      <c r="I146" s="22" t="str">
        <f t="shared" si="49"/>
        <v>·</v>
      </c>
      <c r="J146" s="23">
        <f t="shared" si="50"/>
        <v>26.650468340033182</v>
      </c>
      <c r="K146" s="23">
        <f t="shared" si="51"/>
        <v>22.383093894386754</v>
      </c>
      <c r="L146" s="23">
        <f t="shared" si="52"/>
        <v>4.2672535202158759</v>
      </c>
      <c r="M146" s="24"/>
      <c r="N146" s="23">
        <f t="shared" si="53"/>
        <v>26.650468340033182</v>
      </c>
      <c r="O146" s="25">
        <v>19714629</v>
      </c>
      <c r="P146" s="26">
        <v>525404096</v>
      </c>
      <c r="Q146" s="26">
        <v>441274392</v>
      </c>
      <c r="R146" s="26">
        <v>84127320</v>
      </c>
      <c r="S146" s="40"/>
      <c r="T146" s="41">
        <v>48.046199999999999</v>
      </c>
      <c r="U146" s="41">
        <v>51.224299999999999</v>
      </c>
      <c r="V146" s="41">
        <v>51.210900000000002</v>
      </c>
      <c r="W146" s="42"/>
      <c r="X146" s="41">
        <v>42.110199999999999</v>
      </c>
      <c r="Y146" s="41">
        <v>42.110199999999999</v>
      </c>
      <c r="Z146" s="41">
        <v>42.110199999999999</v>
      </c>
      <c r="AA146" s="42"/>
      <c r="AB146" s="50">
        <v>62.015000000000001</v>
      </c>
      <c r="AC146" s="50">
        <v>55.375</v>
      </c>
      <c r="AE146" s="22" t="str">
        <f t="shared" si="54"/>
        <v>·</v>
      </c>
      <c r="AF146" s="23">
        <f t="shared" si="55"/>
        <v>26.65269612732758</v>
      </c>
      <c r="AG146" s="23">
        <f t="shared" si="56"/>
        <v>22.383093894386754</v>
      </c>
      <c r="AH146" s="23">
        <f t="shared" si="57"/>
        <v>4.2694813075102758</v>
      </c>
      <c r="AI146" s="24"/>
      <c r="AJ146" s="23">
        <f t="shared" si="58"/>
        <v>26.65269612732758</v>
      </c>
      <c r="AK146" s="25">
        <v>19714629</v>
      </c>
      <c r="AL146" s="26">
        <v>525448016</v>
      </c>
      <c r="AM146" s="26">
        <v>441274392</v>
      </c>
      <c r="AN146" s="26">
        <v>84171240</v>
      </c>
      <c r="AO146" s="40"/>
      <c r="AP146" s="41">
        <v>48.046900000000001</v>
      </c>
      <c r="AQ146" s="41">
        <v>51.223999999999997</v>
      </c>
      <c r="AR146" s="41">
        <v>51.209699999999998</v>
      </c>
      <c r="AS146" s="42"/>
      <c r="AT146" s="41">
        <v>42.110199999999999</v>
      </c>
      <c r="AU146" s="41">
        <v>42.110199999999999</v>
      </c>
      <c r="AV146" s="41">
        <v>42.110199999999999</v>
      </c>
      <c r="AW146" s="42"/>
      <c r="AX146" s="50">
        <v>62.25</v>
      </c>
      <c r="AY146" s="50">
        <v>55.359000000000002</v>
      </c>
      <c r="BA146" s="55">
        <f t="shared" si="59"/>
        <v>-7.0201735050456904E-5</v>
      </c>
      <c r="BB146" s="55"/>
      <c r="BD146" s="56"/>
      <c r="BE146" s="56"/>
      <c r="BF146" s="56"/>
      <c r="BG146" s="62"/>
      <c r="BI146" s="56"/>
      <c r="BJ146" s="56"/>
      <c r="BK146" s="56"/>
      <c r="BL146" s="62"/>
      <c r="BN146" s="56"/>
      <c r="BO146" s="56"/>
      <c r="BP146" s="56"/>
      <c r="BQ146" s="62"/>
      <c r="BS146" s="56"/>
      <c r="BT146" s="56"/>
      <c r="BU146" s="56"/>
      <c r="BV146" s="62"/>
      <c r="BX146">
        <f t="shared" si="60"/>
        <v>0</v>
      </c>
      <c r="BY146">
        <f t="shared" si="61"/>
        <v>43920</v>
      </c>
      <c r="BZ146">
        <f t="shared" si="62"/>
        <v>0</v>
      </c>
      <c r="CA146">
        <f t="shared" si="63"/>
        <v>43920</v>
      </c>
      <c r="CB146">
        <f t="shared" si="64"/>
        <v>0</v>
      </c>
      <c r="CC146">
        <f t="shared" si="65"/>
        <v>7.0000000000192131E-4</v>
      </c>
      <c r="CD146">
        <f t="shared" si="66"/>
        <v>-3.0000000000285354E-4</v>
      </c>
      <c r="CE146">
        <f t="shared" si="67"/>
        <v>-1.2000000000043087E-3</v>
      </c>
      <c r="CF146">
        <f t="shared" si="68"/>
        <v>0</v>
      </c>
      <c r="CG146">
        <f t="shared" si="69"/>
        <v>0</v>
      </c>
      <c r="CH146">
        <f t="shared" si="70"/>
        <v>0</v>
      </c>
      <c r="CI146">
        <f t="shared" si="71"/>
        <v>0</v>
      </c>
      <c r="CJ146">
        <f t="shared" si="72"/>
        <v>0</v>
      </c>
    </row>
    <row r="147" spans="1:88" outlineLevel="1" x14ac:dyDescent="0.15">
      <c r="A147" s="5"/>
      <c r="B147" s="5" t="s">
        <v>143</v>
      </c>
      <c r="C147" s="6" t="s">
        <v>256</v>
      </c>
      <c r="D147" s="5">
        <v>19714629</v>
      </c>
      <c r="E147" s="7">
        <v>20</v>
      </c>
      <c r="F147" s="6">
        <v>1</v>
      </c>
      <c r="G147" s="6"/>
      <c r="I147" s="17" t="str">
        <f t="shared" si="49"/>
        <v>·</v>
      </c>
      <c r="J147" s="18">
        <f t="shared" si="50"/>
        <v>24.610477021910988</v>
      </c>
      <c r="K147" s="18">
        <f t="shared" si="51"/>
        <v>22.383093894386754</v>
      </c>
      <c r="L147" s="18">
        <f t="shared" si="52"/>
        <v>2.2272622020936836</v>
      </c>
      <c r="M147" s="19"/>
      <c r="N147" s="18">
        <f t="shared" si="53"/>
        <v>24.610477021910988</v>
      </c>
      <c r="O147" s="20">
        <v>19714629</v>
      </c>
      <c r="P147" s="21">
        <v>485186424</v>
      </c>
      <c r="Q147" s="21">
        <v>441274392</v>
      </c>
      <c r="R147" s="21">
        <v>43909648</v>
      </c>
      <c r="S147" s="37"/>
      <c r="T147" s="38">
        <v>40.8185</v>
      </c>
      <c r="U147" s="38">
        <v>46.124499999999998</v>
      </c>
      <c r="V147" s="38">
        <v>46.747900000000001</v>
      </c>
      <c r="W147" s="39"/>
      <c r="X147" s="38">
        <v>34.151400000000002</v>
      </c>
      <c r="Y147" s="38">
        <v>34.151400000000002</v>
      </c>
      <c r="Z147" s="38">
        <v>34.151400000000002</v>
      </c>
      <c r="AA147" s="39"/>
      <c r="AB147" s="49">
        <v>61.515000000000001</v>
      </c>
      <c r="AC147" s="49">
        <v>54.953000000000003</v>
      </c>
      <c r="AE147" s="17" t="str">
        <f t="shared" si="54"/>
        <v>·</v>
      </c>
      <c r="AF147" s="18">
        <f t="shared" si="55"/>
        <v>24.612073805700327</v>
      </c>
      <c r="AG147" s="18">
        <f t="shared" si="56"/>
        <v>22.383093894386754</v>
      </c>
      <c r="AH147" s="18">
        <f t="shared" si="57"/>
        <v>2.2288589858830212</v>
      </c>
      <c r="AI147" s="19"/>
      <c r="AJ147" s="18">
        <f t="shared" si="58"/>
        <v>24.612073805700327</v>
      </c>
      <c r="AK147" s="20">
        <v>19714629</v>
      </c>
      <c r="AL147" s="21">
        <v>485217904</v>
      </c>
      <c r="AM147" s="21">
        <v>441274392</v>
      </c>
      <c r="AN147" s="21">
        <v>43941128</v>
      </c>
      <c r="AO147" s="37"/>
      <c r="AP147" s="38">
        <v>40.819499999999998</v>
      </c>
      <c r="AQ147" s="38">
        <v>46.125399999999999</v>
      </c>
      <c r="AR147" s="38">
        <v>46.742100000000001</v>
      </c>
      <c r="AS147" s="39"/>
      <c r="AT147" s="38">
        <v>34.151400000000002</v>
      </c>
      <c r="AU147" s="38">
        <v>34.151400000000002</v>
      </c>
      <c r="AV147" s="38">
        <v>34.151400000000002</v>
      </c>
      <c r="AW147" s="39"/>
      <c r="AX147" s="49">
        <v>61.436999999999998</v>
      </c>
      <c r="AY147" s="49">
        <v>54.920999999999999</v>
      </c>
      <c r="BA147" s="53">
        <f t="shared" si="59"/>
        <v>-5.9006246753035008E-5</v>
      </c>
      <c r="BB147" s="53"/>
      <c r="BD147" s="54"/>
      <c r="BE147" s="54"/>
      <c r="BF147" s="54"/>
      <c r="BG147" s="61"/>
      <c r="BI147" s="54"/>
      <c r="BJ147" s="54"/>
      <c r="BK147" s="54"/>
      <c r="BL147" s="61"/>
      <c r="BN147" s="54"/>
      <c r="BO147" s="54"/>
      <c r="BP147" s="54"/>
      <c r="BQ147" s="61"/>
      <c r="BS147" s="54"/>
      <c r="BT147" s="54"/>
      <c r="BU147" s="54"/>
      <c r="BV147" s="61"/>
      <c r="BX147">
        <f t="shared" si="60"/>
        <v>0</v>
      </c>
      <c r="BY147">
        <f t="shared" si="61"/>
        <v>31480</v>
      </c>
      <c r="BZ147">
        <f t="shared" si="62"/>
        <v>0</v>
      </c>
      <c r="CA147">
        <f t="shared" si="63"/>
        <v>31480</v>
      </c>
      <c r="CB147">
        <f t="shared" si="64"/>
        <v>0</v>
      </c>
      <c r="CC147">
        <f t="shared" si="65"/>
        <v>9.9999999999766942E-4</v>
      </c>
      <c r="CD147">
        <f t="shared" si="66"/>
        <v>9.0000000000145519E-4</v>
      </c>
      <c r="CE147">
        <f t="shared" si="67"/>
        <v>-5.8000000000006935E-3</v>
      </c>
      <c r="CF147">
        <f t="shared" si="68"/>
        <v>0</v>
      </c>
      <c r="CG147">
        <f t="shared" si="69"/>
        <v>0</v>
      </c>
      <c r="CH147">
        <f t="shared" si="70"/>
        <v>0</v>
      </c>
      <c r="CI147">
        <f t="shared" si="71"/>
        <v>0</v>
      </c>
      <c r="CJ147">
        <f t="shared" si="72"/>
        <v>0</v>
      </c>
    </row>
    <row r="148" spans="1:88" outlineLevel="1" x14ac:dyDescent="0.15">
      <c r="A148" s="8"/>
      <c r="B148" s="8" t="s">
        <v>143</v>
      </c>
      <c r="C148" s="9" t="s">
        <v>257</v>
      </c>
      <c r="D148" s="8">
        <v>19714629</v>
      </c>
      <c r="E148" s="10">
        <v>20</v>
      </c>
      <c r="F148" s="9">
        <v>1</v>
      </c>
      <c r="G148" s="9"/>
      <c r="I148" s="22" t="str">
        <f t="shared" si="49"/>
        <v>·</v>
      </c>
      <c r="J148" s="23">
        <f t="shared" si="50"/>
        <v>23.439510223600962</v>
      </c>
      <c r="K148" s="23">
        <f t="shared" si="51"/>
        <v>22.383093894386754</v>
      </c>
      <c r="L148" s="23">
        <f t="shared" si="52"/>
        <v>1.0562954037836574</v>
      </c>
      <c r="M148" s="24"/>
      <c r="N148" s="23">
        <f t="shared" si="53"/>
        <v>23.439510223600962</v>
      </c>
      <c r="O148" s="25">
        <v>19714629</v>
      </c>
      <c r="P148" s="26">
        <v>462101248</v>
      </c>
      <c r="Q148" s="26">
        <v>441274392</v>
      </c>
      <c r="R148" s="26">
        <v>20824472</v>
      </c>
      <c r="S148" s="40"/>
      <c r="T148" s="41">
        <v>35.466000000000001</v>
      </c>
      <c r="U148" s="41">
        <v>41.906700000000001</v>
      </c>
      <c r="V148" s="41">
        <v>43.08</v>
      </c>
      <c r="W148" s="42"/>
      <c r="X148" s="41">
        <v>28.130800000000001</v>
      </c>
      <c r="Y148" s="41">
        <v>28.130800000000001</v>
      </c>
      <c r="Z148" s="41">
        <v>28.130800000000001</v>
      </c>
      <c r="AA148" s="42"/>
      <c r="AB148" s="50">
        <v>61.061999999999998</v>
      </c>
      <c r="AC148" s="50">
        <v>54.795999999999999</v>
      </c>
      <c r="AE148" s="22" t="str">
        <f t="shared" si="54"/>
        <v>·</v>
      </c>
      <c r="AF148" s="23">
        <f t="shared" si="55"/>
        <v>23.440177342419176</v>
      </c>
      <c r="AG148" s="23">
        <f t="shared" si="56"/>
        <v>22.383093894386754</v>
      </c>
      <c r="AH148" s="23">
        <f t="shared" si="57"/>
        <v>1.0569625226018708</v>
      </c>
      <c r="AI148" s="24"/>
      <c r="AJ148" s="23">
        <f t="shared" si="58"/>
        <v>23.440177342419176</v>
      </c>
      <c r="AK148" s="25">
        <v>19714629</v>
      </c>
      <c r="AL148" s="26">
        <v>462114400</v>
      </c>
      <c r="AM148" s="26">
        <v>441274392</v>
      </c>
      <c r="AN148" s="26">
        <v>20837624</v>
      </c>
      <c r="AO148" s="40"/>
      <c r="AP148" s="41">
        <v>35.468400000000003</v>
      </c>
      <c r="AQ148" s="41">
        <v>41.9116</v>
      </c>
      <c r="AR148" s="41">
        <v>43.064399999999999</v>
      </c>
      <c r="AS148" s="42"/>
      <c r="AT148" s="41">
        <v>28.130800000000001</v>
      </c>
      <c r="AU148" s="41">
        <v>28.130800000000001</v>
      </c>
      <c r="AV148" s="41">
        <v>28.130800000000001</v>
      </c>
      <c r="AW148" s="42"/>
      <c r="AX148" s="50">
        <v>61.468000000000004</v>
      </c>
      <c r="AY148" s="50">
        <v>54.670999999999999</v>
      </c>
      <c r="BA148" s="55">
        <f t="shared" si="59"/>
        <v>-2.7177773955444628E-5</v>
      </c>
      <c r="BB148" s="55"/>
      <c r="BD148" s="56"/>
      <c r="BE148" s="56"/>
      <c r="BF148" s="56"/>
      <c r="BG148" s="62"/>
      <c r="BI148" s="56"/>
      <c r="BJ148" s="56"/>
      <c r="BK148" s="56"/>
      <c r="BL148" s="62"/>
      <c r="BN148" s="56"/>
      <c r="BO148" s="56"/>
      <c r="BP148" s="56"/>
      <c r="BQ148" s="62"/>
      <c r="BS148" s="56"/>
      <c r="BT148" s="56"/>
      <c r="BU148" s="56"/>
      <c r="BV148" s="62"/>
      <c r="BX148">
        <f t="shared" si="60"/>
        <v>0</v>
      </c>
      <c r="BY148">
        <f t="shared" si="61"/>
        <v>13152</v>
      </c>
      <c r="BZ148">
        <f t="shared" si="62"/>
        <v>0</v>
      </c>
      <c r="CA148">
        <f t="shared" si="63"/>
        <v>13152</v>
      </c>
      <c r="CB148">
        <f t="shared" si="64"/>
        <v>0</v>
      </c>
      <c r="CC148">
        <f t="shared" si="65"/>
        <v>2.400000000001512E-3</v>
      </c>
      <c r="CD148">
        <f t="shared" si="66"/>
        <v>4.8999999999992383E-3</v>
      </c>
      <c r="CE148">
        <f t="shared" si="67"/>
        <v>-1.559999999999917E-2</v>
      </c>
      <c r="CF148">
        <f t="shared" si="68"/>
        <v>0</v>
      </c>
      <c r="CG148">
        <f t="shared" si="69"/>
        <v>0</v>
      </c>
      <c r="CH148">
        <f t="shared" si="70"/>
        <v>0</v>
      </c>
      <c r="CI148">
        <f t="shared" si="71"/>
        <v>0</v>
      </c>
      <c r="CJ148">
        <f t="shared" si="72"/>
        <v>0</v>
      </c>
    </row>
    <row r="149" spans="1:88" outlineLevel="1" x14ac:dyDescent="0.15">
      <c r="A149" s="5"/>
      <c r="B149" s="11" t="s">
        <v>143</v>
      </c>
      <c r="C149" s="12" t="s">
        <v>258</v>
      </c>
      <c r="D149" s="11">
        <v>19714629</v>
      </c>
      <c r="E149" s="13">
        <v>20</v>
      </c>
      <c r="F149" s="12">
        <v>1</v>
      </c>
      <c r="G149" s="12"/>
      <c r="I149" s="27" t="str">
        <f t="shared" si="49"/>
        <v>·</v>
      </c>
      <c r="J149" s="28">
        <f t="shared" si="50"/>
        <v>22.685514193546325</v>
      </c>
      <c r="K149" s="28">
        <f t="shared" si="51"/>
        <v>22.383093894386754</v>
      </c>
      <c r="L149" s="28">
        <f t="shared" si="52"/>
        <v>0.30229937372902121</v>
      </c>
      <c r="M149" s="29"/>
      <c r="N149" s="28">
        <f t="shared" si="53"/>
        <v>22.685514193546325</v>
      </c>
      <c r="O149" s="30">
        <v>19714629</v>
      </c>
      <c r="P149" s="31">
        <v>447236496</v>
      </c>
      <c r="Q149" s="31">
        <v>441274392</v>
      </c>
      <c r="R149" s="31">
        <v>5959720</v>
      </c>
      <c r="S149" s="43"/>
      <c r="T149" s="44">
        <v>30.000699999999998</v>
      </c>
      <c r="U149" s="44">
        <v>37.783999999999999</v>
      </c>
      <c r="V149" s="44">
        <v>38.441600000000001</v>
      </c>
      <c r="W149" s="45"/>
      <c r="X149" s="44">
        <v>21.686399999999999</v>
      </c>
      <c r="Y149" s="44">
        <v>21.686399999999999</v>
      </c>
      <c r="Z149" s="44">
        <v>21.686399999999999</v>
      </c>
      <c r="AA149" s="45"/>
      <c r="AB149" s="51">
        <v>61.295999999999999</v>
      </c>
      <c r="AC149" s="51">
        <v>54.718000000000004</v>
      </c>
      <c r="AE149" s="27" t="str">
        <f t="shared" si="54"/>
        <v>·</v>
      </c>
      <c r="AF149" s="28">
        <f t="shared" si="55"/>
        <v>22.684797974133826</v>
      </c>
      <c r="AG149" s="28">
        <f t="shared" si="56"/>
        <v>22.383093894386754</v>
      </c>
      <c r="AH149" s="28">
        <f t="shared" si="57"/>
        <v>0.30158315431652305</v>
      </c>
      <c r="AI149" s="29"/>
      <c r="AJ149" s="28">
        <f t="shared" si="58"/>
        <v>22.684797974133826</v>
      </c>
      <c r="AK149" s="30">
        <v>19714629</v>
      </c>
      <c r="AL149" s="31">
        <v>447222376</v>
      </c>
      <c r="AM149" s="31">
        <v>441274392</v>
      </c>
      <c r="AN149" s="31">
        <v>5945600</v>
      </c>
      <c r="AO149" s="43"/>
      <c r="AP149" s="44">
        <v>30.0123</v>
      </c>
      <c r="AQ149" s="44">
        <v>37.806100000000001</v>
      </c>
      <c r="AR149" s="44">
        <v>38.454700000000003</v>
      </c>
      <c r="AS149" s="45"/>
      <c r="AT149" s="44">
        <v>21.686399999999999</v>
      </c>
      <c r="AU149" s="44">
        <v>21.686399999999999</v>
      </c>
      <c r="AV149" s="44">
        <v>21.686399999999999</v>
      </c>
      <c r="AW149" s="45"/>
      <c r="AX149" s="51">
        <v>60.875</v>
      </c>
      <c r="AY149" s="51">
        <v>54.405999999999999</v>
      </c>
      <c r="BA149" s="57">
        <f t="shared" si="59"/>
        <v>3.115176522572316E-5</v>
      </c>
      <c r="BB149" s="57"/>
      <c r="BD149" s="58"/>
      <c r="BE149" s="58"/>
      <c r="BF149" s="58"/>
      <c r="BG149" s="63"/>
      <c r="BI149" s="58"/>
      <c r="BJ149" s="58"/>
      <c r="BK149" s="58"/>
      <c r="BL149" s="63"/>
      <c r="BN149" s="58"/>
      <c r="BO149" s="58"/>
      <c r="BP149" s="58"/>
      <c r="BQ149" s="63"/>
      <c r="BS149" s="58"/>
      <c r="BT149" s="58"/>
      <c r="BU149" s="58"/>
      <c r="BV149" s="63"/>
      <c r="BX149">
        <f t="shared" si="60"/>
        <v>0</v>
      </c>
      <c r="BY149">
        <f t="shared" si="61"/>
        <v>-14120</v>
      </c>
      <c r="BZ149">
        <f t="shared" si="62"/>
        <v>0</v>
      </c>
      <c r="CA149">
        <f t="shared" si="63"/>
        <v>-14120</v>
      </c>
      <c r="CB149">
        <f t="shared" si="64"/>
        <v>0</v>
      </c>
      <c r="CC149">
        <f t="shared" si="65"/>
        <v>1.1600000000001387E-2</v>
      </c>
      <c r="CD149">
        <f t="shared" si="66"/>
        <v>2.2100000000001785E-2</v>
      </c>
      <c r="CE149">
        <f t="shared" si="67"/>
        <v>1.3100000000001444E-2</v>
      </c>
      <c r="CF149">
        <f t="shared" si="68"/>
        <v>0</v>
      </c>
      <c r="CG149">
        <f t="shared" si="69"/>
        <v>0</v>
      </c>
      <c r="CH149">
        <f t="shared" si="70"/>
        <v>0</v>
      </c>
      <c r="CI149">
        <f t="shared" si="71"/>
        <v>0</v>
      </c>
      <c r="CJ149">
        <f t="shared" si="72"/>
        <v>0</v>
      </c>
    </row>
    <row r="150" spans="1:88" x14ac:dyDescent="0.15">
      <c r="A150" s="8"/>
      <c r="B150" s="8" t="s">
        <v>146</v>
      </c>
      <c r="C150" s="9" t="s">
        <v>254</v>
      </c>
      <c r="D150" s="8">
        <v>3630907</v>
      </c>
      <c r="E150" s="10">
        <v>20</v>
      </c>
      <c r="F150" s="9">
        <v>1</v>
      </c>
      <c r="G150" s="9"/>
      <c r="I150" s="22" t="str">
        <f t="shared" si="49"/>
        <v>·</v>
      </c>
      <c r="J150" s="23">
        <f t="shared" si="50"/>
        <v>36.111821095941039</v>
      </c>
      <c r="K150" s="23">
        <f t="shared" si="51"/>
        <v>29.969428575284358</v>
      </c>
      <c r="L150" s="23">
        <f t="shared" si="52"/>
        <v>6.14215456358425</v>
      </c>
      <c r="M150" s="24"/>
      <c r="N150" s="23">
        <f t="shared" si="53"/>
        <v>36.111821095941039</v>
      </c>
      <c r="O150" s="25">
        <v>3630907</v>
      </c>
      <c r="P150" s="26">
        <v>131118664</v>
      </c>
      <c r="Q150" s="26">
        <v>108816208</v>
      </c>
      <c r="R150" s="26">
        <v>22301592</v>
      </c>
      <c r="S150" s="40"/>
      <c r="T150" s="41">
        <v>52.915100000000002</v>
      </c>
      <c r="U150" s="41">
        <v>55.719200000000001</v>
      </c>
      <c r="V150" s="41">
        <v>55.848399999999998</v>
      </c>
      <c r="W150" s="42"/>
      <c r="X150" s="41">
        <v>48.130800000000001</v>
      </c>
      <c r="Y150" s="41">
        <v>48.130800000000001</v>
      </c>
      <c r="Z150" s="41">
        <v>48.130800000000001</v>
      </c>
      <c r="AA150" s="42"/>
      <c r="AB150" s="50">
        <v>13.515000000000001</v>
      </c>
      <c r="AC150" s="50">
        <v>11.484</v>
      </c>
      <c r="AE150" s="22" t="str">
        <f t="shared" si="54"/>
        <v>·</v>
      </c>
      <c r="AF150" s="23">
        <f t="shared" si="55"/>
        <v>36.123414893303519</v>
      </c>
      <c r="AG150" s="23">
        <f t="shared" si="56"/>
        <v>29.969428575284358</v>
      </c>
      <c r="AH150" s="23">
        <f t="shared" si="57"/>
        <v>6.1537483609467278</v>
      </c>
      <c r="AI150" s="24"/>
      <c r="AJ150" s="23">
        <f t="shared" si="58"/>
        <v>36.123414893303519</v>
      </c>
      <c r="AK150" s="25">
        <v>3630907</v>
      </c>
      <c r="AL150" s="26">
        <v>131160760</v>
      </c>
      <c r="AM150" s="26">
        <v>108816208</v>
      </c>
      <c r="AN150" s="26">
        <v>22343688</v>
      </c>
      <c r="AO150" s="40"/>
      <c r="AP150" s="41">
        <v>52.916600000000003</v>
      </c>
      <c r="AQ150" s="41">
        <v>55.716299999999997</v>
      </c>
      <c r="AR150" s="41">
        <v>55.847099999999998</v>
      </c>
      <c r="AS150" s="42"/>
      <c r="AT150" s="41">
        <v>48.130800000000001</v>
      </c>
      <c r="AU150" s="41">
        <v>48.130800000000001</v>
      </c>
      <c r="AV150" s="41">
        <v>48.130800000000001</v>
      </c>
      <c r="AW150" s="42"/>
      <c r="AX150" s="50">
        <v>13.484</v>
      </c>
      <c r="AY150" s="50">
        <v>11.39</v>
      </c>
      <c r="BA150" s="55">
        <f t="shared" si="59"/>
        <v>-2.6635814302433669E-4</v>
      </c>
      <c r="BB150" s="55">
        <f t="array" ref="BB150">AVERAGE(AM150:AM154/AL150:AL154)-AVERAGE(Q150:Q154/P150:P154)</f>
        <v>-1.9401900118898308E-4</v>
      </c>
      <c r="BD150" s="56">
        <f>IF(OR(ISBLANK(R150:R154),ISBLANK(AN150:AN154),ISBLANK(T150:T154),ISBLANK(AP150:AP154)),"·",bdRateExtend(R150:R154,T150:T154,AN150:AN154,AP150:AP154))</f>
        <v>3.633140023537651E-3</v>
      </c>
      <c r="BE150" s="56">
        <f>IF(OR(ISBLANK(R150:R154),ISBLANK(AN150:AN154),ISBLANK(U150:U154),ISBLANK(AQ150:AQ154)),"·",bdRateExtend(R150:R154,U150:U154,AN150:AN154,AQ150:AQ154))</f>
        <v>-4.31178595277526E-3</v>
      </c>
      <c r="BF150" s="56">
        <f>IF(OR(ISBLANK(R150:R154),ISBLANK(AN150:AN154),ISBLANK(V150:V154),ISBLANK(AR150:AR154)),"·",bdRateExtend(R150:R154,V150:V154,AN150:AN154,AR150:AR154))</f>
        <v>-1.2955422129084404E-2</v>
      </c>
      <c r="BG150" s="62"/>
      <c r="BI150" s="56">
        <f>IF(OR(ISBLANK(R150:R154),ISBLANK(AN150:AN154),ISBLANK(X150:X154),ISBLANK(AT150:AT154)),"·",bdRateExtend(R150:R154,X150:X154,AN150:AN154,AT150:AT154))</f>
        <v>3.037578650072259E-3</v>
      </c>
      <c r="BJ150" s="56">
        <f>IF(OR(ISBLANK(R150:R154),ISBLANK(AN150:AN154),ISBLANK(Y150:Y154),ISBLANK(AU150:AU154)),"·",bdRateExtend(R150:R154,Y150:Y154,AN150:AN154,AU150:AU154))</f>
        <v>3.037578650072259E-3</v>
      </c>
      <c r="BK150" s="56">
        <f>IF(OR(ISBLANK(R150:R154),ISBLANK(AN150:AN154),ISBLANK(Z150:Z154),ISBLANK(AV150:AV154)),"·",bdRateExtend(R150:R154,Z150:Z154,AN150:AN154,AV150:AV154))</f>
        <v>3.037578650072259E-3</v>
      </c>
      <c r="BL150" s="62"/>
      <c r="BN150" s="56">
        <f>IF(OR(ISBLANK(P150:P154),ISBLANK(AL150:AL154),ISBLANK(T150:T154),ISBLANK(AP150:AP154)),"·",bdRateExtend(P150:P154,T150:T154,AL150:AL154,AP150:AP154))</f>
        <v>2.4255648415039133E-4</v>
      </c>
      <c r="BO150" s="56">
        <f>IF(OR(ISBLANK(P150:P154),ISBLANK(AL150:AL154),ISBLANK(U150:U154),ISBLANK(AQ150:AQ154)),"·",bdRateExtend(P150:P154,U150:U154,AL150:AL154,AQ150:AQ154))</f>
        <v>1.4088304130766005E-4</v>
      </c>
      <c r="BP150" s="56">
        <f>IF(OR(ISBLANK(P150:P154),ISBLANK(AL150:AL154),ISBLANK(V150:V154),ISBLANK(AR150:AR154)),"·",bdRateExtend(P150:P154,V150:V154,AL150:AL154,AR150:AR154))</f>
        <v>-1.3289645720404586E-4</v>
      </c>
      <c r="BQ150" s="62"/>
      <c r="BS150" s="56">
        <f>IF(OR(ISBLANK(P150:P154),ISBLANK(AL150:AL154),ISBLANK(X150:X154),ISBLANK(AT150:AT154)),"·",bdRateExtend(P150:P154,X150:X154,AL150:AL154,AT150:AT154))</f>
        <v>2.44757139539864E-4</v>
      </c>
      <c r="BT150" s="56">
        <f>IF(OR(ISBLANK(P150:P154),ISBLANK(AL150:AL154),ISBLANK(Y150:Y154),ISBLANK(AU150:AU154)),"·",bdRateExtend(P150:P154,Y150:Y154,AL150:AL154,AU150:AU154))</f>
        <v>2.44757139539864E-4</v>
      </c>
      <c r="BU150" s="56">
        <f>IF(OR(ISBLANK(P150:P154),ISBLANK(AL150:AL154),ISBLANK(Z150:Z154),ISBLANK(AV150:AV154)),"·",bdRateExtend(P150:P154,Z150:Z154,AL150:AL154,AV150:AV154))</f>
        <v>2.44757139539864E-4</v>
      </c>
      <c r="BV150" s="62"/>
      <c r="BX150">
        <f t="shared" si="60"/>
        <v>0</v>
      </c>
      <c r="BY150">
        <f t="shared" si="61"/>
        <v>42096</v>
      </c>
      <c r="BZ150">
        <f t="shared" si="62"/>
        <v>0</v>
      </c>
      <c r="CA150">
        <f t="shared" si="63"/>
        <v>42096</v>
      </c>
      <c r="CB150">
        <f t="shared" si="64"/>
        <v>0</v>
      </c>
      <c r="CC150">
        <f t="shared" si="65"/>
        <v>1.5000000000000568E-3</v>
      </c>
      <c r="CD150">
        <f t="shared" si="66"/>
        <v>-2.9000000000038995E-3</v>
      </c>
      <c r="CE150">
        <f t="shared" si="67"/>
        <v>-1.300000000000523E-3</v>
      </c>
      <c r="CF150">
        <f t="shared" si="68"/>
        <v>0</v>
      </c>
      <c r="CG150">
        <f t="shared" si="69"/>
        <v>0</v>
      </c>
      <c r="CH150">
        <f t="shared" si="70"/>
        <v>0</v>
      </c>
      <c r="CI150">
        <f t="shared" si="71"/>
        <v>0</v>
      </c>
      <c r="CJ150">
        <f t="shared" si="72"/>
        <v>0</v>
      </c>
    </row>
    <row r="151" spans="1:88" outlineLevel="1" x14ac:dyDescent="0.15">
      <c r="A151" s="5"/>
      <c r="B151" s="5" t="s">
        <v>146</v>
      </c>
      <c r="C151" s="6" t="s">
        <v>255</v>
      </c>
      <c r="D151" s="5">
        <v>3630907</v>
      </c>
      <c r="E151" s="7">
        <v>20</v>
      </c>
      <c r="F151" s="6">
        <v>1</v>
      </c>
      <c r="G151" s="6"/>
      <c r="I151" s="17" t="str">
        <f t="shared" si="49"/>
        <v>·</v>
      </c>
      <c r="J151" s="18">
        <f t="shared" si="50"/>
        <v>34.208186549531561</v>
      </c>
      <c r="K151" s="18">
        <f t="shared" si="51"/>
        <v>29.969428575284358</v>
      </c>
      <c r="L151" s="18">
        <f t="shared" si="52"/>
        <v>4.2385200171747721</v>
      </c>
      <c r="M151" s="19"/>
      <c r="N151" s="18">
        <f t="shared" si="53"/>
        <v>34.208186549531561</v>
      </c>
      <c r="O151" s="20">
        <v>3630907</v>
      </c>
      <c r="P151" s="21">
        <v>124206744</v>
      </c>
      <c r="Q151" s="21">
        <v>108816208</v>
      </c>
      <c r="R151" s="21">
        <v>15389672</v>
      </c>
      <c r="S151" s="37"/>
      <c r="T151" s="38">
        <v>48.119900000000001</v>
      </c>
      <c r="U151" s="38">
        <v>51.1492</v>
      </c>
      <c r="V151" s="38">
        <v>51.277000000000001</v>
      </c>
      <c r="W151" s="39"/>
      <c r="X151" s="38">
        <v>42.110199999999999</v>
      </c>
      <c r="Y151" s="38">
        <v>42.110199999999999</v>
      </c>
      <c r="Z151" s="38">
        <v>42.110199999999999</v>
      </c>
      <c r="AA151" s="39"/>
      <c r="AB151" s="49">
        <v>13.359</v>
      </c>
      <c r="AC151" s="49">
        <v>11.484</v>
      </c>
      <c r="AE151" s="17" t="str">
        <f t="shared" si="54"/>
        <v>·</v>
      </c>
      <c r="AF151" s="18">
        <f t="shared" si="55"/>
        <v>34.22235380856629</v>
      </c>
      <c r="AG151" s="18">
        <f t="shared" si="56"/>
        <v>29.969428575284358</v>
      </c>
      <c r="AH151" s="18">
        <f t="shared" si="57"/>
        <v>4.2526872762094978</v>
      </c>
      <c r="AI151" s="19"/>
      <c r="AJ151" s="18">
        <f t="shared" si="58"/>
        <v>34.22235380856629</v>
      </c>
      <c r="AK151" s="20">
        <v>3630907</v>
      </c>
      <c r="AL151" s="21">
        <v>124258184</v>
      </c>
      <c r="AM151" s="21">
        <v>108816208</v>
      </c>
      <c r="AN151" s="21">
        <v>15441112</v>
      </c>
      <c r="AO151" s="37"/>
      <c r="AP151" s="38">
        <v>48.122799999999998</v>
      </c>
      <c r="AQ151" s="38">
        <v>51.1464</v>
      </c>
      <c r="AR151" s="38">
        <v>51.276800000000001</v>
      </c>
      <c r="AS151" s="39"/>
      <c r="AT151" s="38">
        <v>42.110199999999999</v>
      </c>
      <c r="AU151" s="38">
        <v>42.110199999999999</v>
      </c>
      <c r="AV151" s="38">
        <v>42.110199999999999</v>
      </c>
      <c r="AW151" s="39"/>
      <c r="AX151" s="49">
        <v>13.484</v>
      </c>
      <c r="AY151" s="49">
        <v>11.436999999999999</v>
      </c>
      <c r="BA151" s="53">
        <f t="shared" si="59"/>
        <v>-3.6268063559574681E-4</v>
      </c>
      <c r="BB151" s="53"/>
      <c r="BD151" s="54"/>
      <c r="BE151" s="54"/>
      <c r="BF151" s="54"/>
      <c r="BG151" s="61"/>
      <c r="BI151" s="54"/>
      <c r="BJ151" s="54"/>
      <c r="BK151" s="54"/>
      <c r="BL151" s="61"/>
      <c r="BN151" s="54"/>
      <c r="BO151" s="54"/>
      <c r="BP151" s="54"/>
      <c r="BQ151" s="61"/>
      <c r="BS151" s="54"/>
      <c r="BT151" s="54"/>
      <c r="BU151" s="54"/>
      <c r="BV151" s="61"/>
      <c r="BX151">
        <f t="shared" si="60"/>
        <v>0</v>
      </c>
      <c r="BY151">
        <f t="shared" si="61"/>
        <v>51440</v>
      </c>
      <c r="BZ151">
        <f t="shared" si="62"/>
        <v>0</v>
      </c>
      <c r="CA151">
        <f t="shared" si="63"/>
        <v>51440</v>
      </c>
      <c r="CB151">
        <f t="shared" si="64"/>
        <v>0</v>
      </c>
      <c r="CC151">
        <f t="shared" si="65"/>
        <v>2.899999999996794E-3</v>
      </c>
      <c r="CD151">
        <f t="shared" si="66"/>
        <v>-2.8000000000005798E-3</v>
      </c>
      <c r="CE151">
        <f t="shared" si="67"/>
        <v>-1.9999999999953388E-4</v>
      </c>
      <c r="CF151">
        <f t="shared" si="68"/>
        <v>0</v>
      </c>
      <c r="CG151">
        <f t="shared" si="69"/>
        <v>0</v>
      </c>
      <c r="CH151">
        <f t="shared" si="70"/>
        <v>0</v>
      </c>
      <c r="CI151">
        <f t="shared" si="71"/>
        <v>0</v>
      </c>
      <c r="CJ151">
        <f t="shared" si="72"/>
        <v>0</v>
      </c>
    </row>
    <row r="152" spans="1:88" outlineLevel="1" x14ac:dyDescent="0.15">
      <c r="A152" s="8"/>
      <c r="B152" s="8" t="s">
        <v>146</v>
      </c>
      <c r="C152" s="9" t="s">
        <v>256</v>
      </c>
      <c r="D152" s="8">
        <v>3630907</v>
      </c>
      <c r="E152" s="10">
        <v>20</v>
      </c>
      <c r="F152" s="9">
        <v>1</v>
      </c>
      <c r="G152" s="9"/>
      <c r="I152" s="22" t="str">
        <f t="shared" si="49"/>
        <v>·</v>
      </c>
      <c r="J152" s="23">
        <f t="shared" si="50"/>
        <v>32.161383367847208</v>
      </c>
      <c r="K152" s="23">
        <f t="shared" si="51"/>
        <v>29.969428575284358</v>
      </c>
      <c r="L152" s="23">
        <f t="shared" si="52"/>
        <v>2.191716835490416</v>
      </c>
      <c r="M152" s="24"/>
      <c r="N152" s="23">
        <f t="shared" si="53"/>
        <v>32.161383367847208</v>
      </c>
      <c r="O152" s="25">
        <v>3630907</v>
      </c>
      <c r="P152" s="26">
        <v>116774992</v>
      </c>
      <c r="Q152" s="26">
        <v>108816208</v>
      </c>
      <c r="R152" s="26">
        <v>7957920</v>
      </c>
      <c r="S152" s="40"/>
      <c r="T152" s="41">
        <v>41.031199999999998</v>
      </c>
      <c r="U152" s="41">
        <v>46.164099999999998</v>
      </c>
      <c r="V152" s="41">
        <v>46.732100000000003</v>
      </c>
      <c r="W152" s="42"/>
      <c r="X152" s="41">
        <v>34.151400000000002</v>
      </c>
      <c r="Y152" s="41">
        <v>34.151400000000002</v>
      </c>
      <c r="Z152" s="41">
        <v>34.151400000000002</v>
      </c>
      <c r="AA152" s="42"/>
      <c r="AB152" s="50">
        <v>13.295999999999999</v>
      </c>
      <c r="AC152" s="50">
        <v>11.359</v>
      </c>
      <c r="AE152" s="22" t="str">
        <f t="shared" si="54"/>
        <v>·</v>
      </c>
      <c r="AF152" s="23">
        <f t="shared" si="55"/>
        <v>32.168883422241329</v>
      </c>
      <c r="AG152" s="23">
        <f t="shared" si="56"/>
        <v>29.969428575284358</v>
      </c>
      <c r="AH152" s="23">
        <f t="shared" si="57"/>
        <v>2.1992168898845383</v>
      </c>
      <c r="AI152" s="24"/>
      <c r="AJ152" s="23">
        <f t="shared" si="58"/>
        <v>32.168883422241329</v>
      </c>
      <c r="AK152" s="25">
        <v>3630907</v>
      </c>
      <c r="AL152" s="26">
        <v>116802224</v>
      </c>
      <c r="AM152" s="26">
        <v>108816208</v>
      </c>
      <c r="AN152" s="26">
        <v>7985152</v>
      </c>
      <c r="AO152" s="40"/>
      <c r="AP152" s="41">
        <v>41.029800000000002</v>
      </c>
      <c r="AQ152" s="41">
        <v>46.150100000000002</v>
      </c>
      <c r="AR152" s="41">
        <v>46.778199999999998</v>
      </c>
      <c r="AS152" s="42"/>
      <c r="AT152" s="41">
        <v>34.151400000000002</v>
      </c>
      <c r="AU152" s="41">
        <v>34.151400000000002</v>
      </c>
      <c r="AV152" s="41">
        <v>34.151400000000002</v>
      </c>
      <c r="AW152" s="42"/>
      <c r="AX152" s="50">
        <v>13.25</v>
      </c>
      <c r="AY152" s="50">
        <v>11.327999999999999</v>
      </c>
      <c r="BA152" s="55">
        <f t="shared" si="59"/>
        <v>-2.1725619431023357E-4</v>
      </c>
      <c r="BB152" s="55"/>
      <c r="BD152" s="56"/>
      <c r="BE152" s="56"/>
      <c r="BF152" s="56"/>
      <c r="BG152" s="62"/>
      <c r="BI152" s="56"/>
      <c r="BJ152" s="56"/>
      <c r="BK152" s="56"/>
      <c r="BL152" s="62"/>
      <c r="BN152" s="56"/>
      <c r="BO152" s="56"/>
      <c r="BP152" s="56"/>
      <c r="BQ152" s="62"/>
      <c r="BS152" s="56"/>
      <c r="BT152" s="56"/>
      <c r="BU152" s="56"/>
      <c r="BV152" s="62"/>
      <c r="BX152">
        <f t="shared" si="60"/>
        <v>0</v>
      </c>
      <c r="BY152">
        <f t="shared" si="61"/>
        <v>27232</v>
      </c>
      <c r="BZ152">
        <f t="shared" si="62"/>
        <v>0</v>
      </c>
      <c r="CA152">
        <f t="shared" si="63"/>
        <v>27232</v>
      </c>
      <c r="CB152">
        <f t="shared" si="64"/>
        <v>0</v>
      </c>
      <c r="CC152">
        <f t="shared" si="65"/>
        <v>-1.3999999999967372E-3</v>
      </c>
      <c r="CD152">
        <f t="shared" si="66"/>
        <v>-1.3999999999995794E-2</v>
      </c>
      <c r="CE152">
        <f t="shared" si="67"/>
        <v>4.6099999999995589E-2</v>
      </c>
      <c r="CF152">
        <f t="shared" si="68"/>
        <v>0</v>
      </c>
      <c r="CG152">
        <f t="shared" si="69"/>
        <v>0</v>
      </c>
      <c r="CH152">
        <f t="shared" si="70"/>
        <v>0</v>
      </c>
      <c r="CI152">
        <f t="shared" si="71"/>
        <v>0</v>
      </c>
      <c r="CJ152">
        <f t="shared" si="72"/>
        <v>0</v>
      </c>
    </row>
    <row r="153" spans="1:88" outlineLevel="1" x14ac:dyDescent="0.15">
      <c r="A153" s="5"/>
      <c r="B153" s="5" t="s">
        <v>146</v>
      </c>
      <c r="C153" s="6" t="s">
        <v>257</v>
      </c>
      <c r="D153" s="5">
        <v>3630907</v>
      </c>
      <c r="E153" s="7">
        <v>20</v>
      </c>
      <c r="F153" s="6">
        <v>1</v>
      </c>
      <c r="G153" s="6"/>
      <c r="I153" s="17" t="str">
        <f t="shared" si="49"/>
        <v>·</v>
      </c>
      <c r="J153" s="18">
        <f t="shared" si="50"/>
        <v>31.046677868642739</v>
      </c>
      <c r="K153" s="18">
        <f t="shared" si="51"/>
        <v>29.969428575284358</v>
      </c>
      <c r="L153" s="18">
        <f t="shared" si="52"/>
        <v>1.0770113362859473</v>
      </c>
      <c r="M153" s="19"/>
      <c r="N153" s="18">
        <f t="shared" si="53"/>
        <v>31.046677868642739</v>
      </c>
      <c r="O153" s="20">
        <v>3630907</v>
      </c>
      <c r="P153" s="21">
        <v>112727600</v>
      </c>
      <c r="Q153" s="21">
        <v>108816208</v>
      </c>
      <c r="R153" s="21">
        <v>3910528</v>
      </c>
      <c r="S153" s="37"/>
      <c r="T153" s="38">
        <v>35.573099999999997</v>
      </c>
      <c r="U153" s="38">
        <v>42.145600000000002</v>
      </c>
      <c r="V153" s="38">
        <v>42.835700000000003</v>
      </c>
      <c r="W153" s="39"/>
      <c r="X153" s="38">
        <v>28.130800000000001</v>
      </c>
      <c r="Y153" s="38">
        <v>28.130800000000001</v>
      </c>
      <c r="Z153" s="38">
        <v>28.130800000000001</v>
      </c>
      <c r="AA153" s="39"/>
      <c r="AB153" s="49">
        <v>13.170999999999999</v>
      </c>
      <c r="AC153" s="49">
        <v>11.25</v>
      </c>
      <c r="AE153" s="17" t="str">
        <f t="shared" si="54"/>
        <v>·</v>
      </c>
      <c r="AF153" s="18">
        <f t="shared" si="55"/>
        <v>31.050590940500541</v>
      </c>
      <c r="AG153" s="18">
        <f t="shared" si="56"/>
        <v>29.969428575284358</v>
      </c>
      <c r="AH153" s="18">
        <f t="shared" si="57"/>
        <v>1.0809244081437503</v>
      </c>
      <c r="AI153" s="19"/>
      <c r="AJ153" s="18">
        <f t="shared" si="58"/>
        <v>31.050590940500541</v>
      </c>
      <c r="AK153" s="20">
        <v>3630907</v>
      </c>
      <c r="AL153" s="21">
        <v>112741808</v>
      </c>
      <c r="AM153" s="21">
        <v>108816208</v>
      </c>
      <c r="AN153" s="21">
        <v>3924736</v>
      </c>
      <c r="AO153" s="37"/>
      <c r="AP153" s="38">
        <v>35.569099999999999</v>
      </c>
      <c r="AQ153" s="38">
        <v>42.194800000000001</v>
      </c>
      <c r="AR153" s="38">
        <v>42.9084</v>
      </c>
      <c r="AS153" s="39"/>
      <c r="AT153" s="38">
        <v>28.130800000000001</v>
      </c>
      <c r="AU153" s="38">
        <v>28.130800000000001</v>
      </c>
      <c r="AV153" s="38">
        <v>28.130800000000001</v>
      </c>
      <c r="AW153" s="39"/>
      <c r="AX153" s="49">
        <v>13.25</v>
      </c>
      <c r="AY153" s="49">
        <v>11.295999999999999</v>
      </c>
      <c r="BA153" s="53">
        <f t="shared" si="59"/>
        <v>-1.216497666112204E-4</v>
      </c>
      <c r="BB153" s="53"/>
      <c r="BD153" s="54"/>
      <c r="BE153" s="54"/>
      <c r="BF153" s="54"/>
      <c r="BG153" s="61"/>
      <c r="BI153" s="54"/>
      <c r="BJ153" s="54"/>
      <c r="BK153" s="54"/>
      <c r="BL153" s="61"/>
      <c r="BN153" s="54"/>
      <c r="BO153" s="54"/>
      <c r="BP153" s="54"/>
      <c r="BQ153" s="61"/>
      <c r="BS153" s="54"/>
      <c r="BT153" s="54"/>
      <c r="BU153" s="54"/>
      <c r="BV153" s="61"/>
      <c r="BX153">
        <f t="shared" si="60"/>
        <v>0</v>
      </c>
      <c r="BY153">
        <f t="shared" si="61"/>
        <v>14208</v>
      </c>
      <c r="BZ153">
        <f t="shared" si="62"/>
        <v>0</v>
      </c>
      <c r="CA153">
        <f t="shared" si="63"/>
        <v>14208</v>
      </c>
      <c r="CB153">
        <f t="shared" si="64"/>
        <v>0</v>
      </c>
      <c r="CC153">
        <f t="shared" si="65"/>
        <v>-3.9999999999977831E-3</v>
      </c>
      <c r="CD153">
        <f t="shared" si="66"/>
        <v>4.9199999999999022E-2</v>
      </c>
      <c r="CE153">
        <f t="shared" si="67"/>
        <v>7.2699999999997544E-2</v>
      </c>
      <c r="CF153">
        <f t="shared" si="68"/>
        <v>0</v>
      </c>
      <c r="CG153">
        <f t="shared" si="69"/>
        <v>0</v>
      </c>
      <c r="CH153">
        <f t="shared" si="70"/>
        <v>0</v>
      </c>
      <c r="CI153">
        <f t="shared" si="71"/>
        <v>0</v>
      </c>
      <c r="CJ153">
        <f t="shared" si="72"/>
        <v>0</v>
      </c>
    </row>
    <row r="154" spans="1:88" outlineLevel="1" x14ac:dyDescent="0.15">
      <c r="A154" s="8"/>
      <c r="B154" s="14" t="s">
        <v>146</v>
      </c>
      <c r="C154" s="15" t="s">
        <v>258</v>
      </c>
      <c r="D154" s="14">
        <v>3630907</v>
      </c>
      <c r="E154" s="16">
        <v>20</v>
      </c>
      <c r="F154" s="15">
        <v>1</v>
      </c>
      <c r="G154" s="15"/>
      <c r="I154" s="32" t="str">
        <f t="shared" si="49"/>
        <v>·</v>
      </c>
      <c r="J154" s="33">
        <f t="shared" si="50"/>
        <v>30.352235405643825</v>
      </c>
      <c r="K154" s="33">
        <f t="shared" si="51"/>
        <v>29.969428575284358</v>
      </c>
      <c r="L154" s="33">
        <f t="shared" si="52"/>
        <v>0.38256887328703271</v>
      </c>
      <c r="M154" s="34"/>
      <c r="N154" s="33">
        <f t="shared" si="53"/>
        <v>30.352235405643825</v>
      </c>
      <c r="O154" s="35">
        <v>3630907</v>
      </c>
      <c r="P154" s="36">
        <v>110206144</v>
      </c>
      <c r="Q154" s="36">
        <v>108816208</v>
      </c>
      <c r="R154" s="36">
        <v>1389072</v>
      </c>
      <c r="S154" s="46"/>
      <c r="T154" s="47">
        <v>29.463000000000001</v>
      </c>
      <c r="U154" s="47">
        <v>38.140700000000002</v>
      </c>
      <c r="V154" s="47">
        <v>37.133400000000002</v>
      </c>
      <c r="W154" s="48"/>
      <c r="X154" s="47">
        <v>21.686399999999999</v>
      </c>
      <c r="Y154" s="47">
        <v>21.686399999999999</v>
      </c>
      <c r="Z154" s="47">
        <v>21.686399999999999</v>
      </c>
      <c r="AA154" s="48"/>
      <c r="AB154" s="52">
        <v>13.125</v>
      </c>
      <c r="AC154" s="52">
        <v>11.234</v>
      </c>
      <c r="AE154" s="32" t="str">
        <f t="shared" si="54"/>
        <v>·</v>
      </c>
      <c r="AF154" s="33">
        <f t="shared" si="55"/>
        <v>30.35230150483061</v>
      </c>
      <c r="AG154" s="33">
        <f t="shared" si="56"/>
        <v>29.969428575284358</v>
      </c>
      <c r="AH154" s="33">
        <f t="shared" si="57"/>
        <v>0.38263497247381989</v>
      </c>
      <c r="AI154" s="34"/>
      <c r="AJ154" s="33">
        <f t="shared" si="58"/>
        <v>30.35230150483061</v>
      </c>
      <c r="AK154" s="35">
        <v>3630907</v>
      </c>
      <c r="AL154" s="36">
        <v>110206384</v>
      </c>
      <c r="AM154" s="36">
        <v>108816208</v>
      </c>
      <c r="AN154" s="36">
        <v>1389312</v>
      </c>
      <c r="AO154" s="46"/>
      <c r="AP154" s="47">
        <v>29.438500000000001</v>
      </c>
      <c r="AQ154" s="47">
        <v>38.3538</v>
      </c>
      <c r="AR154" s="47">
        <v>37.647500000000001</v>
      </c>
      <c r="AS154" s="48"/>
      <c r="AT154" s="47">
        <v>21.686399999999999</v>
      </c>
      <c r="AU154" s="47">
        <v>21.686399999999999</v>
      </c>
      <c r="AV154" s="47">
        <v>21.686399999999999</v>
      </c>
      <c r="AW154" s="48"/>
      <c r="AX154" s="52">
        <v>13.170999999999999</v>
      </c>
      <c r="AY154" s="52">
        <v>11.311999999999999</v>
      </c>
      <c r="BA154" s="59">
        <f t="shared" si="59"/>
        <v>-2.1502664030448315E-6</v>
      </c>
      <c r="BB154" s="59"/>
      <c r="BD154" s="60"/>
      <c r="BE154" s="60"/>
      <c r="BF154" s="60"/>
      <c r="BG154" s="64"/>
      <c r="BI154" s="60"/>
      <c r="BJ154" s="60"/>
      <c r="BK154" s="60"/>
      <c r="BL154" s="64"/>
      <c r="BN154" s="60"/>
      <c r="BO154" s="60"/>
      <c r="BP154" s="60"/>
      <c r="BQ154" s="64"/>
      <c r="BS154" s="60"/>
      <c r="BT154" s="60"/>
      <c r="BU154" s="60"/>
      <c r="BV154" s="64"/>
      <c r="BX154">
        <f t="shared" si="60"/>
        <v>0</v>
      </c>
      <c r="BY154">
        <f t="shared" si="61"/>
        <v>240</v>
      </c>
      <c r="BZ154">
        <f t="shared" si="62"/>
        <v>0</v>
      </c>
      <c r="CA154">
        <f t="shared" si="63"/>
        <v>240</v>
      </c>
      <c r="CB154">
        <f t="shared" si="64"/>
        <v>0</v>
      </c>
      <c r="CC154">
        <f t="shared" si="65"/>
        <v>-2.4499999999999744E-2</v>
      </c>
      <c r="CD154">
        <f t="shared" si="66"/>
        <v>0.21309999999999718</v>
      </c>
      <c r="CE154">
        <f t="shared" si="67"/>
        <v>0.51409999999999911</v>
      </c>
      <c r="CF154">
        <f t="shared" si="68"/>
        <v>0</v>
      </c>
      <c r="CG154">
        <f t="shared" si="69"/>
        <v>0</v>
      </c>
      <c r="CH154">
        <f t="shared" si="70"/>
        <v>0</v>
      </c>
      <c r="CI154">
        <f t="shared" si="71"/>
        <v>0</v>
      </c>
      <c r="CJ154">
        <f t="shared" si="72"/>
        <v>0</v>
      </c>
    </row>
    <row r="155" spans="1:88" x14ac:dyDescent="0.15">
      <c r="A155" s="5"/>
      <c r="B155" s="5" t="s">
        <v>149</v>
      </c>
      <c r="C155" s="6" t="s">
        <v>254</v>
      </c>
      <c r="D155" s="5">
        <v>14025709</v>
      </c>
      <c r="E155" s="7">
        <v>20</v>
      </c>
      <c r="F155" s="6">
        <v>1</v>
      </c>
      <c r="G155" s="6"/>
      <c r="I155" s="17" t="str">
        <f t="shared" si="49"/>
        <v>·</v>
      </c>
      <c r="J155" s="18">
        <f t="shared" si="50"/>
        <v>32.68266010652296</v>
      </c>
      <c r="K155" s="18">
        <f t="shared" si="51"/>
        <v>26.505209825756403</v>
      </c>
      <c r="L155" s="18">
        <f t="shared" si="52"/>
        <v>6.1773316414877852</v>
      </c>
      <c r="M155" s="19"/>
      <c r="N155" s="18">
        <f t="shared" si="53"/>
        <v>32.68266010652296</v>
      </c>
      <c r="O155" s="20">
        <v>14025709</v>
      </c>
      <c r="P155" s="21">
        <v>458397480</v>
      </c>
      <c r="Q155" s="21">
        <v>371754360</v>
      </c>
      <c r="R155" s="21">
        <v>86641456</v>
      </c>
      <c r="S155" s="37"/>
      <c r="T155" s="38">
        <v>52.799500000000002</v>
      </c>
      <c r="U155" s="38">
        <v>56.1706</v>
      </c>
      <c r="V155" s="38">
        <v>55.940899999999999</v>
      </c>
      <c r="W155" s="39"/>
      <c r="X155" s="38">
        <v>48.130800000000001</v>
      </c>
      <c r="Y155" s="38">
        <v>48.130800000000001</v>
      </c>
      <c r="Z155" s="38">
        <v>48.130800000000001</v>
      </c>
      <c r="AA155" s="39"/>
      <c r="AB155" s="49">
        <v>52.953000000000003</v>
      </c>
      <c r="AC155" s="49">
        <v>45.420999999999999</v>
      </c>
      <c r="AE155" s="17" t="str">
        <f t="shared" si="54"/>
        <v>·</v>
      </c>
      <c r="AF155" s="18">
        <f t="shared" si="55"/>
        <v>32.714473685430093</v>
      </c>
      <c r="AG155" s="18">
        <f t="shared" si="56"/>
        <v>26.505209825756403</v>
      </c>
      <c r="AH155" s="18">
        <f t="shared" si="57"/>
        <v>6.2091452203949187</v>
      </c>
      <c r="AI155" s="19"/>
      <c r="AJ155" s="18">
        <f t="shared" si="58"/>
        <v>32.714473685430093</v>
      </c>
      <c r="AK155" s="20">
        <v>14025709</v>
      </c>
      <c r="AL155" s="21">
        <v>458843688</v>
      </c>
      <c r="AM155" s="21">
        <v>371754360</v>
      </c>
      <c r="AN155" s="21">
        <v>87087664</v>
      </c>
      <c r="AO155" s="37"/>
      <c r="AP155" s="38">
        <v>52.802799999999998</v>
      </c>
      <c r="AQ155" s="38">
        <v>56.164000000000001</v>
      </c>
      <c r="AR155" s="38">
        <v>55.930500000000002</v>
      </c>
      <c r="AS155" s="39"/>
      <c r="AT155" s="38">
        <v>48.130800000000001</v>
      </c>
      <c r="AU155" s="38">
        <v>48.130800000000001</v>
      </c>
      <c r="AV155" s="38">
        <v>48.130800000000001</v>
      </c>
      <c r="AW155" s="39"/>
      <c r="AX155" s="49">
        <v>53.25</v>
      </c>
      <c r="AY155" s="49">
        <v>45.359000000000002</v>
      </c>
      <c r="BA155" s="53">
        <f t="shared" si="59"/>
        <v>-7.8865387196980219E-4</v>
      </c>
      <c r="BB155" s="53">
        <f t="array" ref="BB155">AVERAGE(AM155:AM159/AL155:AL159)-AVERAGE(Q155:Q159/P155:P159)</f>
        <v>-7.7430011374879371E-4</v>
      </c>
      <c r="BD155" s="54">
        <f>IF(OR(ISBLANK(R155:R159),ISBLANK(AN155:AN159),ISBLANK(T155:T159),ISBLANK(AP155:AP159)),"·",bdRateExtend(R155:R159,T155:T159,AN155:AN159,AP155:AP159))</f>
        <v>1.0172642114858244E-2</v>
      </c>
      <c r="BE155" s="54">
        <f>IF(OR(ISBLANK(R155:R159),ISBLANK(AN155:AN159),ISBLANK(U155:U159),ISBLANK(AQ155:AQ159)),"·",bdRateExtend(R155:R159,U155:U159,AN155:AN159,AQ155:AQ159))</f>
        <v>7.7690391614093635E-3</v>
      </c>
      <c r="BF155" s="54">
        <f>IF(OR(ISBLANK(R155:R159),ISBLANK(AN155:AN159),ISBLANK(V155:V159),ISBLANK(AR155:AR159)),"·",bdRateExtend(R155:R159,V155:V159,AN155:AN159,AR155:AR159))</f>
        <v>4.8124600243995008E-3</v>
      </c>
      <c r="BG155" s="61"/>
      <c r="BI155" s="54">
        <f>IF(OR(ISBLANK(R155:R159),ISBLANK(AN155:AN159),ISBLANK(X155:X159),ISBLANK(AT155:AT159)),"·",bdRateExtend(R155:R159,X155:X159,AN155:AN159,AT155:AT159))</f>
        <v>1.1493136464365561E-2</v>
      </c>
      <c r="BJ155" s="54">
        <f>IF(OR(ISBLANK(R155:R159),ISBLANK(AN155:AN159),ISBLANK(Y155:Y159),ISBLANK(AU155:AU159)),"·",bdRateExtend(R155:R159,Y155:Y159,AN155:AN159,AU155:AU159))</f>
        <v>1.1493136464365561E-2</v>
      </c>
      <c r="BK155" s="54">
        <f>IF(OR(ISBLANK(R155:R159),ISBLANK(AN155:AN159),ISBLANK(Z155:Z159),ISBLANK(AV155:AV159)),"·",bdRateExtend(R155:R159,Z155:Z159,AN155:AN159,AV155:AV159))</f>
        <v>1.1493136464365561E-2</v>
      </c>
      <c r="BL155" s="61"/>
      <c r="BN155" s="54">
        <f>IF(OR(ISBLANK(P155:P159),ISBLANK(AL155:AL159),ISBLANK(T155:T159),ISBLANK(AP155:AP159)),"·",bdRateExtend(P155:P159,T155:T159,AL155:AL159,AP155:AP159))</f>
        <v>8.7974776065702365E-4</v>
      </c>
      <c r="BO155" s="54">
        <f>IF(OR(ISBLANK(P155:P159),ISBLANK(AL155:AL159),ISBLANK(U155:U159),ISBLANK(AQ155:AQ159)),"·",bdRateExtend(P155:P159,U155:U159,AL155:AL159,AQ155:AQ159))</f>
        <v>8.244087698681124E-4</v>
      </c>
      <c r="BP155" s="54">
        <f>IF(OR(ISBLANK(P155:P159),ISBLANK(AL155:AL159),ISBLANK(V155:V159),ISBLANK(AR155:AR159)),"·",bdRateExtend(P155:P159,V155:V159,AL155:AL159,AR155:AR159))</f>
        <v>7.6090205758760909E-4</v>
      </c>
      <c r="BQ155" s="61"/>
      <c r="BS155" s="54">
        <f>IF(OR(ISBLANK(P155:P159),ISBLANK(AL155:AL159),ISBLANK(X155:X159),ISBLANK(AT155:AT159)),"·",bdRateExtend(P155:P159,X155:X159,AL155:AL159,AT155:AT159))</f>
        <v>9.563072579794607E-4</v>
      </c>
      <c r="BT155" s="54">
        <f>IF(OR(ISBLANK(P155:P159),ISBLANK(AL155:AL159),ISBLANK(Y155:Y159),ISBLANK(AU155:AU159)),"·",bdRateExtend(P155:P159,Y155:Y159,AL155:AL159,AU155:AU159))</f>
        <v>9.563072579794607E-4</v>
      </c>
      <c r="BU155" s="54">
        <f>IF(OR(ISBLANK(P155:P159),ISBLANK(AL155:AL159),ISBLANK(Z155:Z159),ISBLANK(AV155:AV159)),"·",bdRateExtend(P155:P159,Z155:Z159,AL155:AL159,AV155:AV159))</f>
        <v>9.563072579794607E-4</v>
      </c>
      <c r="BV155" s="61"/>
      <c r="BX155">
        <f t="shared" si="60"/>
        <v>0</v>
      </c>
      <c r="BY155">
        <f t="shared" si="61"/>
        <v>446208</v>
      </c>
      <c r="BZ155">
        <f t="shared" si="62"/>
        <v>0</v>
      </c>
      <c r="CA155">
        <f t="shared" si="63"/>
        <v>446208</v>
      </c>
      <c r="CB155">
        <f t="shared" si="64"/>
        <v>0</v>
      </c>
      <c r="CC155">
        <f t="shared" si="65"/>
        <v>3.2999999999958618E-3</v>
      </c>
      <c r="CD155">
        <f t="shared" si="66"/>
        <v>-6.599999999998829E-3</v>
      </c>
      <c r="CE155">
        <f t="shared" si="67"/>
        <v>-1.0399999999997078E-2</v>
      </c>
      <c r="CF155">
        <f t="shared" si="68"/>
        <v>0</v>
      </c>
      <c r="CG155">
        <f t="shared" si="69"/>
        <v>0</v>
      </c>
      <c r="CH155">
        <f t="shared" si="70"/>
        <v>0</v>
      </c>
      <c r="CI155">
        <f t="shared" si="71"/>
        <v>0</v>
      </c>
      <c r="CJ155">
        <f t="shared" si="72"/>
        <v>0</v>
      </c>
    </row>
    <row r="156" spans="1:88" outlineLevel="1" x14ac:dyDescent="0.15">
      <c r="A156" s="8"/>
      <c r="B156" s="8" t="s">
        <v>149</v>
      </c>
      <c r="C156" s="9" t="s">
        <v>255</v>
      </c>
      <c r="D156" s="8">
        <v>14025709</v>
      </c>
      <c r="E156" s="10">
        <v>20</v>
      </c>
      <c r="F156" s="9">
        <v>1</v>
      </c>
      <c r="G156" s="9"/>
      <c r="I156" s="22" t="str">
        <f t="shared" si="49"/>
        <v>·</v>
      </c>
      <c r="J156" s="23">
        <f t="shared" si="50"/>
        <v>30.924741986305293</v>
      </c>
      <c r="K156" s="23">
        <f t="shared" si="51"/>
        <v>26.505209825756403</v>
      </c>
      <c r="L156" s="23">
        <f t="shared" si="52"/>
        <v>4.4194135212701191</v>
      </c>
      <c r="M156" s="24"/>
      <c r="N156" s="23">
        <f t="shared" si="53"/>
        <v>30.924741986305293</v>
      </c>
      <c r="O156" s="25">
        <v>14025709</v>
      </c>
      <c r="P156" s="26">
        <v>433741432</v>
      </c>
      <c r="Q156" s="26">
        <v>371754360</v>
      </c>
      <c r="R156" s="26">
        <v>61985408</v>
      </c>
      <c r="S156" s="40"/>
      <c r="T156" s="41">
        <v>47.974499999999999</v>
      </c>
      <c r="U156" s="41">
        <v>51.537399999999998</v>
      </c>
      <c r="V156" s="41">
        <v>51.741799999999998</v>
      </c>
      <c r="W156" s="42"/>
      <c r="X156" s="41">
        <v>42.110199999999999</v>
      </c>
      <c r="Y156" s="41">
        <v>42.110199999999999</v>
      </c>
      <c r="Z156" s="41">
        <v>42.110199999999999</v>
      </c>
      <c r="AA156" s="42"/>
      <c r="AB156" s="50">
        <v>52.686999999999998</v>
      </c>
      <c r="AC156" s="50">
        <v>45.186999999999998</v>
      </c>
      <c r="AE156" s="22" t="str">
        <f t="shared" si="54"/>
        <v>·</v>
      </c>
      <c r="AF156" s="23">
        <f t="shared" si="55"/>
        <v>30.960087935661576</v>
      </c>
      <c r="AG156" s="23">
        <f t="shared" si="56"/>
        <v>26.505209825756403</v>
      </c>
      <c r="AH156" s="23">
        <f t="shared" si="57"/>
        <v>4.4547594706264046</v>
      </c>
      <c r="AI156" s="24"/>
      <c r="AJ156" s="23">
        <f t="shared" si="58"/>
        <v>30.960087935661576</v>
      </c>
      <c r="AK156" s="25">
        <v>14025709</v>
      </c>
      <c r="AL156" s="26">
        <v>434237184</v>
      </c>
      <c r="AM156" s="26">
        <v>371754360</v>
      </c>
      <c r="AN156" s="26">
        <v>62481160</v>
      </c>
      <c r="AO156" s="40"/>
      <c r="AP156" s="41">
        <v>47.976500000000001</v>
      </c>
      <c r="AQ156" s="41">
        <v>51.533799999999999</v>
      </c>
      <c r="AR156" s="41">
        <v>51.736400000000003</v>
      </c>
      <c r="AS156" s="42"/>
      <c r="AT156" s="41">
        <v>42.110199999999999</v>
      </c>
      <c r="AU156" s="41">
        <v>42.110199999999999</v>
      </c>
      <c r="AV156" s="41">
        <v>42.110199999999999</v>
      </c>
      <c r="AW156" s="42"/>
      <c r="AX156" s="50">
        <v>53.203000000000003</v>
      </c>
      <c r="AY156" s="50">
        <v>45.265000000000001</v>
      </c>
      <c r="BA156" s="55">
        <f t="shared" si="59"/>
        <v>-9.7850404897148469E-4</v>
      </c>
      <c r="BB156" s="55"/>
      <c r="BD156" s="56"/>
      <c r="BE156" s="56"/>
      <c r="BF156" s="56"/>
      <c r="BG156" s="62"/>
      <c r="BI156" s="56"/>
      <c r="BJ156" s="56"/>
      <c r="BK156" s="56"/>
      <c r="BL156" s="62"/>
      <c r="BN156" s="56"/>
      <c r="BO156" s="56"/>
      <c r="BP156" s="56"/>
      <c r="BQ156" s="62"/>
      <c r="BS156" s="56"/>
      <c r="BT156" s="56"/>
      <c r="BU156" s="56"/>
      <c r="BV156" s="62"/>
      <c r="BX156">
        <f t="shared" si="60"/>
        <v>0</v>
      </c>
      <c r="BY156">
        <f t="shared" si="61"/>
        <v>495752</v>
      </c>
      <c r="BZ156">
        <f t="shared" si="62"/>
        <v>0</v>
      </c>
      <c r="CA156">
        <f t="shared" si="63"/>
        <v>495752</v>
      </c>
      <c r="CB156">
        <f t="shared" si="64"/>
        <v>0</v>
      </c>
      <c r="CC156">
        <f t="shared" si="65"/>
        <v>2.0000000000024443E-3</v>
      </c>
      <c r="CD156">
        <f t="shared" si="66"/>
        <v>-3.5999999999987153E-3</v>
      </c>
      <c r="CE156">
        <f t="shared" si="67"/>
        <v>-5.3999999999945203E-3</v>
      </c>
      <c r="CF156">
        <f t="shared" si="68"/>
        <v>0</v>
      </c>
      <c r="CG156">
        <f t="shared" si="69"/>
        <v>0</v>
      </c>
      <c r="CH156">
        <f t="shared" si="70"/>
        <v>0</v>
      </c>
      <c r="CI156">
        <f t="shared" si="71"/>
        <v>0</v>
      </c>
      <c r="CJ156">
        <f t="shared" si="72"/>
        <v>0</v>
      </c>
    </row>
    <row r="157" spans="1:88" outlineLevel="1" x14ac:dyDescent="0.15">
      <c r="A157" s="5"/>
      <c r="B157" s="5" t="s">
        <v>149</v>
      </c>
      <c r="C157" s="6" t="s">
        <v>256</v>
      </c>
      <c r="D157" s="5">
        <v>14025709</v>
      </c>
      <c r="E157" s="7">
        <v>20</v>
      </c>
      <c r="F157" s="6">
        <v>1</v>
      </c>
      <c r="G157" s="6"/>
      <c r="I157" s="17" t="str">
        <f t="shared" si="49"/>
        <v>·</v>
      </c>
      <c r="J157" s="18">
        <f t="shared" si="50"/>
        <v>29.076282133045822</v>
      </c>
      <c r="K157" s="18">
        <f t="shared" si="51"/>
        <v>26.505209825756403</v>
      </c>
      <c r="L157" s="18">
        <f t="shared" si="52"/>
        <v>2.5709536680106511</v>
      </c>
      <c r="M157" s="19"/>
      <c r="N157" s="18">
        <f t="shared" si="53"/>
        <v>29.076282133045822</v>
      </c>
      <c r="O157" s="20">
        <v>14025709</v>
      </c>
      <c r="P157" s="21">
        <v>407815472</v>
      </c>
      <c r="Q157" s="21">
        <v>371754360</v>
      </c>
      <c r="R157" s="21">
        <v>36059448</v>
      </c>
      <c r="S157" s="37"/>
      <c r="T157" s="38">
        <v>40.985199999999999</v>
      </c>
      <c r="U157" s="38">
        <v>46.267099999999999</v>
      </c>
      <c r="V157" s="38">
        <v>46.920699999999997</v>
      </c>
      <c r="W157" s="39"/>
      <c r="X157" s="38">
        <v>34.151400000000002</v>
      </c>
      <c r="Y157" s="38">
        <v>34.151400000000002</v>
      </c>
      <c r="Z157" s="38">
        <v>34.151400000000002</v>
      </c>
      <c r="AA157" s="39"/>
      <c r="AB157" s="49">
        <v>52.530999999999999</v>
      </c>
      <c r="AC157" s="49">
        <v>45.045999999999999</v>
      </c>
      <c r="AE157" s="17" t="str">
        <f t="shared" si="54"/>
        <v>·</v>
      </c>
      <c r="AF157" s="18">
        <f t="shared" si="55"/>
        <v>29.106668047939682</v>
      </c>
      <c r="AG157" s="18">
        <f t="shared" si="56"/>
        <v>26.505209825756403</v>
      </c>
      <c r="AH157" s="18">
        <f t="shared" si="57"/>
        <v>2.6013395829045076</v>
      </c>
      <c r="AI157" s="19"/>
      <c r="AJ157" s="18">
        <f t="shared" si="58"/>
        <v>29.106668047939682</v>
      </c>
      <c r="AK157" s="20">
        <v>14025709</v>
      </c>
      <c r="AL157" s="21">
        <v>408241656</v>
      </c>
      <c r="AM157" s="21">
        <v>371754360</v>
      </c>
      <c r="AN157" s="21">
        <v>36485632</v>
      </c>
      <c r="AO157" s="37"/>
      <c r="AP157" s="38">
        <v>40.9923</v>
      </c>
      <c r="AQ157" s="38">
        <v>46.269599999999997</v>
      </c>
      <c r="AR157" s="38">
        <v>46.919800000000002</v>
      </c>
      <c r="AS157" s="39"/>
      <c r="AT157" s="38">
        <v>34.151400000000002</v>
      </c>
      <c r="AU157" s="38">
        <v>34.151400000000002</v>
      </c>
      <c r="AV157" s="38">
        <v>34.151400000000002</v>
      </c>
      <c r="AW157" s="39"/>
      <c r="AX157" s="49">
        <v>52.515000000000001</v>
      </c>
      <c r="AY157" s="49">
        <v>44.936999999999998</v>
      </c>
      <c r="BA157" s="53">
        <f t="shared" si="59"/>
        <v>-9.5163892243865789E-4</v>
      </c>
      <c r="BB157" s="53"/>
      <c r="BD157" s="54"/>
      <c r="BE157" s="54"/>
      <c r="BF157" s="54"/>
      <c r="BG157" s="61"/>
      <c r="BI157" s="54"/>
      <c r="BJ157" s="54"/>
      <c r="BK157" s="54"/>
      <c r="BL157" s="61"/>
      <c r="BN157" s="54"/>
      <c r="BO157" s="54"/>
      <c r="BP157" s="54"/>
      <c r="BQ157" s="61"/>
      <c r="BS157" s="54"/>
      <c r="BT157" s="54"/>
      <c r="BU157" s="54"/>
      <c r="BV157" s="61"/>
      <c r="BX157">
        <f t="shared" si="60"/>
        <v>0</v>
      </c>
      <c r="BY157">
        <f t="shared" si="61"/>
        <v>426184</v>
      </c>
      <c r="BZ157">
        <f t="shared" si="62"/>
        <v>0</v>
      </c>
      <c r="CA157">
        <f t="shared" si="63"/>
        <v>426184</v>
      </c>
      <c r="CB157">
        <f t="shared" si="64"/>
        <v>0</v>
      </c>
      <c r="CC157">
        <f t="shared" si="65"/>
        <v>7.1000000000012164E-3</v>
      </c>
      <c r="CD157">
        <f t="shared" si="66"/>
        <v>2.4999999999977263E-3</v>
      </c>
      <c r="CE157">
        <f t="shared" si="67"/>
        <v>-8.9999999999434976E-4</v>
      </c>
      <c r="CF157">
        <f t="shared" si="68"/>
        <v>0</v>
      </c>
      <c r="CG157">
        <f t="shared" si="69"/>
        <v>0</v>
      </c>
      <c r="CH157">
        <f t="shared" si="70"/>
        <v>0</v>
      </c>
      <c r="CI157">
        <f t="shared" si="71"/>
        <v>0</v>
      </c>
      <c r="CJ157">
        <f t="shared" si="72"/>
        <v>0</v>
      </c>
    </row>
    <row r="158" spans="1:88" outlineLevel="1" x14ac:dyDescent="0.15">
      <c r="A158" s="8"/>
      <c r="B158" s="8" t="s">
        <v>149</v>
      </c>
      <c r="C158" s="9" t="s">
        <v>257</v>
      </c>
      <c r="D158" s="8">
        <v>14025709</v>
      </c>
      <c r="E158" s="10">
        <v>20</v>
      </c>
      <c r="F158" s="9">
        <v>1</v>
      </c>
      <c r="G158" s="9"/>
      <c r="I158" s="22" t="str">
        <f t="shared" si="49"/>
        <v>·</v>
      </c>
      <c r="J158" s="23">
        <f t="shared" si="50"/>
        <v>28.005999554104537</v>
      </c>
      <c r="K158" s="23">
        <f t="shared" si="51"/>
        <v>26.505209825756403</v>
      </c>
      <c r="L158" s="23">
        <f t="shared" si="52"/>
        <v>1.5006710890693653</v>
      </c>
      <c r="M158" s="24"/>
      <c r="N158" s="23">
        <f t="shared" si="53"/>
        <v>28.005999554104537</v>
      </c>
      <c r="O158" s="25">
        <v>14025709</v>
      </c>
      <c r="P158" s="26">
        <v>392804000</v>
      </c>
      <c r="Q158" s="26">
        <v>371754360</v>
      </c>
      <c r="R158" s="26">
        <v>21047976</v>
      </c>
      <c r="S158" s="40"/>
      <c r="T158" s="41">
        <v>35.442999999999998</v>
      </c>
      <c r="U158" s="41">
        <v>41.585900000000002</v>
      </c>
      <c r="V158" s="41">
        <v>42.606099999999998</v>
      </c>
      <c r="W158" s="42"/>
      <c r="X158" s="41">
        <v>28.130800000000001</v>
      </c>
      <c r="Y158" s="41">
        <v>28.130800000000001</v>
      </c>
      <c r="Z158" s="41">
        <v>28.130800000000001</v>
      </c>
      <c r="AA158" s="42"/>
      <c r="AB158" s="50">
        <v>52.420999999999999</v>
      </c>
      <c r="AC158" s="50">
        <v>44.953000000000003</v>
      </c>
      <c r="AE158" s="22" t="str">
        <f t="shared" si="54"/>
        <v>·</v>
      </c>
      <c r="AF158" s="23">
        <f t="shared" si="55"/>
        <v>28.030351406834406</v>
      </c>
      <c r="AG158" s="23">
        <f t="shared" si="56"/>
        <v>26.505209825756403</v>
      </c>
      <c r="AH158" s="23">
        <f t="shared" si="57"/>
        <v>1.5250229417992345</v>
      </c>
      <c r="AI158" s="24"/>
      <c r="AJ158" s="23">
        <f t="shared" si="58"/>
        <v>28.030351406834406</v>
      </c>
      <c r="AK158" s="25">
        <v>14025709</v>
      </c>
      <c r="AL158" s="26">
        <v>393145552</v>
      </c>
      <c r="AM158" s="26">
        <v>371754360</v>
      </c>
      <c r="AN158" s="26">
        <v>21389528</v>
      </c>
      <c r="AO158" s="40"/>
      <c r="AP158" s="41">
        <v>35.456600000000002</v>
      </c>
      <c r="AQ158" s="41">
        <v>41.631500000000003</v>
      </c>
      <c r="AR158" s="41">
        <v>42.6387</v>
      </c>
      <c r="AS158" s="42"/>
      <c r="AT158" s="41">
        <v>28.130800000000001</v>
      </c>
      <c r="AU158" s="41">
        <v>28.130800000000001</v>
      </c>
      <c r="AV158" s="41">
        <v>28.130800000000001</v>
      </c>
      <c r="AW158" s="42"/>
      <c r="AX158" s="50">
        <v>52.39</v>
      </c>
      <c r="AY158" s="50">
        <v>44.843000000000004</v>
      </c>
      <c r="BA158" s="55">
        <f t="shared" si="59"/>
        <v>-8.2221166756712982E-4</v>
      </c>
      <c r="BB158" s="55"/>
      <c r="BD158" s="56"/>
      <c r="BE158" s="56"/>
      <c r="BF158" s="56"/>
      <c r="BG158" s="62"/>
      <c r="BI158" s="56"/>
      <c r="BJ158" s="56"/>
      <c r="BK158" s="56"/>
      <c r="BL158" s="62"/>
      <c r="BN158" s="56"/>
      <c r="BO158" s="56"/>
      <c r="BP158" s="56"/>
      <c r="BQ158" s="62"/>
      <c r="BS158" s="56"/>
      <c r="BT158" s="56"/>
      <c r="BU158" s="56"/>
      <c r="BV158" s="62"/>
      <c r="BX158">
        <f t="shared" si="60"/>
        <v>0</v>
      </c>
      <c r="BY158">
        <f t="shared" si="61"/>
        <v>341552</v>
      </c>
      <c r="BZ158">
        <f t="shared" si="62"/>
        <v>0</v>
      </c>
      <c r="CA158">
        <f t="shared" si="63"/>
        <v>341552</v>
      </c>
      <c r="CB158">
        <f t="shared" si="64"/>
        <v>0</v>
      </c>
      <c r="CC158">
        <f t="shared" si="65"/>
        <v>1.3600000000003831E-2</v>
      </c>
      <c r="CD158">
        <f t="shared" si="66"/>
        <v>4.5600000000000307E-2</v>
      </c>
      <c r="CE158">
        <f t="shared" si="67"/>
        <v>3.2600000000002183E-2</v>
      </c>
      <c r="CF158">
        <f t="shared" si="68"/>
        <v>0</v>
      </c>
      <c r="CG158">
        <f t="shared" si="69"/>
        <v>0</v>
      </c>
      <c r="CH158">
        <f t="shared" si="70"/>
        <v>0</v>
      </c>
      <c r="CI158">
        <f t="shared" si="71"/>
        <v>0</v>
      </c>
      <c r="CJ158">
        <f t="shared" si="72"/>
        <v>0</v>
      </c>
    </row>
    <row r="159" spans="1:88" outlineLevel="1" x14ac:dyDescent="0.15">
      <c r="A159" s="5"/>
      <c r="B159" s="11" t="s">
        <v>149</v>
      </c>
      <c r="C159" s="12" t="s">
        <v>258</v>
      </c>
      <c r="D159" s="11">
        <v>14025709</v>
      </c>
      <c r="E159" s="13">
        <v>20</v>
      </c>
      <c r="F159" s="12">
        <v>1</v>
      </c>
      <c r="G159" s="12"/>
      <c r="I159" s="27" t="str">
        <f t="shared" si="49"/>
        <v>·</v>
      </c>
      <c r="J159" s="28">
        <f t="shared" si="50"/>
        <v>27.175676324098838</v>
      </c>
      <c r="K159" s="28">
        <f t="shared" si="51"/>
        <v>26.505209825756403</v>
      </c>
      <c r="L159" s="28">
        <f t="shared" si="52"/>
        <v>0.67034785906366656</v>
      </c>
      <c r="M159" s="29"/>
      <c r="N159" s="28">
        <f t="shared" si="53"/>
        <v>27.175676324098838</v>
      </c>
      <c r="O159" s="30">
        <v>14025709</v>
      </c>
      <c r="P159" s="31">
        <v>381158128</v>
      </c>
      <c r="Q159" s="31">
        <v>371754360</v>
      </c>
      <c r="R159" s="31">
        <v>9402104</v>
      </c>
      <c r="S159" s="43"/>
      <c r="T159" s="44">
        <v>29.393000000000001</v>
      </c>
      <c r="U159" s="44">
        <v>36.930900000000001</v>
      </c>
      <c r="V159" s="44">
        <v>37.810299999999998</v>
      </c>
      <c r="W159" s="45"/>
      <c r="X159" s="44">
        <v>21.686399999999999</v>
      </c>
      <c r="Y159" s="44">
        <v>21.686399999999999</v>
      </c>
      <c r="Z159" s="44">
        <v>21.686399999999999</v>
      </c>
      <c r="AA159" s="45"/>
      <c r="AB159" s="51">
        <v>52.234000000000002</v>
      </c>
      <c r="AC159" s="51">
        <v>44.828000000000003</v>
      </c>
      <c r="AE159" s="27" t="str">
        <f t="shared" si="54"/>
        <v>·</v>
      </c>
      <c r="AF159" s="28">
        <f t="shared" si="55"/>
        <v>27.184887979637963</v>
      </c>
      <c r="AG159" s="28">
        <f t="shared" si="56"/>
        <v>26.505209825756403</v>
      </c>
      <c r="AH159" s="28">
        <f t="shared" si="57"/>
        <v>0.67955951460279118</v>
      </c>
      <c r="AI159" s="29"/>
      <c r="AJ159" s="28">
        <f t="shared" si="58"/>
        <v>27.184887979637963</v>
      </c>
      <c r="AK159" s="30">
        <v>14025709</v>
      </c>
      <c r="AL159" s="31">
        <v>381287328</v>
      </c>
      <c r="AM159" s="31">
        <v>371754360</v>
      </c>
      <c r="AN159" s="31">
        <v>9531304</v>
      </c>
      <c r="AO159" s="43"/>
      <c r="AP159" s="44">
        <v>29.450500000000002</v>
      </c>
      <c r="AQ159" s="44">
        <v>37.038200000000003</v>
      </c>
      <c r="AR159" s="44">
        <v>38.118099999999998</v>
      </c>
      <c r="AS159" s="45"/>
      <c r="AT159" s="44">
        <v>21.686399999999999</v>
      </c>
      <c r="AU159" s="44">
        <v>21.686399999999999</v>
      </c>
      <c r="AV159" s="44">
        <v>21.686399999999999</v>
      </c>
      <c r="AW159" s="45"/>
      <c r="AX159" s="51">
        <v>52.061999999999998</v>
      </c>
      <c r="AY159" s="51">
        <v>44.64</v>
      </c>
      <c r="BA159" s="57">
        <f t="shared" si="59"/>
        <v>-3.3049205779733803E-4</v>
      </c>
      <c r="BB159" s="57"/>
      <c r="BD159" s="58"/>
      <c r="BE159" s="58"/>
      <c r="BF159" s="58"/>
      <c r="BG159" s="63"/>
      <c r="BI159" s="58"/>
      <c r="BJ159" s="58"/>
      <c r="BK159" s="58"/>
      <c r="BL159" s="63"/>
      <c r="BN159" s="58"/>
      <c r="BO159" s="58"/>
      <c r="BP159" s="58"/>
      <c r="BQ159" s="63"/>
      <c r="BS159" s="58"/>
      <c r="BT159" s="58"/>
      <c r="BU159" s="58"/>
      <c r="BV159" s="63"/>
      <c r="BX159">
        <f t="shared" si="60"/>
        <v>0</v>
      </c>
      <c r="BY159">
        <f t="shared" si="61"/>
        <v>129200</v>
      </c>
      <c r="BZ159">
        <f t="shared" si="62"/>
        <v>0</v>
      </c>
      <c r="CA159">
        <f t="shared" si="63"/>
        <v>129200</v>
      </c>
      <c r="CB159">
        <f t="shared" si="64"/>
        <v>0</v>
      </c>
      <c r="CC159">
        <f t="shared" si="65"/>
        <v>5.7500000000000995E-2</v>
      </c>
      <c r="CD159">
        <f t="shared" si="66"/>
        <v>0.10730000000000217</v>
      </c>
      <c r="CE159">
        <f t="shared" si="67"/>
        <v>0.3078000000000003</v>
      </c>
      <c r="CF159">
        <f t="shared" si="68"/>
        <v>0</v>
      </c>
      <c r="CG159">
        <f t="shared" si="69"/>
        <v>0</v>
      </c>
      <c r="CH159">
        <f t="shared" si="70"/>
        <v>0</v>
      </c>
      <c r="CI159">
        <f t="shared" si="71"/>
        <v>0</v>
      </c>
      <c r="CJ159">
        <f t="shared" si="72"/>
        <v>0</v>
      </c>
    </row>
    <row r="160" spans="1:88" x14ac:dyDescent="0.15">
      <c r="A160" s="8"/>
      <c r="B160" s="8" t="s">
        <v>152</v>
      </c>
      <c r="C160" s="9" t="s">
        <v>254</v>
      </c>
      <c r="D160" s="8">
        <v>5001077</v>
      </c>
      <c r="E160" s="10">
        <v>20</v>
      </c>
      <c r="F160" s="9">
        <v>1</v>
      </c>
      <c r="G160" s="9"/>
      <c r="I160" s="22" t="str">
        <f t="shared" si="49"/>
        <v>·</v>
      </c>
      <c r="J160" s="23">
        <f t="shared" si="50"/>
        <v>33.623951000954392</v>
      </c>
      <c r="K160" s="23">
        <f t="shared" si="51"/>
        <v>27.063079412694506</v>
      </c>
      <c r="L160" s="23">
        <f t="shared" si="52"/>
        <v>6.5606668323643085</v>
      </c>
      <c r="M160" s="24"/>
      <c r="N160" s="23">
        <f t="shared" si="53"/>
        <v>33.623951000954392</v>
      </c>
      <c r="O160" s="25">
        <v>5001077</v>
      </c>
      <c r="P160" s="26">
        <v>168155968</v>
      </c>
      <c r="Q160" s="26">
        <v>135344544</v>
      </c>
      <c r="R160" s="26">
        <v>32810400</v>
      </c>
      <c r="S160" s="40"/>
      <c r="T160" s="41">
        <v>53.152200000000001</v>
      </c>
      <c r="U160" s="41">
        <v>55.808300000000003</v>
      </c>
      <c r="V160" s="41">
        <v>55.137099999999997</v>
      </c>
      <c r="W160" s="42"/>
      <c r="X160" s="41">
        <v>48.130800000000001</v>
      </c>
      <c r="Y160" s="41">
        <v>48.130800000000001</v>
      </c>
      <c r="Z160" s="41">
        <v>48.130800000000001</v>
      </c>
      <c r="AA160" s="42"/>
      <c r="AB160" s="50">
        <v>18.343</v>
      </c>
      <c r="AC160" s="50">
        <v>15.75</v>
      </c>
      <c r="AE160" s="22" t="str">
        <f t="shared" si="54"/>
        <v>·</v>
      </c>
      <c r="AF160" s="23">
        <f t="shared" si="55"/>
        <v>33.654899534640236</v>
      </c>
      <c r="AG160" s="23">
        <f t="shared" si="56"/>
        <v>27.063079412694506</v>
      </c>
      <c r="AH160" s="23">
        <f t="shared" si="57"/>
        <v>6.5916153660501529</v>
      </c>
      <c r="AI160" s="24"/>
      <c r="AJ160" s="23">
        <f t="shared" si="58"/>
        <v>33.654899534640236</v>
      </c>
      <c r="AK160" s="25">
        <v>5001077</v>
      </c>
      <c r="AL160" s="26">
        <v>168310744</v>
      </c>
      <c r="AM160" s="26">
        <v>135344544</v>
      </c>
      <c r="AN160" s="26">
        <v>32965176</v>
      </c>
      <c r="AO160" s="40"/>
      <c r="AP160" s="41">
        <v>53.154400000000003</v>
      </c>
      <c r="AQ160" s="41">
        <v>55.803800000000003</v>
      </c>
      <c r="AR160" s="41">
        <v>55.131799999999998</v>
      </c>
      <c r="AS160" s="42"/>
      <c r="AT160" s="41">
        <v>48.130800000000001</v>
      </c>
      <c r="AU160" s="41">
        <v>48.130800000000001</v>
      </c>
      <c r="AV160" s="41">
        <v>48.130800000000001</v>
      </c>
      <c r="AW160" s="42"/>
      <c r="AX160" s="50">
        <v>18.343</v>
      </c>
      <c r="AY160" s="50">
        <v>15.64</v>
      </c>
      <c r="BA160" s="55">
        <f t="shared" si="59"/>
        <v>-7.4015085762746402E-4</v>
      </c>
      <c r="BB160" s="55">
        <f t="array" ref="BB160">AVERAGE(AM160:AM164/AL160:AL164)-AVERAGE(Q160:Q164/P160:P164)</f>
        <v>-8.8421066783017643E-4</v>
      </c>
      <c r="BD160" s="56">
        <f>IF(OR(ISBLANK(R160:R164),ISBLANK(AN160:AN164),ISBLANK(T160:T164),ISBLANK(AP160:AP164)),"·",bdRateExtend(R160:R164,T160:T164,AN160:AN164,AP160:AP164))</f>
        <v>1.8232012452044755E-2</v>
      </c>
      <c r="BE160" s="56">
        <f>IF(OR(ISBLANK(R160:R164),ISBLANK(AN160:AN164),ISBLANK(U160:U164),ISBLANK(AQ160:AQ164)),"·",bdRateExtend(R160:R164,U160:U164,AN160:AN164,AQ160:AQ164))</f>
        <v>9.0158814558181088E-3</v>
      </c>
      <c r="BF160" s="56">
        <f>IF(OR(ISBLANK(R160:R164),ISBLANK(AN160:AN164),ISBLANK(V160:V164),ISBLANK(AR160:AR164)),"·",bdRateExtend(R160:R164,V160:V164,AN160:AN164,AR160:AR164))</f>
        <v>2.1569942201168368E-2</v>
      </c>
      <c r="BG160" s="62"/>
      <c r="BI160" s="56">
        <f>IF(OR(ISBLANK(R160:R164),ISBLANK(AN160:AN164),ISBLANK(X160:X164),ISBLANK(AT160:AT164)),"·",bdRateExtend(R160:R164,X160:X164,AN160:AN164,AT160:AT164))</f>
        <v>1.5085580008342481E-2</v>
      </c>
      <c r="BJ160" s="56">
        <f>IF(OR(ISBLANK(R160:R164),ISBLANK(AN160:AN164),ISBLANK(Y160:Y164),ISBLANK(AU160:AU164)),"·",bdRateExtend(R160:R164,Y160:Y164,AN160:AN164,AU160:AU164))</f>
        <v>1.5085580008342481E-2</v>
      </c>
      <c r="BK160" s="56">
        <f>IF(OR(ISBLANK(R160:R164),ISBLANK(AN160:AN164),ISBLANK(Z160:Z164),ISBLANK(AV160:AV164)),"·",bdRateExtend(R160:R164,Z160:Z164,AN160:AN164,AV160:AV164))</f>
        <v>1.5085580008342481E-2</v>
      </c>
      <c r="BL160" s="62"/>
      <c r="BN160" s="56">
        <f>IF(OR(ISBLANK(P160:P164),ISBLANK(AL160:AL164),ISBLANK(T160:T164),ISBLANK(AP160:AP164)),"·",bdRateExtend(P160:P164,T160:T164,AL160:AL164,AP160:AP164))</f>
        <v>1.1100915787012333E-3</v>
      </c>
      <c r="BO160" s="56">
        <f>IF(OR(ISBLANK(P160:P164),ISBLANK(AL160:AL164),ISBLANK(U160:U164),ISBLANK(AQ160:AQ164)),"·",bdRateExtend(P160:P164,U160:U164,AL160:AL164,AQ160:AQ164))</f>
        <v>9.1534245620406018E-4</v>
      </c>
      <c r="BP160" s="56">
        <f>IF(OR(ISBLANK(P160:P164),ISBLANK(AL160:AL164),ISBLANK(V160:V164),ISBLANK(AR160:AR164)),"·",bdRateExtend(P160:P164,V160:V164,AL160:AL164,AR160:AR164))</f>
        <v>1.3215170004530208E-3</v>
      </c>
      <c r="BQ160" s="62"/>
      <c r="BS160" s="56">
        <f>IF(OR(ISBLANK(P160:P164),ISBLANK(AL160:AL164),ISBLANK(X160:X164),ISBLANK(AT160:AT164)),"·",bdRateExtend(P160:P164,X160:X164,AL160:AL164,AT160:AT164))</f>
        <v>1.0903310465641969E-3</v>
      </c>
      <c r="BT160" s="56">
        <f>IF(OR(ISBLANK(P160:P164),ISBLANK(AL160:AL164),ISBLANK(Y160:Y164),ISBLANK(AU160:AU164)),"·",bdRateExtend(P160:P164,Y160:Y164,AL160:AL164,AU160:AU164))</f>
        <v>1.0903310465641969E-3</v>
      </c>
      <c r="BU160" s="56">
        <f>IF(OR(ISBLANK(P160:P164),ISBLANK(AL160:AL164),ISBLANK(Z160:Z164),ISBLANK(AV160:AV164)),"·",bdRateExtend(P160:P164,Z160:Z164,AL160:AL164,AV160:AV164))</f>
        <v>1.0903310465641969E-3</v>
      </c>
      <c r="BV160" s="62"/>
      <c r="BX160">
        <f t="shared" si="60"/>
        <v>0</v>
      </c>
      <c r="BY160">
        <f t="shared" si="61"/>
        <v>154776</v>
      </c>
      <c r="BZ160">
        <f t="shared" si="62"/>
        <v>0</v>
      </c>
      <c r="CA160">
        <f t="shared" si="63"/>
        <v>154776</v>
      </c>
      <c r="CB160">
        <f t="shared" si="64"/>
        <v>0</v>
      </c>
      <c r="CC160">
        <f t="shared" si="65"/>
        <v>2.2000000000019782E-3</v>
      </c>
      <c r="CD160">
        <f t="shared" si="66"/>
        <v>-4.5000000000001705E-3</v>
      </c>
      <c r="CE160">
        <f t="shared" si="67"/>
        <v>-5.2999999999983061E-3</v>
      </c>
      <c r="CF160">
        <f t="shared" si="68"/>
        <v>0</v>
      </c>
      <c r="CG160">
        <f t="shared" si="69"/>
        <v>0</v>
      </c>
      <c r="CH160">
        <f t="shared" si="70"/>
        <v>0</v>
      </c>
      <c r="CI160">
        <f t="shared" si="71"/>
        <v>0</v>
      </c>
      <c r="CJ160">
        <f t="shared" si="72"/>
        <v>0</v>
      </c>
    </row>
    <row r="161" spans="1:88" outlineLevel="1" x14ac:dyDescent="0.15">
      <c r="A161" s="5"/>
      <c r="B161" s="5" t="s">
        <v>152</v>
      </c>
      <c r="C161" s="6" t="s">
        <v>255</v>
      </c>
      <c r="D161" s="5">
        <v>5001077</v>
      </c>
      <c r="E161" s="7">
        <v>20</v>
      </c>
      <c r="F161" s="6">
        <v>1</v>
      </c>
      <c r="G161" s="6"/>
      <c r="I161" s="17" t="str">
        <f t="shared" si="49"/>
        <v>·</v>
      </c>
      <c r="J161" s="18">
        <f t="shared" si="50"/>
        <v>31.634960229566552</v>
      </c>
      <c r="K161" s="18">
        <f t="shared" si="51"/>
        <v>27.063079412694506</v>
      </c>
      <c r="L161" s="18">
        <f t="shared" si="52"/>
        <v>4.5716760609764657</v>
      </c>
      <c r="M161" s="19"/>
      <c r="N161" s="18">
        <f t="shared" si="53"/>
        <v>31.634960229566552</v>
      </c>
      <c r="O161" s="20">
        <v>5001077</v>
      </c>
      <c r="P161" s="21">
        <v>158208872</v>
      </c>
      <c r="Q161" s="21">
        <v>135344544</v>
      </c>
      <c r="R161" s="21">
        <v>22863304</v>
      </c>
      <c r="S161" s="37"/>
      <c r="T161" s="38">
        <v>48.282499999999999</v>
      </c>
      <c r="U161" s="38">
        <v>51.290999999999997</v>
      </c>
      <c r="V161" s="38">
        <v>51.0062</v>
      </c>
      <c r="W161" s="39"/>
      <c r="X161" s="38">
        <v>42.110199999999999</v>
      </c>
      <c r="Y161" s="38">
        <v>42.110199999999999</v>
      </c>
      <c r="Z161" s="38">
        <v>42.110199999999999</v>
      </c>
      <c r="AA161" s="39"/>
      <c r="AB161" s="49">
        <v>18.280999999999999</v>
      </c>
      <c r="AC161" s="49">
        <v>15.609</v>
      </c>
      <c r="AE161" s="17" t="str">
        <f t="shared" si="54"/>
        <v>·</v>
      </c>
      <c r="AF161" s="18">
        <f t="shared" si="55"/>
        <v>31.67300323510316</v>
      </c>
      <c r="AG161" s="18">
        <f t="shared" si="56"/>
        <v>27.063079412694506</v>
      </c>
      <c r="AH161" s="18">
        <f t="shared" si="57"/>
        <v>4.6097190665130734</v>
      </c>
      <c r="AI161" s="19"/>
      <c r="AJ161" s="18">
        <f t="shared" si="58"/>
        <v>31.67300323510316</v>
      </c>
      <c r="AK161" s="20">
        <v>5001077</v>
      </c>
      <c r="AL161" s="21">
        <v>158399128</v>
      </c>
      <c r="AM161" s="21">
        <v>135344544</v>
      </c>
      <c r="AN161" s="21">
        <v>23053560</v>
      </c>
      <c r="AO161" s="37"/>
      <c r="AP161" s="38">
        <v>48.283000000000001</v>
      </c>
      <c r="AQ161" s="38">
        <v>51.282200000000003</v>
      </c>
      <c r="AR161" s="38">
        <v>51.008099999999999</v>
      </c>
      <c r="AS161" s="39"/>
      <c r="AT161" s="38">
        <v>42.110199999999999</v>
      </c>
      <c r="AU161" s="38">
        <v>42.110199999999999</v>
      </c>
      <c r="AV161" s="38">
        <v>42.110199999999999</v>
      </c>
      <c r="AW161" s="39"/>
      <c r="AX161" s="49">
        <v>18.295999999999999</v>
      </c>
      <c r="AY161" s="49">
        <v>15.577999999999999</v>
      </c>
      <c r="BA161" s="53">
        <f t="shared" si="59"/>
        <v>-1.0275323279830273E-3</v>
      </c>
      <c r="BB161" s="53"/>
      <c r="BD161" s="54"/>
      <c r="BE161" s="54"/>
      <c r="BF161" s="54"/>
      <c r="BG161" s="61"/>
      <c r="BI161" s="54"/>
      <c r="BJ161" s="54"/>
      <c r="BK161" s="54"/>
      <c r="BL161" s="61"/>
      <c r="BN161" s="54"/>
      <c r="BO161" s="54"/>
      <c r="BP161" s="54"/>
      <c r="BQ161" s="61"/>
      <c r="BS161" s="54"/>
      <c r="BT161" s="54"/>
      <c r="BU161" s="54"/>
      <c r="BV161" s="61"/>
      <c r="BX161">
        <f t="shared" si="60"/>
        <v>0</v>
      </c>
      <c r="BY161">
        <f t="shared" si="61"/>
        <v>190256</v>
      </c>
      <c r="BZ161">
        <f t="shared" si="62"/>
        <v>0</v>
      </c>
      <c r="CA161">
        <f t="shared" si="63"/>
        <v>190256</v>
      </c>
      <c r="CB161">
        <f t="shared" si="64"/>
        <v>0</v>
      </c>
      <c r="CC161">
        <f t="shared" si="65"/>
        <v>5.0000000000238742E-4</v>
      </c>
      <c r="CD161">
        <f t="shared" si="66"/>
        <v>-8.7999999999937017E-3</v>
      </c>
      <c r="CE161">
        <f t="shared" si="67"/>
        <v>1.8999999999991246E-3</v>
      </c>
      <c r="CF161">
        <f t="shared" si="68"/>
        <v>0</v>
      </c>
      <c r="CG161">
        <f t="shared" si="69"/>
        <v>0</v>
      </c>
      <c r="CH161">
        <f t="shared" si="70"/>
        <v>0</v>
      </c>
      <c r="CI161">
        <f t="shared" si="71"/>
        <v>0</v>
      </c>
      <c r="CJ161">
        <f t="shared" si="72"/>
        <v>0</v>
      </c>
    </row>
    <row r="162" spans="1:88" outlineLevel="1" x14ac:dyDescent="0.15">
      <c r="A162" s="8"/>
      <c r="B162" s="8" t="s">
        <v>152</v>
      </c>
      <c r="C162" s="9" t="s">
        <v>256</v>
      </c>
      <c r="D162" s="8">
        <v>5001077</v>
      </c>
      <c r="E162" s="10">
        <v>20</v>
      </c>
      <c r="F162" s="9">
        <v>1</v>
      </c>
      <c r="G162" s="9"/>
      <c r="I162" s="22" t="str">
        <f t="shared" si="49"/>
        <v>·</v>
      </c>
      <c r="J162" s="23">
        <f t="shared" si="50"/>
        <v>29.518510512835537</v>
      </c>
      <c r="K162" s="23">
        <f t="shared" si="51"/>
        <v>27.063079412694506</v>
      </c>
      <c r="L162" s="23">
        <f t="shared" si="52"/>
        <v>2.4552263442454496</v>
      </c>
      <c r="M162" s="24"/>
      <c r="N162" s="23">
        <f t="shared" si="53"/>
        <v>29.518510512835537</v>
      </c>
      <c r="O162" s="25">
        <v>5001077</v>
      </c>
      <c r="P162" s="26">
        <v>147624344</v>
      </c>
      <c r="Q162" s="26">
        <v>135344544</v>
      </c>
      <c r="R162" s="26">
        <v>12278776</v>
      </c>
      <c r="S162" s="40"/>
      <c r="T162" s="41">
        <v>41.316200000000002</v>
      </c>
      <c r="U162" s="41">
        <v>46.054099999999998</v>
      </c>
      <c r="V162" s="41">
        <v>46.060299999999998</v>
      </c>
      <c r="W162" s="42"/>
      <c r="X162" s="41">
        <v>34.151400000000002</v>
      </c>
      <c r="Y162" s="41">
        <v>34.151400000000002</v>
      </c>
      <c r="Z162" s="41">
        <v>34.151400000000002</v>
      </c>
      <c r="AA162" s="42"/>
      <c r="AB162" s="50">
        <v>18.062000000000001</v>
      </c>
      <c r="AC162" s="50">
        <v>15.468</v>
      </c>
      <c r="AE162" s="22" t="str">
        <f t="shared" si="54"/>
        <v>·</v>
      </c>
      <c r="AF162" s="23">
        <f t="shared" si="55"/>
        <v>29.555772886520245</v>
      </c>
      <c r="AG162" s="23">
        <f t="shared" si="56"/>
        <v>27.063079412694506</v>
      </c>
      <c r="AH162" s="23">
        <f t="shared" si="57"/>
        <v>2.4924887179301578</v>
      </c>
      <c r="AI162" s="24"/>
      <c r="AJ162" s="23">
        <f t="shared" si="58"/>
        <v>29.555772886520245</v>
      </c>
      <c r="AK162" s="25">
        <v>5001077</v>
      </c>
      <c r="AL162" s="26">
        <v>147810696</v>
      </c>
      <c r="AM162" s="26">
        <v>135344544</v>
      </c>
      <c r="AN162" s="26">
        <v>12465128</v>
      </c>
      <c r="AO162" s="40"/>
      <c r="AP162" s="41">
        <v>41.3249</v>
      </c>
      <c r="AQ162" s="41">
        <v>46.065600000000003</v>
      </c>
      <c r="AR162" s="41">
        <v>46.045299999999997</v>
      </c>
      <c r="AS162" s="42"/>
      <c r="AT162" s="41">
        <v>34.151400000000002</v>
      </c>
      <c r="AU162" s="41">
        <v>34.151400000000002</v>
      </c>
      <c r="AV162" s="41">
        <v>34.151400000000002</v>
      </c>
      <c r="AW162" s="42"/>
      <c r="AX162" s="50">
        <v>18.045999999999999</v>
      </c>
      <c r="AY162" s="50">
        <v>15.515000000000001</v>
      </c>
      <c r="BA162" s="55">
        <f t="shared" si="59"/>
        <v>-1.1558752607762068E-3</v>
      </c>
      <c r="BB162" s="55"/>
      <c r="BD162" s="56"/>
      <c r="BE162" s="56"/>
      <c r="BF162" s="56"/>
      <c r="BG162" s="62"/>
      <c r="BI162" s="56"/>
      <c r="BJ162" s="56"/>
      <c r="BK162" s="56"/>
      <c r="BL162" s="62"/>
      <c r="BN162" s="56"/>
      <c r="BO162" s="56"/>
      <c r="BP162" s="56"/>
      <c r="BQ162" s="62"/>
      <c r="BS162" s="56"/>
      <c r="BT162" s="56"/>
      <c r="BU162" s="56"/>
      <c r="BV162" s="62"/>
      <c r="BX162">
        <f t="shared" si="60"/>
        <v>0</v>
      </c>
      <c r="BY162">
        <f t="shared" si="61"/>
        <v>186352</v>
      </c>
      <c r="BZ162">
        <f t="shared" si="62"/>
        <v>0</v>
      </c>
      <c r="CA162">
        <f t="shared" si="63"/>
        <v>186352</v>
      </c>
      <c r="CB162">
        <f t="shared" si="64"/>
        <v>0</v>
      </c>
      <c r="CC162">
        <f t="shared" si="65"/>
        <v>8.6999999999974875E-3</v>
      </c>
      <c r="CD162">
        <f t="shared" si="66"/>
        <v>1.1500000000005173E-2</v>
      </c>
      <c r="CE162">
        <f t="shared" si="67"/>
        <v>-1.5000000000000568E-2</v>
      </c>
      <c r="CF162">
        <f t="shared" si="68"/>
        <v>0</v>
      </c>
      <c r="CG162">
        <f t="shared" si="69"/>
        <v>0</v>
      </c>
      <c r="CH162">
        <f t="shared" si="70"/>
        <v>0</v>
      </c>
      <c r="CI162">
        <f t="shared" si="71"/>
        <v>0</v>
      </c>
      <c r="CJ162">
        <f t="shared" si="72"/>
        <v>0</v>
      </c>
    </row>
    <row r="163" spans="1:88" outlineLevel="1" x14ac:dyDescent="0.15">
      <c r="A163" s="5"/>
      <c r="B163" s="5" t="s">
        <v>152</v>
      </c>
      <c r="C163" s="6" t="s">
        <v>257</v>
      </c>
      <c r="D163" s="5">
        <v>5001077</v>
      </c>
      <c r="E163" s="7">
        <v>20</v>
      </c>
      <c r="F163" s="6">
        <v>1</v>
      </c>
      <c r="G163" s="6"/>
      <c r="I163" s="17" t="str">
        <f t="shared" si="49"/>
        <v>·</v>
      </c>
      <c r="J163" s="18">
        <f t="shared" si="50"/>
        <v>28.389748848098119</v>
      </c>
      <c r="K163" s="18">
        <f t="shared" si="51"/>
        <v>27.063079412694506</v>
      </c>
      <c r="L163" s="18">
        <f t="shared" si="52"/>
        <v>1.3264646795080339</v>
      </c>
      <c r="M163" s="19"/>
      <c r="N163" s="18">
        <f t="shared" si="53"/>
        <v>28.389748848098119</v>
      </c>
      <c r="O163" s="20">
        <v>5001077</v>
      </c>
      <c r="P163" s="21">
        <v>141979320</v>
      </c>
      <c r="Q163" s="21">
        <v>135344544</v>
      </c>
      <c r="R163" s="21">
        <v>6633752</v>
      </c>
      <c r="S163" s="37"/>
      <c r="T163" s="38">
        <v>35.917099999999998</v>
      </c>
      <c r="U163" s="38">
        <v>41.592300000000002</v>
      </c>
      <c r="V163" s="38">
        <v>41.721499999999999</v>
      </c>
      <c r="W163" s="39"/>
      <c r="X163" s="38">
        <v>28.130800000000001</v>
      </c>
      <c r="Y163" s="38">
        <v>28.130800000000001</v>
      </c>
      <c r="Z163" s="38">
        <v>28.130800000000001</v>
      </c>
      <c r="AA163" s="39"/>
      <c r="AB163" s="49">
        <v>18.030999999999999</v>
      </c>
      <c r="AC163" s="49">
        <v>15.406000000000001</v>
      </c>
      <c r="AE163" s="17" t="str">
        <f t="shared" si="54"/>
        <v>·</v>
      </c>
      <c r="AF163" s="18">
        <f t="shared" si="55"/>
        <v>28.419604817122391</v>
      </c>
      <c r="AG163" s="18">
        <f t="shared" si="56"/>
        <v>27.063079412694506</v>
      </c>
      <c r="AH163" s="18">
        <f t="shared" si="57"/>
        <v>1.3563206485323061</v>
      </c>
      <c r="AI163" s="19"/>
      <c r="AJ163" s="18">
        <f t="shared" si="58"/>
        <v>28.419604817122391</v>
      </c>
      <c r="AK163" s="20">
        <v>5001077</v>
      </c>
      <c r="AL163" s="21">
        <v>142128632</v>
      </c>
      <c r="AM163" s="21">
        <v>135344544</v>
      </c>
      <c r="AN163" s="21">
        <v>6783064</v>
      </c>
      <c r="AO163" s="37"/>
      <c r="AP163" s="38">
        <v>35.941600000000001</v>
      </c>
      <c r="AQ163" s="38">
        <v>41.635399999999997</v>
      </c>
      <c r="AR163" s="38">
        <v>41.644799999999996</v>
      </c>
      <c r="AS163" s="39"/>
      <c r="AT163" s="38">
        <v>28.130800000000001</v>
      </c>
      <c r="AU163" s="38">
        <v>28.130800000000001</v>
      </c>
      <c r="AV163" s="38">
        <v>28.130800000000001</v>
      </c>
      <c r="AW163" s="39"/>
      <c r="AX163" s="49">
        <v>18.125</v>
      </c>
      <c r="AY163" s="49">
        <v>15.484</v>
      </c>
      <c r="BA163" s="53">
        <f t="shared" si="59"/>
        <v>-1.0014489100914625E-3</v>
      </c>
      <c r="BB163" s="53"/>
      <c r="BD163" s="54"/>
      <c r="BE163" s="54"/>
      <c r="BF163" s="54"/>
      <c r="BG163" s="61"/>
      <c r="BI163" s="54"/>
      <c r="BJ163" s="54"/>
      <c r="BK163" s="54"/>
      <c r="BL163" s="61"/>
      <c r="BN163" s="54"/>
      <c r="BO163" s="54"/>
      <c r="BP163" s="54"/>
      <c r="BQ163" s="61"/>
      <c r="BS163" s="54"/>
      <c r="BT163" s="54"/>
      <c r="BU163" s="54"/>
      <c r="BV163" s="61"/>
      <c r="BX163">
        <f t="shared" si="60"/>
        <v>0</v>
      </c>
      <c r="BY163">
        <f t="shared" si="61"/>
        <v>149312</v>
      </c>
      <c r="BZ163">
        <f t="shared" si="62"/>
        <v>0</v>
      </c>
      <c r="CA163">
        <f t="shared" si="63"/>
        <v>149312</v>
      </c>
      <c r="CB163">
        <f t="shared" si="64"/>
        <v>0</v>
      </c>
      <c r="CC163">
        <f t="shared" si="65"/>
        <v>2.4500000000003297E-2</v>
      </c>
      <c r="CD163">
        <f t="shared" si="66"/>
        <v>4.3099999999995475E-2</v>
      </c>
      <c r="CE163">
        <f t="shared" si="67"/>
        <v>-7.6700000000002433E-2</v>
      </c>
      <c r="CF163">
        <f t="shared" si="68"/>
        <v>0</v>
      </c>
      <c r="CG163">
        <f t="shared" si="69"/>
        <v>0</v>
      </c>
      <c r="CH163">
        <f t="shared" si="70"/>
        <v>0</v>
      </c>
      <c r="CI163">
        <f t="shared" si="71"/>
        <v>0</v>
      </c>
      <c r="CJ163">
        <f t="shared" si="72"/>
        <v>0</v>
      </c>
    </row>
    <row r="164" spans="1:88" outlineLevel="1" x14ac:dyDescent="0.15">
      <c r="A164" s="8"/>
      <c r="B164" s="14" t="s">
        <v>152</v>
      </c>
      <c r="C164" s="15" t="s">
        <v>258</v>
      </c>
      <c r="D164" s="14">
        <v>5001077</v>
      </c>
      <c r="E164" s="16">
        <v>20</v>
      </c>
      <c r="F164" s="15">
        <v>1</v>
      </c>
      <c r="G164" s="15"/>
      <c r="I164" s="32" t="str">
        <f t="shared" si="49"/>
        <v>·</v>
      </c>
      <c r="J164" s="33">
        <f t="shared" si="50"/>
        <v>27.633386968446995</v>
      </c>
      <c r="K164" s="33">
        <f t="shared" si="51"/>
        <v>27.063079412694506</v>
      </c>
      <c r="L164" s="33">
        <f t="shared" si="52"/>
        <v>0.57010279985691081</v>
      </c>
      <c r="M164" s="34"/>
      <c r="N164" s="33">
        <f t="shared" si="53"/>
        <v>27.633386968446995</v>
      </c>
      <c r="O164" s="35">
        <v>5001077</v>
      </c>
      <c r="P164" s="36">
        <v>138196696</v>
      </c>
      <c r="Q164" s="36">
        <v>135344544</v>
      </c>
      <c r="R164" s="36">
        <v>2851128</v>
      </c>
      <c r="S164" s="46"/>
      <c r="T164" s="47">
        <v>30.004300000000001</v>
      </c>
      <c r="U164" s="47">
        <v>36.462299999999999</v>
      </c>
      <c r="V164" s="47">
        <v>36.731699999999996</v>
      </c>
      <c r="W164" s="48"/>
      <c r="X164" s="47">
        <v>21.686399999999999</v>
      </c>
      <c r="Y164" s="47">
        <v>21.686399999999999</v>
      </c>
      <c r="Z164" s="47">
        <v>21.686399999999999</v>
      </c>
      <c r="AA164" s="48"/>
      <c r="AB164" s="52">
        <v>18</v>
      </c>
      <c r="AC164" s="52">
        <v>15.343</v>
      </c>
      <c r="AE164" s="32" t="str">
        <f t="shared" si="54"/>
        <v>·</v>
      </c>
      <c r="AF164" s="33">
        <f t="shared" si="55"/>
        <v>27.647390352118155</v>
      </c>
      <c r="AG164" s="33">
        <f t="shared" si="56"/>
        <v>27.063079412694506</v>
      </c>
      <c r="AH164" s="33">
        <f t="shared" si="57"/>
        <v>0.58410618352806809</v>
      </c>
      <c r="AI164" s="34"/>
      <c r="AJ164" s="33">
        <f t="shared" si="58"/>
        <v>27.647390352118155</v>
      </c>
      <c r="AK164" s="35">
        <v>5001077</v>
      </c>
      <c r="AL164" s="36">
        <v>138266728</v>
      </c>
      <c r="AM164" s="36">
        <v>135344544</v>
      </c>
      <c r="AN164" s="36">
        <v>2921160</v>
      </c>
      <c r="AO164" s="46"/>
      <c r="AP164" s="47">
        <v>29.7301</v>
      </c>
      <c r="AQ164" s="47">
        <v>36.705199999999998</v>
      </c>
      <c r="AR164" s="47">
        <v>36.625399999999999</v>
      </c>
      <c r="AS164" s="48"/>
      <c r="AT164" s="47">
        <v>21.686399999999999</v>
      </c>
      <c r="AU164" s="47">
        <v>21.686399999999999</v>
      </c>
      <c r="AV164" s="47">
        <v>21.686399999999999</v>
      </c>
      <c r="AW164" s="48"/>
      <c r="AX164" s="52">
        <v>18.015000000000001</v>
      </c>
      <c r="AY164" s="52">
        <v>15.452999999999999</v>
      </c>
      <c r="BA164" s="59">
        <f t="shared" si="59"/>
        <v>-4.9604598267316558E-4</v>
      </c>
      <c r="BB164" s="59"/>
      <c r="BD164" s="60"/>
      <c r="BE164" s="60"/>
      <c r="BF164" s="60"/>
      <c r="BG164" s="64"/>
      <c r="BI164" s="60"/>
      <c r="BJ164" s="60"/>
      <c r="BK164" s="60"/>
      <c r="BL164" s="64"/>
      <c r="BN164" s="60"/>
      <c r="BO164" s="60"/>
      <c r="BP164" s="60"/>
      <c r="BQ164" s="64"/>
      <c r="BS164" s="60"/>
      <c r="BT164" s="60"/>
      <c r="BU164" s="60"/>
      <c r="BV164" s="64"/>
      <c r="BX164">
        <f t="shared" si="60"/>
        <v>0</v>
      </c>
      <c r="BY164">
        <f t="shared" si="61"/>
        <v>70032</v>
      </c>
      <c r="BZ164">
        <f t="shared" si="62"/>
        <v>0</v>
      </c>
      <c r="CA164">
        <f t="shared" si="63"/>
        <v>70032</v>
      </c>
      <c r="CB164">
        <f t="shared" si="64"/>
        <v>0</v>
      </c>
      <c r="CC164">
        <f t="shared" si="65"/>
        <v>-0.27420000000000044</v>
      </c>
      <c r="CD164">
        <f t="shared" si="66"/>
        <v>0.24289999999999878</v>
      </c>
      <c r="CE164">
        <f t="shared" si="67"/>
        <v>-0.1062999999999974</v>
      </c>
      <c r="CF164">
        <f t="shared" si="68"/>
        <v>0</v>
      </c>
      <c r="CG164">
        <f t="shared" si="69"/>
        <v>0</v>
      </c>
      <c r="CH164">
        <f t="shared" si="70"/>
        <v>0</v>
      </c>
      <c r="CI164">
        <f t="shared" si="71"/>
        <v>0</v>
      </c>
      <c r="CJ164">
        <f t="shared" si="72"/>
        <v>0</v>
      </c>
    </row>
    <row r="165" spans="1:88" x14ac:dyDescent="0.15">
      <c r="A165" s="5"/>
      <c r="B165" s="5" t="s">
        <v>154</v>
      </c>
      <c r="C165" s="6" t="s">
        <v>254</v>
      </c>
      <c r="D165" s="5">
        <v>71948094</v>
      </c>
      <c r="E165" s="7">
        <v>14</v>
      </c>
      <c r="F165" s="6">
        <v>1</v>
      </c>
      <c r="G165" s="6"/>
      <c r="I165" s="17" t="str">
        <f t="shared" si="49"/>
        <v>·</v>
      </c>
      <c r="J165" s="18">
        <f t="shared" si="50"/>
        <v>11.781375612257358</v>
      </c>
      <c r="K165" s="18">
        <f t="shared" si="51"/>
        <v>4.0031617237838155</v>
      </c>
      <c r="L165" s="18">
        <f t="shared" si="52"/>
        <v>7.7781142610949496</v>
      </c>
      <c r="M165" s="19"/>
      <c r="N165" s="18">
        <f t="shared" si="53"/>
        <v>11.781375612257358</v>
      </c>
      <c r="O165" s="20">
        <v>71948094</v>
      </c>
      <c r="P165" s="21">
        <v>847647520</v>
      </c>
      <c r="Q165" s="21">
        <v>288019856</v>
      </c>
      <c r="R165" s="21">
        <v>559620496</v>
      </c>
      <c r="S165" s="37"/>
      <c r="T165" s="38">
        <v>52.878</v>
      </c>
      <c r="U165" s="38">
        <v>55.7851</v>
      </c>
      <c r="V165" s="38">
        <v>55.891599999999997</v>
      </c>
      <c r="W165" s="39"/>
      <c r="X165" s="38">
        <v>48.130800000000001</v>
      </c>
      <c r="Y165" s="38">
        <v>48.130800000000001</v>
      </c>
      <c r="Z165" s="38">
        <v>48.130800000000001</v>
      </c>
      <c r="AA165" s="39"/>
      <c r="AB165" s="49">
        <v>122.28100000000001</v>
      </c>
      <c r="AC165" s="49">
        <v>93.108999999999995</v>
      </c>
      <c r="AE165" s="17" t="str">
        <f t="shared" si="54"/>
        <v>·</v>
      </c>
      <c r="AF165" s="18">
        <f t="shared" si="55"/>
        <v>11.811331986084301</v>
      </c>
      <c r="AG165" s="18">
        <f t="shared" si="56"/>
        <v>4.0031617237838155</v>
      </c>
      <c r="AH165" s="18">
        <f t="shared" si="57"/>
        <v>7.8080706349218927</v>
      </c>
      <c r="AI165" s="19"/>
      <c r="AJ165" s="18">
        <f t="shared" si="58"/>
        <v>11.811331986084301</v>
      </c>
      <c r="AK165" s="20">
        <v>71948094</v>
      </c>
      <c r="AL165" s="21">
        <v>849802824</v>
      </c>
      <c r="AM165" s="21">
        <v>288019856</v>
      </c>
      <c r="AN165" s="21">
        <v>561775800</v>
      </c>
      <c r="AO165" s="37"/>
      <c r="AP165" s="38">
        <v>52.883299999999998</v>
      </c>
      <c r="AQ165" s="38">
        <v>55.777000000000001</v>
      </c>
      <c r="AR165" s="38">
        <v>55.8797</v>
      </c>
      <c r="AS165" s="39"/>
      <c r="AT165" s="38">
        <v>48.130800000000001</v>
      </c>
      <c r="AU165" s="38">
        <v>48.130800000000001</v>
      </c>
      <c r="AV165" s="38">
        <v>48.130800000000001</v>
      </c>
      <c r="AW165" s="39"/>
      <c r="AX165" s="49">
        <v>124.968</v>
      </c>
      <c r="AY165" s="49">
        <v>93.375</v>
      </c>
      <c r="BA165" s="53">
        <f t="shared" si="59"/>
        <v>-8.6178215753313081E-4</v>
      </c>
      <c r="BB165" s="53">
        <f t="array" ref="BB165">AVERAGE(AM165:AM169/AL165:AL169)-AVERAGE(Q165:Q169/P165:P169)</f>
        <v>-9.5929207958611595E-4</v>
      </c>
      <c r="BD165" s="54">
        <f>IF(OR(ISBLANK(R165:R169),ISBLANK(AN165:AN169),ISBLANK(T165:T169),ISBLANK(AP165:AP169)),"·",bdRateExtend(R165:R169,T165:T169,AN165:AN169,AP165:AP169))</f>
        <v>3.1602436889444085E-3</v>
      </c>
      <c r="BE165" s="54">
        <f>IF(OR(ISBLANK(R165:R169),ISBLANK(AN165:AN169),ISBLANK(U165:U169),ISBLANK(AQ165:AQ169)),"·",bdRateExtend(R165:R169,U165:U169,AN165:AN169,AQ165:AQ169))</f>
        <v>2.6655261967634125E-3</v>
      </c>
      <c r="BF165" s="54">
        <f>IF(OR(ISBLANK(R165:R169),ISBLANK(AN165:AN169),ISBLANK(V165:V169),ISBLANK(AR165:AR169)),"·",bdRateExtend(R165:R169,V165:V169,AN165:AN169,AR165:AR169))</f>
        <v>1.1245610595256306E-3</v>
      </c>
      <c r="BG165" s="61"/>
      <c r="BI165" s="54">
        <f>IF(OR(ISBLANK(R165:R169),ISBLANK(AN165:AN169),ISBLANK(X165:X169),ISBLANK(AT165:AT169)),"·",bdRateExtend(R165:R169,X165:X169,AN165:AN169,AT165:AT169))</f>
        <v>4.8801924303547572E-3</v>
      </c>
      <c r="BJ165" s="54">
        <f>IF(OR(ISBLANK(R165:R169),ISBLANK(AN165:AN169),ISBLANK(Y165:Y169),ISBLANK(AU165:AU169)),"·",bdRateExtend(R165:R169,Y165:Y169,AN165:AN169,AU165:AU169))</f>
        <v>4.8801924303547572E-3</v>
      </c>
      <c r="BK165" s="54">
        <f>IF(OR(ISBLANK(R165:R169),ISBLANK(AN165:AN169),ISBLANK(Z165:Z169),ISBLANK(AV165:AV169)),"·",bdRateExtend(R165:R169,Z165:Z169,AN165:AN169,AV165:AV169))</f>
        <v>4.8801924303547572E-3</v>
      </c>
      <c r="BL165" s="61"/>
      <c r="BN165" s="54">
        <f>IF(OR(ISBLANK(P165:P169),ISBLANK(AL165:AL169),ISBLANK(T165:T169),ISBLANK(AP165:AP169)),"·",bdRateExtend(P165:P169,T165:T169,AL165:AL169,AP165:AP169))</f>
        <v>1.8745158364534831E-3</v>
      </c>
      <c r="BO165" s="54">
        <f>IF(OR(ISBLANK(P165:P169),ISBLANK(AL165:AL169),ISBLANK(U165:U169),ISBLANK(AQ165:AQ169)),"·",bdRateExtend(P165:P169,U165:U169,AL165:AL169,AQ165:AQ169))</f>
        <v>1.9864440407806327E-3</v>
      </c>
      <c r="BP165" s="54">
        <f>IF(OR(ISBLANK(P165:P169),ISBLANK(AL165:AL169),ISBLANK(V165:V169),ISBLANK(AR165:AR169)),"·",bdRateExtend(P165:P169,V165:V169,AL165:AL169,AR165:AR169))</f>
        <v>1.4827131167700625E-3</v>
      </c>
      <c r="BQ165" s="61"/>
      <c r="BS165" s="54">
        <f>IF(OR(ISBLANK(P165:P169),ISBLANK(AL165:AL169),ISBLANK(X165:X169),ISBLANK(AT165:AT169)),"·",bdRateExtend(P165:P169,X165:X169,AL165:AL169,AT165:AT169))</f>
        <v>2.4540154043433127E-3</v>
      </c>
      <c r="BT165" s="54">
        <f>IF(OR(ISBLANK(P165:P169),ISBLANK(AL165:AL169),ISBLANK(Y165:Y169),ISBLANK(AU165:AU169)),"·",bdRateExtend(P165:P169,Y165:Y169,AL165:AL169,AU165:AU169))</f>
        <v>2.4540154043433127E-3</v>
      </c>
      <c r="BU165" s="54">
        <f>IF(OR(ISBLANK(P165:P169),ISBLANK(AL165:AL169),ISBLANK(Z165:Z169),ISBLANK(AV165:AV169)),"·",bdRateExtend(P165:P169,Z165:Z169,AL165:AL169,AV165:AV169))</f>
        <v>2.4540154043433127E-3</v>
      </c>
      <c r="BV165" s="61"/>
      <c r="BX165">
        <f t="shared" si="60"/>
        <v>0</v>
      </c>
      <c r="BY165">
        <f t="shared" si="61"/>
        <v>2155304</v>
      </c>
      <c r="BZ165">
        <f t="shared" si="62"/>
        <v>0</v>
      </c>
      <c r="CA165">
        <f t="shared" si="63"/>
        <v>2155304</v>
      </c>
      <c r="CB165">
        <f t="shared" si="64"/>
        <v>0</v>
      </c>
      <c r="CC165">
        <f t="shared" si="65"/>
        <v>5.2999999999983061E-3</v>
      </c>
      <c r="CD165">
        <f t="shared" si="66"/>
        <v>-8.0999999999988859E-3</v>
      </c>
      <c r="CE165">
        <f t="shared" si="67"/>
        <v>-1.1899999999997135E-2</v>
      </c>
      <c r="CF165">
        <f t="shared" si="68"/>
        <v>0</v>
      </c>
      <c r="CG165">
        <f t="shared" si="69"/>
        <v>0</v>
      </c>
      <c r="CH165">
        <f t="shared" si="70"/>
        <v>0</v>
      </c>
      <c r="CI165">
        <f t="shared" si="71"/>
        <v>0</v>
      </c>
      <c r="CJ165">
        <f t="shared" si="72"/>
        <v>0</v>
      </c>
    </row>
    <row r="166" spans="1:88" outlineLevel="1" x14ac:dyDescent="0.15">
      <c r="A166" s="8"/>
      <c r="B166" s="8" t="s">
        <v>154</v>
      </c>
      <c r="C166" s="9" t="s">
        <v>255</v>
      </c>
      <c r="D166" s="8">
        <v>71948094</v>
      </c>
      <c r="E166" s="10">
        <v>14</v>
      </c>
      <c r="F166" s="9">
        <v>1</v>
      </c>
      <c r="G166" s="9"/>
      <c r="I166" s="22" t="str">
        <f t="shared" si="49"/>
        <v>·</v>
      </c>
      <c r="J166" s="23">
        <f t="shared" si="50"/>
        <v>9.6980477064479285</v>
      </c>
      <c r="K166" s="23">
        <f t="shared" si="51"/>
        <v>4.0031617237838155</v>
      </c>
      <c r="L166" s="23">
        <f t="shared" si="52"/>
        <v>5.6947863552855198</v>
      </c>
      <c r="M166" s="24"/>
      <c r="N166" s="23">
        <f t="shared" si="53"/>
        <v>9.6980477064479285</v>
      </c>
      <c r="O166" s="25">
        <v>71948094</v>
      </c>
      <c r="P166" s="26">
        <v>697756048</v>
      </c>
      <c r="Q166" s="26">
        <v>288019856</v>
      </c>
      <c r="R166" s="26">
        <v>409729024</v>
      </c>
      <c r="S166" s="40"/>
      <c r="T166" s="41">
        <v>48.107999999999997</v>
      </c>
      <c r="U166" s="41">
        <v>51.178600000000003</v>
      </c>
      <c r="V166" s="41">
        <v>51.0167</v>
      </c>
      <c r="W166" s="42"/>
      <c r="X166" s="41">
        <v>42.110199999999999</v>
      </c>
      <c r="Y166" s="41">
        <v>42.110199999999999</v>
      </c>
      <c r="Z166" s="41">
        <v>42.110199999999999</v>
      </c>
      <c r="AA166" s="42"/>
      <c r="AB166" s="50">
        <v>120.48399999999999</v>
      </c>
      <c r="AC166" s="50">
        <v>91.703000000000003</v>
      </c>
      <c r="AE166" s="22" t="str">
        <f t="shared" si="54"/>
        <v>·</v>
      </c>
      <c r="AF166" s="23">
        <f t="shared" si="55"/>
        <v>9.7336801722641884</v>
      </c>
      <c r="AG166" s="23">
        <f t="shared" si="56"/>
        <v>4.0031617237838155</v>
      </c>
      <c r="AH166" s="23">
        <f t="shared" si="57"/>
        <v>5.7304188211017797</v>
      </c>
      <c r="AI166" s="24"/>
      <c r="AJ166" s="23">
        <f t="shared" si="58"/>
        <v>9.7336801722641884</v>
      </c>
      <c r="AK166" s="25">
        <v>71948094</v>
      </c>
      <c r="AL166" s="26">
        <v>700319736</v>
      </c>
      <c r="AM166" s="26">
        <v>288019856</v>
      </c>
      <c r="AN166" s="26">
        <v>412292712</v>
      </c>
      <c r="AO166" s="40"/>
      <c r="AP166" s="41">
        <v>48.113900000000001</v>
      </c>
      <c r="AQ166" s="41">
        <v>51.172400000000003</v>
      </c>
      <c r="AR166" s="41">
        <v>51.012</v>
      </c>
      <c r="AS166" s="42"/>
      <c r="AT166" s="41">
        <v>42.110199999999999</v>
      </c>
      <c r="AU166" s="41">
        <v>42.110199999999999</v>
      </c>
      <c r="AV166" s="41">
        <v>42.110199999999999</v>
      </c>
      <c r="AW166" s="42"/>
      <c r="AX166" s="50">
        <v>122.875</v>
      </c>
      <c r="AY166" s="50">
        <v>92.015000000000001</v>
      </c>
      <c r="BA166" s="55">
        <f t="shared" si="59"/>
        <v>-1.5110805807117544E-3</v>
      </c>
      <c r="BB166" s="55"/>
      <c r="BD166" s="56"/>
      <c r="BE166" s="56"/>
      <c r="BF166" s="56"/>
      <c r="BG166" s="62"/>
      <c r="BI166" s="56"/>
      <c r="BJ166" s="56"/>
      <c r="BK166" s="56"/>
      <c r="BL166" s="62"/>
      <c r="BN166" s="56"/>
      <c r="BO166" s="56"/>
      <c r="BP166" s="56"/>
      <c r="BQ166" s="62"/>
      <c r="BS166" s="56"/>
      <c r="BT166" s="56"/>
      <c r="BU166" s="56"/>
      <c r="BV166" s="62"/>
      <c r="BX166">
        <f t="shared" si="60"/>
        <v>0</v>
      </c>
      <c r="BY166">
        <f t="shared" si="61"/>
        <v>2563688</v>
      </c>
      <c r="BZ166">
        <f t="shared" si="62"/>
        <v>0</v>
      </c>
      <c r="CA166">
        <f t="shared" si="63"/>
        <v>2563688</v>
      </c>
      <c r="CB166">
        <f t="shared" si="64"/>
        <v>0</v>
      </c>
      <c r="CC166">
        <f t="shared" si="65"/>
        <v>5.9000000000040131E-3</v>
      </c>
      <c r="CD166">
        <f t="shared" si="66"/>
        <v>-6.1999999999997613E-3</v>
      </c>
      <c r="CE166">
        <f t="shared" si="67"/>
        <v>-4.6999999999997044E-3</v>
      </c>
      <c r="CF166">
        <f t="shared" si="68"/>
        <v>0</v>
      </c>
      <c r="CG166">
        <f t="shared" si="69"/>
        <v>0</v>
      </c>
      <c r="CH166">
        <f t="shared" si="70"/>
        <v>0</v>
      </c>
      <c r="CI166">
        <f t="shared" si="71"/>
        <v>0</v>
      </c>
      <c r="CJ166">
        <f t="shared" si="72"/>
        <v>0</v>
      </c>
    </row>
    <row r="167" spans="1:88" outlineLevel="1" x14ac:dyDescent="0.15">
      <c r="A167" s="5"/>
      <c r="B167" s="5" t="s">
        <v>154</v>
      </c>
      <c r="C167" s="6" t="s">
        <v>256</v>
      </c>
      <c r="D167" s="5">
        <v>71948094</v>
      </c>
      <c r="E167" s="7">
        <v>14</v>
      </c>
      <c r="F167" s="6">
        <v>1</v>
      </c>
      <c r="G167" s="6"/>
      <c r="I167" s="17" t="str">
        <f t="shared" si="49"/>
        <v>·</v>
      </c>
      <c r="J167" s="18">
        <f t="shared" si="50"/>
        <v>7.5390223401887475</v>
      </c>
      <c r="K167" s="18">
        <f t="shared" si="51"/>
        <v>4.0031617237838155</v>
      </c>
      <c r="L167" s="18">
        <f t="shared" si="52"/>
        <v>3.5357609890263388</v>
      </c>
      <c r="M167" s="19"/>
      <c r="N167" s="18">
        <f t="shared" si="53"/>
        <v>7.5390223401887475</v>
      </c>
      <c r="O167" s="20">
        <v>71948094</v>
      </c>
      <c r="P167" s="21">
        <v>542418288</v>
      </c>
      <c r="Q167" s="21">
        <v>288019856</v>
      </c>
      <c r="R167" s="21">
        <v>254391264</v>
      </c>
      <c r="S167" s="37"/>
      <c r="T167" s="38">
        <v>40.804400000000001</v>
      </c>
      <c r="U167" s="38">
        <v>45.7517</v>
      </c>
      <c r="V167" s="38">
        <v>45.670900000000003</v>
      </c>
      <c r="W167" s="39"/>
      <c r="X167" s="38">
        <v>34.151400000000002</v>
      </c>
      <c r="Y167" s="38">
        <v>34.151400000000002</v>
      </c>
      <c r="Z167" s="38">
        <v>34.151400000000002</v>
      </c>
      <c r="AA167" s="39"/>
      <c r="AB167" s="49">
        <v>119</v>
      </c>
      <c r="AC167" s="49">
        <v>90.5</v>
      </c>
      <c r="AE167" s="17" t="str">
        <f t="shared" si="54"/>
        <v>·</v>
      </c>
      <c r="AF167" s="18">
        <f t="shared" si="55"/>
        <v>7.5616975760330778</v>
      </c>
      <c r="AG167" s="18">
        <f t="shared" si="56"/>
        <v>4.0031617237838155</v>
      </c>
      <c r="AH167" s="18">
        <f t="shared" si="57"/>
        <v>3.5584362248706687</v>
      </c>
      <c r="AI167" s="19"/>
      <c r="AJ167" s="18">
        <f t="shared" si="58"/>
        <v>7.5616975760330778</v>
      </c>
      <c r="AK167" s="20">
        <v>71948094</v>
      </c>
      <c r="AL167" s="21">
        <v>544049728</v>
      </c>
      <c r="AM167" s="21">
        <v>288019856</v>
      </c>
      <c r="AN167" s="21">
        <v>256022704</v>
      </c>
      <c r="AO167" s="37"/>
      <c r="AP167" s="38">
        <v>40.819499999999998</v>
      </c>
      <c r="AQ167" s="38">
        <v>45.743200000000002</v>
      </c>
      <c r="AR167" s="38">
        <v>45.679400000000001</v>
      </c>
      <c r="AS167" s="39"/>
      <c r="AT167" s="38">
        <v>34.151400000000002</v>
      </c>
      <c r="AU167" s="38">
        <v>34.151400000000002</v>
      </c>
      <c r="AV167" s="38">
        <v>34.151400000000002</v>
      </c>
      <c r="AW167" s="39"/>
      <c r="AX167" s="49">
        <v>120.703</v>
      </c>
      <c r="AY167" s="49">
        <v>90.656000000000006</v>
      </c>
      <c r="BA167" s="53">
        <f t="shared" si="59"/>
        <v>-1.5922843038096435E-3</v>
      </c>
      <c r="BB167" s="53"/>
      <c r="BD167" s="54"/>
      <c r="BE167" s="54"/>
      <c r="BF167" s="54"/>
      <c r="BG167" s="61"/>
      <c r="BI167" s="54"/>
      <c r="BJ167" s="54"/>
      <c r="BK167" s="54"/>
      <c r="BL167" s="61"/>
      <c r="BN167" s="54"/>
      <c r="BO167" s="54"/>
      <c r="BP167" s="54"/>
      <c r="BQ167" s="61"/>
      <c r="BS167" s="54"/>
      <c r="BT167" s="54"/>
      <c r="BU167" s="54"/>
      <c r="BV167" s="61"/>
      <c r="BX167">
        <f t="shared" si="60"/>
        <v>0</v>
      </c>
      <c r="BY167">
        <f t="shared" si="61"/>
        <v>1631440</v>
      </c>
      <c r="BZ167">
        <f t="shared" si="62"/>
        <v>0</v>
      </c>
      <c r="CA167">
        <f t="shared" si="63"/>
        <v>1631440</v>
      </c>
      <c r="CB167">
        <f t="shared" si="64"/>
        <v>0</v>
      </c>
      <c r="CC167">
        <f t="shared" si="65"/>
        <v>1.5099999999996783E-2</v>
      </c>
      <c r="CD167">
        <f t="shared" si="66"/>
        <v>-8.4999999999979536E-3</v>
      </c>
      <c r="CE167">
        <f t="shared" si="67"/>
        <v>8.4999999999979536E-3</v>
      </c>
      <c r="CF167">
        <f t="shared" si="68"/>
        <v>0</v>
      </c>
      <c r="CG167">
        <f t="shared" si="69"/>
        <v>0</v>
      </c>
      <c r="CH167">
        <f t="shared" si="70"/>
        <v>0</v>
      </c>
      <c r="CI167">
        <f t="shared" si="71"/>
        <v>0</v>
      </c>
      <c r="CJ167">
        <f t="shared" si="72"/>
        <v>0</v>
      </c>
    </row>
    <row r="168" spans="1:88" outlineLevel="1" x14ac:dyDescent="0.15">
      <c r="A168" s="8"/>
      <c r="B168" s="8" t="s">
        <v>154</v>
      </c>
      <c r="C168" s="9" t="s">
        <v>257</v>
      </c>
      <c r="D168" s="8">
        <v>71948094</v>
      </c>
      <c r="E168" s="10">
        <v>14</v>
      </c>
      <c r="F168" s="9">
        <v>1</v>
      </c>
      <c r="G168" s="9"/>
      <c r="I168" s="22" t="str">
        <f t="shared" si="49"/>
        <v>·</v>
      </c>
      <c r="J168" s="23">
        <f t="shared" si="50"/>
        <v>6.125906601500799</v>
      </c>
      <c r="K168" s="23">
        <f t="shared" si="51"/>
        <v>4.0031617237838155</v>
      </c>
      <c r="L168" s="23">
        <f t="shared" si="52"/>
        <v>2.1226452503383899</v>
      </c>
      <c r="M168" s="24"/>
      <c r="N168" s="23">
        <f t="shared" si="53"/>
        <v>6.125906601500799</v>
      </c>
      <c r="O168" s="25">
        <v>71948094</v>
      </c>
      <c r="P168" s="26">
        <v>440747304</v>
      </c>
      <c r="Q168" s="26">
        <v>288019856</v>
      </c>
      <c r="R168" s="26">
        <v>152720280</v>
      </c>
      <c r="S168" s="40"/>
      <c r="T168" s="41">
        <v>35.196199999999997</v>
      </c>
      <c r="U168" s="41">
        <v>41.178899999999999</v>
      </c>
      <c r="V168" s="41">
        <v>40.906500000000001</v>
      </c>
      <c r="W168" s="42"/>
      <c r="X168" s="41">
        <v>28.130800000000001</v>
      </c>
      <c r="Y168" s="41">
        <v>28.130800000000001</v>
      </c>
      <c r="Z168" s="41">
        <v>28.130800000000001</v>
      </c>
      <c r="AA168" s="42"/>
      <c r="AB168" s="50">
        <v>118.375</v>
      </c>
      <c r="AC168" s="50">
        <v>89.546000000000006</v>
      </c>
      <c r="AE168" s="22" t="str">
        <f t="shared" si="54"/>
        <v>·</v>
      </c>
      <c r="AF168" s="23">
        <f t="shared" si="55"/>
        <v>6.1345818556360925</v>
      </c>
      <c r="AG168" s="23">
        <f t="shared" si="56"/>
        <v>4.0031617237838155</v>
      </c>
      <c r="AH168" s="23">
        <f t="shared" si="57"/>
        <v>2.1313205044736834</v>
      </c>
      <c r="AI168" s="24"/>
      <c r="AJ168" s="23">
        <f t="shared" si="58"/>
        <v>6.1345818556360925</v>
      </c>
      <c r="AK168" s="25">
        <v>71948094</v>
      </c>
      <c r="AL168" s="26">
        <v>441371472</v>
      </c>
      <c r="AM168" s="26">
        <v>288019856</v>
      </c>
      <c r="AN168" s="26">
        <v>153344448</v>
      </c>
      <c r="AO168" s="40"/>
      <c r="AP168" s="41">
        <v>35.214300000000001</v>
      </c>
      <c r="AQ168" s="41">
        <v>41.207900000000002</v>
      </c>
      <c r="AR168" s="41">
        <v>40.948300000000003</v>
      </c>
      <c r="AS168" s="42"/>
      <c r="AT168" s="41">
        <v>28.130800000000001</v>
      </c>
      <c r="AU168" s="41">
        <v>28.130800000000001</v>
      </c>
      <c r="AV168" s="41">
        <v>28.130800000000001</v>
      </c>
      <c r="AW168" s="42"/>
      <c r="AX168" s="50">
        <v>119.562</v>
      </c>
      <c r="AY168" s="50">
        <v>89.75</v>
      </c>
      <c r="BA168" s="55">
        <f t="shared" si="59"/>
        <v>-9.2412347961667862E-4</v>
      </c>
      <c r="BB168" s="55"/>
      <c r="BD168" s="56"/>
      <c r="BE168" s="56"/>
      <c r="BF168" s="56"/>
      <c r="BG168" s="62"/>
      <c r="BI168" s="56"/>
      <c r="BJ168" s="56"/>
      <c r="BK168" s="56"/>
      <c r="BL168" s="62"/>
      <c r="BN168" s="56"/>
      <c r="BO168" s="56"/>
      <c r="BP168" s="56"/>
      <c r="BQ168" s="62"/>
      <c r="BS168" s="56"/>
      <c r="BT168" s="56"/>
      <c r="BU168" s="56"/>
      <c r="BV168" s="62"/>
      <c r="BX168">
        <f t="shared" si="60"/>
        <v>0</v>
      </c>
      <c r="BY168">
        <f t="shared" si="61"/>
        <v>624168</v>
      </c>
      <c r="BZ168">
        <f t="shared" si="62"/>
        <v>0</v>
      </c>
      <c r="CA168">
        <f t="shared" si="63"/>
        <v>624168</v>
      </c>
      <c r="CB168">
        <f t="shared" si="64"/>
        <v>0</v>
      </c>
      <c r="CC168">
        <f t="shared" si="65"/>
        <v>1.8100000000004002E-2</v>
      </c>
      <c r="CD168">
        <f t="shared" si="66"/>
        <v>2.9000000000003467E-2</v>
      </c>
      <c r="CE168">
        <f t="shared" si="67"/>
        <v>4.1800000000002058E-2</v>
      </c>
      <c r="CF168">
        <f t="shared" si="68"/>
        <v>0</v>
      </c>
      <c r="CG168">
        <f t="shared" si="69"/>
        <v>0</v>
      </c>
      <c r="CH168">
        <f t="shared" si="70"/>
        <v>0</v>
      </c>
      <c r="CI168">
        <f t="shared" si="71"/>
        <v>0</v>
      </c>
      <c r="CJ168">
        <f t="shared" si="72"/>
        <v>0</v>
      </c>
    </row>
    <row r="169" spans="1:88" outlineLevel="1" x14ac:dyDescent="0.15">
      <c r="A169" s="5"/>
      <c r="B169" s="11" t="s">
        <v>154</v>
      </c>
      <c r="C169" s="12" t="s">
        <v>258</v>
      </c>
      <c r="D169" s="11">
        <v>71948094</v>
      </c>
      <c r="E169" s="13">
        <v>14</v>
      </c>
      <c r="F169" s="12">
        <v>1</v>
      </c>
      <c r="G169" s="12"/>
      <c r="I169" s="27" t="str">
        <f t="shared" si="49"/>
        <v>·</v>
      </c>
      <c r="J169" s="28">
        <f t="shared" si="50"/>
        <v>4.913835132310802</v>
      </c>
      <c r="K169" s="28">
        <f t="shared" si="51"/>
        <v>4.0031617237838155</v>
      </c>
      <c r="L169" s="28">
        <f t="shared" si="52"/>
        <v>0.91057378114839294</v>
      </c>
      <c r="M169" s="29"/>
      <c r="N169" s="28">
        <f t="shared" si="53"/>
        <v>4.913835132310802</v>
      </c>
      <c r="O169" s="30">
        <v>71948094</v>
      </c>
      <c r="P169" s="31">
        <v>353541072</v>
      </c>
      <c r="Q169" s="31">
        <v>288019856</v>
      </c>
      <c r="R169" s="31">
        <v>65514048</v>
      </c>
      <c r="S169" s="43"/>
      <c r="T169" s="44">
        <v>29.486799999999999</v>
      </c>
      <c r="U169" s="44">
        <v>36.755400000000002</v>
      </c>
      <c r="V169" s="44">
        <v>36.318600000000004</v>
      </c>
      <c r="W169" s="45"/>
      <c r="X169" s="44">
        <v>21.686399999999999</v>
      </c>
      <c r="Y169" s="44">
        <v>21.686399999999999</v>
      </c>
      <c r="Z169" s="44">
        <v>21.686399999999999</v>
      </c>
      <c r="AA169" s="45"/>
      <c r="AB169" s="51">
        <v>116.73399999999999</v>
      </c>
      <c r="AC169" s="51">
        <v>88.561999999999998</v>
      </c>
      <c r="AE169" s="27" t="str">
        <f t="shared" si="54"/>
        <v>·</v>
      </c>
      <c r="AF169" s="28">
        <f t="shared" si="55"/>
        <v>4.9132753954538391</v>
      </c>
      <c r="AG169" s="28">
        <f t="shared" si="56"/>
        <v>4.0031617237838155</v>
      </c>
      <c r="AH169" s="28">
        <f t="shared" si="57"/>
        <v>0.9100140442914304</v>
      </c>
      <c r="AI169" s="29"/>
      <c r="AJ169" s="28">
        <f t="shared" si="58"/>
        <v>4.9132753954538391</v>
      </c>
      <c r="AK169" s="30">
        <v>71948094</v>
      </c>
      <c r="AL169" s="31">
        <v>353500800</v>
      </c>
      <c r="AM169" s="31">
        <v>288019856</v>
      </c>
      <c r="AN169" s="31">
        <v>65473776</v>
      </c>
      <c r="AO169" s="43"/>
      <c r="AP169" s="44">
        <v>29.530899999999999</v>
      </c>
      <c r="AQ169" s="44">
        <v>36.8292</v>
      </c>
      <c r="AR169" s="44">
        <v>36.427199999999999</v>
      </c>
      <c r="AS169" s="45"/>
      <c r="AT169" s="44">
        <v>21.686399999999999</v>
      </c>
      <c r="AU169" s="44">
        <v>21.686399999999999</v>
      </c>
      <c r="AV169" s="44">
        <v>21.686399999999999</v>
      </c>
      <c r="AW169" s="45"/>
      <c r="AX169" s="51">
        <v>118.48399999999999</v>
      </c>
      <c r="AY169" s="51">
        <v>88.483999999999995</v>
      </c>
      <c r="BA169" s="57">
        <f t="shared" si="59"/>
        <v>9.2810123740183492E-5</v>
      </c>
      <c r="BB169" s="57"/>
      <c r="BD169" s="58"/>
      <c r="BE169" s="58"/>
      <c r="BF169" s="58"/>
      <c r="BG169" s="63"/>
      <c r="BI169" s="58"/>
      <c r="BJ169" s="58"/>
      <c r="BK169" s="58"/>
      <c r="BL169" s="63"/>
      <c r="BN169" s="58"/>
      <c r="BO169" s="58"/>
      <c r="BP169" s="58"/>
      <c r="BQ169" s="63"/>
      <c r="BS169" s="58"/>
      <c r="BT169" s="58"/>
      <c r="BU169" s="58"/>
      <c r="BV169" s="63"/>
      <c r="BX169">
        <f t="shared" si="60"/>
        <v>0</v>
      </c>
      <c r="BY169">
        <f t="shared" si="61"/>
        <v>-40272</v>
      </c>
      <c r="BZ169">
        <f t="shared" si="62"/>
        <v>0</v>
      </c>
      <c r="CA169">
        <f t="shared" si="63"/>
        <v>-40272</v>
      </c>
      <c r="CB169">
        <f t="shared" si="64"/>
        <v>0</v>
      </c>
      <c r="CC169">
        <f t="shared" si="65"/>
        <v>4.410000000000025E-2</v>
      </c>
      <c r="CD169">
        <f t="shared" si="66"/>
        <v>7.3799999999998533E-2</v>
      </c>
      <c r="CE169">
        <f t="shared" si="67"/>
        <v>0.10859999999999559</v>
      </c>
      <c r="CF169">
        <f t="shared" si="68"/>
        <v>0</v>
      </c>
      <c r="CG169">
        <f t="shared" si="69"/>
        <v>0</v>
      </c>
      <c r="CH169">
        <f t="shared" si="70"/>
        <v>0</v>
      </c>
      <c r="CI169">
        <f t="shared" si="71"/>
        <v>0</v>
      </c>
      <c r="CJ169">
        <f t="shared" si="72"/>
        <v>0</v>
      </c>
    </row>
    <row r="170" spans="1:88" x14ac:dyDescent="0.15">
      <c r="A170" s="8"/>
      <c r="B170" s="8" t="s">
        <v>156</v>
      </c>
      <c r="C170" s="9" t="s">
        <v>254</v>
      </c>
      <c r="D170" s="8">
        <v>72145549</v>
      </c>
      <c r="E170" s="10">
        <v>20</v>
      </c>
      <c r="F170" s="9">
        <v>1</v>
      </c>
      <c r="G170" s="9"/>
      <c r="I170" s="22" t="str">
        <f t="shared" si="49"/>
        <v>·</v>
      </c>
      <c r="J170" s="23">
        <f t="shared" si="50"/>
        <v>28.364155133118469</v>
      </c>
      <c r="K170" s="23">
        <f t="shared" si="51"/>
        <v>20.789421451349689</v>
      </c>
      <c r="L170" s="23">
        <f t="shared" si="52"/>
        <v>7.574634105286246</v>
      </c>
      <c r="M170" s="24"/>
      <c r="N170" s="23">
        <f t="shared" si="53"/>
        <v>28.364155133118469</v>
      </c>
      <c r="O170" s="25">
        <v>72145549</v>
      </c>
      <c r="P170" s="26">
        <v>2046347544</v>
      </c>
      <c r="Q170" s="26">
        <v>1499864224</v>
      </c>
      <c r="R170" s="26">
        <v>546476136</v>
      </c>
      <c r="S170" s="40"/>
      <c r="T170" s="41">
        <v>52.861400000000003</v>
      </c>
      <c r="U170" s="41">
        <v>55.816699999999997</v>
      </c>
      <c r="V170" s="41">
        <v>55.929000000000002</v>
      </c>
      <c r="W170" s="42"/>
      <c r="X170" s="41">
        <v>48.130800000000001</v>
      </c>
      <c r="Y170" s="41">
        <v>48.130800000000001</v>
      </c>
      <c r="Z170" s="41">
        <v>48.130800000000001</v>
      </c>
      <c r="AA170" s="42"/>
      <c r="AB170" s="50">
        <v>214.10900000000001</v>
      </c>
      <c r="AC170" s="50">
        <v>185.68700000000001</v>
      </c>
      <c r="AE170" s="22" t="str">
        <f t="shared" si="54"/>
        <v>·</v>
      </c>
      <c r="AF170" s="23">
        <f t="shared" si="55"/>
        <v>28.39412266444878</v>
      </c>
      <c r="AG170" s="23">
        <f t="shared" si="56"/>
        <v>20.789421451349689</v>
      </c>
      <c r="AH170" s="23">
        <f t="shared" si="57"/>
        <v>7.6046016366165565</v>
      </c>
      <c r="AI170" s="24"/>
      <c r="AJ170" s="23">
        <f t="shared" si="58"/>
        <v>28.39412266444878</v>
      </c>
      <c r="AK170" s="25">
        <v>72145549</v>
      </c>
      <c r="AL170" s="26">
        <v>2048509568</v>
      </c>
      <c r="AM170" s="26">
        <v>1499864224</v>
      </c>
      <c r="AN170" s="26">
        <v>548638160</v>
      </c>
      <c r="AO170" s="40"/>
      <c r="AP170" s="41">
        <v>52.866100000000003</v>
      </c>
      <c r="AQ170" s="41">
        <v>55.807699999999997</v>
      </c>
      <c r="AR170" s="41">
        <v>55.918700000000001</v>
      </c>
      <c r="AS170" s="42"/>
      <c r="AT170" s="41">
        <v>48.130800000000001</v>
      </c>
      <c r="AU170" s="41">
        <v>48.130800000000001</v>
      </c>
      <c r="AV170" s="41">
        <v>48.130800000000001</v>
      </c>
      <c r="AW170" s="42"/>
      <c r="AX170" s="50">
        <v>209.25</v>
      </c>
      <c r="AY170" s="50">
        <v>183.04599999999999</v>
      </c>
      <c r="BA170" s="55">
        <f t="shared" si="59"/>
        <v>-7.735618892049656E-4</v>
      </c>
      <c r="BB170" s="55">
        <f t="array" ref="BB170">AVERAGE(AM170:AM174/AL170:AL174)-AVERAGE(Q170:Q174/P170:P174)</f>
        <v>-6.036366804672566E-4</v>
      </c>
      <c r="BD170" s="56">
        <f>IF(OR(ISBLANK(R170:R174),ISBLANK(AN170:AN174),ISBLANK(T170:T174),ISBLANK(AP170:AP174)),"·",bdRateExtend(R170:R174,T170:T174,AN170:AN174,AP170:AP174))</f>
        <v>3.8182348268478439E-3</v>
      </c>
      <c r="BE170" s="56">
        <f>IF(OR(ISBLANK(R170:R174),ISBLANK(AN170:AN174),ISBLANK(U170:U174),ISBLANK(AQ170:AQ174)),"·",bdRateExtend(R170:R174,U170:U174,AN170:AN174,AQ170:AQ174))</f>
        <v>4.7264956606221098E-3</v>
      </c>
      <c r="BF170" s="56">
        <f>IF(OR(ISBLANK(R170:R174),ISBLANK(AN170:AN174),ISBLANK(V170:V174),ISBLANK(AR170:AR174)),"·",bdRateExtend(R170:R174,V170:V174,AN170:AN174,AR170:AR174))</f>
        <v>3.5961318322330627E-4</v>
      </c>
      <c r="BG170" s="62"/>
      <c r="BI170" s="56">
        <f>IF(OR(ISBLANK(R170:R174),ISBLANK(AN170:AN174),ISBLANK(X170:X174),ISBLANK(AT170:AT174)),"·",bdRateExtend(R170:R174,X170:X174,AN170:AN174,AT170:AT174))</f>
        <v>5.2058703836335152E-3</v>
      </c>
      <c r="BJ170" s="56">
        <f>IF(OR(ISBLANK(R170:R174),ISBLANK(AN170:AN174),ISBLANK(Y170:Y174),ISBLANK(AU170:AU174)),"·",bdRateExtend(R170:R174,Y170:Y174,AN170:AN174,AU170:AU174))</f>
        <v>5.2058703836335152E-3</v>
      </c>
      <c r="BK170" s="56">
        <f>IF(OR(ISBLANK(R170:R174),ISBLANK(AN170:AN174),ISBLANK(Z170:Z174),ISBLANK(AV170:AV174)),"·",bdRateExtend(R170:R174,Z170:Z174,AN170:AN174,AV170:AV174))</f>
        <v>5.2058703836335152E-3</v>
      </c>
      <c r="BL170" s="62"/>
      <c r="BN170" s="56">
        <f>IF(OR(ISBLANK(P170:P174),ISBLANK(AL170:AL174),ISBLANK(T170:T174),ISBLANK(AP170:AP174)),"·",bdRateExtend(P170:P174,T170:T174,AL170:AL174,AP170:AP174))</f>
        <v>7.0116637693051764E-4</v>
      </c>
      <c r="BO170" s="56">
        <f>IF(OR(ISBLANK(P170:P174),ISBLANK(AL170:AL174),ISBLANK(U170:U174),ISBLANK(AQ170:AQ174)),"·",bdRateExtend(P170:P174,U170:U174,AL170:AL174,AQ170:AQ174))</f>
        <v>8.5335954443110928E-4</v>
      </c>
      <c r="BP170" s="56">
        <f>IF(OR(ISBLANK(P170:P174),ISBLANK(AL170:AL174),ISBLANK(V170:V174),ISBLANK(AR170:AR174)),"·",bdRateExtend(P170:P174,V170:V174,AL170:AL174,AR170:AR174))</f>
        <v>5.548281266201105E-4</v>
      </c>
      <c r="BQ170" s="62"/>
      <c r="BS170" s="56">
        <f>IF(OR(ISBLANK(P170:P174),ISBLANK(AL170:AL174),ISBLANK(X170:X174),ISBLANK(AT170:AT174)),"·",bdRateExtend(P170:P174,X170:X174,AL170:AL174,AT170:AT174))</f>
        <v>8.3993690914430097E-4</v>
      </c>
      <c r="BT170" s="56">
        <f>IF(OR(ISBLANK(P170:P174),ISBLANK(AL170:AL174),ISBLANK(Y170:Y174),ISBLANK(AU170:AU174)),"·",bdRateExtend(P170:P174,Y170:Y174,AL170:AL174,AU170:AU174))</f>
        <v>8.3993690914430097E-4</v>
      </c>
      <c r="BU170" s="56">
        <f>IF(OR(ISBLANK(P170:P174),ISBLANK(AL170:AL174),ISBLANK(Z170:Z174),ISBLANK(AV170:AV174)),"·",bdRateExtend(P170:P174,Z170:Z174,AL170:AL174,AV170:AV174))</f>
        <v>8.3993690914430097E-4</v>
      </c>
      <c r="BV170" s="62"/>
      <c r="BX170">
        <f t="shared" si="60"/>
        <v>0</v>
      </c>
      <c r="BY170">
        <f t="shared" si="61"/>
        <v>2162024</v>
      </c>
      <c r="BZ170">
        <f t="shared" si="62"/>
        <v>0</v>
      </c>
      <c r="CA170">
        <f t="shared" si="63"/>
        <v>2162024</v>
      </c>
      <c r="CB170">
        <f t="shared" si="64"/>
        <v>0</v>
      </c>
      <c r="CC170">
        <f t="shared" si="65"/>
        <v>4.6999999999997044E-3</v>
      </c>
      <c r="CD170">
        <f t="shared" si="66"/>
        <v>-9.0000000000003411E-3</v>
      </c>
      <c r="CE170">
        <f t="shared" si="67"/>
        <v>-1.0300000000000864E-2</v>
      </c>
      <c r="CF170">
        <f t="shared" si="68"/>
        <v>0</v>
      </c>
      <c r="CG170">
        <f t="shared" si="69"/>
        <v>0</v>
      </c>
      <c r="CH170">
        <f t="shared" si="70"/>
        <v>0</v>
      </c>
      <c r="CI170">
        <f t="shared" si="71"/>
        <v>0</v>
      </c>
      <c r="CJ170">
        <f t="shared" si="72"/>
        <v>0</v>
      </c>
    </row>
    <row r="171" spans="1:88" outlineLevel="1" x14ac:dyDescent="0.15">
      <c r="A171" s="5"/>
      <c r="B171" s="5" t="s">
        <v>156</v>
      </c>
      <c r="C171" s="6" t="s">
        <v>255</v>
      </c>
      <c r="D171" s="5">
        <v>72145549</v>
      </c>
      <c r="E171" s="7">
        <v>20</v>
      </c>
      <c r="F171" s="6">
        <v>1</v>
      </c>
      <c r="G171" s="6"/>
      <c r="I171" s="17" t="str">
        <f t="shared" si="49"/>
        <v>·</v>
      </c>
      <c r="J171" s="18">
        <f t="shared" si="50"/>
        <v>26.310262549946081</v>
      </c>
      <c r="K171" s="18">
        <f t="shared" si="51"/>
        <v>20.789421451349689</v>
      </c>
      <c r="L171" s="18">
        <f t="shared" si="52"/>
        <v>5.5207415221138589</v>
      </c>
      <c r="M171" s="19"/>
      <c r="N171" s="18">
        <f t="shared" si="53"/>
        <v>26.310262549946081</v>
      </c>
      <c r="O171" s="20">
        <v>72145549</v>
      </c>
      <c r="P171" s="21">
        <v>1898168336</v>
      </c>
      <c r="Q171" s="21">
        <v>1499864224</v>
      </c>
      <c r="R171" s="21">
        <v>398296928</v>
      </c>
      <c r="S171" s="37"/>
      <c r="T171" s="38">
        <v>48.060899999999997</v>
      </c>
      <c r="U171" s="38">
        <v>51.264499999999998</v>
      </c>
      <c r="V171" s="38">
        <v>51.117800000000003</v>
      </c>
      <c r="W171" s="39"/>
      <c r="X171" s="38">
        <v>42.110199999999999</v>
      </c>
      <c r="Y171" s="38">
        <v>42.110199999999999</v>
      </c>
      <c r="Z171" s="38">
        <v>42.110199999999999</v>
      </c>
      <c r="AA171" s="39"/>
      <c r="AB171" s="49">
        <v>206.43700000000001</v>
      </c>
      <c r="AC171" s="49">
        <v>181.453</v>
      </c>
      <c r="AE171" s="17" t="str">
        <f t="shared" si="54"/>
        <v>·</v>
      </c>
      <c r="AF171" s="18">
        <f t="shared" si="55"/>
        <v>26.345636818149377</v>
      </c>
      <c r="AG171" s="18">
        <f t="shared" si="56"/>
        <v>20.789421451349689</v>
      </c>
      <c r="AH171" s="18">
        <f t="shared" si="57"/>
        <v>5.556115790317155</v>
      </c>
      <c r="AI171" s="19"/>
      <c r="AJ171" s="18">
        <f t="shared" si="58"/>
        <v>26.345636818149377</v>
      </c>
      <c r="AK171" s="20">
        <v>72145549</v>
      </c>
      <c r="AL171" s="21">
        <v>1900720432</v>
      </c>
      <c r="AM171" s="21">
        <v>1499864224</v>
      </c>
      <c r="AN171" s="21">
        <v>400849024</v>
      </c>
      <c r="AO171" s="37"/>
      <c r="AP171" s="38">
        <v>48.066400000000002</v>
      </c>
      <c r="AQ171" s="38">
        <v>51.258800000000001</v>
      </c>
      <c r="AR171" s="38">
        <v>51.115000000000002</v>
      </c>
      <c r="AS171" s="39"/>
      <c r="AT171" s="38">
        <v>42.110199999999999</v>
      </c>
      <c r="AU171" s="38">
        <v>42.110199999999999</v>
      </c>
      <c r="AV171" s="38">
        <v>42.110199999999999</v>
      </c>
      <c r="AW171" s="39"/>
      <c r="AX171" s="49">
        <v>206.67099999999999</v>
      </c>
      <c r="AY171" s="49">
        <v>180.53100000000001</v>
      </c>
      <c r="BA171" s="53">
        <f t="shared" si="59"/>
        <v>-1.0609526091872601E-3</v>
      </c>
      <c r="BB171" s="53"/>
      <c r="BD171" s="54"/>
      <c r="BE171" s="54"/>
      <c r="BF171" s="54"/>
      <c r="BG171" s="61"/>
      <c r="BI171" s="54"/>
      <c r="BJ171" s="54"/>
      <c r="BK171" s="54"/>
      <c r="BL171" s="61"/>
      <c r="BN171" s="54"/>
      <c r="BO171" s="54"/>
      <c r="BP171" s="54"/>
      <c r="BQ171" s="61"/>
      <c r="BS171" s="54"/>
      <c r="BT171" s="54"/>
      <c r="BU171" s="54"/>
      <c r="BV171" s="61"/>
      <c r="BX171">
        <f t="shared" si="60"/>
        <v>0</v>
      </c>
      <c r="BY171">
        <f t="shared" si="61"/>
        <v>2552096</v>
      </c>
      <c r="BZ171">
        <f t="shared" si="62"/>
        <v>0</v>
      </c>
      <c r="CA171">
        <f t="shared" si="63"/>
        <v>2552096</v>
      </c>
      <c r="CB171">
        <f t="shared" si="64"/>
        <v>0</v>
      </c>
      <c r="CC171">
        <f t="shared" si="65"/>
        <v>5.5000000000049454E-3</v>
      </c>
      <c r="CD171">
        <f t="shared" si="66"/>
        <v>-5.6999999999973738E-3</v>
      </c>
      <c r="CE171">
        <f t="shared" si="67"/>
        <v>-2.8000000000005798E-3</v>
      </c>
      <c r="CF171">
        <f t="shared" si="68"/>
        <v>0</v>
      </c>
      <c r="CG171">
        <f t="shared" si="69"/>
        <v>0</v>
      </c>
      <c r="CH171">
        <f t="shared" si="70"/>
        <v>0</v>
      </c>
      <c r="CI171">
        <f t="shared" si="71"/>
        <v>0</v>
      </c>
      <c r="CJ171">
        <f t="shared" si="72"/>
        <v>0</v>
      </c>
    </row>
    <row r="172" spans="1:88" outlineLevel="1" x14ac:dyDescent="0.15">
      <c r="A172" s="8"/>
      <c r="B172" s="8" t="s">
        <v>156</v>
      </c>
      <c r="C172" s="9" t="s">
        <v>256</v>
      </c>
      <c r="D172" s="8">
        <v>72145549</v>
      </c>
      <c r="E172" s="10">
        <v>20</v>
      </c>
      <c r="F172" s="9">
        <v>1</v>
      </c>
      <c r="G172" s="9"/>
      <c r="I172" s="22" t="str">
        <f t="shared" si="49"/>
        <v>·</v>
      </c>
      <c r="J172" s="23">
        <f t="shared" si="50"/>
        <v>24.189174580957172</v>
      </c>
      <c r="K172" s="23">
        <f t="shared" si="51"/>
        <v>20.789421451349689</v>
      </c>
      <c r="L172" s="23">
        <f t="shared" si="52"/>
        <v>3.3996535531249474</v>
      </c>
      <c r="M172" s="24"/>
      <c r="N172" s="23">
        <f t="shared" si="53"/>
        <v>24.189174580957172</v>
      </c>
      <c r="O172" s="25">
        <v>72145549</v>
      </c>
      <c r="P172" s="26">
        <v>1745141280</v>
      </c>
      <c r="Q172" s="26">
        <v>1499864224</v>
      </c>
      <c r="R172" s="26">
        <v>245269872</v>
      </c>
      <c r="S172" s="40"/>
      <c r="T172" s="41">
        <v>40.776600000000002</v>
      </c>
      <c r="U172" s="41">
        <v>45.889000000000003</v>
      </c>
      <c r="V172" s="41">
        <v>45.835500000000003</v>
      </c>
      <c r="W172" s="42"/>
      <c r="X172" s="41">
        <v>34.151400000000002</v>
      </c>
      <c r="Y172" s="41">
        <v>34.151400000000002</v>
      </c>
      <c r="Z172" s="41">
        <v>34.151400000000002</v>
      </c>
      <c r="AA172" s="42"/>
      <c r="AB172" s="50">
        <v>203.96799999999999</v>
      </c>
      <c r="AC172" s="50">
        <v>179.84299999999999</v>
      </c>
      <c r="AE172" s="22" t="str">
        <f t="shared" si="54"/>
        <v>·</v>
      </c>
      <c r="AF172" s="23">
        <f t="shared" si="55"/>
        <v>24.212014188151787</v>
      </c>
      <c r="AG172" s="23">
        <f t="shared" si="56"/>
        <v>20.789421451349689</v>
      </c>
      <c r="AH172" s="23">
        <f t="shared" si="57"/>
        <v>3.4224931603195645</v>
      </c>
      <c r="AI172" s="24"/>
      <c r="AJ172" s="23">
        <f t="shared" si="58"/>
        <v>24.212014188151787</v>
      </c>
      <c r="AK172" s="25">
        <v>72145549</v>
      </c>
      <c r="AL172" s="26">
        <v>1746789056</v>
      </c>
      <c r="AM172" s="26">
        <v>1499864224</v>
      </c>
      <c r="AN172" s="26">
        <v>246917648</v>
      </c>
      <c r="AO172" s="40"/>
      <c r="AP172" s="41">
        <v>40.790500000000002</v>
      </c>
      <c r="AQ172" s="41">
        <v>45.879800000000003</v>
      </c>
      <c r="AR172" s="41">
        <v>45.842199999999998</v>
      </c>
      <c r="AS172" s="42"/>
      <c r="AT172" s="41">
        <v>34.151400000000002</v>
      </c>
      <c r="AU172" s="41">
        <v>34.151400000000002</v>
      </c>
      <c r="AV172" s="41">
        <v>34.151400000000002</v>
      </c>
      <c r="AW172" s="42"/>
      <c r="AX172" s="50">
        <v>205.25</v>
      </c>
      <c r="AY172" s="50">
        <v>179.71799999999999</v>
      </c>
      <c r="BA172" s="55">
        <f t="shared" si="59"/>
        <v>-8.1073526704267262E-4</v>
      </c>
      <c r="BB172" s="55"/>
      <c r="BD172" s="56"/>
      <c r="BE172" s="56"/>
      <c r="BF172" s="56"/>
      <c r="BG172" s="62"/>
      <c r="BI172" s="56"/>
      <c r="BJ172" s="56"/>
      <c r="BK172" s="56"/>
      <c r="BL172" s="62"/>
      <c r="BN172" s="56"/>
      <c r="BO172" s="56"/>
      <c r="BP172" s="56"/>
      <c r="BQ172" s="62"/>
      <c r="BS172" s="56"/>
      <c r="BT172" s="56"/>
      <c r="BU172" s="56"/>
      <c r="BV172" s="62"/>
      <c r="BX172">
        <f t="shared" si="60"/>
        <v>0</v>
      </c>
      <c r="BY172">
        <f t="shared" si="61"/>
        <v>1647776</v>
      </c>
      <c r="BZ172">
        <f t="shared" si="62"/>
        <v>0</v>
      </c>
      <c r="CA172">
        <f t="shared" si="63"/>
        <v>1647776</v>
      </c>
      <c r="CB172">
        <f t="shared" si="64"/>
        <v>0</v>
      </c>
      <c r="CC172">
        <f t="shared" si="65"/>
        <v>1.3899999999999579E-2</v>
      </c>
      <c r="CD172">
        <f t="shared" si="66"/>
        <v>-9.1999999999998749E-3</v>
      </c>
      <c r="CE172">
        <f t="shared" si="67"/>
        <v>6.6999999999950433E-3</v>
      </c>
      <c r="CF172">
        <f t="shared" si="68"/>
        <v>0</v>
      </c>
      <c r="CG172">
        <f t="shared" si="69"/>
        <v>0</v>
      </c>
      <c r="CH172">
        <f t="shared" si="70"/>
        <v>0</v>
      </c>
      <c r="CI172">
        <f t="shared" si="71"/>
        <v>0</v>
      </c>
      <c r="CJ172">
        <f t="shared" si="72"/>
        <v>0</v>
      </c>
    </row>
    <row r="173" spans="1:88" outlineLevel="1" x14ac:dyDescent="0.15">
      <c r="A173" s="5"/>
      <c r="B173" s="5" t="s">
        <v>156</v>
      </c>
      <c r="C173" s="6" t="s">
        <v>257</v>
      </c>
      <c r="D173" s="5">
        <v>72145549</v>
      </c>
      <c r="E173" s="7">
        <v>20</v>
      </c>
      <c r="F173" s="6">
        <v>1</v>
      </c>
      <c r="G173" s="6"/>
      <c r="I173" s="17" t="str">
        <f t="shared" si="49"/>
        <v>·</v>
      </c>
      <c r="J173" s="18">
        <f t="shared" si="50"/>
        <v>22.797537683163238</v>
      </c>
      <c r="K173" s="18">
        <f t="shared" si="51"/>
        <v>20.789421451349689</v>
      </c>
      <c r="L173" s="18">
        <f t="shared" si="52"/>
        <v>2.008016655331017</v>
      </c>
      <c r="M173" s="19"/>
      <c r="N173" s="18">
        <f t="shared" si="53"/>
        <v>22.797537683163238</v>
      </c>
      <c r="O173" s="20">
        <v>72145549</v>
      </c>
      <c r="P173" s="21">
        <v>1644740872</v>
      </c>
      <c r="Q173" s="21">
        <v>1499864224</v>
      </c>
      <c r="R173" s="21">
        <v>144869464</v>
      </c>
      <c r="S173" s="37"/>
      <c r="T173" s="38">
        <v>35.194400000000002</v>
      </c>
      <c r="U173" s="38">
        <v>41.395200000000003</v>
      </c>
      <c r="V173" s="38">
        <v>41.136000000000003</v>
      </c>
      <c r="W173" s="39"/>
      <c r="X173" s="38">
        <v>28.130800000000001</v>
      </c>
      <c r="Y173" s="38">
        <v>28.130800000000001</v>
      </c>
      <c r="Z173" s="38">
        <v>28.130800000000001</v>
      </c>
      <c r="AA173" s="39"/>
      <c r="AB173" s="49">
        <v>203.85900000000001</v>
      </c>
      <c r="AC173" s="49">
        <v>180.10900000000001</v>
      </c>
      <c r="AE173" s="17" t="str">
        <f t="shared" si="54"/>
        <v>·</v>
      </c>
      <c r="AF173" s="18">
        <f t="shared" si="55"/>
        <v>22.806515312538547</v>
      </c>
      <c r="AG173" s="18">
        <f t="shared" si="56"/>
        <v>20.789421451349689</v>
      </c>
      <c r="AH173" s="18">
        <f t="shared" si="57"/>
        <v>2.0169942847063234</v>
      </c>
      <c r="AI173" s="19"/>
      <c r="AJ173" s="18">
        <f t="shared" si="58"/>
        <v>22.806515312538547</v>
      </c>
      <c r="AK173" s="20">
        <v>72145549</v>
      </c>
      <c r="AL173" s="21">
        <v>1645388568</v>
      </c>
      <c r="AM173" s="21">
        <v>1499864224</v>
      </c>
      <c r="AN173" s="21">
        <v>145517160</v>
      </c>
      <c r="AO173" s="37"/>
      <c r="AP173" s="38">
        <v>35.208399999999997</v>
      </c>
      <c r="AQ173" s="38">
        <v>41.412999999999997</v>
      </c>
      <c r="AR173" s="38">
        <v>41.186599999999999</v>
      </c>
      <c r="AS173" s="39"/>
      <c r="AT173" s="38">
        <v>28.130800000000001</v>
      </c>
      <c r="AU173" s="38">
        <v>28.130800000000001</v>
      </c>
      <c r="AV173" s="38">
        <v>28.130800000000001</v>
      </c>
      <c r="AW173" s="39"/>
      <c r="AX173" s="49">
        <v>204.375</v>
      </c>
      <c r="AY173" s="49">
        <v>178.93700000000001</v>
      </c>
      <c r="BA173" s="53">
        <f t="shared" si="59"/>
        <v>-3.5896921118194758E-4</v>
      </c>
      <c r="BB173" s="53"/>
      <c r="BD173" s="54"/>
      <c r="BE173" s="54"/>
      <c r="BF173" s="54"/>
      <c r="BG173" s="61"/>
      <c r="BI173" s="54"/>
      <c r="BJ173" s="54"/>
      <c r="BK173" s="54"/>
      <c r="BL173" s="61"/>
      <c r="BN173" s="54"/>
      <c r="BO173" s="54"/>
      <c r="BP173" s="54"/>
      <c r="BQ173" s="61"/>
      <c r="BS173" s="54"/>
      <c r="BT173" s="54"/>
      <c r="BU173" s="54"/>
      <c r="BV173" s="61"/>
      <c r="BX173">
        <f t="shared" si="60"/>
        <v>0</v>
      </c>
      <c r="BY173">
        <f t="shared" si="61"/>
        <v>647696</v>
      </c>
      <c r="BZ173">
        <f t="shared" si="62"/>
        <v>0</v>
      </c>
      <c r="CA173">
        <f t="shared" si="63"/>
        <v>647696</v>
      </c>
      <c r="CB173">
        <f t="shared" si="64"/>
        <v>0</v>
      </c>
      <c r="CC173">
        <f t="shared" si="65"/>
        <v>1.3999999999995794E-2</v>
      </c>
      <c r="CD173">
        <f t="shared" si="66"/>
        <v>1.7799999999994043E-2</v>
      </c>
      <c r="CE173">
        <f t="shared" si="67"/>
        <v>5.0599999999995759E-2</v>
      </c>
      <c r="CF173">
        <f t="shared" si="68"/>
        <v>0</v>
      </c>
      <c r="CG173">
        <f t="shared" si="69"/>
        <v>0</v>
      </c>
      <c r="CH173">
        <f t="shared" si="70"/>
        <v>0</v>
      </c>
      <c r="CI173">
        <f t="shared" si="71"/>
        <v>0</v>
      </c>
      <c r="CJ173">
        <f t="shared" si="72"/>
        <v>0</v>
      </c>
    </row>
    <row r="174" spans="1:88" outlineLevel="1" x14ac:dyDescent="0.15">
      <c r="A174" s="8"/>
      <c r="B174" s="14" t="s">
        <v>156</v>
      </c>
      <c r="C174" s="15" t="s">
        <v>258</v>
      </c>
      <c r="D174" s="14">
        <v>72145549</v>
      </c>
      <c r="E174" s="16">
        <v>20</v>
      </c>
      <c r="F174" s="15">
        <v>1</v>
      </c>
      <c r="G174" s="15"/>
      <c r="I174" s="32" t="str">
        <f t="shared" si="49"/>
        <v>·</v>
      </c>
      <c r="J174" s="33">
        <f t="shared" si="50"/>
        <v>21.644767357720156</v>
      </c>
      <c r="K174" s="33">
        <f t="shared" si="51"/>
        <v>20.789421451349689</v>
      </c>
      <c r="L174" s="33">
        <f t="shared" si="52"/>
        <v>0.85524632988793248</v>
      </c>
      <c r="M174" s="34"/>
      <c r="N174" s="33">
        <f t="shared" si="53"/>
        <v>21.644767357720156</v>
      </c>
      <c r="O174" s="35">
        <v>72145549</v>
      </c>
      <c r="P174" s="36">
        <v>1561573624</v>
      </c>
      <c r="Q174" s="36">
        <v>1499864224</v>
      </c>
      <c r="R174" s="36">
        <v>61702216</v>
      </c>
      <c r="S174" s="46"/>
      <c r="T174" s="47">
        <v>29.510999999999999</v>
      </c>
      <c r="U174" s="47">
        <v>37.009399999999999</v>
      </c>
      <c r="V174" s="47">
        <v>36.590800000000002</v>
      </c>
      <c r="W174" s="48"/>
      <c r="X174" s="47">
        <v>21.686399999999999</v>
      </c>
      <c r="Y174" s="47">
        <v>21.686399999999999</v>
      </c>
      <c r="Z174" s="47">
        <v>21.686399999999999</v>
      </c>
      <c r="AA174" s="48"/>
      <c r="AB174" s="52">
        <v>202.28100000000001</v>
      </c>
      <c r="AC174" s="52">
        <v>178.46799999999999</v>
      </c>
      <c r="AE174" s="32" t="str">
        <f t="shared" si="54"/>
        <v>·</v>
      </c>
      <c r="AF174" s="33">
        <f t="shared" si="55"/>
        <v>21.645082054888793</v>
      </c>
      <c r="AG174" s="33">
        <f t="shared" si="56"/>
        <v>20.789421451349689</v>
      </c>
      <c r="AH174" s="33">
        <f t="shared" si="57"/>
        <v>0.85556102705656867</v>
      </c>
      <c r="AI174" s="34"/>
      <c r="AJ174" s="33">
        <f t="shared" si="58"/>
        <v>21.645082054888793</v>
      </c>
      <c r="AK174" s="35">
        <v>72145549</v>
      </c>
      <c r="AL174" s="36">
        <v>1561596328</v>
      </c>
      <c r="AM174" s="36">
        <v>1499864224</v>
      </c>
      <c r="AN174" s="36">
        <v>61724920</v>
      </c>
      <c r="AO174" s="46"/>
      <c r="AP174" s="47">
        <v>29.543900000000001</v>
      </c>
      <c r="AQ174" s="47">
        <v>37.018099999999997</v>
      </c>
      <c r="AR174" s="47">
        <v>36.732900000000001</v>
      </c>
      <c r="AS174" s="48"/>
      <c r="AT174" s="47">
        <v>21.686399999999999</v>
      </c>
      <c r="AU174" s="47">
        <v>21.686399999999999</v>
      </c>
      <c r="AV174" s="47">
        <v>21.686399999999999</v>
      </c>
      <c r="AW174" s="48"/>
      <c r="AX174" s="52">
        <v>203.34299999999999</v>
      </c>
      <c r="AY174" s="52">
        <v>178.328</v>
      </c>
      <c r="BA174" s="59">
        <f t="shared" si="59"/>
        <v>-1.3964425719215079E-5</v>
      </c>
      <c r="BB174" s="59"/>
      <c r="BD174" s="60"/>
      <c r="BE174" s="60"/>
      <c r="BF174" s="60"/>
      <c r="BG174" s="64"/>
      <c r="BI174" s="60"/>
      <c r="BJ174" s="60"/>
      <c r="BK174" s="60"/>
      <c r="BL174" s="64"/>
      <c r="BN174" s="60"/>
      <c r="BO174" s="60"/>
      <c r="BP174" s="60"/>
      <c r="BQ174" s="64"/>
      <c r="BS174" s="60"/>
      <c r="BT174" s="60"/>
      <c r="BU174" s="60"/>
      <c r="BV174" s="64"/>
      <c r="BX174">
        <f t="shared" si="60"/>
        <v>0</v>
      </c>
      <c r="BY174">
        <f t="shared" si="61"/>
        <v>22704</v>
      </c>
      <c r="BZ174">
        <f t="shared" si="62"/>
        <v>0</v>
      </c>
      <c r="CA174">
        <f t="shared" si="63"/>
        <v>22704</v>
      </c>
      <c r="CB174">
        <f t="shared" si="64"/>
        <v>0</v>
      </c>
      <c r="CC174">
        <f t="shared" si="65"/>
        <v>3.2900000000001484E-2</v>
      </c>
      <c r="CD174">
        <f t="shared" si="66"/>
        <v>8.6999999999974875E-3</v>
      </c>
      <c r="CE174">
        <f t="shared" si="67"/>
        <v>0.14209999999999923</v>
      </c>
      <c r="CF174">
        <f t="shared" si="68"/>
        <v>0</v>
      </c>
      <c r="CG174">
        <f t="shared" si="69"/>
        <v>0</v>
      </c>
      <c r="CH174">
        <f t="shared" si="70"/>
        <v>0</v>
      </c>
      <c r="CI174">
        <f t="shared" si="71"/>
        <v>0</v>
      </c>
      <c r="CJ174">
        <f t="shared" si="72"/>
        <v>0</v>
      </c>
    </row>
    <row r="175" spans="1:88" x14ac:dyDescent="0.15">
      <c r="A175" s="5"/>
      <c r="B175" s="5" t="s">
        <v>159</v>
      </c>
      <c r="C175" s="6" t="s">
        <v>254</v>
      </c>
      <c r="D175" s="5">
        <v>4187594</v>
      </c>
      <c r="E175" s="7">
        <v>14</v>
      </c>
      <c r="F175" s="6">
        <v>1</v>
      </c>
      <c r="G175" s="6"/>
      <c r="I175" s="17" t="str">
        <f t="shared" si="49"/>
        <v>·</v>
      </c>
      <c r="J175" s="18">
        <f t="shared" si="50"/>
        <v>26.539526038102071</v>
      </c>
      <c r="K175" s="18">
        <f t="shared" si="51"/>
        <v>13.515159301498665</v>
      </c>
      <c r="L175" s="18">
        <f t="shared" si="52"/>
        <v>13.024145129637686</v>
      </c>
      <c r="M175" s="19"/>
      <c r="N175" s="18">
        <f t="shared" si="53"/>
        <v>26.539526038102071</v>
      </c>
      <c r="O175" s="20">
        <v>4187594</v>
      </c>
      <c r="P175" s="21">
        <v>111136760</v>
      </c>
      <c r="Q175" s="21">
        <v>56596000</v>
      </c>
      <c r="R175" s="21">
        <v>54539832</v>
      </c>
      <c r="S175" s="37"/>
      <c r="T175" s="38">
        <v>53.448500000000003</v>
      </c>
      <c r="U175" s="38">
        <v>55.1693</v>
      </c>
      <c r="V175" s="38">
        <v>54.661700000000003</v>
      </c>
      <c r="W175" s="39"/>
      <c r="X175" s="38">
        <v>48.130800000000001</v>
      </c>
      <c r="Y175" s="38">
        <v>48.130800000000001</v>
      </c>
      <c r="Z175" s="38">
        <v>48.130800000000001</v>
      </c>
      <c r="AA175" s="39"/>
      <c r="AB175" s="49">
        <v>11.545999999999999</v>
      </c>
      <c r="AC175" s="49">
        <v>10.25</v>
      </c>
      <c r="AE175" s="17" t="str">
        <f t="shared" si="54"/>
        <v>·</v>
      </c>
      <c r="AF175" s="18">
        <f t="shared" si="55"/>
        <v>26.701975406402816</v>
      </c>
      <c r="AG175" s="18">
        <f t="shared" si="56"/>
        <v>13.515159301498665</v>
      </c>
      <c r="AH175" s="18">
        <f t="shared" si="57"/>
        <v>13.186594497938435</v>
      </c>
      <c r="AI175" s="19"/>
      <c r="AJ175" s="18">
        <f t="shared" si="58"/>
        <v>26.701975406402816</v>
      </c>
      <c r="AK175" s="20">
        <v>4187594</v>
      </c>
      <c r="AL175" s="21">
        <v>111817032</v>
      </c>
      <c r="AM175" s="21">
        <v>56596000</v>
      </c>
      <c r="AN175" s="21">
        <v>55220104</v>
      </c>
      <c r="AO175" s="37"/>
      <c r="AP175" s="38">
        <v>53.463900000000002</v>
      </c>
      <c r="AQ175" s="38">
        <v>55.071199999999997</v>
      </c>
      <c r="AR175" s="38">
        <v>54.632599999999996</v>
      </c>
      <c r="AS175" s="39"/>
      <c r="AT175" s="38">
        <v>48.130800000000001</v>
      </c>
      <c r="AU175" s="38">
        <v>48.130800000000001</v>
      </c>
      <c r="AV175" s="38">
        <v>48.130800000000001</v>
      </c>
      <c r="AW175" s="39"/>
      <c r="AX175" s="49">
        <v>12.093</v>
      </c>
      <c r="AY175" s="49">
        <v>10.311999999999999</v>
      </c>
      <c r="BA175" s="53">
        <f t="shared" si="59"/>
        <v>-3.0981514337417027E-3</v>
      </c>
      <c r="BB175" s="53">
        <f t="array" ref="BB175">AVERAGE(AM175:AM179/AL175:AL179)-AVERAGE(Q175:Q179/P175:P179)</f>
        <v>-1.389780372216709E-3</v>
      </c>
      <c r="BD175" s="54">
        <f>IF(OR(ISBLANK(R175:R179),ISBLANK(AN175:AN179),ISBLANK(T175:T179),ISBLANK(AP175:AP179)),"·",bdRateExtend(R175:R179,T175:T179,AN175:AN179,AP175:AP179))</f>
        <v>1.0974607898224242E-3</v>
      </c>
      <c r="BE175" s="54">
        <f>IF(OR(ISBLANK(R175:R179),ISBLANK(AN175:AN179),ISBLANK(U175:U179),ISBLANK(AQ175:AQ179)),"·",bdRateExtend(R175:R179,U175:U179,AN175:AN179,AQ175:AQ179))</f>
        <v>5.7713517647250967E-4</v>
      </c>
      <c r="BF175" s="54">
        <f>IF(OR(ISBLANK(R175:R179),ISBLANK(AN175:AN179),ISBLANK(V175:V179),ISBLANK(AR175:AR179)),"·",bdRateExtend(R175:R179,V175:V179,AN175:AN179,AR175:AR179))</f>
        <v>3.5497611771286852E-3</v>
      </c>
      <c r="BG175" s="61"/>
      <c r="BI175" s="54">
        <f>IF(OR(ISBLANK(R175:R179),ISBLANK(AN175:AN179),ISBLANK(X175:X179),ISBLANK(AT175:AT179)),"·",bdRateExtend(R175:R179,X175:X179,AN175:AN179,AT175:AT179))</f>
        <v>8.2252183083009189E-3</v>
      </c>
      <c r="BJ175" s="54">
        <f>IF(OR(ISBLANK(R175:R179),ISBLANK(AN175:AN179),ISBLANK(Y175:Y179),ISBLANK(AU175:AU179)),"·",bdRateExtend(R175:R179,Y175:Y179,AN175:AN179,AU175:AU179))</f>
        <v>8.2252183083009189E-3</v>
      </c>
      <c r="BK175" s="54">
        <f>IF(OR(ISBLANK(R175:R179),ISBLANK(AN175:AN179),ISBLANK(Z175:Z179),ISBLANK(AV175:AV179)),"·",bdRateExtend(R175:R179,Z175:Z179,AN175:AN179,AV175:AV179))</f>
        <v>8.2252183083009189E-3</v>
      </c>
      <c r="BL175" s="61"/>
      <c r="BN175" s="54">
        <f>IF(OR(ISBLANK(P175:P179),ISBLANK(AL175:AL179),ISBLANK(T175:T179),ISBLANK(AP175:AP179)),"·",bdRateExtend(P175:P179,T175:T179,AL175:AL179,AP175:AP179))</f>
        <v>1.8900111742998771E-3</v>
      </c>
      <c r="BO175" s="54">
        <f>IF(OR(ISBLANK(P175:P179),ISBLANK(AL175:AL179),ISBLANK(U175:U179),ISBLANK(AQ175:AQ179)),"·",bdRateExtend(P175:P179,U175:U179,AL175:AL179,AQ175:AQ179))</f>
        <v>2.6842521618757331E-3</v>
      </c>
      <c r="BP175" s="54">
        <f>IF(OR(ISBLANK(P175:P179),ISBLANK(AL175:AL179),ISBLANK(V175:V179),ISBLANK(AR175:AR179)),"·",bdRateExtend(P175:P179,V175:V179,AL175:AL179,AR175:AR179))</f>
        <v>3.0872918220290479E-3</v>
      </c>
      <c r="BQ175" s="61"/>
      <c r="BS175" s="54">
        <f>IF(OR(ISBLANK(P175:P179),ISBLANK(AL175:AL179),ISBLANK(X175:X179),ISBLANK(AT175:AT179)),"·",bdRateExtend(P175:P179,X175:X179,AL175:AL179,AT175:AT179))</f>
        <v>3.9852481447404386E-3</v>
      </c>
      <c r="BT175" s="54">
        <f>IF(OR(ISBLANK(P175:P179),ISBLANK(AL175:AL179),ISBLANK(Y175:Y179),ISBLANK(AU175:AU179)),"·",bdRateExtend(P175:P179,Y175:Y179,AL175:AL179,AU175:AU179))</f>
        <v>3.9852481447404386E-3</v>
      </c>
      <c r="BU175" s="54">
        <f>IF(OR(ISBLANK(P175:P179),ISBLANK(AL175:AL179),ISBLANK(Z175:Z179),ISBLANK(AV175:AV179)),"·",bdRateExtend(P175:P179,Z175:Z179,AL175:AL179,AV175:AV179))</f>
        <v>3.9852481447404386E-3</v>
      </c>
      <c r="BV175" s="61"/>
      <c r="BX175">
        <f t="shared" si="60"/>
        <v>0</v>
      </c>
      <c r="BY175">
        <f t="shared" si="61"/>
        <v>680272</v>
      </c>
      <c r="BZ175">
        <f t="shared" si="62"/>
        <v>0</v>
      </c>
      <c r="CA175">
        <f t="shared" si="63"/>
        <v>680272</v>
      </c>
      <c r="CB175">
        <f t="shared" si="64"/>
        <v>0</v>
      </c>
      <c r="CC175">
        <f t="shared" si="65"/>
        <v>1.5399999999999636E-2</v>
      </c>
      <c r="CD175">
        <f t="shared" si="66"/>
        <v>-9.8100000000002296E-2</v>
      </c>
      <c r="CE175">
        <f t="shared" si="67"/>
        <v>-2.9100000000006787E-2</v>
      </c>
      <c r="CF175">
        <f t="shared" si="68"/>
        <v>0</v>
      </c>
      <c r="CG175">
        <f t="shared" si="69"/>
        <v>0</v>
      </c>
      <c r="CH175">
        <f t="shared" si="70"/>
        <v>0</v>
      </c>
      <c r="CI175">
        <f t="shared" si="71"/>
        <v>0</v>
      </c>
      <c r="CJ175">
        <f t="shared" si="72"/>
        <v>0</v>
      </c>
    </row>
    <row r="176" spans="1:88" outlineLevel="1" x14ac:dyDescent="0.15">
      <c r="A176" s="8"/>
      <c r="B176" s="8" t="s">
        <v>159</v>
      </c>
      <c r="C176" s="9" t="s">
        <v>255</v>
      </c>
      <c r="D176" s="8">
        <v>4187594</v>
      </c>
      <c r="E176" s="10">
        <v>14</v>
      </c>
      <c r="F176" s="9">
        <v>1</v>
      </c>
      <c r="G176" s="9"/>
      <c r="I176" s="22" t="str">
        <f t="shared" si="49"/>
        <v>·</v>
      </c>
      <c r="J176" s="23">
        <f t="shared" si="50"/>
        <v>23.705818663413883</v>
      </c>
      <c r="K176" s="23">
        <f t="shared" si="51"/>
        <v>13.515159301498665</v>
      </c>
      <c r="L176" s="23">
        <f t="shared" si="52"/>
        <v>10.190437754949501</v>
      </c>
      <c r="M176" s="24"/>
      <c r="N176" s="23">
        <f t="shared" si="53"/>
        <v>23.705818663413883</v>
      </c>
      <c r="O176" s="25">
        <v>4187594</v>
      </c>
      <c r="P176" s="26">
        <v>99270344</v>
      </c>
      <c r="Q176" s="26">
        <v>56596000</v>
      </c>
      <c r="R176" s="26">
        <v>42673416</v>
      </c>
      <c r="S176" s="40"/>
      <c r="T176" s="41">
        <v>48.596899999999998</v>
      </c>
      <c r="U176" s="41">
        <v>50.567599999999999</v>
      </c>
      <c r="V176" s="41">
        <v>49.957099999999997</v>
      </c>
      <c r="W176" s="42"/>
      <c r="X176" s="41">
        <v>42.110199999999999</v>
      </c>
      <c r="Y176" s="41">
        <v>42.110199999999999</v>
      </c>
      <c r="Z176" s="41">
        <v>42.110199999999999</v>
      </c>
      <c r="AA176" s="42"/>
      <c r="AB176" s="50">
        <v>11.420999999999999</v>
      </c>
      <c r="AC176" s="50">
        <v>10.202999999999999</v>
      </c>
      <c r="AE176" s="22" t="str">
        <f t="shared" si="54"/>
        <v>·</v>
      </c>
      <c r="AF176" s="23">
        <f t="shared" si="55"/>
        <v>23.91137249695171</v>
      </c>
      <c r="AG176" s="23">
        <f t="shared" si="56"/>
        <v>13.515159301498665</v>
      </c>
      <c r="AH176" s="23">
        <f t="shared" si="57"/>
        <v>10.395991588487327</v>
      </c>
      <c r="AI176" s="24"/>
      <c r="AJ176" s="23">
        <f t="shared" si="58"/>
        <v>23.91137249695171</v>
      </c>
      <c r="AK176" s="25">
        <v>4187594</v>
      </c>
      <c r="AL176" s="26">
        <v>100131120</v>
      </c>
      <c r="AM176" s="26">
        <v>56596000</v>
      </c>
      <c r="AN176" s="26">
        <v>43534192</v>
      </c>
      <c r="AO176" s="40"/>
      <c r="AP176" s="41">
        <v>48.626399999999997</v>
      </c>
      <c r="AQ176" s="41">
        <v>50.479500000000002</v>
      </c>
      <c r="AR176" s="41">
        <v>49.929000000000002</v>
      </c>
      <c r="AS176" s="42"/>
      <c r="AT176" s="41">
        <v>42.110199999999999</v>
      </c>
      <c r="AU176" s="41">
        <v>42.110199999999999</v>
      </c>
      <c r="AV176" s="41">
        <v>42.110199999999999</v>
      </c>
      <c r="AW176" s="42"/>
      <c r="AX176" s="50">
        <v>12.061999999999999</v>
      </c>
      <c r="AY176" s="50">
        <v>10.218</v>
      </c>
      <c r="BA176" s="55">
        <f t="shared" si="59"/>
        <v>-4.9010291628789338E-3</v>
      </c>
      <c r="BB176" s="55"/>
      <c r="BD176" s="56"/>
      <c r="BE176" s="56"/>
      <c r="BF176" s="56"/>
      <c r="BG176" s="62"/>
      <c r="BI176" s="56"/>
      <c r="BJ176" s="56"/>
      <c r="BK176" s="56"/>
      <c r="BL176" s="62"/>
      <c r="BN176" s="56"/>
      <c r="BO176" s="56"/>
      <c r="BP176" s="56"/>
      <c r="BQ176" s="62"/>
      <c r="BS176" s="56"/>
      <c r="BT176" s="56"/>
      <c r="BU176" s="56"/>
      <c r="BV176" s="62"/>
      <c r="BX176">
        <f t="shared" si="60"/>
        <v>0</v>
      </c>
      <c r="BY176">
        <f t="shared" si="61"/>
        <v>860776</v>
      </c>
      <c r="BZ176">
        <f t="shared" si="62"/>
        <v>0</v>
      </c>
      <c r="CA176">
        <f t="shared" si="63"/>
        <v>860776</v>
      </c>
      <c r="CB176">
        <f t="shared" si="64"/>
        <v>0</v>
      </c>
      <c r="CC176">
        <f t="shared" si="65"/>
        <v>2.9499999999998749E-2</v>
      </c>
      <c r="CD176">
        <f t="shared" si="66"/>
        <v>-8.8099999999997181E-2</v>
      </c>
      <c r="CE176">
        <f t="shared" si="67"/>
        <v>-2.8099999999994907E-2</v>
      </c>
      <c r="CF176">
        <f t="shared" si="68"/>
        <v>0</v>
      </c>
      <c r="CG176">
        <f t="shared" si="69"/>
        <v>0</v>
      </c>
      <c r="CH176">
        <f t="shared" si="70"/>
        <v>0</v>
      </c>
      <c r="CI176">
        <f t="shared" si="71"/>
        <v>0</v>
      </c>
      <c r="CJ176">
        <f t="shared" si="72"/>
        <v>0</v>
      </c>
    </row>
    <row r="177" spans="1:88" outlineLevel="1" x14ac:dyDescent="0.15">
      <c r="A177" s="5"/>
      <c r="B177" s="5" t="s">
        <v>159</v>
      </c>
      <c r="C177" s="6" t="s">
        <v>256</v>
      </c>
      <c r="D177" s="5">
        <v>4187594</v>
      </c>
      <c r="E177" s="7">
        <v>14</v>
      </c>
      <c r="F177" s="6">
        <v>1</v>
      </c>
      <c r="G177" s="6"/>
      <c r="I177" s="17" t="str">
        <f t="shared" si="49"/>
        <v>·</v>
      </c>
      <c r="J177" s="18">
        <f t="shared" si="50"/>
        <v>20.785031213627683</v>
      </c>
      <c r="K177" s="18">
        <f t="shared" si="51"/>
        <v>13.515159301498665</v>
      </c>
      <c r="L177" s="18">
        <f t="shared" si="52"/>
        <v>7.2696503051632995</v>
      </c>
      <c r="M177" s="19"/>
      <c r="N177" s="18">
        <f t="shared" si="53"/>
        <v>20.785031213627683</v>
      </c>
      <c r="O177" s="20">
        <v>4187594</v>
      </c>
      <c r="P177" s="21">
        <v>87039272</v>
      </c>
      <c r="Q177" s="21">
        <v>56596000</v>
      </c>
      <c r="R177" s="21">
        <v>30442344</v>
      </c>
      <c r="S177" s="37"/>
      <c r="T177" s="38">
        <v>41.276400000000002</v>
      </c>
      <c r="U177" s="38">
        <v>44.522399999999998</v>
      </c>
      <c r="V177" s="38">
        <v>43.545400000000001</v>
      </c>
      <c r="W177" s="39"/>
      <c r="X177" s="38">
        <v>34.151400000000002</v>
      </c>
      <c r="Y177" s="38">
        <v>34.151400000000002</v>
      </c>
      <c r="Z177" s="38">
        <v>34.151400000000002</v>
      </c>
      <c r="AA177" s="39"/>
      <c r="AB177" s="49">
        <v>11.343</v>
      </c>
      <c r="AC177" s="49">
        <v>10.170999999999999</v>
      </c>
      <c r="AE177" s="17" t="str">
        <f t="shared" si="54"/>
        <v>·</v>
      </c>
      <c r="AF177" s="18">
        <f t="shared" si="55"/>
        <v>20.909876172331892</v>
      </c>
      <c r="AG177" s="18">
        <f t="shared" si="56"/>
        <v>13.515159301498665</v>
      </c>
      <c r="AH177" s="18">
        <f t="shared" si="57"/>
        <v>7.3944952638675092</v>
      </c>
      <c r="AI177" s="19"/>
      <c r="AJ177" s="18">
        <f t="shared" si="58"/>
        <v>20.909876172331892</v>
      </c>
      <c r="AK177" s="20">
        <v>4187594</v>
      </c>
      <c r="AL177" s="21">
        <v>87562072</v>
      </c>
      <c r="AM177" s="21">
        <v>56596000</v>
      </c>
      <c r="AN177" s="21">
        <v>30965144</v>
      </c>
      <c r="AO177" s="37"/>
      <c r="AP177" s="38">
        <v>41.375900000000001</v>
      </c>
      <c r="AQ177" s="38">
        <v>44.473199999999999</v>
      </c>
      <c r="AR177" s="38">
        <v>43.517499999999998</v>
      </c>
      <c r="AS177" s="39"/>
      <c r="AT177" s="38">
        <v>34.151400000000002</v>
      </c>
      <c r="AU177" s="38">
        <v>34.151400000000002</v>
      </c>
      <c r="AV177" s="38">
        <v>34.151400000000002</v>
      </c>
      <c r="AW177" s="39"/>
      <c r="AX177" s="49">
        <v>12</v>
      </c>
      <c r="AY177" s="49">
        <v>10.125</v>
      </c>
      <c r="BA177" s="53">
        <f t="shared" si="59"/>
        <v>-3.8823084491363957E-3</v>
      </c>
      <c r="BB177" s="53"/>
      <c r="BD177" s="54"/>
      <c r="BE177" s="54"/>
      <c r="BF177" s="54"/>
      <c r="BG177" s="61"/>
      <c r="BI177" s="54"/>
      <c r="BJ177" s="54"/>
      <c r="BK177" s="54"/>
      <c r="BL177" s="61"/>
      <c r="BN177" s="54"/>
      <c r="BO177" s="54"/>
      <c r="BP177" s="54"/>
      <c r="BQ177" s="61"/>
      <c r="BS177" s="54"/>
      <c r="BT177" s="54"/>
      <c r="BU177" s="54"/>
      <c r="BV177" s="61"/>
      <c r="BX177">
        <f t="shared" si="60"/>
        <v>0</v>
      </c>
      <c r="BY177">
        <f t="shared" si="61"/>
        <v>522800</v>
      </c>
      <c r="BZ177">
        <f t="shared" si="62"/>
        <v>0</v>
      </c>
      <c r="CA177">
        <f t="shared" si="63"/>
        <v>522800</v>
      </c>
      <c r="CB177">
        <f t="shared" si="64"/>
        <v>0</v>
      </c>
      <c r="CC177">
        <f t="shared" si="65"/>
        <v>9.9499999999999034E-2</v>
      </c>
      <c r="CD177">
        <f t="shared" si="66"/>
        <v>-4.9199999999999022E-2</v>
      </c>
      <c r="CE177">
        <f t="shared" si="67"/>
        <v>-2.7900000000002478E-2</v>
      </c>
      <c r="CF177">
        <f t="shared" si="68"/>
        <v>0</v>
      </c>
      <c r="CG177">
        <f t="shared" si="69"/>
        <v>0</v>
      </c>
      <c r="CH177">
        <f t="shared" si="70"/>
        <v>0</v>
      </c>
      <c r="CI177">
        <f t="shared" si="71"/>
        <v>0</v>
      </c>
      <c r="CJ177">
        <f t="shared" si="72"/>
        <v>0</v>
      </c>
    </row>
    <row r="178" spans="1:88" outlineLevel="1" x14ac:dyDescent="0.15">
      <c r="A178" s="8"/>
      <c r="B178" s="8" t="s">
        <v>159</v>
      </c>
      <c r="C178" s="9" t="s">
        <v>257</v>
      </c>
      <c r="D178" s="8">
        <v>4187594</v>
      </c>
      <c r="E178" s="10">
        <v>14</v>
      </c>
      <c r="F178" s="9">
        <v>1</v>
      </c>
      <c r="G178" s="9"/>
      <c r="I178" s="22" t="str">
        <f t="shared" si="49"/>
        <v>·</v>
      </c>
      <c r="J178" s="23">
        <f t="shared" si="50"/>
        <v>18.674996668731495</v>
      </c>
      <c r="K178" s="23">
        <f t="shared" si="51"/>
        <v>13.515159301498665</v>
      </c>
      <c r="L178" s="23">
        <f t="shared" si="52"/>
        <v>5.1596157602671129</v>
      </c>
      <c r="M178" s="24"/>
      <c r="N178" s="23">
        <f t="shared" si="53"/>
        <v>18.674996668731495</v>
      </c>
      <c r="O178" s="25">
        <v>4187594</v>
      </c>
      <c r="P178" s="26">
        <v>78203304</v>
      </c>
      <c r="Q178" s="26">
        <v>56596000</v>
      </c>
      <c r="R178" s="26">
        <v>21606376</v>
      </c>
      <c r="S178" s="40"/>
      <c r="T178" s="41">
        <v>35.347700000000003</v>
      </c>
      <c r="U178" s="41">
        <v>39.750100000000003</v>
      </c>
      <c r="V178" s="41">
        <v>38.411499999999997</v>
      </c>
      <c r="W178" s="42"/>
      <c r="X178" s="41">
        <v>28.130800000000001</v>
      </c>
      <c r="Y178" s="41">
        <v>28.130800000000001</v>
      </c>
      <c r="Z178" s="41">
        <v>28.130800000000001</v>
      </c>
      <c r="AA178" s="42"/>
      <c r="AB178" s="50">
        <v>11.234</v>
      </c>
      <c r="AC178" s="50">
        <v>10</v>
      </c>
      <c r="AE178" s="22" t="str">
        <f t="shared" si="54"/>
        <v>·</v>
      </c>
      <c r="AF178" s="23">
        <f t="shared" si="55"/>
        <v>18.666634826585387</v>
      </c>
      <c r="AG178" s="23">
        <f t="shared" si="56"/>
        <v>13.515159301498665</v>
      </c>
      <c r="AH178" s="23">
        <f t="shared" si="57"/>
        <v>5.151253918121002</v>
      </c>
      <c r="AI178" s="24"/>
      <c r="AJ178" s="23">
        <f t="shared" si="58"/>
        <v>18.666634826585387</v>
      </c>
      <c r="AK178" s="25">
        <v>4187594</v>
      </c>
      <c r="AL178" s="26">
        <v>78168288</v>
      </c>
      <c r="AM178" s="26">
        <v>56596000</v>
      </c>
      <c r="AN178" s="26">
        <v>21571360</v>
      </c>
      <c r="AO178" s="40"/>
      <c r="AP178" s="41">
        <v>35.494799999999998</v>
      </c>
      <c r="AQ178" s="41">
        <v>40.040300000000002</v>
      </c>
      <c r="AR178" s="41">
        <v>38.556100000000001</v>
      </c>
      <c r="AS178" s="42"/>
      <c r="AT178" s="41">
        <v>28.130800000000001</v>
      </c>
      <c r="AU178" s="41">
        <v>28.130800000000001</v>
      </c>
      <c r="AV178" s="41">
        <v>28.130800000000001</v>
      </c>
      <c r="AW178" s="42"/>
      <c r="AX178" s="50">
        <v>11.936999999999999</v>
      </c>
      <c r="AY178" s="50">
        <v>10.045999999999999</v>
      </c>
      <c r="BA178" s="55">
        <f t="shared" si="59"/>
        <v>3.241877268623794E-4</v>
      </c>
      <c r="BB178" s="55"/>
      <c r="BD178" s="56"/>
      <c r="BE178" s="56"/>
      <c r="BF178" s="56"/>
      <c r="BG178" s="62"/>
      <c r="BI178" s="56"/>
      <c r="BJ178" s="56"/>
      <c r="BK178" s="56"/>
      <c r="BL178" s="62"/>
      <c r="BN178" s="56"/>
      <c r="BO178" s="56"/>
      <c r="BP178" s="56"/>
      <c r="BQ178" s="62"/>
      <c r="BS178" s="56"/>
      <c r="BT178" s="56"/>
      <c r="BU178" s="56"/>
      <c r="BV178" s="62"/>
      <c r="BX178">
        <f t="shared" si="60"/>
        <v>0</v>
      </c>
      <c r="BY178">
        <f t="shared" si="61"/>
        <v>-35016</v>
      </c>
      <c r="BZ178">
        <f t="shared" si="62"/>
        <v>0</v>
      </c>
      <c r="CA178">
        <f t="shared" si="63"/>
        <v>-35016</v>
      </c>
      <c r="CB178">
        <f t="shared" si="64"/>
        <v>0</v>
      </c>
      <c r="CC178">
        <f t="shared" si="65"/>
        <v>0.14709999999999468</v>
      </c>
      <c r="CD178">
        <f t="shared" si="66"/>
        <v>0.29019999999999868</v>
      </c>
      <c r="CE178">
        <f t="shared" si="67"/>
        <v>0.14460000000000406</v>
      </c>
      <c r="CF178">
        <f t="shared" si="68"/>
        <v>0</v>
      </c>
      <c r="CG178">
        <f t="shared" si="69"/>
        <v>0</v>
      </c>
      <c r="CH178">
        <f t="shared" si="70"/>
        <v>0</v>
      </c>
      <c r="CI178">
        <f t="shared" si="71"/>
        <v>0</v>
      </c>
      <c r="CJ178">
        <f t="shared" si="72"/>
        <v>0</v>
      </c>
    </row>
    <row r="179" spans="1:88" outlineLevel="1" x14ac:dyDescent="0.15">
      <c r="A179" s="5"/>
      <c r="B179" s="11" t="s">
        <v>159</v>
      </c>
      <c r="C179" s="12" t="s">
        <v>258</v>
      </c>
      <c r="D179" s="11">
        <v>4187594</v>
      </c>
      <c r="E179" s="13">
        <v>14</v>
      </c>
      <c r="F179" s="12">
        <v>1</v>
      </c>
      <c r="G179" s="12"/>
      <c r="I179" s="27" t="str">
        <f t="shared" si="49"/>
        <v>·</v>
      </c>
      <c r="J179" s="28">
        <f t="shared" si="50"/>
        <v>16.811115881816622</v>
      </c>
      <c r="K179" s="28">
        <f t="shared" si="51"/>
        <v>13.515159301498665</v>
      </c>
      <c r="L179" s="28">
        <f t="shared" si="52"/>
        <v>3.2957349733522401</v>
      </c>
      <c r="M179" s="29"/>
      <c r="N179" s="28">
        <f t="shared" si="53"/>
        <v>16.811115881816622</v>
      </c>
      <c r="O179" s="30">
        <v>4187594</v>
      </c>
      <c r="P179" s="31">
        <v>70398128</v>
      </c>
      <c r="Q179" s="31">
        <v>56596000</v>
      </c>
      <c r="R179" s="31">
        <v>13801200</v>
      </c>
      <c r="S179" s="43"/>
      <c r="T179" s="44">
        <v>28.661799999999999</v>
      </c>
      <c r="U179" s="44">
        <v>35.405099999999997</v>
      </c>
      <c r="V179" s="44">
        <v>33.648000000000003</v>
      </c>
      <c r="W179" s="45"/>
      <c r="X179" s="44">
        <v>21.686399999999999</v>
      </c>
      <c r="Y179" s="44">
        <v>21.686399999999999</v>
      </c>
      <c r="Z179" s="44">
        <v>21.686399999999999</v>
      </c>
      <c r="AA179" s="45"/>
      <c r="AB179" s="51">
        <v>11.218</v>
      </c>
      <c r="AC179" s="51">
        <v>9.9369999999999994</v>
      </c>
      <c r="AE179" s="27" t="str">
        <f t="shared" si="54"/>
        <v>·</v>
      </c>
      <c r="AF179" s="28">
        <f t="shared" si="55"/>
        <v>16.715299525216629</v>
      </c>
      <c r="AG179" s="28">
        <f t="shared" si="56"/>
        <v>13.515159301498665</v>
      </c>
      <c r="AH179" s="28">
        <f t="shared" si="57"/>
        <v>3.1999186167522446</v>
      </c>
      <c r="AI179" s="29"/>
      <c r="AJ179" s="28">
        <f t="shared" si="58"/>
        <v>16.715299525216629</v>
      </c>
      <c r="AK179" s="30">
        <v>4187594</v>
      </c>
      <c r="AL179" s="31">
        <v>69996888</v>
      </c>
      <c r="AM179" s="31">
        <v>56596000</v>
      </c>
      <c r="AN179" s="31">
        <v>13399960</v>
      </c>
      <c r="AO179" s="43"/>
      <c r="AP179" s="44">
        <v>28.892600000000002</v>
      </c>
      <c r="AQ179" s="44">
        <v>35.971400000000003</v>
      </c>
      <c r="AR179" s="44">
        <v>34.049300000000002</v>
      </c>
      <c r="AS179" s="45"/>
      <c r="AT179" s="44">
        <v>21.686399999999999</v>
      </c>
      <c r="AU179" s="44">
        <v>21.686399999999999</v>
      </c>
      <c r="AV179" s="44">
        <v>21.686399999999999</v>
      </c>
      <c r="AW179" s="45"/>
      <c r="AX179" s="51">
        <v>11.545999999999999</v>
      </c>
      <c r="AY179" s="51">
        <v>9.9060000000000006</v>
      </c>
      <c r="BA179" s="57">
        <f t="shared" si="59"/>
        <v>4.6083994578107745E-3</v>
      </c>
      <c r="BB179" s="57"/>
      <c r="BD179" s="58"/>
      <c r="BE179" s="58"/>
      <c r="BF179" s="58"/>
      <c r="BG179" s="63"/>
      <c r="BI179" s="58"/>
      <c r="BJ179" s="58"/>
      <c r="BK179" s="58"/>
      <c r="BL179" s="63"/>
      <c r="BN179" s="58"/>
      <c r="BO179" s="58"/>
      <c r="BP179" s="58"/>
      <c r="BQ179" s="63"/>
      <c r="BS179" s="58"/>
      <c r="BT179" s="58"/>
      <c r="BU179" s="58"/>
      <c r="BV179" s="63"/>
      <c r="BX179">
        <f t="shared" si="60"/>
        <v>0</v>
      </c>
      <c r="BY179">
        <f t="shared" si="61"/>
        <v>-401240</v>
      </c>
      <c r="BZ179">
        <f t="shared" si="62"/>
        <v>0</v>
      </c>
      <c r="CA179">
        <f t="shared" si="63"/>
        <v>-401240</v>
      </c>
      <c r="CB179">
        <f t="shared" si="64"/>
        <v>0</v>
      </c>
      <c r="CC179">
        <f t="shared" si="65"/>
        <v>0.23080000000000211</v>
      </c>
      <c r="CD179">
        <f t="shared" si="66"/>
        <v>0.56630000000000535</v>
      </c>
      <c r="CE179">
        <f t="shared" si="67"/>
        <v>0.4012999999999991</v>
      </c>
      <c r="CF179">
        <f t="shared" si="68"/>
        <v>0</v>
      </c>
      <c r="CG179">
        <f t="shared" si="69"/>
        <v>0</v>
      </c>
      <c r="CH179">
        <f t="shared" si="70"/>
        <v>0</v>
      </c>
      <c r="CI179">
        <f t="shared" si="71"/>
        <v>0</v>
      </c>
      <c r="CJ179">
        <f t="shared" si="72"/>
        <v>0</v>
      </c>
    </row>
    <row r="180" spans="1:88" x14ac:dyDescent="0.15">
      <c r="A180" s="8"/>
      <c r="B180" s="8" t="s">
        <v>161</v>
      </c>
      <c r="C180" s="9" t="s">
        <v>254</v>
      </c>
      <c r="D180" s="8">
        <v>4203962</v>
      </c>
      <c r="E180" s="10">
        <v>20</v>
      </c>
      <c r="F180" s="9">
        <v>1</v>
      </c>
      <c r="G180" s="9"/>
      <c r="I180" s="22" t="str">
        <f t="shared" si="49"/>
        <v>·</v>
      </c>
      <c r="J180" s="23">
        <f t="shared" si="50"/>
        <v>44.862675733034692</v>
      </c>
      <c r="K180" s="23">
        <f t="shared" si="51"/>
        <v>31.85194537914472</v>
      </c>
      <c r="L180" s="23">
        <f t="shared" si="52"/>
        <v>13.010505803810785</v>
      </c>
      <c r="M180" s="24"/>
      <c r="N180" s="23">
        <f t="shared" si="53"/>
        <v>44.862675733034692</v>
      </c>
      <c r="O180" s="25">
        <v>4203962</v>
      </c>
      <c r="P180" s="26">
        <v>188600984</v>
      </c>
      <c r="Q180" s="26">
        <v>133904368</v>
      </c>
      <c r="R180" s="26">
        <v>54695672</v>
      </c>
      <c r="S180" s="40"/>
      <c r="T180" s="41">
        <v>53.448399999999999</v>
      </c>
      <c r="U180" s="41">
        <v>55.167900000000003</v>
      </c>
      <c r="V180" s="41">
        <v>54.654899999999998</v>
      </c>
      <c r="W180" s="42"/>
      <c r="X180" s="41">
        <v>48.130800000000001</v>
      </c>
      <c r="Y180" s="41">
        <v>48.130800000000001</v>
      </c>
      <c r="Z180" s="41">
        <v>48.130800000000001</v>
      </c>
      <c r="AA180" s="42"/>
      <c r="AB180" s="50">
        <v>16.920999999999999</v>
      </c>
      <c r="AC180" s="50">
        <v>14.452999999999999</v>
      </c>
      <c r="AE180" s="22" t="str">
        <f t="shared" si="54"/>
        <v>·</v>
      </c>
      <c r="AF180" s="23">
        <f t="shared" si="55"/>
        <v>45.023790414851511</v>
      </c>
      <c r="AG180" s="23">
        <f t="shared" si="56"/>
        <v>31.85194537914472</v>
      </c>
      <c r="AH180" s="23">
        <f t="shared" si="57"/>
        <v>13.171620485627606</v>
      </c>
      <c r="AI180" s="24"/>
      <c r="AJ180" s="23">
        <f t="shared" si="58"/>
        <v>45.023790414851511</v>
      </c>
      <c r="AK180" s="25">
        <v>4203962</v>
      </c>
      <c r="AL180" s="26">
        <v>189278304</v>
      </c>
      <c r="AM180" s="26">
        <v>133904368</v>
      </c>
      <c r="AN180" s="26">
        <v>55372992</v>
      </c>
      <c r="AO180" s="40"/>
      <c r="AP180" s="41">
        <v>53.463099999999997</v>
      </c>
      <c r="AQ180" s="41">
        <v>55.069400000000002</v>
      </c>
      <c r="AR180" s="41">
        <v>54.6325</v>
      </c>
      <c r="AS180" s="42"/>
      <c r="AT180" s="41">
        <v>48.130800000000001</v>
      </c>
      <c r="AU180" s="41">
        <v>48.130800000000001</v>
      </c>
      <c r="AV180" s="41">
        <v>48.130800000000001</v>
      </c>
      <c r="AW180" s="42"/>
      <c r="AX180" s="50">
        <v>17.359000000000002</v>
      </c>
      <c r="AY180" s="50">
        <v>14.406000000000001</v>
      </c>
      <c r="BA180" s="55">
        <f t="shared" si="59"/>
        <v>-2.540644225162314E-3</v>
      </c>
      <c r="BB180" s="55">
        <f t="array" ref="BB180">AVERAGE(AM180:AM184/AL180:AL184)-AVERAGE(Q180:Q184/P180:P184)</f>
        <v>-1.2133429689739073E-3</v>
      </c>
      <c r="BD180" s="56">
        <f>IF(OR(ISBLANK(R180:R184),ISBLANK(AN180:AN184),ISBLANK(T180:T184),ISBLANK(AP180:AP184)),"·",bdRateExtend(R180:R184,T180:T184,AN180:AN184,AP180:AP184))</f>
        <v>1.1180161321229232E-3</v>
      </c>
      <c r="BE180" s="56">
        <f>IF(OR(ISBLANK(R180:R184),ISBLANK(AN180:AN184),ISBLANK(U180:U184),ISBLANK(AQ180:AQ184)),"·",bdRateExtend(R180:R184,U180:U184,AN180:AN184,AQ180:AQ184))</f>
        <v>-1.0013289451493712E-5</v>
      </c>
      <c r="BF180" s="56">
        <f>IF(OR(ISBLANK(R180:R184),ISBLANK(AN180:AN184),ISBLANK(V180:V184),ISBLANK(AR180:AR184)),"·",bdRateExtend(R180:R184,V180:V184,AN180:AN184,AR180:AR184))</f>
        <v>3.1221917840316138E-3</v>
      </c>
      <c r="BG180" s="62"/>
      <c r="BI180" s="56">
        <f>IF(OR(ISBLANK(R180:R184),ISBLANK(AN180:AN184),ISBLANK(X180:X184),ISBLANK(AT180:AT184)),"·",bdRateExtend(R180:R184,X180:X184,AN180:AN184,AT180:AT184))</f>
        <v>8.0539827695849109E-3</v>
      </c>
      <c r="BJ180" s="56">
        <f>IF(OR(ISBLANK(R180:R184),ISBLANK(AN180:AN184),ISBLANK(Y180:Y184),ISBLANK(AU180:AU184)),"·",bdRateExtend(R180:R184,Y180:Y184,AN180:AN184,AU180:AU184))</f>
        <v>8.0539827695849109E-3</v>
      </c>
      <c r="BK180" s="56">
        <f>IF(OR(ISBLANK(R180:R184),ISBLANK(AN180:AN184),ISBLANK(Z180:Z184),ISBLANK(AV180:AV184)),"·",bdRateExtend(R180:R184,Z180:Z184,AN180:AN184,AV180:AV184))</f>
        <v>8.0539827695849109E-3</v>
      </c>
      <c r="BL180" s="62"/>
      <c r="BN180" s="56">
        <f>IF(OR(ISBLANK(P180:P184),ISBLANK(AL180:AL184),ISBLANK(T180:T184),ISBLANK(AP180:AP184)),"·",bdRateExtend(P180:P184,T180:T184,AL180:AL184,AP180:AP184))</f>
        <v>1.1820910089048731E-3</v>
      </c>
      <c r="BO180" s="56">
        <f>IF(OR(ISBLANK(P180:P184),ISBLANK(AL180:AL184),ISBLANK(U180:U184),ISBLANK(AQ180:AQ184)),"·",bdRateExtend(P180:P184,U180:U184,AL180:AL184,AQ180:AQ184))</f>
        <v>1.6335061114747251E-3</v>
      </c>
      <c r="BP180" s="56">
        <f>IF(OR(ISBLANK(P180:P184),ISBLANK(AL180:AL184),ISBLANK(V180:V184),ISBLANK(AR180:AR184)),"·",bdRateExtend(P180:P184,V180:V184,AL180:AL184,AR180:AR184))</f>
        <v>1.7814017764050671E-3</v>
      </c>
      <c r="BQ180" s="62"/>
      <c r="BS180" s="56">
        <f>IF(OR(ISBLANK(P180:P184),ISBLANK(AL180:AL184),ISBLANK(X180:X184),ISBLANK(AT180:AT184)),"·",bdRateExtend(P180:P184,X180:X184,AL180:AL184,AT180:AT184))</f>
        <v>2.2342462669340257E-3</v>
      </c>
      <c r="BT180" s="56">
        <f>IF(OR(ISBLANK(P180:P184),ISBLANK(AL180:AL184),ISBLANK(Y180:Y184),ISBLANK(AU180:AU184)),"·",bdRateExtend(P180:P184,Y180:Y184,AL180:AL184,AU180:AU184))</f>
        <v>2.2342462669340257E-3</v>
      </c>
      <c r="BU180" s="56">
        <f>IF(OR(ISBLANK(P180:P184),ISBLANK(AL180:AL184),ISBLANK(Z180:Z184),ISBLANK(AV180:AV184)),"·",bdRateExtend(P180:P184,Z180:Z184,AL180:AL184,AV180:AV184))</f>
        <v>2.2342462669340257E-3</v>
      </c>
      <c r="BV180" s="62"/>
      <c r="BX180">
        <f t="shared" si="60"/>
        <v>0</v>
      </c>
      <c r="BY180">
        <f t="shared" si="61"/>
        <v>677320</v>
      </c>
      <c r="BZ180">
        <f t="shared" si="62"/>
        <v>0</v>
      </c>
      <c r="CA180">
        <f t="shared" si="63"/>
        <v>677320</v>
      </c>
      <c r="CB180">
        <f t="shared" si="64"/>
        <v>0</v>
      </c>
      <c r="CC180">
        <f t="shared" si="65"/>
        <v>1.4699999999997715E-2</v>
      </c>
      <c r="CD180">
        <f t="shared" si="66"/>
        <v>-9.8500000000001364E-2</v>
      </c>
      <c r="CE180">
        <f t="shared" si="67"/>
        <v>-2.2399999999997533E-2</v>
      </c>
      <c r="CF180">
        <f t="shared" si="68"/>
        <v>0</v>
      </c>
      <c r="CG180">
        <f t="shared" si="69"/>
        <v>0</v>
      </c>
      <c r="CH180">
        <f t="shared" si="70"/>
        <v>0</v>
      </c>
      <c r="CI180">
        <f t="shared" si="71"/>
        <v>0</v>
      </c>
      <c r="CJ180">
        <f t="shared" si="72"/>
        <v>0</v>
      </c>
    </row>
    <row r="181" spans="1:88" outlineLevel="1" x14ac:dyDescent="0.15">
      <c r="A181" s="5"/>
      <c r="B181" s="5" t="s">
        <v>161</v>
      </c>
      <c r="C181" s="6" t="s">
        <v>255</v>
      </c>
      <c r="D181" s="5">
        <v>4203962</v>
      </c>
      <c r="E181" s="7">
        <v>20</v>
      </c>
      <c r="F181" s="6">
        <v>1</v>
      </c>
      <c r="G181" s="6"/>
      <c r="I181" s="17" t="str">
        <f t="shared" si="49"/>
        <v>·</v>
      </c>
      <c r="J181" s="18">
        <f t="shared" si="50"/>
        <v>42.031919413163109</v>
      </c>
      <c r="K181" s="18">
        <f t="shared" si="51"/>
        <v>31.85194537914472</v>
      </c>
      <c r="L181" s="18">
        <f t="shared" si="52"/>
        <v>10.179749483939199</v>
      </c>
      <c r="M181" s="19"/>
      <c r="N181" s="18">
        <f t="shared" si="53"/>
        <v>42.031919413163109</v>
      </c>
      <c r="O181" s="20">
        <v>4203962</v>
      </c>
      <c r="P181" s="21">
        <v>176700592</v>
      </c>
      <c r="Q181" s="21">
        <v>133904368</v>
      </c>
      <c r="R181" s="21">
        <v>42795280</v>
      </c>
      <c r="S181" s="37"/>
      <c r="T181" s="38">
        <v>48.601399999999998</v>
      </c>
      <c r="U181" s="38">
        <v>50.564799999999998</v>
      </c>
      <c r="V181" s="38">
        <v>49.954599999999999</v>
      </c>
      <c r="W181" s="39"/>
      <c r="X181" s="38">
        <v>42.110199999999999</v>
      </c>
      <c r="Y181" s="38">
        <v>42.110199999999999</v>
      </c>
      <c r="Z181" s="38">
        <v>42.110199999999999</v>
      </c>
      <c r="AA181" s="39"/>
      <c r="AB181" s="49">
        <v>16.655999999999999</v>
      </c>
      <c r="AC181" s="49">
        <v>14.420999999999999</v>
      </c>
      <c r="AE181" s="17" t="str">
        <f t="shared" si="54"/>
        <v>·</v>
      </c>
      <c r="AF181" s="18">
        <f t="shared" si="55"/>
        <v>42.235087757691431</v>
      </c>
      <c r="AG181" s="18">
        <f t="shared" si="56"/>
        <v>31.85194537914472</v>
      </c>
      <c r="AH181" s="18">
        <f t="shared" si="57"/>
        <v>10.382917828467527</v>
      </c>
      <c r="AI181" s="19"/>
      <c r="AJ181" s="18">
        <f t="shared" si="58"/>
        <v>42.235087757691431</v>
      </c>
      <c r="AK181" s="20">
        <v>4203962</v>
      </c>
      <c r="AL181" s="21">
        <v>177554704</v>
      </c>
      <c r="AM181" s="21">
        <v>133904368</v>
      </c>
      <c r="AN181" s="21">
        <v>43649392</v>
      </c>
      <c r="AO181" s="37"/>
      <c r="AP181" s="38">
        <v>48.623100000000001</v>
      </c>
      <c r="AQ181" s="38">
        <v>50.4773</v>
      </c>
      <c r="AR181" s="38">
        <v>49.924300000000002</v>
      </c>
      <c r="AS181" s="39"/>
      <c r="AT181" s="38">
        <v>42.110199999999999</v>
      </c>
      <c r="AU181" s="38">
        <v>42.110199999999999</v>
      </c>
      <c r="AV181" s="38">
        <v>42.110199999999999</v>
      </c>
      <c r="AW181" s="39"/>
      <c r="AX181" s="49">
        <v>17.312000000000001</v>
      </c>
      <c r="AY181" s="49">
        <v>14.295999999999999</v>
      </c>
      <c r="BA181" s="53">
        <f t="shared" si="59"/>
        <v>-3.6453512424858836E-3</v>
      </c>
      <c r="BB181" s="53"/>
      <c r="BD181" s="54"/>
      <c r="BE181" s="54"/>
      <c r="BF181" s="54"/>
      <c r="BG181" s="61"/>
      <c r="BI181" s="54"/>
      <c r="BJ181" s="54"/>
      <c r="BK181" s="54"/>
      <c r="BL181" s="61"/>
      <c r="BN181" s="54"/>
      <c r="BO181" s="54"/>
      <c r="BP181" s="54"/>
      <c r="BQ181" s="61"/>
      <c r="BS181" s="54"/>
      <c r="BT181" s="54"/>
      <c r="BU181" s="54"/>
      <c r="BV181" s="61"/>
      <c r="BX181">
        <f t="shared" si="60"/>
        <v>0</v>
      </c>
      <c r="BY181">
        <f t="shared" si="61"/>
        <v>854112</v>
      </c>
      <c r="BZ181">
        <f t="shared" si="62"/>
        <v>0</v>
      </c>
      <c r="CA181">
        <f t="shared" si="63"/>
        <v>854112</v>
      </c>
      <c r="CB181">
        <f t="shared" si="64"/>
        <v>0</v>
      </c>
      <c r="CC181">
        <f t="shared" si="65"/>
        <v>2.1700000000002717E-2</v>
      </c>
      <c r="CD181">
        <f t="shared" si="66"/>
        <v>-8.7499999999998579E-2</v>
      </c>
      <c r="CE181">
        <f t="shared" si="67"/>
        <v>-3.0299999999996885E-2</v>
      </c>
      <c r="CF181">
        <f t="shared" si="68"/>
        <v>0</v>
      </c>
      <c r="CG181">
        <f t="shared" si="69"/>
        <v>0</v>
      </c>
      <c r="CH181">
        <f t="shared" si="70"/>
        <v>0</v>
      </c>
      <c r="CI181">
        <f t="shared" si="71"/>
        <v>0</v>
      </c>
      <c r="CJ181">
        <f t="shared" si="72"/>
        <v>0</v>
      </c>
    </row>
    <row r="182" spans="1:88" outlineLevel="1" x14ac:dyDescent="0.15">
      <c r="A182" s="8"/>
      <c r="B182" s="8" t="s">
        <v>161</v>
      </c>
      <c r="C182" s="9" t="s">
        <v>256</v>
      </c>
      <c r="D182" s="8">
        <v>4203962</v>
      </c>
      <c r="E182" s="10">
        <v>20</v>
      </c>
      <c r="F182" s="9">
        <v>1</v>
      </c>
      <c r="G182" s="9"/>
      <c r="I182" s="22" t="str">
        <f t="shared" si="49"/>
        <v>·</v>
      </c>
      <c r="J182" s="23">
        <f t="shared" si="50"/>
        <v>39.112374469607481</v>
      </c>
      <c r="K182" s="23">
        <f t="shared" si="51"/>
        <v>31.85194537914472</v>
      </c>
      <c r="L182" s="23">
        <f t="shared" si="52"/>
        <v>7.2602045403835715</v>
      </c>
      <c r="M182" s="24"/>
      <c r="N182" s="23">
        <f t="shared" si="53"/>
        <v>39.112374469607481</v>
      </c>
      <c r="O182" s="25">
        <v>4203962</v>
      </c>
      <c r="P182" s="26">
        <v>164426936</v>
      </c>
      <c r="Q182" s="26">
        <v>133904368</v>
      </c>
      <c r="R182" s="26">
        <v>30521624</v>
      </c>
      <c r="S182" s="40"/>
      <c r="T182" s="41">
        <v>41.275799999999997</v>
      </c>
      <c r="U182" s="41">
        <v>44.520499999999998</v>
      </c>
      <c r="V182" s="41">
        <v>43.540799999999997</v>
      </c>
      <c r="W182" s="42"/>
      <c r="X182" s="41">
        <v>34.151400000000002</v>
      </c>
      <c r="Y182" s="41">
        <v>34.151400000000002</v>
      </c>
      <c r="Z182" s="41">
        <v>34.151400000000002</v>
      </c>
      <c r="AA182" s="42"/>
      <c r="AB182" s="50">
        <v>16.593</v>
      </c>
      <c r="AC182" s="50">
        <v>14.343</v>
      </c>
      <c r="AE182" s="22" t="str">
        <f t="shared" si="54"/>
        <v>·</v>
      </c>
      <c r="AF182" s="23">
        <f t="shared" si="55"/>
        <v>39.237669607860397</v>
      </c>
      <c r="AG182" s="23">
        <f t="shared" si="56"/>
        <v>31.85194537914472</v>
      </c>
      <c r="AH182" s="23">
        <f t="shared" si="57"/>
        <v>7.3854996786364859</v>
      </c>
      <c r="AI182" s="24"/>
      <c r="AJ182" s="23">
        <f t="shared" si="58"/>
        <v>39.237669607860397</v>
      </c>
      <c r="AK182" s="25">
        <v>4203962</v>
      </c>
      <c r="AL182" s="26">
        <v>164953672</v>
      </c>
      <c r="AM182" s="26">
        <v>133904368</v>
      </c>
      <c r="AN182" s="26">
        <v>31048360</v>
      </c>
      <c r="AO182" s="40"/>
      <c r="AP182" s="41">
        <v>41.3748</v>
      </c>
      <c r="AQ182" s="41">
        <v>44.470199999999998</v>
      </c>
      <c r="AR182" s="41">
        <v>43.519199999999998</v>
      </c>
      <c r="AS182" s="42"/>
      <c r="AT182" s="41">
        <v>34.151400000000002</v>
      </c>
      <c r="AU182" s="41">
        <v>34.151400000000002</v>
      </c>
      <c r="AV182" s="41">
        <v>34.151400000000002</v>
      </c>
      <c r="AW182" s="42"/>
      <c r="AX182" s="50">
        <v>17.155999999999999</v>
      </c>
      <c r="AY182" s="50">
        <v>14.327999999999999</v>
      </c>
      <c r="BA182" s="55">
        <f t="shared" si="59"/>
        <v>-2.6004756629441905E-3</v>
      </c>
      <c r="BB182" s="55"/>
      <c r="BD182" s="56"/>
      <c r="BE182" s="56"/>
      <c r="BF182" s="56"/>
      <c r="BG182" s="62"/>
      <c r="BI182" s="56"/>
      <c r="BJ182" s="56"/>
      <c r="BK182" s="56"/>
      <c r="BL182" s="62"/>
      <c r="BN182" s="56"/>
      <c r="BO182" s="56"/>
      <c r="BP182" s="56"/>
      <c r="BQ182" s="62"/>
      <c r="BS182" s="56"/>
      <c r="BT182" s="56"/>
      <c r="BU182" s="56"/>
      <c r="BV182" s="62"/>
      <c r="BX182">
        <f t="shared" si="60"/>
        <v>0</v>
      </c>
      <c r="BY182">
        <f t="shared" si="61"/>
        <v>526736</v>
      </c>
      <c r="BZ182">
        <f t="shared" si="62"/>
        <v>0</v>
      </c>
      <c r="CA182">
        <f t="shared" si="63"/>
        <v>526736</v>
      </c>
      <c r="CB182">
        <f t="shared" si="64"/>
        <v>0</v>
      </c>
      <c r="CC182">
        <f t="shared" si="65"/>
        <v>9.9000000000003752E-2</v>
      </c>
      <c r="CD182">
        <f t="shared" si="66"/>
        <v>-5.0300000000000011E-2</v>
      </c>
      <c r="CE182">
        <f t="shared" si="67"/>
        <v>-2.1599999999999397E-2</v>
      </c>
      <c r="CF182">
        <f t="shared" si="68"/>
        <v>0</v>
      </c>
      <c r="CG182">
        <f t="shared" si="69"/>
        <v>0</v>
      </c>
      <c r="CH182">
        <f t="shared" si="70"/>
        <v>0</v>
      </c>
      <c r="CI182">
        <f t="shared" si="71"/>
        <v>0</v>
      </c>
      <c r="CJ182">
        <f t="shared" si="72"/>
        <v>0</v>
      </c>
    </row>
    <row r="183" spans="1:88" outlineLevel="1" x14ac:dyDescent="0.15">
      <c r="A183" s="5"/>
      <c r="B183" s="5" t="s">
        <v>161</v>
      </c>
      <c r="C183" s="6" t="s">
        <v>257</v>
      </c>
      <c r="D183" s="5">
        <v>4203962</v>
      </c>
      <c r="E183" s="7">
        <v>20</v>
      </c>
      <c r="F183" s="6">
        <v>1</v>
      </c>
      <c r="G183" s="6"/>
      <c r="I183" s="17" t="str">
        <f t="shared" si="49"/>
        <v>·</v>
      </c>
      <c r="J183" s="18">
        <f t="shared" si="50"/>
        <v>37.007546690479124</v>
      </c>
      <c r="K183" s="18">
        <f t="shared" si="51"/>
        <v>31.85194537914472</v>
      </c>
      <c r="L183" s="18">
        <f t="shared" si="52"/>
        <v>5.1553767612552157</v>
      </c>
      <c r="M183" s="19"/>
      <c r="N183" s="18">
        <f t="shared" si="53"/>
        <v>37.007546690479124</v>
      </c>
      <c r="O183" s="20">
        <v>4203962</v>
      </c>
      <c r="P183" s="21">
        <v>155578320</v>
      </c>
      <c r="Q183" s="21">
        <v>133904368</v>
      </c>
      <c r="R183" s="21">
        <v>21673008</v>
      </c>
      <c r="S183" s="37"/>
      <c r="T183" s="38">
        <v>35.3461</v>
      </c>
      <c r="U183" s="38">
        <v>39.741199999999999</v>
      </c>
      <c r="V183" s="38">
        <v>38.4071</v>
      </c>
      <c r="W183" s="39"/>
      <c r="X183" s="38">
        <v>28.130800000000001</v>
      </c>
      <c r="Y183" s="38">
        <v>28.130800000000001</v>
      </c>
      <c r="Z183" s="38">
        <v>28.130800000000001</v>
      </c>
      <c r="AA183" s="39"/>
      <c r="AB183" s="49">
        <v>16.452999999999999</v>
      </c>
      <c r="AC183" s="49">
        <v>14.156000000000001</v>
      </c>
      <c r="AE183" s="17" t="str">
        <f t="shared" si="54"/>
        <v>·</v>
      </c>
      <c r="AF183" s="18">
        <f t="shared" si="55"/>
        <v>36.99690910621932</v>
      </c>
      <c r="AG183" s="18">
        <f t="shared" si="56"/>
        <v>31.85194537914472</v>
      </c>
      <c r="AH183" s="18">
        <f t="shared" si="57"/>
        <v>5.1447391769954152</v>
      </c>
      <c r="AI183" s="19"/>
      <c r="AJ183" s="18">
        <f t="shared" si="58"/>
        <v>36.99690910621932</v>
      </c>
      <c r="AK183" s="20">
        <v>4203962</v>
      </c>
      <c r="AL183" s="21">
        <v>155533600</v>
      </c>
      <c r="AM183" s="21">
        <v>133904368</v>
      </c>
      <c r="AN183" s="21">
        <v>21628288</v>
      </c>
      <c r="AO183" s="37"/>
      <c r="AP183" s="38">
        <v>35.489800000000002</v>
      </c>
      <c r="AQ183" s="38">
        <v>40.042700000000004</v>
      </c>
      <c r="AR183" s="38">
        <v>38.561300000000003</v>
      </c>
      <c r="AS183" s="39"/>
      <c r="AT183" s="38">
        <v>28.130800000000001</v>
      </c>
      <c r="AU183" s="38">
        <v>28.130800000000001</v>
      </c>
      <c r="AV183" s="38">
        <v>28.130800000000001</v>
      </c>
      <c r="AW183" s="39"/>
      <c r="AX183" s="49">
        <v>16.905999999999999</v>
      </c>
      <c r="AY183" s="49">
        <v>14.077999999999999</v>
      </c>
      <c r="BA183" s="53">
        <f t="shared" si="59"/>
        <v>2.4747038678274436E-4</v>
      </c>
      <c r="BB183" s="53"/>
      <c r="BD183" s="54"/>
      <c r="BE183" s="54"/>
      <c r="BF183" s="54"/>
      <c r="BG183" s="61"/>
      <c r="BI183" s="54"/>
      <c r="BJ183" s="54"/>
      <c r="BK183" s="54"/>
      <c r="BL183" s="61"/>
      <c r="BN183" s="54"/>
      <c r="BO183" s="54"/>
      <c r="BP183" s="54"/>
      <c r="BQ183" s="61"/>
      <c r="BS183" s="54"/>
      <c r="BT183" s="54"/>
      <c r="BU183" s="54"/>
      <c r="BV183" s="61"/>
      <c r="BX183">
        <f t="shared" si="60"/>
        <v>0</v>
      </c>
      <c r="BY183">
        <f t="shared" si="61"/>
        <v>-44720</v>
      </c>
      <c r="BZ183">
        <f t="shared" si="62"/>
        <v>0</v>
      </c>
      <c r="CA183">
        <f t="shared" si="63"/>
        <v>-44720</v>
      </c>
      <c r="CB183">
        <f t="shared" si="64"/>
        <v>0</v>
      </c>
      <c r="CC183">
        <f t="shared" si="65"/>
        <v>0.1437000000000026</v>
      </c>
      <c r="CD183">
        <f t="shared" si="66"/>
        <v>0.30150000000000432</v>
      </c>
      <c r="CE183">
        <f t="shared" si="67"/>
        <v>0.154200000000003</v>
      </c>
      <c r="CF183">
        <f t="shared" si="68"/>
        <v>0</v>
      </c>
      <c r="CG183">
        <f t="shared" si="69"/>
        <v>0</v>
      </c>
      <c r="CH183">
        <f t="shared" si="70"/>
        <v>0</v>
      </c>
      <c r="CI183">
        <f t="shared" si="71"/>
        <v>0</v>
      </c>
      <c r="CJ183">
        <f t="shared" si="72"/>
        <v>0</v>
      </c>
    </row>
    <row r="184" spans="1:88" outlineLevel="1" x14ac:dyDescent="0.15">
      <c r="A184" s="8"/>
      <c r="B184" s="14" t="s">
        <v>161</v>
      </c>
      <c r="C184" s="15" t="s">
        <v>258</v>
      </c>
      <c r="D184" s="14">
        <v>4203962</v>
      </c>
      <c r="E184" s="16">
        <v>20</v>
      </c>
      <c r="F184" s="15">
        <v>1</v>
      </c>
      <c r="G184" s="15"/>
      <c r="I184" s="32" t="str">
        <f t="shared" si="49"/>
        <v>·</v>
      </c>
      <c r="J184" s="33">
        <f t="shared" si="50"/>
        <v>35.142549813723342</v>
      </c>
      <c r="K184" s="33">
        <f t="shared" si="51"/>
        <v>31.85194537914472</v>
      </c>
      <c r="L184" s="33">
        <f t="shared" si="52"/>
        <v>3.2903798844994316</v>
      </c>
      <c r="M184" s="34"/>
      <c r="N184" s="33">
        <f t="shared" si="53"/>
        <v>35.142549813723342</v>
      </c>
      <c r="O184" s="35">
        <v>4203962</v>
      </c>
      <c r="P184" s="36">
        <v>147737944</v>
      </c>
      <c r="Q184" s="36">
        <v>133904368</v>
      </c>
      <c r="R184" s="36">
        <v>13832632</v>
      </c>
      <c r="S184" s="46"/>
      <c r="T184" s="47">
        <v>28.663</v>
      </c>
      <c r="U184" s="47">
        <v>35.392699999999998</v>
      </c>
      <c r="V184" s="47">
        <v>33.641100000000002</v>
      </c>
      <c r="W184" s="48"/>
      <c r="X184" s="47">
        <v>21.686399999999999</v>
      </c>
      <c r="Y184" s="47">
        <v>21.686399999999999</v>
      </c>
      <c r="Z184" s="47">
        <v>21.686399999999999</v>
      </c>
      <c r="AA184" s="48"/>
      <c r="AB184" s="52">
        <v>16.375</v>
      </c>
      <c r="AC184" s="52">
        <v>14.202999999999999</v>
      </c>
      <c r="AE184" s="32" t="str">
        <f t="shared" si="54"/>
        <v>·</v>
      </c>
      <c r="AF184" s="33">
        <f t="shared" si="55"/>
        <v>35.04695237492632</v>
      </c>
      <c r="AG184" s="33">
        <f t="shared" si="56"/>
        <v>31.85194537914472</v>
      </c>
      <c r="AH184" s="33">
        <f t="shared" si="57"/>
        <v>3.194782445702411</v>
      </c>
      <c r="AI184" s="34"/>
      <c r="AJ184" s="33">
        <f t="shared" si="58"/>
        <v>35.04695237492632</v>
      </c>
      <c r="AK184" s="35">
        <v>4203962</v>
      </c>
      <c r="AL184" s="36">
        <v>147336056</v>
      </c>
      <c r="AM184" s="36">
        <v>133904368</v>
      </c>
      <c r="AN184" s="36">
        <v>13430744</v>
      </c>
      <c r="AO184" s="46"/>
      <c r="AP184" s="47">
        <v>28.891200000000001</v>
      </c>
      <c r="AQ184" s="47">
        <v>35.984400000000001</v>
      </c>
      <c r="AR184" s="47">
        <v>34.033000000000001</v>
      </c>
      <c r="AS184" s="48"/>
      <c r="AT184" s="47">
        <v>21.686399999999999</v>
      </c>
      <c r="AU184" s="47">
        <v>21.686399999999999</v>
      </c>
      <c r="AV184" s="47">
        <v>21.686399999999999</v>
      </c>
      <c r="AW184" s="48"/>
      <c r="AX184" s="52">
        <v>16.795999999999999</v>
      </c>
      <c r="AY184" s="52">
        <v>14.170999999999999</v>
      </c>
      <c r="BA184" s="59">
        <f t="shared" si="59"/>
        <v>2.4722858989399965E-3</v>
      </c>
      <c r="BB184" s="59"/>
      <c r="BD184" s="60"/>
      <c r="BE184" s="60"/>
      <c r="BF184" s="60"/>
      <c r="BG184" s="64"/>
      <c r="BI184" s="60"/>
      <c r="BJ184" s="60"/>
      <c r="BK184" s="60"/>
      <c r="BL184" s="64"/>
      <c r="BN184" s="60"/>
      <c r="BO184" s="60"/>
      <c r="BP184" s="60"/>
      <c r="BQ184" s="64"/>
      <c r="BS184" s="60"/>
      <c r="BT184" s="60"/>
      <c r="BU184" s="60"/>
      <c r="BV184" s="64"/>
      <c r="BX184">
        <f t="shared" si="60"/>
        <v>0</v>
      </c>
      <c r="BY184">
        <f t="shared" si="61"/>
        <v>-401888</v>
      </c>
      <c r="BZ184">
        <f t="shared" si="62"/>
        <v>0</v>
      </c>
      <c r="CA184">
        <f t="shared" si="63"/>
        <v>-401888</v>
      </c>
      <c r="CB184">
        <f t="shared" si="64"/>
        <v>0</v>
      </c>
      <c r="CC184">
        <f t="shared" si="65"/>
        <v>0.22820000000000107</v>
      </c>
      <c r="CD184">
        <f t="shared" si="66"/>
        <v>0.591700000000003</v>
      </c>
      <c r="CE184">
        <f t="shared" si="67"/>
        <v>0.39189999999999969</v>
      </c>
      <c r="CF184">
        <f t="shared" si="68"/>
        <v>0</v>
      </c>
      <c r="CG184">
        <f t="shared" si="69"/>
        <v>0</v>
      </c>
      <c r="CH184">
        <f t="shared" si="70"/>
        <v>0</v>
      </c>
      <c r="CI184">
        <f t="shared" si="71"/>
        <v>0</v>
      </c>
      <c r="CJ184">
        <f t="shared" si="72"/>
        <v>0</v>
      </c>
    </row>
    <row r="185" spans="1:88" x14ac:dyDescent="0.15">
      <c r="A185" s="5"/>
      <c r="B185" s="5" t="s">
        <v>164</v>
      </c>
      <c r="C185" s="6" t="s">
        <v>254</v>
      </c>
      <c r="D185" s="5">
        <v>1010591</v>
      </c>
      <c r="E185" s="7">
        <v>20</v>
      </c>
      <c r="F185" s="6">
        <v>1</v>
      </c>
      <c r="G185" s="6"/>
      <c r="I185" s="17" t="str">
        <f t="shared" si="49"/>
        <v>·</v>
      </c>
      <c r="J185" s="18">
        <f t="shared" si="50"/>
        <v>44.230680859022094</v>
      </c>
      <c r="K185" s="18">
        <f t="shared" si="51"/>
        <v>32.437819058352986</v>
      </c>
      <c r="L185" s="18">
        <f t="shared" si="52"/>
        <v>11.792323501792515</v>
      </c>
      <c r="M185" s="19"/>
      <c r="N185" s="18">
        <f t="shared" si="53"/>
        <v>44.230680859022094</v>
      </c>
      <c r="O185" s="20">
        <v>1010591</v>
      </c>
      <c r="P185" s="21">
        <v>44699128</v>
      </c>
      <c r="Q185" s="21">
        <v>32781368</v>
      </c>
      <c r="R185" s="21">
        <v>11917216</v>
      </c>
      <c r="S185" s="37"/>
      <c r="T185" s="38">
        <v>53.5184</v>
      </c>
      <c r="U185" s="38">
        <v>55.046900000000001</v>
      </c>
      <c r="V185" s="38">
        <v>54.757800000000003</v>
      </c>
      <c r="W185" s="39"/>
      <c r="X185" s="38">
        <v>48.130800000000001</v>
      </c>
      <c r="Y185" s="38">
        <v>48.130800000000001</v>
      </c>
      <c r="Z185" s="38">
        <v>48.130800000000001</v>
      </c>
      <c r="AA185" s="39"/>
      <c r="AB185" s="49">
        <v>3.8279999999999998</v>
      </c>
      <c r="AC185" s="49">
        <v>3.3119999999999998</v>
      </c>
      <c r="AE185" s="17" t="str">
        <f t="shared" si="54"/>
        <v>·</v>
      </c>
      <c r="AF185" s="18">
        <f t="shared" si="55"/>
        <v>44.34043050056848</v>
      </c>
      <c r="AG185" s="18">
        <f t="shared" si="56"/>
        <v>32.437819058352986</v>
      </c>
      <c r="AH185" s="18">
        <f t="shared" si="57"/>
        <v>11.902073143338898</v>
      </c>
      <c r="AI185" s="19"/>
      <c r="AJ185" s="18">
        <f t="shared" si="58"/>
        <v>44.34043050056848</v>
      </c>
      <c r="AK185" s="20">
        <v>1010591</v>
      </c>
      <c r="AL185" s="21">
        <v>44810040</v>
      </c>
      <c r="AM185" s="21">
        <v>32781368</v>
      </c>
      <c r="AN185" s="21">
        <v>12028128</v>
      </c>
      <c r="AO185" s="37"/>
      <c r="AP185" s="38">
        <v>53.519799999999996</v>
      </c>
      <c r="AQ185" s="38">
        <v>55.031199999999998</v>
      </c>
      <c r="AR185" s="38">
        <v>54.738199999999999</v>
      </c>
      <c r="AS185" s="39"/>
      <c r="AT185" s="38">
        <v>48.130800000000001</v>
      </c>
      <c r="AU185" s="38">
        <v>48.130800000000001</v>
      </c>
      <c r="AV185" s="38">
        <v>48.130800000000001</v>
      </c>
      <c r="AW185" s="39"/>
      <c r="AX185" s="49">
        <v>3.859</v>
      </c>
      <c r="AY185" s="49">
        <v>3.343</v>
      </c>
      <c r="BA185" s="53">
        <f t="shared" si="59"/>
        <v>-1.8152281898458078E-3</v>
      </c>
      <c r="BB185" s="53">
        <f t="array" ref="BB185">AVERAGE(AM185:AM189/AL185:AL189)-AVERAGE(Q185:Q189/P185:P189)</f>
        <v>-2.5063087051382382E-3</v>
      </c>
      <c r="BD185" s="54">
        <f>IF(OR(ISBLANK(R185:R189),ISBLANK(AN185:AN189),ISBLANK(T185:T189),ISBLANK(AP185:AP189)),"·",bdRateExtend(R185:R189,T185:T189,AN185:AN189,AP185:AP189))</f>
        <v>2.0950884826604677E-2</v>
      </c>
      <c r="BE185" s="54">
        <f>IF(OR(ISBLANK(R185:R189),ISBLANK(AN185:AN189),ISBLANK(U185:U189),ISBLANK(AQ185:AQ189)),"·",bdRateExtend(R185:R189,U185:U189,AN185:AN189,AQ185:AQ189))</f>
        <v>2.6042996926179951E-2</v>
      </c>
      <c r="BF185" s="54">
        <f>IF(OR(ISBLANK(R185:R189),ISBLANK(AN185:AN189),ISBLANK(V185:V189),ISBLANK(AR185:AR189)),"·",bdRateExtend(R185:R189,V185:V189,AN185:AN189,AR185:AR189))</f>
        <v>2.3555314158133278E-2</v>
      </c>
      <c r="BG185" s="61"/>
      <c r="BI185" s="54">
        <f>IF(OR(ISBLANK(R185:R189),ISBLANK(AN185:AN189),ISBLANK(X185:X189),ISBLANK(AT185:AT189)),"·",bdRateExtend(R185:R189,X185:X189,AN185:AN189,AT185:AT189))</f>
        <v>2.3078074734098841E-2</v>
      </c>
      <c r="BJ185" s="54">
        <f>IF(OR(ISBLANK(R185:R189),ISBLANK(AN185:AN189),ISBLANK(Y185:Y189),ISBLANK(AU185:AU189)),"·",bdRateExtend(R185:R189,Y185:Y189,AN185:AN189,AU185:AU189))</f>
        <v>2.3078074734098841E-2</v>
      </c>
      <c r="BK185" s="54">
        <f>IF(OR(ISBLANK(R185:R189),ISBLANK(AN185:AN189),ISBLANK(Z185:Z189),ISBLANK(AV185:AV189)),"·",bdRateExtend(R185:R189,Z185:Z189,AN185:AN189,AV185:AV189))</f>
        <v>2.3078074734098841E-2</v>
      </c>
      <c r="BL185" s="61"/>
      <c r="BN185" s="54">
        <f>IF(OR(ISBLANK(P185:P189),ISBLANK(AL185:AL189),ISBLANK(T185:T189),ISBLANK(AP185:AP189)),"·",bdRateExtend(P185:P189,T185:T189,AL185:AL189,AP185:AP189))</f>
        <v>3.008091004771396E-3</v>
      </c>
      <c r="BO185" s="54">
        <f>IF(OR(ISBLANK(P185:P189),ISBLANK(AL185:AL189),ISBLANK(U185:U189),ISBLANK(AQ185:AQ189)),"·",bdRateExtend(P185:P189,U185:U189,AL185:AL189,AQ185:AQ189))</f>
        <v>3.6443330127391427E-3</v>
      </c>
      <c r="BP185" s="54">
        <f>IF(OR(ISBLANK(P185:P189),ISBLANK(AL185:AL189),ISBLANK(V185:V189),ISBLANK(AR185:AR189)),"·",bdRateExtend(P185:P189,V185:V189,AL185:AL189,AR185:AR189))</f>
        <v>3.5002751502575258E-3</v>
      </c>
      <c r="BQ185" s="61"/>
      <c r="BS185" s="54">
        <f>IF(OR(ISBLANK(P185:P189),ISBLANK(AL185:AL189),ISBLANK(X185:X189),ISBLANK(AT185:AT189)),"·",bdRateExtend(P185:P189,X185:X189,AL185:AL189,AT185:AT189))</f>
        <v>3.2804104624528652E-3</v>
      </c>
      <c r="BT185" s="54">
        <f>IF(OR(ISBLANK(P185:P189),ISBLANK(AL185:AL189),ISBLANK(Y185:Y189),ISBLANK(AU185:AU189)),"·",bdRateExtend(P185:P189,Y185:Y189,AL185:AL189,AU185:AU189))</f>
        <v>3.2804104624528652E-3</v>
      </c>
      <c r="BU185" s="54">
        <f>IF(OR(ISBLANK(P185:P189),ISBLANK(AL185:AL189),ISBLANK(Z185:Z189),ISBLANK(AV185:AV189)),"·",bdRateExtend(P185:P189,Z185:Z189,AL185:AL189,AV185:AV189))</f>
        <v>3.2804104624528652E-3</v>
      </c>
      <c r="BV185" s="61"/>
      <c r="BX185">
        <f t="shared" si="60"/>
        <v>0</v>
      </c>
      <c r="BY185">
        <f t="shared" si="61"/>
        <v>110912</v>
      </c>
      <c r="BZ185">
        <f t="shared" si="62"/>
        <v>0</v>
      </c>
      <c r="CA185">
        <f t="shared" si="63"/>
        <v>110912</v>
      </c>
      <c r="CB185">
        <f t="shared" si="64"/>
        <v>0</v>
      </c>
      <c r="CC185">
        <f t="shared" si="65"/>
        <v>1.3999999999967372E-3</v>
      </c>
      <c r="CD185">
        <f t="shared" si="66"/>
        <v>-1.570000000000249E-2</v>
      </c>
      <c r="CE185">
        <f t="shared" si="67"/>
        <v>-1.9600000000004059E-2</v>
      </c>
      <c r="CF185">
        <f t="shared" si="68"/>
        <v>0</v>
      </c>
      <c r="CG185">
        <f t="shared" si="69"/>
        <v>0</v>
      </c>
      <c r="CH185">
        <f t="shared" si="70"/>
        <v>0</v>
      </c>
      <c r="CI185">
        <f t="shared" si="71"/>
        <v>0</v>
      </c>
      <c r="CJ185">
        <f t="shared" si="72"/>
        <v>0</v>
      </c>
    </row>
    <row r="186" spans="1:88" outlineLevel="1" x14ac:dyDescent="0.15">
      <c r="A186" s="8"/>
      <c r="B186" s="8" t="s">
        <v>164</v>
      </c>
      <c r="C186" s="9" t="s">
        <v>255</v>
      </c>
      <c r="D186" s="8">
        <v>1010591</v>
      </c>
      <c r="E186" s="10">
        <v>20</v>
      </c>
      <c r="F186" s="9">
        <v>1</v>
      </c>
      <c r="G186" s="9"/>
      <c r="I186" s="22" t="str">
        <f t="shared" si="49"/>
        <v>·</v>
      </c>
      <c r="J186" s="23">
        <f t="shared" si="50"/>
        <v>41.446852386375895</v>
      </c>
      <c r="K186" s="23">
        <f t="shared" si="51"/>
        <v>32.437819058352986</v>
      </c>
      <c r="L186" s="23">
        <f t="shared" si="52"/>
        <v>9.0084950291463119</v>
      </c>
      <c r="M186" s="24"/>
      <c r="N186" s="23">
        <f t="shared" si="53"/>
        <v>41.446852386375895</v>
      </c>
      <c r="O186" s="25">
        <v>1010591</v>
      </c>
      <c r="P186" s="26">
        <v>41885816</v>
      </c>
      <c r="Q186" s="26">
        <v>32781368</v>
      </c>
      <c r="R186" s="26">
        <v>9103904</v>
      </c>
      <c r="S186" s="40"/>
      <c r="T186" s="41">
        <v>48.584800000000001</v>
      </c>
      <c r="U186" s="41">
        <v>50.483699999999999</v>
      </c>
      <c r="V186" s="41">
        <v>50.1541</v>
      </c>
      <c r="W186" s="42"/>
      <c r="X186" s="41">
        <v>42.110199999999999</v>
      </c>
      <c r="Y186" s="41">
        <v>42.110199999999999</v>
      </c>
      <c r="Z186" s="41">
        <v>42.110199999999999</v>
      </c>
      <c r="AA186" s="42"/>
      <c r="AB186" s="50">
        <v>3.734</v>
      </c>
      <c r="AC186" s="50">
        <v>3.3119999999999998</v>
      </c>
      <c r="AE186" s="22" t="str">
        <f t="shared" si="54"/>
        <v>·</v>
      </c>
      <c r="AF186" s="23">
        <f t="shared" si="55"/>
        <v>41.584593569505365</v>
      </c>
      <c r="AG186" s="23">
        <f t="shared" si="56"/>
        <v>32.437819058352986</v>
      </c>
      <c r="AH186" s="23">
        <f t="shared" si="57"/>
        <v>9.1462362122757863</v>
      </c>
      <c r="AI186" s="24"/>
      <c r="AJ186" s="23">
        <f t="shared" si="58"/>
        <v>41.584593569505365</v>
      </c>
      <c r="AK186" s="25">
        <v>1010591</v>
      </c>
      <c r="AL186" s="26">
        <v>42025016</v>
      </c>
      <c r="AM186" s="26">
        <v>32781368</v>
      </c>
      <c r="AN186" s="26">
        <v>9243104</v>
      </c>
      <c r="AO186" s="40"/>
      <c r="AP186" s="41">
        <v>48.595500000000001</v>
      </c>
      <c r="AQ186" s="41">
        <v>50.469200000000001</v>
      </c>
      <c r="AR186" s="41">
        <v>50.127699999999997</v>
      </c>
      <c r="AS186" s="42"/>
      <c r="AT186" s="41">
        <v>42.110199999999999</v>
      </c>
      <c r="AU186" s="41">
        <v>42.110199999999999</v>
      </c>
      <c r="AV186" s="41">
        <v>42.110199999999999</v>
      </c>
      <c r="AW186" s="42"/>
      <c r="AX186" s="50">
        <v>3.859</v>
      </c>
      <c r="AY186" s="50">
        <v>3.3119999999999998</v>
      </c>
      <c r="BA186" s="55">
        <f t="shared" si="59"/>
        <v>-2.5923368918661094E-3</v>
      </c>
      <c r="BB186" s="55"/>
      <c r="BD186" s="56"/>
      <c r="BE186" s="56"/>
      <c r="BF186" s="56"/>
      <c r="BG186" s="62"/>
      <c r="BI186" s="56"/>
      <c r="BJ186" s="56"/>
      <c r="BK186" s="56"/>
      <c r="BL186" s="62"/>
      <c r="BN186" s="56"/>
      <c r="BO186" s="56"/>
      <c r="BP186" s="56"/>
      <c r="BQ186" s="62"/>
      <c r="BS186" s="56"/>
      <c r="BT186" s="56"/>
      <c r="BU186" s="56"/>
      <c r="BV186" s="62"/>
      <c r="BX186">
        <f t="shared" si="60"/>
        <v>0</v>
      </c>
      <c r="BY186">
        <f t="shared" si="61"/>
        <v>139200</v>
      </c>
      <c r="BZ186">
        <f t="shared" si="62"/>
        <v>0</v>
      </c>
      <c r="CA186">
        <f t="shared" si="63"/>
        <v>139200</v>
      </c>
      <c r="CB186">
        <f t="shared" si="64"/>
        <v>0</v>
      </c>
      <c r="CC186">
        <f t="shared" si="65"/>
        <v>1.0699999999999932E-2</v>
      </c>
      <c r="CD186">
        <f t="shared" si="66"/>
        <v>-1.4499999999998181E-2</v>
      </c>
      <c r="CE186">
        <f t="shared" si="67"/>
        <v>-2.6400000000002422E-2</v>
      </c>
      <c r="CF186">
        <f t="shared" si="68"/>
        <v>0</v>
      </c>
      <c r="CG186">
        <f t="shared" si="69"/>
        <v>0</v>
      </c>
      <c r="CH186">
        <f t="shared" si="70"/>
        <v>0</v>
      </c>
      <c r="CI186">
        <f t="shared" si="71"/>
        <v>0</v>
      </c>
      <c r="CJ186">
        <f t="shared" si="72"/>
        <v>0</v>
      </c>
    </row>
    <row r="187" spans="1:88" outlineLevel="1" x14ac:dyDescent="0.15">
      <c r="A187" s="5"/>
      <c r="B187" s="5" t="s">
        <v>164</v>
      </c>
      <c r="C187" s="6" t="s">
        <v>256</v>
      </c>
      <c r="D187" s="5">
        <v>1010591</v>
      </c>
      <c r="E187" s="7">
        <v>20</v>
      </c>
      <c r="F187" s="6">
        <v>1</v>
      </c>
      <c r="G187" s="6"/>
      <c r="I187" s="17" t="str">
        <f t="shared" si="49"/>
        <v>·</v>
      </c>
      <c r="J187" s="18">
        <f t="shared" si="50"/>
        <v>38.49480551479283</v>
      </c>
      <c r="K187" s="18">
        <f t="shared" si="51"/>
        <v>32.437819058352986</v>
      </c>
      <c r="L187" s="18">
        <f t="shared" si="52"/>
        <v>6.0564481575632474</v>
      </c>
      <c r="M187" s="19"/>
      <c r="N187" s="18">
        <f t="shared" si="53"/>
        <v>38.49480551479283</v>
      </c>
      <c r="O187" s="20">
        <v>1010591</v>
      </c>
      <c r="P187" s="21">
        <v>38902504</v>
      </c>
      <c r="Q187" s="21">
        <v>32781368</v>
      </c>
      <c r="R187" s="21">
        <v>6120592</v>
      </c>
      <c r="S187" s="37"/>
      <c r="T187" s="38">
        <v>41.336599999999997</v>
      </c>
      <c r="U187" s="38">
        <v>44.137500000000003</v>
      </c>
      <c r="V187" s="38">
        <v>43.996000000000002</v>
      </c>
      <c r="W187" s="39"/>
      <c r="X187" s="38">
        <v>34.151400000000002</v>
      </c>
      <c r="Y187" s="38">
        <v>34.151400000000002</v>
      </c>
      <c r="Z187" s="38">
        <v>34.151400000000002</v>
      </c>
      <c r="AA187" s="39"/>
      <c r="AB187" s="49">
        <v>3.718</v>
      </c>
      <c r="AC187" s="49">
        <v>3.2959999999999998</v>
      </c>
      <c r="AE187" s="17" t="str">
        <f t="shared" si="54"/>
        <v>·</v>
      </c>
      <c r="AF187" s="18">
        <f t="shared" si="55"/>
        <v>38.64085074970982</v>
      </c>
      <c r="AG187" s="18">
        <f t="shared" si="56"/>
        <v>32.437819058352986</v>
      </c>
      <c r="AH187" s="18">
        <f t="shared" si="57"/>
        <v>6.2024933924802417</v>
      </c>
      <c r="AI187" s="19"/>
      <c r="AJ187" s="18">
        <f t="shared" si="58"/>
        <v>38.64085074970982</v>
      </c>
      <c r="AK187" s="20">
        <v>1010591</v>
      </c>
      <c r="AL187" s="21">
        <v>39050096</v>
      </c>
      <c r="AM187" s="21">
        <v>32781368</v>
      </c>
      <c r="AN187" s="21">
        <v>6268184</v>
      </c>
      <c r="AO187" s="37"/>
      <c r="AP187" s="38">
        <v>41.366399999999999</v>
      </c>
      <c r="AQ187" s="38">
        <v>44.103999999999999</v>
      </c>
      <c r="AR187" s="38">
        <v>43.958100000000002</v>
      </c>
      <c r="AS187" s="39"/>
      <c r="AT187" s="38">
        <v>34.151400000000002</v>
      </c>
      <c r="AU187" s="38">
        <v>34.151400000000002</v>
      </c>
      <c r="AV187" s="38">
        <v>34.151400000000002</v>
      </c>
      <c r="AW187" s="39"/>
      <c r="AX187" s="49">
        <v>3.7810000000000001</v>
      </c>
      <c r="AY187" s="49">
        <v>3.234</v>
      </c>
      <c r="BA187" s="53">
        <f t="shared" si="59"/>
        <v>-3.1848591399227244E-3</v>
      </c>
      <c r="BB187" s="53"/>
      <c r="BD187" s="54"/>
      <c r="BE187" s="54"/>
      <c r="BF187" s="54"/>
      <c r="BG187" s="61"/>
      <c r="BI187" s="54"/>
      <c r="BJ187" s="54"/>
      <c r="BK187" s="54"/>
      <c r="BL187" s="61"/>
      <c r="BN187" s="54"/>
      <c r="BO187" s="54"/>
      <c r="BP187" s="54"/>
      <c r="BQ187" s="61"/>
      <c r="BS187" s="54"/>
      <c r="BT187" s="54"/>
      <c r="BU187" s="54"/>
      <c r="BV187" s="61"/>
      <c r="BX187">
        <f t="shared" si="60"/>
        <v>0</v>
      </c>
      <c r="BY187">
        <f t="shared" si="61"/>
        <v>147592</v>
      </c>
      <c r="BZ187">
        <f t="shared" si="62"/>
        <v>0</v>
      </c>
      <c r="CA187">
        <f t="shared" si="63"/>
        <v>147592</v>
      </c>
      <c r="CB187">
        <f t="shared" si="64"/>
        <v>0</v>
      </c>
      <c r="CC187">
        <f t="shared" si="65"/>
        <v>2.9800000000001603E-2</v>
      </c>
      <c r="CD187">
        <f t="shared" si="66"/>
        <v>-3.3500000000003638E-2</v>
      </c>
      <c r="CE187">
        <f t="shared" si="67"/>
        <v>-3.7900000000000489E-2</v>
      </c>
      <c r="CF187">
        <f t="shared" si="68"/>
        <v>0</v>
      </c>
      <c r="CG187">
        <f t="shared" si="69"/>
        <v>0</v>
      </c>
      <c r="CH187">
        <f t="shared" si="70"/>
        <v>0</v>
      </c>
      <c r="CI187">
        <f t="shared" si="71"/>
        <v>0</v>
      </c>
      <c r="CJ187">
        <f t="shared" si="72"/>
        <v>0</v>
      </c>
    </row>
    <row r="188" spans="1:88" outlineLevel="1" x14ac:dyDescent="0.15">
      <c r="A188" s="8"/>
      <c r="B188" s="8" t="s">
        <v>164</v>
      </c>
      <c r="C188" s="9" t="s">
        <v>257</v>
      </c>
      <c r="D188" s="8">
        <v>1010591</v>
      </c>
      <c r="E188" s="10">
        <v>20</v>
      </c>
      <c r="F188" s="9">
        <v>1</v>
      </c>
      <c r="G188" s="9"/>
      <c r="I188" s="22" t="str">
        <f t="shared" si="49"/>
        <v>·</v>
      </c>
      <c r="J188" s="23">
        <f t="shared" si="50"/>
        <v>36.359650936927004</v>
      </c>
      <c r="K188" s="23">
        <f t="shared" si="51"/>
        <v>32.437819058352986</v>
      </c>
      <c r="L188" s="23">
        <f t="shared" si="52"/>
        <v>3.9212935796974246</v>
      </c>
      <c r="M188" s="24"/>
      <c r="N188" s="23">
        <f t="shared" si="53"/>
        <v>36.359650936927004</v>
      </c>
      <c r="O188" s="25">
        <v>1010591</v>
      </c>
      <c r="P188" s="26">
        <v>36744736</v>
      </c>
      <c r="Q188" s="26">
        <v>32781368</v>
      </c>
      <c r="R188" s="26">
        <v>3962824</v>
      </c>
      <c r="S188" s="40"/>
      <c r="T188" s="41">
        <v>35.460299999999997</v>
      </c>
      <c r="U188" s="41">
        <v>39.152999999999999</v>
      </c>
      <c r="V188" s="41">
        <v>39.128799999999998</v>
      </c>
      <c r="W188" s="42"/>
      <c r="X188" s="41">
        <v>28.130800000000001</v>
      </c>
      <c r="Y188" s="41">
        <v>28.130800000000001</v>
      </c>
      <c r="Z188" s="41">
        <v>28.130800000000001</v>
      </c>
      <c r="AA188" s="42"/>
      <c r="AB188" s="50">
        <v>3.6709999999999998</v>
      </c>
      <c r="AC188" s="50">
        <v>3.234</v>
      </c>
      <c r="AE188" s="22" t="str">
        <f t="shared" si="54"/>
        <v>·</v>
      </c>
      <c r="AF188" s="23">
        <f t="shared" si="55"/>
        <v>36.483863402701985</v>
      </c>
      <c r="AG188" s="23">
        <f t="shared" si="56"/>
        <v>32.437819058352986</v>
      </c>
      <c r="AH188" s="23">
        <f t="shared" si="57"/>
        <v>4.0455060454724014</v>
      </c>
      <c r="AI188" s="24"/>
      <c r="AJ188" s="23">
        <f t="shared" si="58"/>
        <v>36.483863402701985</v>
      </c>
      <c r="AK188" s="25">
        <v>1010591</v>
      </c>
      <c r="AL188" s="26">
        <v>36870264</v>
      </c>
      <c r="AM188" s="26">
        <v>32781368</v>
      </c>
      <c r="AN188" s="26">
        <v>4088352</v>
      </c>
      <c r="AO188" s="40"/>
      <c r="AP188" s="41">
        <v>35.495899999999999</v>
      </c>
      <c r="AQ188" s="41">
        <v>39.108199999999997</v>
      </c>
      <c r="AR188" s="41">
        <v>39.128700000000002</v>
      </c>
      <c r="AS188" s="42"/>
      <c r="AT188" s="41">
        <v>28.130800000000001</v>
      </c>
      <c r="AU188" s="41">
        <v>28.130800000000001</v>
      </c>
      <c r="AV188" s="41">
        <v>28.130800000000001</v>
      </c>
      <c r="AW188" s="42"/>
      <c r="AX188" s="50">
        <v>3.7810000000000001</v>
      </c>
      <c r="AY188" s="50">
        <v>3.2810000000000001</v>
      </c>
      <c r="BA188" s="55">
        <f t="shared" si="59"/>
        <v>-3.0373602417090861E-3</v>
      </c>
      <c r="BB188" s="55"/>
      <c r="BD188" s="56"/>
      <c r="BE188" s="56"/>
      <c r="BF188" s="56"/>
      <c r="BG188" s="62"/>
      <c r="BI188" s="56"/>
      <c r="BJ188" s="56"/>
      <c r="BK188" s="56"/>
      <c r="BL188" s="62"/>
      <c r="BN188" s="56"/>
      <c r="BO188" s="56"/>
      <c r="BP188" s="56"/>
      <c r="BQ188" s="62"/>
      <c r="BS188" s="56"/>
      <c r="BT188" s="56"/>
      <c r="BU188" s="56"/>
      <c r="BV188" s="62"/>
      <c r="BX188">
        <f t="shared" si="60"/>
        <v>0</v>
      </c>
      <c r="BY188">
        <f t="shared" si="61"/>
        <v>125528</v>
      </c>
      <c r="BZ188">
        <f t="shared" si="62"/>
        <v>0</v>
      </c>
      <c r="CA188">
        <f t="shared" si="63"/>
        <v>125528</v>
      </c>
      <c r="CB188">
        <f t="shared" si="64"/>
        <v>0</v>
      </c>
      <c r="CC188">
        <f t="shared" si="65"/>
        <v>3.5600000000002296E-2</v>
      </c>
      <c r="CD188">
        <f t="shared" si="66"/>
        <v>-4.4800000000002171E-2</v>
      </c>
      <c r="CE188">
        <f t="shared" si="67"/>
        <v>-9.9999999996214228E-5</v>
      </c>
      <c r="CF188">
        <f t="shared" si="68"/>
        <v>0</v>
      </c>
      <c r="CG188">
        <f t="shared" si="69"/>
        <v>0</v>
      </c>
      <c r="CH188">
        <f t="shared" si="70"/>
        <v>0</v>
      </c>
      <c r="CI188">
        <f t="shared" si="71"/>
        <v>0</v>
      </c>
      <c r="CJ188">
        <f t="shared" si="72"/>
        <v>0</v>
      </c>
    </row>
    <row r="189" spans="1:88" outlineLevel="1" x14ac:dyDescent="0.15">
      <c r="A189" s="5"/>
      <c r="B189" s="11" t="s">
        <v>164</v>
      </c>
      <c r="C189" s="12" t="s">
        <v>258</v>
      </c>
      <c r="D189" s="11">
        <v>1010591</v>
      </c>
      <c r="E189" s="13">
        <v>20</v>
      </c>
      <c r="F189" s="12">
        <v>1</v>
      </c>
      <c r="G189" s="12"/>
      <c r="I189" s="27" t="str">
        <f t="shared" si="49"/>
        <v>·</v>
      </c>
      <c r="J189" s="28">
        <f t="shared" si="50"/>
        <v>34.57021881255622</v>
      </c>
      <c r="K189" s="28">
        <f t="shared" si="51"/>
        <v>32.437819058352986</v>
      </c>
      <c r="L189" s="28">
        <f t="shared" si="52"/>
        <v>2.1318614553266357</v>
      </c>
      <c r="M189" s="29"/>
      <c r="N189" s="28">
        <f t="shared" si="53"/>
        <v>34.57021881255622</v>
      </c>
      <c r="O189" s="30">
        <v>1010591</v>
      </c>
      <c r="P189" s="31">
        <v>34936352</v>
      </c>
      <c r="Q189" s="31">
        <v>32781368</v>
      </c>
      <c r="R189" s="31">
        <v>2154440</v>
      </c>
      <c r="S189" s="43"/>
      <c r="T189" s="44">
        <v>29.058299999999999</v>
      </c>
      <c r="U189" s="44">
        <v>34.161200000000001</v>
      </c>
      <c r="V189" s="44">
        <v>34.548499999999997</v>
      </c>
      <c r="W189" s="45"/>
      <c r="X189" s="44">
        <v>21.686399999999999</v>
      </c>
      <c r="Y189" s="44">
        <v>21.686399999999999</v>
      </c>
      <c r="Z189" s="44">
        <v>21.686399999999999</v>
      </c>
      <c r="AA189" s="45"/>
      <c r="AB189" s="51">
        <v>3.718</v>
      </c>
      <c r="AC189" s="51">
        <v>3.2810000000000001</v>
      </c>
      <c r="AE189" s="27" t="str">
        <f t="shared" si="54"/>
        <v>·</v>
      </c>
      <c r="AF189" s="28">
        <f t="shared" si="55"/>
        <v>34.640427235152501</v>
      </c>
      <c r="AG189" s="28">
        <f t="shared" si="56"/>
        <v>32.437819058352986</v>
      </c>
      <c r="AH189" s="28">
        <f t="shared" si="57"/>
        <v>2.2020698779229182</v>
      </c>
      <c r="AI189" s="29"/>
      <c r="AJ189" s="28">
        <f t="shared" si="58"/>
        <v>34.640427235152501</v>
      </c>
      <c r="AK189" s="30">
        <v>1010591</v>
      </c>
      <c r="AL189" s="31">
        <v>35007304</v>
      </c>
      <c r="AM189" s="31">
        <v>32781368</v>
      </c>
      <c r="AN189" s="31">
        <v>2225392</v>
      </c>
      <c r="AO189" s="43"/>
      <c r="AP189" s="44">
        <v>29.164400000000001</v>
      </c>
      <c r="AQ189" s="44">
        <v>34.114100000000001</v>
      </c>
      <c r="AR189" s="44">
        <v>34.6008</v>
      </c>
      <c r="AS189" s="45"/>
      <c r="AT189" s="44">
        <v>21.686399999999999</v>
      </c>
      <c r="AU189" s="44">
        <v>21.686399999999999</v>
      </c>
      <c r="AV189" s="44">
        <v>21.686399999999999</v>
      </c>
      <c r="AW189" s="45"/>
      <c r="AX189" s="51">
        <v>3.75</v>
      </c>
      <c r="AY189" s="51">
        <v>3.2650000000000001</v>
      </c>
      <c r="BA189" s="57">
        <f t="shared" si="59"/>
        <v>-1.9017590623482405E-3</v>
      </c>
      <c r="BB189" s="57"/>
      <c r="BD189" s="58"/>
      <c r="BE189" s="58"/>
      <c r="BF189" s="58"/>
      <c r="BG189" s="63"/>
      <c r="BI189" s="58"/>
      <c r="BJ189" s="58"/>
      <c r="BK189" s="58"/>
      <c r="BL189" s="63"/>
      <c r="BN189" s="58"/>
      <c r="BO189" s="58"/>
      <c r="BP189" s="58"/>
      <c r="BQ189" s="63"/>
      <c r="BS189" s="58"/>
      <c r="BT189" s="58"/>
      <c r="BU189" s="58"/>
      <c r="BV189" s="63"/>
      <c r="BX189">
        <f t="shared" si="60"/>
        <v>0</v>
      </c>
      <c r="BY189">
        <f t="shared" si="61"/>
        <v>70952</v>
      </c>
      <c r="BZ189">
        <f t="shared" si="62"/>
        <v>0</v>
      </c>
      <c r="CA189">
        <f t="shared" si="63"/>
        <v>70952</v>
      </c>
      <c r="CB189">
        <f t="shared" si="64"/>
        <v>0</v>
      </c>
      <c r="CC189">
        <f t="shared" si="65"/>
        <v>0.10610000000000142</v>
      </c>
      <c r="CD189">
        <f t="shared" si="66"/>
        <v>-4.7100000000000364E-2</v>
      </c>
      <c r="CE189">
        <f t="shared" si="67"/>
        <v>5.2300000000002456E-2</v>
      </c>
      <c r="CF189">
        <f t="shared" si="68"/>
        <v>0</v>
      </c>
      <c r="CG189">
        <f t="shared" si="69"/>
        <v>0</v>
      </c>
      <c r="CH189">
        <f t="shared" si="70"/>
        <v>0</v>
      </c>
      <c r="CI189">
        <f t="shared" si="71"/>
        <v>0</v>
      </c>
      <c r="CJ189">
        <f t="shared" si="72"/>
        <v>0</v>
      </c>
    </row>
    <row r="190" spans="1:88" x14ac:dyDescent="0.15">
      <c r="A190" s="8"/>
      <c r="B190" s="8" t="s">
        <v>165</v>
      </c>
      <c r="C190" s="9" t="s">
        <v>254</v>
      </c>
      <c r="D190" s="8">
        <v>47062002</v>
      </c>
      <c r="E190" s="10">
        <v>16</v>
      </c>
      <c r="F190" s="9">
        <v>1</v>
      </c>
      <c r="G190" s="9"/>
      <c r="I190" s="22" t="str">
        <f t="shared" si="49"/>
        <v>·</v>
      </c>
      <c r="J190" s="23">
        <f t="shared" si="50"/>
        <v>16.534812607419465</v>
      </c>
      <c r="K190" s="23">
        <f t="shared" si="51"/>
        <v>11.060105942794358</v>
      </c>
      <c r="L190" s="23">
        <f t="shared" si="52"/>
        <v>5.4745983819387876</v>
      </c>
      <c r="M190" s="24"/>
      <c r="N190" s="23">
        <f t="shared" si="53"/>
        <v>16.534812607419465</v>
      </c>
      <c r="O190" s="25">
        <v>47062002</v>
      </c>
      <c r="P190" s="26">
        <v>778161384</v>
      </c>
      <c r="Q190" s="26">
        <v>520510728</v>
      </c>
      <c r="R190" s="26">
        <v>257645560</v>
      </c>
      <c r="S190" s="40"/>
      <c r="T190" s="41">
        <v>52.8994</v>
      </c>
      <c r="U190" s="41">
        <v>55.920099999999998</v>
      </c>
      <c r="V190" s="41">
        <v>55.836599999999997</v>
      </c>
      <c r="W190" s="42"/>
      <c r="X190" s="41">
        <v>48.130800000000001</v>
      </c>
      <c r="Y190" s="41">
        <v>48.130800000000001</v>
      </c>
      <c r="Z190" s="41">
        <v>48.130800000000001</v>
      </c>
      <c r="AA190" s="42"/>
      <c r="AB190" s="50">
        <v>103.75</v>
      </c>
      <c r="AC190" s="50">
        <v>91.078000000000003</v>
      </c>
      <c r="AE190" s="22" t="str">
        <f t="shared" si="54"/>
        <v>·</v>
      </c>
      <c r="AF190" s="23">
        <f t="shared" si="55"/>
        <v>16.595366597451591</v>
      </c>
      <c r="AG190" s="23">
        <f t="shared" si="56"/>
        <v>11.060105942794358</v>
      </c>
      <c r="AH190" s="23">
        <f t="shared" si="57"/>
        <v>5.5351523719709164</v>
      </c>
      <c r="AI190" s="24"/>
      <c r="AJ190" s="23">
        <f t="shared" si="58"/>
        <v>16.595366597451591</v>
      </c>
      <c r="AK190" s="25">
        <v>47062002</v>
      </c>
      <c r="AL190" s="26">
        <v>781011176</v>
      </c>
      <c r="AM190" s="26">
        <v>520510728</v>
      </c>
      <c r="AN190" s="26">
        <v>260495352</v>
      </c>
      <c r="AO190" s="40"/>
      <c r="AP190" s="41">
        <v>52.905500000000004</v>
      </c>
      <c r="AQ190" s="41">
        <v>55.909100000000002</v>
      </c>
      <c r="AR190" s="41">
        <v>55.826799999999999</v>
      </c>
      <c r="AS190" s="42"/>
      <c r="AT190" s="41">
        <v>48.130800000000001</v>
      </c>
      <c r="AU190" s="41">
        <v>48.130800000000001</v>
      </c>
      <c r="AV190" s="41">
        <v>48.130800000000001</v>
      </c>
      <c r="AW190" s="42"/>
      <c r="AX190" s="50">
        <v>104.703</v>
      </c>
      <c r="AY190" s="50">
        <v>91.186999999999998</v>
      </c>
      <c r="BA190" s="55">
        <f t="shared" si="59"/>
        <v>-2.4407085591080513E-3</v>
      </c>
      <c r="BB190" s="55">
        <f t="array" ref="BB190">AVERAGE(AM190:AM194/AL190:AL194)-AVERAGE(Q190:Q194/P190:P194)</f>
        <v>-3.8130685647113083E-3</v>
      </c>
      <c r="BD190" s="56">
        <f>IF(OR(ISBLANK(R190:R194),ISBLANK(AN190:AN194),ISBLANK(T190:T194),ISBLANK(AP190:AP194)),"·",bdRateExtend(R190:R194,T190:T194,AN190:AN194,AP190:AP194))</f>
        <v>3.4615433517511063E-2</v>
      </c>
      <c r="BE190" s="56">
        <f>IF(OR(ISBLANK(R190:R194),ISBLANK(AN190:AN194),ISBLANK(U190:U194),ISBLANK(AQ190:AQ194)),"·",bdRateExtend(R190:R194,U190:U194,AN190:AN194,AQ190:AQ194))</f>
        <v>4.017108506558098E-2</v>
      </c>
      <c r="BF190" s="56">
        <f>IF(OR(ISBLANK(R190:R194),ISBLANK(AN190:AN194),ISBLANK(V190:V194),ISBLANK(AR190:AR194)),"·",bdRateExtend(R190:R194,V190:V194,AN190:AN194,AR190:AR194))</f>
        <v>3.2358017856004118E-2</v>
      </c>
      <c r="BG190" s="62"/>
      <c r="BI190" s="56">
        <f>IF(OR(ISBLANK(R190:R194),ISBLANK(AN190:AN194),ISBLANK(X190:X194),ISBLANK(AT190:AT194)),"·",bdRateExtend(R190:R194,X190:X194,AN190:AN194,AT190:AT194))</f>
        <v>3.5884498261844255E-2</v>
      </c>
      <c r="BJ190" s="56">
        <f>IF(OR(ISBLANK(R190:R194),ISBLANK(AN190:AN194),ISBLANK(Y190:Y194),ISBLANK(AU190:AU194)),"·",bdRateExtend(R190:R194,Y190:Y194,AN190:AN194,AU190:AU194))</f>
        <v>3.5884498261844255E-2</v>
      </c>
      <c r="BK190" s="56">
        <f>IF(OR(ISBLANK(R190:R194),ISBLANK(AN190:AN194),ISBLANK(Z190:Z194),ISBLANK(AV190:AV194)),"·",bdRateExtend(R190:R194,Z190:Z194,AN190:AN194,AV190:AV194))</f>
        <v>3.5884498261844255E-2</v>
      </c>
      <c r="BL190" s="62"/>
      <c r="BN190" s="56">
        <f>IF(OR(ISBLANK(P190:P194),ISBLANK(AL190:AL194),ISBLANK(T190:T194),ISBLANK(AP190:AP194)),"·",bdRateExtend(P190:P194,T190:T194,AL190:AL194,AP190:AP194))</f>
        <v>4.6843508607696815E-3</v>
      </c>
      <c r="BO190" s="56">
        <f>IF(OR(ISBLANK(P190:P194),ISBLANK(AL190:AL194),ISBLANK(U190:U194),ISBLANK(AQ190:AQ194)),"·",bdRateExtend(P190:P194,U190:U194,AL190:AL194,AQ190:AQ194))</f>
        <v>5.2933712636216157E-3</v>
      </c>
      <c r="BP190" s="56">
        <f>IF(OR(ISBLANK(P190:P194),ISBLANK(AL190:AL194),ISBLANK(V190:V194),ISBLANK(AR190:AR194)),"·",bdRateExtend(P190:P194,V190:V194,AL190:AL194,AR190:AR194))</f>
        <v>4.6251025456582884E-3</v>
      </c>
      <c r="BQ190" s="62"/>
      <c r="BS190" s="56">
        <f>IF(OR(ISBLANK(P190:P194),ISBLANK(AL190:AL194),ISBLANK(X190:X194),ISBLANK(AT190:AT194)),"·",bdRateExtend(P190:P194,X190:X194,AL190:AL194,AT190:AT194))</f>
        <v>4.8837195778046461E-3</v>
      </c>
      <c r="BT190" s="56">
        <f>IF(OR(ISBLANK(P190:P194),ISBLANK(AL190:AL194),ISBLANK(Y190:Y194),ISBLANK(AU190:AU194)),"·",bdRateExtend(P190:P194,Y190:Y194,AL190:AL194,AU190:AU194))</f>
        <v>4.8837195778046461E-3</v>
      </c>
      <c r="BU190" s="56">
        <f>IF(OR(ISBLANK(P190:P194),ISBLANK(AL190:AL194),ISBLANK(Z190:Z194),ISBLANK(AV190:AV194)),"·",bdRateExtend(P190:P194,Z190:Z194,AL190:AL194,AV190:AV194))</f>
        <v>4.8837195778046461E-3</v>
      </c>
      <c r="BV190" s="62"/>
      <c r="BX190">
        <f t="shared" si="60"/>
        <v>0</v>
      </c>
      <c r="BY190">
        <f t="shared" si="61"/>
        <v>2849792</v>
      </c>
      <c r="BZ190">
        <f t="shared" si="62"/>
        <v>0</v>
      </c>
      <c r="CA190">
        <f t="shared" si="63"/>
        <v>2849792</v>
      </c>
      <c r="CB190">
        <f t="shared" si="64"/>
        <v>0</v>
      </c>
      <c r="CC190">
        <f t="shared" si="65"/>
        <v>6.100000000003547E-3</v>
      </c>
      <c r="CD190">
        <f t="shared" si="66"/>
        <v>-1.099999999999568E-2</v>
      </c>
      <c r="CE190">
        <f t="shared" si="67"/>
        <v>-9.7999999999984766E-3</v>
      </c>
      <c r="CF190">
        <f t="shared" si="68"/>
        <v>0</v>
      </c>
      <c r="CG190">
        <f t="shared" si="69"/>
        <v>0</v>
      </c>
      <c r="CH190">
        <f t="shared" si="70"/>
        <v>0</v>
      </c>
      <c r="CI190">
        <f t="shared" si="71"/>
        <v>0</v>
      </c>
      <c r="CJ190">
        <f t="shared" si="72"/>
        <v>0</v>
      </c>
    </row>
    <row r="191" spans="1:88" outlineLevel="1" x14ac:dyDescent="0.15">
      <c r="A191" s="5"/>
      <c r="B191" s="5" t="s">
        <v>165</v>
      </c>
      <c r="C191" s="6" t="s">
        <v>255</v>
      </c>
      <c r="D191" s="5">
        <v>47062002</v>
      </c>
      <c r="E191" s="7">
        <v>16</v>
      </c>
      <c r="F191" s="6">
        <v>1</v>
      </c>
      <c r="G191" s="6"/>
      <c r="I191" s="17" t="str">
        <f t="shared" si="49"/>
        <v>·</v>
      </c>
      <c r="J191" s="18">
        <f t="shared" si="50"/>
        <v>14.858569255086088</v>
      </c>
      <c r="K191" s="18">
        <f t="shared" si="51"/>
        <v>11.060105942794358</v>
      </c>
      <c r="L191" s="18">
        <f t="shared" si="52"/>
        <v>3.7983550296054127</v>
      </c>
      <c r="M191" s="19"/>
      <c r="N191" s="18">
        <f t="shared" si="53"/>
        <v>14.858569255086088</v>
      </c>
      <c r="O191" s="20">
        <v>47062002</v>
      </c>
      <c r="P191" s="21">
        <v>699274016</v>
      </c>
      <c r="Q191" s="21">
        <v>520510728</v>
      </c>
      <c r="R191" s="21">
        <v>178758192</v>
      </c>
      <c r="S191" s="37"/>
      <c r="T191" s="38">
        <v>48.377200000000002</v>
      </c>
      <c r="U191" s="38">
        <v>51.375300000000003</v>
      </c>
      <c r="V191" s="38">
        <v>51.388199999999998</v>
      </c>
      <c r="W191" s="39"/>
      <c r="X191" s="38">
        <v>42.110199999999999</v>
      </c>
      <c r="Y191" s="38">
        <v>42.110199999999999</v>
      </c>
      <c r="Z191" s="38">
        <v>42.110199999999999</v>
      </c>
      <c r="AA191" s="39"/>
      <c r="AB191" s="49">
        <v>102.60899999999999</v>
      </c>
      <c r="AC191" s="49">
        <v>90.281000000000006</v>
      </c>
      <c r="AE191" s="17" t="str">
        <f t="shared" si="54"/>
        <v>·</v>
      </c>
      <c r="AF191" s="18">
        <f t="shared" si="55"/>
        <v>14.930105863324727</v>
      </c>
      <c r="AG191" s="18">
        <f t="shared" si="56"/>
        <v>11.060105942794358</v>
      </c>
      <c r="AH191" s="18">
        <f t="shared" si="57"/>
        <v>3.8698916378440509</v>
      </c>
      <c r="AI191" s="19"/>
      <c r="AJ191" s="18">
        <f t="shared" si="58"/>
        <v>14.930105863324727</v>
      </c>
      <c r="AK191" s="20">
        <v>47062002</v>
      </c>
      <c r="AL191" s="21">
        <v>702640672</v>
      </c>
      <c r="AM191" s="21">
        <v>520510728</v>
      </c>
      <c r="AN191" s="21">
        <v>182124848</v>
      </c>
      <c r="AO191" s="37"/>
      <c r="AP191" s="38">
        <v>48.381999999999998</v>
      </c>
      <c r="AQ191" s="38">
        <v>51.370100000000001</v>
      </c>
      <c r="AR191" s="38">
        <v>51.3887</v>
      </c>
      <c r="AS191" s="39"/>
      <c r="AT191" s="38">
        <v>42.110199999999999</v>
      </c>
      <c r="AU191" s="38">
        <v>42.110199999999999</v>
      </c>
      <c r="AV191" s="38">
        <v>42.110199999999999</v>
      </c>
      <c r="AW191" s="39"/>
      <c r="AX191" s="49">
        <v>105.515</v>
      </c>
      <c r="AY191" s="49">
        <v>90.703000000000003</v>
      </c>
      <c r="BA191" s="53">
        <f t="shared" si="59"/>
        <v>-3.5665453627208299E-3</v>
      </c>
      <c r="BB191" s="53"/>
      <c r="BD191" s="54"/>
      <c r="BE191" s="54"/>
      <c r="BF191" s="54"/>
      <c r="BG191" s="61"/>
      <c r="BI191" s="54"/>
      <c r="BJ191" s="54"/>
      <c r="BK191" s="54"/>
      <c r="BL191" s="61"/>
      <c r="BN191" s="54"/>
      <c r="BO191" s="54"/>
      <c r="BP191" s="54"/>
      <c r="BQ191" s="61"/>
      <c r="BS191" s="54"/>
      <c r="BT191" s="54"/>
      <c r="BU191" s="54"/>
      <c r="BV191" s="61"/>
      <c r="BX191">
        <f t="shared" si="60"/>
        <v>0</v>
      </c>
      <c r="BY191">
        <f t="shared" si="61"/>
        <v>3366656</v>
      </c>
      <c r="BZ191">
        <f t="shared" si="62"/>
        <v>0</v>
      </c>
      <c r="CA191">
        <f t="shared" si="63"/>
        <v>3366656</v>
      </c>
      <c r="CB191">
        <f t="shared" si="64"/>
        <v>0</v>
      </c>
      <c r="CC191">
        <f t="shared" si="65"/>
        <v>4.7999999999959186E-3</v>
      </c>
      <c r="CD191">
        <f t="shared" si="66"/>
        <v>-5.2000000000020918E-3</v>
      </c>
      <c r="CE191">
        <f t="shared" si="67"/>
        <v>5.0000000000238742E-4</v>
      </c>
      <c r="CF191">
        <f t="shared" si="68"/>
        <v>0</v>
      </c>
      <c r="CG191">
        <f t="shared" si="69"/>
        <v>0</v>
      </c>
      <c r="CH191">
        <f t="shared" si="70"/>
        <v>0</v>
      </c>
      <c r="CI191">
        <f t="shared" si="71"/>
        <v>0</v>
      </c>
      <c r="CJ191">
        <f t="shared" si="72"/>
        <v>0</v>
      </c>
    </row>
    <row r="192" spans="1:88" outlineLevel="1" x14ac:dyDescent="0.15">
      <c r="A192" s="8"/>
      <c r="B192" s="8" t="s">
        <v>165</v>
      </c>
      <c r="C192" s="9" t="s">
        <v>256</v>
      </c>
      <c r="D192" s="8">
        <v>47062002</v>
      </c>
      <c r="E192" s="10">
        <v>16</v>
      </c>
      <c r="F192" s="9">
        <v>1</v>
      </c>
      <c r="G192" s="9"/>
      <c r="I192" s="22" t="str">
        <f t="shared" si="49"/>
        <v>·</v>
      </c>
      <c r="J192" s="23">
        <f t="shared" si="50"/>
        <v>13.190592274421306</v>
      </c>
      <c r="K192" s="23">
        <f t="shared" si="51"/>
        <v>11.060105942794358</v>
      </c>
      <c r="L192" s="23">
        <f t="shared" si="52"/>
        <v>2.1303780489406292</v>
      </c>
      <c r="M192" s="24"/>
      <c r="N192" s="23">
        <f t="shared" si="53"/>
        <v>13.190592274421306</v>
      </c>
      <c r="O192" s="25">
        <v>47062002</v>
      </c>
      <c r="P192" s="26">
        <v>620775680</v>
      </c>
      <c r="Q192" s="26">
        <v>520510728</v>
      </c>
      <c r="R192" s="26">
        <v>100259856</v>
      </c>
      <c r="S192" s="40"/>
      <c r="T192" s="41">
        <v>41.445500000000003</v>
      </c>
      <c r="U192" s="41">
        <v>45.759599999999999</v>
      </c>
      <c r="V192" s="41">
        <v>46.169699999999999</v>
      </c>
      <c r="W192" s="42"/>
      <c r="X192" s="41">
        <v>34.151400000000002</v>
      </c>
      <c r="Y192" s="41">
        <v>34.151400000000002</v>
      </c>
      <c r="Z192" s="41">
        <v>34.151400000000002</v>
      </c>
      <c r="AA192" s="42"/>
      <c r="AB192" s="50">
        <v>102</v>
      </c>
      <c r="AC192" s="50">
        <v>89.968000000000004</v>
      </c>
      <c r="AE192" s="22" t="str">
        <f t="shared" si="54"/>
        <v>·</v>
      </c>
      <c r="AF192" s="23">
        <f t="shared" si="55"/>
        <v>13.259740883951345</v>
      </c>
      <c r="AG192" s="23">
        <f t="shared" si="56"/>
        <v>11.060105942794358</v>
      </c>
      <c r="AH192" s="23">
        <f t="shared" si="57"/>
        <v>2.1995266584706701</v>
      </c>
      <c r="AI192" s="24"/>
      <c r="AJ192" s="23">
        <f t="shared" si="58"/>
        <v>13.259740883951345</v>
      </c>
      <c r="AK192" s="25">
        <v>47062002</v>
      </c>
      <c r="AL192" s="26">
        <v>624029952</v>
      </c>
      <c r="AM192" s="26">
        <v>520510728</v>
      </c>
      <c r="AN192" s="26">
        <v>103514128</v>
      </c>
      <c r="AO192" s="40"/>
      <c r="AP192" s="41">
        <v>41.455199999999998</v>
      </c>
      <c r="AQ192" s="41">
        <v>45.734299999999998</v>
      </c>
      <c r="AR192" s="41">
        <v>46.170200000000001</v>
      </c>
      <c r="AS192" s="42"/>
      <c r="AT192" s="41">
        <v>34.151400000000002</v>
      </c>
      <c r="AU192" s="41">
        <v>34.151400000000002</v>
      </c>
      <c r="AV192" s="41">
        <v>34.151400000000002</v>
      </c>
      <c r="AW192" s="42"/>
      <c r="AX192" s="50">
        <v>102.53100000000001</v>
      </c>
      <c r="AY192" s="50">
        <v>89.983999999999995</v>
      </c>
      <c r="BA192" s="55">
        <f t="shared" si="59"/>
        <v>-4.3726367937717558E-3</v>
      </c>
      <c r="BB192" s="55"/>
      <c r="BD192" s="56"/>
      <c r="BE192" s="56"/>
      <c r="BF192" s="56"/>
      <c r="BG192" s="62"/>
      <c r="BI192" s="56"/>
      <c r="BJ192" s="56"/>
      <c r="BK192" s="56"/>
      <c r="BL192" s="62"/>
      <c r="BN192" s="56"/>
      <c r="BO192" s="56"/>
      <c r="BP192" s="56"/>
      <c r="BQ192" s="62"/>
      <c r="BS192" s="56"/>
      <c r="BT192" s="56"/>
      <c r="BU192" s="56"/>
      <c r="BV192" s="62"/>
      <c r="BX192">
        <f t="shared" si="60"/>
        <v>0</v>
      </c>
      <c r="BY192">
        <f t="shared" si="61"/>
        <v>3254272</v>
      </c>
      <c r="BZ192">
        <f t="shared" si="62"/>
        <v>0</v>
      </c>
      <c r="CA192">
        <f t="shared" si="63"/>
        <v>3254272</v>
      </c>
      <c r="CB192">
        <f t="shared" si="64"/>
        <v>0</v>
      </c>
      <c r="CC192">
        <f t="shared" si="65"/>
        <v>9.6999999999951569E-3</v>
      </c>
      <c r="CD192">
        <f t="shared" si="66"/>
        <v>-2.5300000000001432E-2</v>
      </c>
      <c r="CE192">
        <f t="shared" si="67"/>
        <v>5.0000000000238742E-4</v>
      </c>
      <c r="CF192">
        <f t="shared" si="68"/>
        <v>0</v>
      </c>
      <c r="CG192">
        <f t="shared" si="69"/>
        <v>0</v>
      </c>
      <c r="CH192">
        <f t="shared" si="70"/>
        <v>0</v>
      </c>
      <c r="CI192">
        <f t="shared" si="71"/>
        <v>0</v>
      </c>
      <c r="CJ192">
        <f t="shared" si="72"/>
        <v>0</v>
      </c>
    </row>
    <row r="193" spans="1:88" outlineLevel="1" x14ac:dyDescent="0.15">
      <c r="A193" s="5"/>
      <c r="B193" s="5" t="s">
        <v>165</v>
      </c>
      <c r="C193" s="6" t="s">
        <v>257</v>
      </c>
      <c r="D193" s="5">
        <v>47062002</v>
      </c>
      <c r="E193" s="7">
        <v>16</v>
      </c>
      <c r="F193" s="6">
        <v>1</v>
      </c>
      <c r="G193" s="6"/>
      <c r="I193" s="17" t="str">
        <f t="shared" si="49"/>
        <v>·</v>
      </c>
      <c r="J193" s="18">
        <f t="shared" si="50"/>
        <v>12.31259052685434</v>
      </c>
      <c r="K193" s="18">
        <f t="shared" si="51"/>
        <v>11.060105942794358</v>
      </c>
      <c r="L193" s="18">
        <f t="shared" si="52"/>
        <v>1.2523763013736644</v>
      </c>
      <c r="M193" s="19"/>
      <c r="N193" s="18">
        <f t="shared" si="53"/>
        <v>12.31259052685434</v>
      </c>
      <c r="O193" s="20">
        <v>47062002</v>
      </c>
      <c r="P193" s="21">
        <v>579455160</v>
      </c>
      <c r="Q193" s="21">
        <v>520510728</v>
      </c>
      <c r="R193" s="21">
        <v>58939336</v>
      </c>
      <c r="S193" s="37"/>
      <c r="T193" s="38">
        <v>35.805500000000002</v>
      </c>
      <c r="U193" s="38">
        <v>40.960500000000003</v>
      </c>
      <c r="V193" s="38">
        <v>41.622300000000003</v>
      </c>
      <c r="W193" s="39"/>
      <c r="X193" s="38">
        <v>28.130800000000001</v>
      </c>
      <c r="Y193" s="38">
        <v>28.130800000000001</v>
      </c>
      <c r="Z193" s="38">
        <v>28.130800000000001</v>
      </c>
      <c r="AA193" s="39"/>
      <c r="AB193" s="49">
        <v>101.39</v>
      </c>
      <c r="AC193" s="49">
        <v>89.14</v>
      </c>
      <c r="AE193" s="17" t="str">
        <f t="shared" si="54"/>
        <v>·</v>
      </c>
      <c r="AF193" s="18">
        <f t="shared" si="55"/>
        <v>12.376468472378205</v>
      </c>
      <c r="AG193" s="18">
        <f t="shared" si="56"/>
        <v>11.060105942794358</v>
      </c>
      <c r="AH193" s="18">
        <f t="shared" si="57"/>
        <v>1.3162542468975289</v>
      </c>
      <c r="AI193" s="19"/>
      <c r="AJ193" s="18">
        <f t="shared" si="58"/>
        <v>12.376468472378205</v>
      </c>
      <c r="AK193" s="20">
        <v>47062002</v>
      </c>
      <c r="AL193" s="21">
        <v>582461384</v>
      </c>
      <c r="AM193" s="21">
        <v>520510728</v>
      </c>
      <c r="AN193" s="21">
        <v>61945560</v>
      </c>
      <c r="AO193" s="37"/>
      <c r="AP193" s="38">
        <v>35.818800000000003</v>
      </c>
      <c r="AQ193" s="38">
        <v>40.893999999999998</v>
      </c>
      <c r="AR193" s="38">
        <v>41.660600000000002</v>
      </c>
      <c r="AS193" s="39"/>
      <c r="AT193" s="38">
        <v>28.130800000000001</v>
      </c>
      <c r="AU193" s="38">
        <v>28.130800000000001</v>
      </c>
      <c r="AV193" s="38">
        <v>28.130800000000001</v>
      </c>
      <c r="AW193" s="39"/>
      <c r="AX193" s="49">
        <v>102.093</v>
      </c>
      <c r="AY193" s="49">
        <v>89.156000000000006</v>
      </c>
      <c r="BA193" s="53">
        <f t="shared" si="59"/>
        <v>-4.6362201506343625E-3</v>
      </c>
      <c r="BB193" s="53"/>
      <c r="BD193" s="54"/>
      <c r="BE193" s="54"/>
      <c r="BF193" s="54"/>
      <c r="BG193" s="61"/>
      <c r="BI193" s="54"/>
      <c r="BJ193" s="54"/>
      <c r="BK193" s="54"/>
      <c r="BL193" s="61"/>
      <c r="BN193" s="54"/>
      <c r="BO193" s="54"/>
      <c r="BP193" s="54"/>
      <c r="BQ193" s="61"/>
      <c r="BS193" s="54"/>
      <c r="BT193" s="54"/>
      <c r="BU193" s="54"/>
      <c r="BV193" s="61"/>
      <c r="BX193">
        <f t="shared" si="60"/>
        <v>0</v>
      </c>
      <c r="BY193">
        <f t="shared" si="61"/>
        <v>3006224</v>
      </c>
      <c r="BZ193">
        <f t="shared" si="62"/>
        <v>0</v>
      </c>
      <c r="CA193">
        <f t="shared" si="63"/>
        <v>3006224</v>
      </c>
      <c r="CB193">
        <f t="shared" si="64"/>
        <v>0</v>
      </c>
      <c r="CC193">
        <f t="shared" si="65"/>
        <v>1.3300000000000978E-2</v>
      </c>
      <c r="CD193">
        <f t="shared" si="66"/>
        <v>-6.6500000000004889E-2</v>
      </c>
      <c r="CE193">
        <f t="shared" si="67"/>
        <v>3.8299999999999557E-2</v>
      </c>
      <c r="CF193">
        <f t="shared" si="68"/>
        <v>0</v>
      </c>
      <c r="CG193">
        <f t="shared" si="69"/>
        <v>0</v>
      </c>
      <c r="CH193">
        <f t="shared" si="70"/>
        <v>0</v>
      </c>
      <c r="CI193">
        <f t="shared" si="71"/>
        <v>0</v>
      </c>
      <c r="CJ193">
        <f t="shared" si="72"/>
        <v>0</v>
      </c>
    </row>
    <row r="194" spans="1:88" outlineLevel="1" x14ac:dyDescent="0.15">
      <c r="A194" s="8"/>
      <c r="B194" s="14" t="s">
        <v>165</v>
      </c>
      <c r="C194" s="15" t="s">
        <v>258</v>
      </c>
      <c r="D194" s="14">
        <v>47062002</v>
      </c>
      <c r="E194" s="16">
        <v>16</v>
      </c>
      <c r="F194" s="15">
        <v>1</v>
      </c>
      <c r="G194" s="15"/>
      <c r="I194" s="32" t="str">
        <f t="shared" si="49"/>
        <v>·</v>
      </c>
      <c r="J194" s="33">
        <f t="shared" si="50"/>
        <v>11.68301051026261</v>
      </c>
      <c r="K194" s="33">
        <f t="shared" si="51"/>
        <v>11.060105942794358</v>
      </c>
      <c r="L194" s="33">
        <f t="shared" si="52"/>
        <v>0.62279628478193516</v>
      </c>
      <c r="M194" s="34"/>
      <c r="N194" s="33">
        <f t="shared" si="53"/>
        <v>11.68301051026261</v>
      </c>
      <c r="O194" s="35">
        <v>47062002</v>
      </c>
      <c r="P194" s="36">
        <v>549825864</v>
      </c>
      <c r="Q194" s="36">
        <v>520510728</v>
      </c>
      <c r="R194" s="36">
        <v>29310040</v>
      </c>
      <c r="S194" s="46"/>
      <c r="T194" s="47">
        <v>29.473500000000001</v>
      </c>
      <c r="U194" s="47">
        <v>35.696399999999997</v>
      </c>
      <c r="V194" s="47">
        <v>36.864600000000003</v>
      </c>
      <c r="W194" s="48"/>
      <c r="X194" s="47">
        <v>21.686399999999999</v>
      </c>
      <c r="Y194" s="47">
        <v>21.686399999999999</v>
      </c>
      <c r="Z194" s="47">
        <v>21.686399999999999</v>
      </c>
      <c r="AA194" s="48"/>
      <c r="AB194" s="52">
        <v>100.79600000000001</v>
      </c>
      <c r="AC194" s="52">
        <v>89.125</v>
      </c>
      <c r="AE194" s="32" t="str">
        <f t="shared" si="54"/>
        <v>·</v>
      </c>
      <c r="AF194" s="33">
        <f t="shared" si="55"/>
        <v>11.733196730559825</v>
      </c>
      <c r="AG194" s="33">
        <f t="shared" si="56"/>
        <v>11.060105942794358</v>
      </c>
      <c r="AH194" s="33">
        <f t="shared" si="57"/>
        <v>0.67298250507915069</v>
      </c>
      <c r="AI194" s="34"/>
      <c r="AJ194" s="33">
        <f t="shared" si="58"/>
        <v>11.733196730559825</v>
      </c>
      <c r="AK194" s="35">
        <v>47062002</v>
      </c>
      <c r="AL194" s="36">
        <v>552187728</v>
      </c>
      <c r="AM194" s="36">
        <v>520510728</v>
      </c>
      <c r="AN194" s="36">
        <v>31671904</v>
      </c>
      <c r="AO194" s="46"/>
      <c r="AP194" s="47">
        <v>29.637</v>
      </c>
      <c r="AQ194" s="47">
        <v>35.682000000000002</v>
      </c>
      <c r="AR194" s="47">
        <v>37.013800000000003</v>
      </c>
      <c r="AS194" s="48"/>
      <c r="AT194" s="47">
        <v>21.686399999999999</v>
      </c>
      <c r="AU194" s="47">
        <v>21.686399999999999</v>
      </c>
      <c r="AV194" s="47">
        <v>21.686399999999999</v>
      </c>
      <c r="AW194" s="48"/>
      <c r="AX194" s="52">
        <v>101.875</v>
      </c>
      <c r="AY194" s="52">
        <v>89</v>
      </c>
      <c r="BA194" s="59">
        <f t="shared" si="59"/>
        <v>-4.0492319573218749E-3</v>
      </c>
      <c r="BB194" s="59"/>
      <c r="BD194" s="60"/>
      <c r="BE194" s="60"/>
      <c r="BF194" s="60"/>
      <c r="BG194" s="64"/>
      <c r="BI194" s="60"/>
      <c r="BJ194" s="60"/>
      <c r="BK194" s="60"/>
      <c r="BL194" s="64"/>
      <c r="BN194" s="60"/>
      <c r="BO194" s="60"/>
      <c r="BP194" s="60"/>
      <c r="BQ194" s="64"/>
      <c r="BS194" s="60"/>
      <c r="BT194" s="60"/>
      <c r="BU194" s="60"/>
      <c r="BV194" s="64"/>
      <c r="BX194">
        <f t="shared" si="60"/>
        <v>0</v>
      </c>
      <c r="BY194">
        <f t="shared" si="61"/>
        <v>2361864</v>
      </c>
      <c r="BZ194">
        <f t="shared" si="62"/>
        <v>0</v>
      </c>
      <c r="CA194">
        <f t="shared" si="63"/>
        <v>2361864</v>
      </c>
      <c r="CB194">
        <f t="shared" si="64"/>
        <v>0</v>
      </c>
      <c r="CC194">
        <f t="shared" si="65"/>
        <v>0.16349999999999909</v>
      </c>
      <c r="CD194">
        <f t="shared" si="66"/>
        <v>-1.4399999999994861E-2</v>
      </c>
      <c r="CE194">
        <f t="shared" si="67"/>
        <v>0.14920000000000044</v>
      </c>
      <c r="CF194">
        <f t="shared" si="68"/>
        <v>0</v>
      </c>
      <c r="CG194">
        <f t="shared" si="69"/>
        <v>0</v>
      </c>
      <c r="CH194">
        <f t="shared" si="70"/>
        <v>0</v>
      </c>
      <c r="CI194">
        <f t="shared" si="71"/>
        <v>0</v>
      </c>
      <c r="CJ194">
        <f t="shared" si="72"/>
        <v>0</v>
      </c>
    </row>
    <row r="195" spans="1:88" x14ac:dyDescent="0.15">
      <c r="A195" s="5"/>
      <c r="B195" s="5" t="s">
        <v>166</v>
      </c>
      <c r="C195" s="6" t="s">
        <v>254</v>
      </c>
      <c r="D195" s="5">
        <v>47062018</v>
      </c>
      <c r="E195" s="7">
        <v>20</v>
      </c>
      <c r="F195" s="6">
        <v>1</v>
      </c>
      <c r="G195" s="6"/>
      <c r="I195" s="17" t="str">
        <f t="shared" si="49"/>
        <v>·</v>
      </c>
      <c r="J195" s="18">
        <f t="shared" si="50"/>
        <v>16.84318050279952</v>
      </c>
      <c r="K195" s="18">
        <f t="shared" si="51"/>
        <v>11.370199722417343</v>
      </c>
      <c r="L195" s="18">
        <f t="shared" si="52"/>
        <v>5.472872327744212</v>
      </c>
      <c r="M195" s="19"/>
      <c r="N195" s="18">
        <f t="shared" si="53"/>
        <v>16.84318050279952</v>
      </c>
      <c r="O195" s="20">
        <v>47062018</v>
      </c>
      <c r="P195" s="21">
        <v>792674064</v>
      </c>
      <c r="Q195" s="21">
        <v>535104544</v>
      </c>
      <c r="R195" s="21">
        <v>257564416</v>
      </c>
      <c r="S195" s="37"/>
      <c r="T195" s="38">
        <v>52.900500000000001</v>
      </c>
      <c r="U195" s="38">
        <v>55.926499999999997</v>
      </c>
      <c r="V195" s="38">
        <v>55.838999999999999</v>
      </c>
      <c r="W195" s="39"/>
      <c r="X195" s="38">
        <v>48.130800000000001</v>
      </c>
      <c r="Y195" s="38">
        <v>48.130800000000001</v>
      </c>
      <c r="Z195" s="38">
        <v>48.130800000000001</v>
      </c>
      <c r="AA195" s="39"/>
      <c r="AB195" s="49">
        <v>139.53100000000001</v>
      </c>
      <c r="AC195" s="49">
        <v>123.203</v>
      </c>
      <c r="AE195" s="17" t="str">
        <f t="shared" si="54"/>
        <v>·</v>
      </c>
      <c r="AF195" s="18">
        <f t="shared" si="55"/>
        <v>16.903571963276203</v>
      </c>
      <c r="AG195" s="18">
        <f t="shared" si="56"/>
        <v>11.370199722417343</v>
      </c>
      <c r="AH195" s="18">
        <f t="shared" si="57"/>
        <v>5.5332637882208964</v>
      </c>
      <c r="AI195" s="19"/>
      <c r="AJ195" s="18">
        <f t="shared" si="58"/>
        <v>16.903571963276203</v>
      </c>
      <c r="AK195" s="20">
        <v>47062018</v>
      </c>
      <c r="AL195" s="21">
        <v>795516208</v>
      </c>
      <c r="AM195" s="21">
        <v>535104544</v>
      </c>
      <c r="AN195" s="21">
        <v>260406560</v>
      </c>
      <c r="AO195" s="37"/>
      <c r="AP195" s="38">
        <v>52.905900000000003</v>
      </c>
      <c r="AQ195" s="38">
        <v>55.913899999999998</v>
      </c>
      <c r="AR195" s="38">
        <v>55.824599999999997</v>
      </c>
      <c r="AS195" s="39"/>
      <c r="AT195" s="38">
        <v>48.130800000000001</v>
      </c>
      <c r="AU195" s="38">
        <v>48.130800000000001</v>
      </c>
      <c r="AV195" s="38">
        <v>48.130800000000001</v>
      </c>
      <c r="AW195" s="39"/>
      <c r="AX195" s="49">
        <v>140.42099999999999</v>
      </c>
      <c r="AY195" s="49">
        <v>123.265</v>
      </c>
      <c r="BA195" s="53">
        <f t="shared" si="59"/>
        <v>-2.4117985853658874E-3</v>
      </c>
      <c r="BB195" s="53">
        <f t="array" ref="BB195">AVERAGE(AM195:AM199/AL195:AL199)-AVERAGE(Q195:Q199/P195:P199)</f>
        <v>-3.7323604611273486E-3</v>
      </c>
      <c r="BD195" s="54">
        <f>IF(OR(ISBLANK(R195:R199),ISBLANK(AN195:AN199),ISBLANK(T195:T199),ISBLANK(AP195:AP199)),"·",bdRateExtend(R195:R199,T195:T199,AN195:AN199,AP195:AP199))</f>
        <v>3.4047852711318161E-2</v>
      </c>
      <c r="BE195" s="54">
        <f>IF(OR(ISBLANK(R195:R199),ISBLANK(AN195:AN199),ISBLANK(U195:U199),ISBLANK(AQ195:AQ199)),"·",bdRateExtend(R195:R199,U195:U199,AN195:AN199,AQ195:AQ199))</f>
        <v>4.0523853405284305E-2</v>
      </c>
      <c r="BF195" s="54">
        <f>IF(OR(ISBLANK(R195:R199),ISBLANK(AN195:AN199),ISBLANK(V195:V199),ISBLANK(AR195:AR199)),"·",bdRateExtend(R195:R199,V195:V199,AN195:AN199,AR195:AR199))</f>
        <v>3.1927867631671214E-2</v>
      </c>
      <c r="BG195" s="61"/>
      <c r="BI195" s="54">
        <f>IF(OR(ISBLANK(R195:R199),ISBLANK(AN195:AN199),ISBLANK(X195:X199),ISBLANK(AT195:AT199)),"·",bdRateExtend(R195:R199,X195:X199,AN195:AN199,AT195:AT199))</f>
        <v>3.5744158084293431E-2</v>
      </c>
      <c r="BJ195" s="54">
        <f>IF(OR(ISBLANK(R195:R199),ISBLANK(AN195:AN199),ISBLANK(Y195:Y199),ISBLANK(AU195:AU199)),"·",bdRateExtend(R195:R199,Y195:Y199,AN195:AN199,AU195:AU199))</f>
        <v>3.5744158084293431E-2</v>
      </c>
      <c r="BK195" s="54">
        <f>IF(OR(ISBLANK(R195:R199),ISBLANK(AN195:AN199),ISBLANK(Z195:Z199),ISBLANK(AV195:AV199)),"·",bdRateExtend(R195:R199,Z195:Z199,AN195:AN199,AV195:AV199))</f>
        <v>3.5744158084293431E-2</v>
      </c>
      <c r="BL195" s="61"/>
      <c r="BN195" s="54">
        <f>IF(OR(ISBLANK(P195:P199),ISBLANK(AL195:AL199),ISBLANK(T195:T199),ISBLANK(AP195:AP199)),"·",bdRateExtend(P195:P199,T195:T199,AL195:AL199,AP195:AP199))</f>
        <v>4.521962842429339E-3</v>
      </c>
      <c r="BO195" s="54">
        <f>IF(OR(ISBLANK(P195:P199),ISBLANK(AL195:AL199),ISBLANK(U195:U199),ISBLANK(AQ195:AQ199)),"·",bdRateExtend(P195:P199,U195:U199,AL195:AL199,AQ195:AQ199))</f>
        <v>5.148927240292922E-3</v>
      </c>
      <c r="BP195" s="54">
        <f>IF(OR(ISBLANK(P195:P199),ISBLANK(AL195:AL199),ISBLANK(V195:V199),ISBLANK(AR195:AR199)),"·",bdRateExtend(P195:P199,V195:V199,AL195:AL199,AR195:AR199))</f>
        <v>4.413211420295271E-3</v>
      </c>
      <c r="BQ195" s="61"/>
      <c r="BS195" s="54">
        <f>IF(OR(ISBLANK(P195:P199),ISBLANK(AL195:AL199),ISBLANK(X195:X199),ISBLANK(AT195:AT199)),"·",bdRateExtend(P195:P199,X195:X199,AL195:AL199,AT195:AT199))</f>
        <v>4.752658284401523E-3</v>
      </c>
      <c r="BT195" s="54">
        <f>IF(OR(ISBLANK(P195:P199),ISBLANK(AL195:AL199),ISBLANK(Y195:Y199),ISBLANK(AU195:AU199)),"·",bdRateExtend(P195:P199,Y195:Y199,AL195:AL199,AU195:AU199))</f>
        <v>4.752658284401523E-3</v>
      </c>
      <c r="BU195" s="54">
        <f>IF(OR(ISBLANK(P195:P199),ISBLANK(AL195:AL199),ISBLANK(Z195:Z199),ISBLANK(AV195:AV199)),"·",bdRateExtend(P195:P199,Z195:Z199,AL195:AL199,AV195:AV199))</f>
        <v>4.752658284401523E-3</v>
      </c>
      <c r="BV195" s="61"/>
      <c r="BX195">
        <f t="shared" si="60"/>
        <v>0</v>
      </c>
      <c r="BY195">
        <f t="shared" si="61"/>
        <v>2842144</v>
      </c>
      <c r="BZ195">
        <f t="shared" si="62"/>
        <v>0</v>
      </c>
      <c r="CA195">
        <f t="shared" si="63"/>
        <v>2842144</v>
      </c>
      <c r="CB195">
        <f t="shared" si="64"/>
        <v>0</v>
      </c>
      <c r="CC195">
        <f t="shared" si="65"/>
        <v>5.4000000000016257E-3</v>
      </c>
      <c r="CD195">
        <f t="shared" si="66"/>
        <v>-1.2599999999999056E-2</v>
      </c>
      <c r="CE195">
        <f t="shared" si="67"/>
        <v>-1.4400000000001967E-2</v>
      </c>
      <c r="CF195">
        <f t="shared" si="68"/>
        <v>0</v>
      </c>
      <c r="CG195">
        <f t="shared" si="69"/>
        <v>0</v>
      </c>
      <c r="CH195">
        <f t="shared" si="70"/>
        <v>0</v>
      </c>
      <c r="CI195">
        <f t="shared" si="71"/>
        <v>0</v>
      </c>
      <c r="CJ195">
        <f t="shared" si="72"/>
        <v>0</v>
      </c>
    </row>
    <row r="196" spans="1:88" outlineLevel="1" x14ac:dyDescent="0.15">
      <c r="A196" s="8"/>
      <c r="B196" s="8" t="s">
        <v>166</v>
      </c>
      <c r="C196" s="9" t="s">
        <v>255</v>
      </c>
      <c r="D196" s="8">
        <v>47062018</v>
      </c>
      <c r="E196" s="10">
        <v>20</v>
      </c>
      <c r="F196" s="9">
        <v>1</v>
      </c>
      <c r="G196" s="9"/>
      <c r="I196" s="22" t="str">
        <f t="shared" si="49"/>
        <v>·</v>
      </c>
      <c r="J196" s="23">
        <f t="shared" si="50"/>
        <v>15.167356911894428</v>
      </c>
      <c r="K196" s="23">
        <f t="shared" si="51"/>
        <v>11.370199722417343</v>
      </c>
      <c r="L196" s="23">
        <f t="shared" si="52"/>
        <v>3.7970487368391215</v>
      </c>
      <c r="M196" s="24"/>
      <c r="N196" s="23">
        <f t="shared" si="53"/>
        <v>15.167356911894428</v>
      </c>
      <c r="O196" s="25">
        <v>47062018</v>
      </c>
      <c r="P196" s="26">
        <v>713806424</v>
      </c>
      <c r="Q196" s="26">
        <v>535104544</v>
      </c>
      <c r="R196" s="26">
        <v>178696776</v>
      </c>
      <c r="S196" s="40"/>
      <c r="T196" s="41">
        <v>48.374299999999998</v>
      </c>
      <c r="U196" s="41">
        <v>51.377800000000001</v>
      </c>
      <c r="V196" s="41">
        <v>51.389400000000002</v>
      </c>
      <c r="W196" s="42"/>
      <c r="X196" s="41">
        <v>42.110199999999999</v>
      </c>
      <c r="Y196" s="41">
        <v>42.110199999999999</v>
      </c>
      <c r="Z196" s="41">
        <v>42.110199999999999</v>
      </c>
      <c r="AA196" s="42"/>
      <c r="AB196" s="50">
        <v>138.53100000000001</v>
      </c>
      <c r="AC196" s="50">
        <v>122.79600000000001</v>
      </c>
      <c r="AE196" s="22" t="str">
        <f t="shared" si="54"/>
        <v>·</v>
      </c>
      <c r="AF196" s="23">
        <f t="shared" si="55"/>
        <v>15.238678630397873</v>
      </c>
      <c r="AG196" s="23">
        <f t="shared" si="56"/>
        <v>11.370199722417343</v>
      </c>
      <c r="AH196" s="23">
        <f t="shared" si="57"/>
        <v>3.8683704553425651</v>
      </c>
      <c r="AI196" s="24"/>
      <c r="AJ196" s="23">
        <f t="shared" si="58"/>
        <v>15.238678630397873</v>
      </c>
      <c r="AK196" s="25">
        <v>47062018</v>
      </c>
      <c r="AL196" s="26">
        <v>717162968</v>
      </c>
      <c r="AM196" s="26">
        <v>535104544</v>
      </c>
      <c r="AN196" s="26">
        <v>182053320</v>
      </c>
      <c r="AO196" s="40"/>
      <c r="AP196" s="41">
        <v>48.381399999999999</v>
      </c>
      <c r="AQ196" s="41">
        <v>51.374000000000002</v>
      </c>
      <c r="AR196" s="41">
        <v>51.387300000000003</v>
      </c>
      <c r="AS196" s="42"/>
      <c r="AT196" s="41">
        <v>42.110199999999999</v>
      </c>
      <c r="AU196" s="41">
        <v>42.110199999999999</v>
      </c>
      <c r="AV196" s="41">
        <v>42.110199999999999</v>
      </c>
      <c r="AW196" s="42"/>
      <c r="AX196" s="50">
        <v>142.38999999999999</v>
      </c>
      <c r="AY196" s="50">
        <v>123.062</v>
      </c>
      <c r="BA196" s="55">
        <f t="shared" si="59"/>
        <v>-3.5085904384621891E-3</v>
      </c>
      <c r="BB196" s="55"/>
      <c r="BD196" s="56"/>
      <c r="BE196" s="56"/>
      <c r="BF196" s="56"/>
      <c r="BG196" s="62"/>
      <c r="BI196" s="56"/>
      <c r="BJ196" s="56"/>
      <c r="BK196" s="56"/>
      <c r="BL196" s="62"/>
      <c r="BN196" s="56"/>
      <c r="BO196" s="56"/>
      <c r="BP196" s="56"/>
      <c r="BQ196" s="62"/>
      <c r="BS196" s="56"/>
      <c r="BT196" s="56"/>
      <c r="BU196" s="56"/>
      <c r="BV196" s="62"/>
      <c r="BX196">
        <f t="shared" si="60"/>
        <v>0</v>
      </c>
      <c r="BY196">
        <f t="shared" si="61"/>
        <v>3356544</v>
      </c>
      <c r="BZ196">
        <f t="shared" si="62"/>
        <v>0</v>
      </c>
      <c r="CA196">
        <f t="shared" si="63"/>
        <v>3356544</v>
      </c>
      <c r="CB196">
        <f t="shared" si="64"/>
        <v>0</v>
      </c>
      <c r="CC196">
        <f t="shared" si="65"/>
        <v>7.1000000000012164E-3</v>
      </c>
      <c r="CD196">
        <f t="shared" si="66"/>
        <v>-3.7999999999982492E-3</v>
      </c>
      <c r="CE196">
        <f t="shared" si="67"/>
        <v>-2.0999999999986585E-3</v>
      </c>
      <c r="CF196">
        <f t="shared" si="68"/>
        <v>0</v>
      </c>
      <c r="CG196">
        <f t="shared" si="69"/>
        <v>0</v>
      </c>
      <c r="CH196">
        <f t="shared" si="70"/>
        <v>0</v>
      </c>
      <c r="CI196">
        <f t="shared" si="71"/>
        <v>0</v>
      </c>
      <c r="CJ196">
        <f t="shared" si="72"/>
        <v>0</v>
      </c>
    </row>
    <row r="197" spans="1:88" outlineLevel="1" x14ac:dyDescent="0.15">
      <c r="A197" s="5"/>
      <c r="B197" s="5" t="s">
        <v>166</v>
      </c>
      <c r="C197" s="6" t="s">
        <v>256</v>
      </c>
      <c r="D197" s="5">
        <v>47062018</v>
      </c>
      <c r="E197" s="7">
        <v>20</v>
      </c>
      <c r="F197" s="6">
        <v>1</v>
      </c>
      <c r="G197" s="6"/>
      <c r="I197" s="17" t="str">
        <f t="shared" ref="I197:I260" si="73">IF(OR(ISBLANK(P197),ISBLANK(G197)),"·",P197*G197/F197/1000000)</f>
        <v>·</v>
      </c>
      <c r="J197" s="18">
        <f t="shared" ref="J197:J260" si="74">IF(ISBLANK(P197),"·",P197/D197)</f>
        <v>13.499490820814357</v>
      </c>
      <c r="K197" s="18">
        <f t="shared" ref="K197:K260" si="75">IF(Q197="","·",Q197/D197)</f>
        <v>11.370199722417343</v>
      </c>
      <c r="L197" s="18">
        <f t="shared" ref="L197:L249" si="76">IF(ISBLANK(R197),"·",R197/D197)</f>
        <v>2.1291826457590495</v>
      </c>
      <c r="M197" s="19"/>
      <c r="N197" s="18">
        <f t="shared" ref="N197:N260" si="77">IF(ISBLANK(P197),"·",P197/O197)</f>
        <v>13.499490820814357</v>
      </c>
      <c r="O197" s="20">
        <v>47062018</v>
      </c>
      <c r="P197" s="21">
        <v>635313280</v>
      </c>
      <c r="Q197" s="21">
        <v>535104544</v>
      </c>
      <c r="R197" s="21">
        <v>100203632</v>
      </c>
      <c r="S197" s="37"/>
      <c r="T197" s="38">
        <v>41.451500000000003</v>
      </c>
      <c r="U197" s="38">
        <v>45.764600000000002</v>
      </c>
      <c r="V197" s="38">
        <v>46.165700000000001</v>
      </c>
      <c r="W197" s="39"/>
      <c r="X197" s="38">
        <v>34.151400000000002</v>
      </c>
      <c r="Y197" s="38">
        <v>34.151400000000002</v>
      </c>
      <c r="Z197" s="38">
        <v>34.151400000000002</v>
      </c>
      <c r="AA197" s="39"/>
      <c r="AB197" s="49">
        <v>137.81200000000001</v>
      </c>
      <c r="AC197" s="49">
        <v>121.578</v>
      </c>
      <c r="AE197" s="17" t="str">
        <f t="shared" ref="AE197:AE260" si="78">IF(OR(ISBLANK(AL197),ISBLANK(G197)),"·",AL197*G197/F197/1000000)</f>
        <v>·</v>
      </c>
      <c r="AF197" s="18">
        <f t="shared" ref="AF197:AF260" si="79">IF(ISBLANK(AL197),"·",AL197/D197)</f>
        <v>13.568471288247775</v>
      </c>
      <c r="AG197" s="18">
        <f t="shared" ref="AG197:AG260" si="80">IF(AM197="","·",AM197/D197)</f>
        <v>11.370199722417343</v>
      </c>
      <c r="AH197" s="18">
        <f t="shared" ref="AH197:AH249" si="81">IF(ISBLANK(AN197),"·",AN197/D197)</f>
        <v>2.1981631131924688</v>
      </c>
      <c r="AI197" s="19"/>
      <c r="AJ197" s="18">
        <f t="shared" ref="AJ197:AJ260" si="82">IF(ISBLANK(AL197),"·",AL197/AK197)</f>
        <v>13.568471288247775</v>
      </c>
      <c r="AK197" s="20">
        <v>47062018</v>
      </c>
      <c r="AL197" s="21">
        <v>638559640</v>
      </c>
      <c r="AM197" s="21">
        <v>535104544</v>
      </c>
      <c r="AN197" s="21">
        <v>103449992</v>
      </c>
      <c r="AO197" s="37"/>
      <c r="AP197" s="38">
        <v>41.458100000000002</v>
      </c>
      <c r="AQ197" s="38">
        <v>45.739699999999999</v>
      </c>
      <c r="AR197" s="38">
        <v>46.178400000000003</v>
      </c>
      <c r="AS197" s="39"/>
      <c r="AT197" s="38">
        <v>34.151400000000002</v>
      </c>
      <c r="AU197" s="38">
        <v>34.151400000000002</v>
      </c>
      <c r="AV197" s="38">
        <v>34.151400000000002</v>
      </c>
      <c r="AW197" s="39"/>
      <c r="AX197" s="49">
        <v>138.34299999999999</v>
      </c>
      <c r="AY197" s="49">
        <v>121.98399999999999</v>
      </c>
      <c r="BA197" s="53">
        <f t="shared" ref="BA197:BA260" si="83">(AM197/AL197)-(Q197/P197)</f>
        <v>-4.2819926587036594E-3</v>
      </c>
      <c r="BB197" s="53"/>
      <c r="BD197" s="54"/>
      <c r="BE197" s="54"/>
      <c r="BF197" s="54"/>
      <c r="BG197" s="61"/>
      <c r="BI197" s="54"/>
      <c r="BJ197" s="54"/>
      <c r="BK197" s="54"/>
      <c r="BL197" s="61"/>
      <c r="BN197" s="54"/>
      <c r="BO197" s="54"/>
      <c r="BP197" s="54"/>
      <c r="BQ197" s="61"/>
      <c r="BS197" s="54"/>
      <c r="BT197" s="54"/>
      <c r="BU197" s="54"/>
      <c r="BV197" s="61"/>
      <c r="BX197">
        <f t="shared" si="60"/>
        <v>0</v>
      </c>
      <c r="BY197">
        <f t="shared" si="61"/>
        <v>3246360</v>
      </c>
      <c r="BZ197">
        <f t="shared" si="62"/>
        <v>0</v>
      </c>
      <c r="CA197">
        <f t="shared" si="63"/>
        <v>3246360</v>
      </c>
      <c r="CB197">
        <f t="shared" si="64"/>
        <v>0</v>
      </c>
      <c r="CC197">
        <f t="shared" si="65"/>
        <v>6.599999999998829E-3</v>
      </c>
      <c r="CD197">
        <f t="shared" si="66"/>
        <v>-2.4900000000002365E-2</v>
      </c>
      <c r="CE197">
        <f t="shared" si="67"/>
        <v>1.2700000000002376E-2</v>
      </c>
      <c r="CF197">
        <f t="shared" si="68"/>
        <v>0</v>
      </c>
      <c r="CG197">
        <f t="shared" si="69"/>
        <v>0</v>
      </c>
      <c r="CH197">
        <f t="shared" si="70"/>
        <v>0</v>
      </c>
      <c r="CI197">
        <f t="shared" si="71"/>
        <v>0</v>
      </c>
      <c r="CJ197">
        <f t="shared" si="72"/>
        <v>0</v>
      </c>
    </row>
    <row r="198" spans="1:88" outlineLevel="1" x14ac:dyDescent="0.15">
      <c r="A198" s="8"/>
      <c r="B198" s="8" t="s">
        <v>166</v>
      </c>
      <c r="C198" s="9" t="s">
        <v>257</v>
      </c>
      <c r="D198" s="8">
        <v>47062018</v>
      </c>
      <c r="E198" s="10">
        <v>20</v>
      </c>
      <c r="F198" s="9">
        <v>1</v>
      </c>
      <c r="G198" s="9"/>
      <c r="I198" s="22" t="str">
        <f t="shared" si="73"/>
        <v>·</v>
      </c>
      <c r="J198" s="23">
        <f t="shared" si="74"/>
        <v>12.623065844732794</v>
      </c>
      <c r="K198" s="23">
        <f t="shared" si="75"/>
        <v>11.370199722417343</v>
      </c>
      <c r="L198" s="23">
        <f t="shared" si="76"/>
        <v>1.252757669677488</v>
      </c>
      <c r="M198" s="24"/>
      <c r="N198" s="23">
        <f t="shared" si="77"/>
        <v>12.623065844732794</v>
      </c>
      <c r="O198" s="25">
        <v>47062018</v>
      </c>
      <c r="P198" s="26">
        <v>594066952</v>
      </c>
      <c r="Q198" s="26">
        <v>535104544</v>
      </c>
      <c r="R198" s="26">
        <v>58957304</v>
      </c>
      <c r="S198" s="40"/>
      <c r="T198" s="41">
        <v>35.7926</v>
      </c>
      <c r="U198" s="41">
        <v>40.969299999999997</v>
      </c>
      <c r="V198" s="41">
        <v>41.587899999999998</v>
      </c>
      <c r="W198" s="42"/>
      <c r="X198" s="41">
        <v>28.130800000000001</v>
      </c>
      <c r="Y198" s="41">
        <v>28.130800000000001</v>
      </c>
      <c r="Z198" s="41">
        <v>28.130800000000001</v>
      </c>
      <c r="AA198" s="42"/>
      <c r="AB198" s="50">
        <v>137.40600000000001</v>
      </c>
      <c r="AC198" s="50">
        <v>121.562</v>
      </c>
      <c r="AE198" s="22" t="str">
        <f t="shared" si="78"/>
        <v>·</v>
      </c>
      <c r="AF198" s="23">
        <f t="shared" si="79"/>
        <v>12.686249365677435</v>
      </c>
      <c r="AG198" s="23">
        <f t="shared" si="80"/>
        <v>11.370199722417343</v>
      </c>
      <c r="AH198" s="23">
        <f t="shared" si="81"/>
        <v>1.3159411906221277</v>
      </c>
      <c r="AI198" s="24"/>
      <c r="AJ198" s="23">
        <f t="shared" si="82"/>
        <v>12.686249365677435</v>
      </c>
      <c r="AK198" s="25">
        <v>47062018</v>
      </c>
      <c r="AL198" s="26">
        <v>597040496</v>
      </c>
      <c r="AM198" s="26">
        <v>535104544</v>
      </c>
      <c r="AN198" s="26">
        <v>61930848</v>
      </c>
      <c r="AO198" s="40"/>
      <c r="AP198" s="41">
        <v>35.815100000000001</v>
      </c>
      <c r="AQ198" s="41">
        <v>40.9163</v>
      </c>
      <c r="AR198" s="41">
        <v>41.663699999999999</v>
      </c>
      <c r="AS198" s="42"/>
      <c r="AT198" s="41">
        <v>28.130800000000001</v>
      </c>
      <c r="AU198" s="41">
        <v>28.130800000000001</v>
      </c>
      <c r="AV198" s="41">
        <v>28.130800000000001</v>
      </c>
      <c r="AW198" s="42"/>
      <c r="AX198" s="50">
        <v>138.375</v>
      </c>
      <c r="AY198" s="50">
        <v>121.453</v>
      </c>
      <c r="BA198" s="55">
        <f t="shared" si="83"/>
        <v>-4.4861503600703845E-3</v>
      </c>
      <c r="BB198" s="55"/>
      <c r="BD198" s="56"/>
      <c r="BE198" s="56"/>
      <c r="BF198" s="56"/>
      <c r="BG198" s="62"/>
      <c r="BI198" s="56"/>
      <c r="BJ198" s="56"/>
      <c r="BK198" s="56"/>
      <c r="BL198" s="62"/>
      <c r="BN198" s="56"/>
      <c r="BO198" s="56"/>
      <c r="BP198" s="56"/>
      <c r="BQ198" s="62"/>
      <c r="BS198" s="56"/>
      <c r="BT198" s="56"/>
      <c r="BU198" s="56"/>
      <c r="BV198" s="62"/>
      <c r="BX198">
        <f t="shared" ref="BX198:BX261" si="84">AK198-O198</f>
        <v>0</v>
      </c>
      <c r="BY198">
        <f t="shared" ref="BY198:BY261" si="85">AL198-P198</f>
        <v>2973544</v>
      </c>
      <c r="BZ198">
        <f t="shared" ref="BZ198:BZ261" si="86">AM198-Q198</f>
        <v>0</v>
      </c>
      <c r="CA198">
        <f t="shared" ref="CA198:CA261" si="87">AN198-R198</f>
        <v>2973544</v>
      </c>
      <c r="CB198">
        <f t="shared" ref="CB198:CB261" si="88">AO198-S198</f>
        <v>0</v>
      </c>
      <c r="CC198">
        <f t="shared" ref="CC198:CC261" si="89">AP198-T198</f>
        <v>2.2500000000000853E-2</v>
      </c>
      <c r="CD198">
        <f t="shared" ref="CD198:CD261" si="90">AQ198-U198</f>
        <v>-5.2999999999997272E-2</v>
      </c>
      <c r="CE198">
        <f t="shared" ref="CE198:CE261" si="91">AR198-V198</f>
        <v>7.5800000000000978E-2</v>
      </c>
      <c r="CF198">
        <f t="shared" ref="CF198:CF261" si="92">AS198-W198</f>
        <v>0</v>
      </c>
      <c r="CG198">
        <f t="shared" ref="CG198:CG261" si="93">AT198-X198</f>
        <v>0</v>
      </c>
      <c r="CH198">
        <f t="shared" ref="CH198:CH261" si="94">AU198-Y198</f>
        <v>0</v>
      </c>
      <c r="CI198">
        <f t="shared" ref="CI198:CI261" si="95">AV198-Z198</f>
        <v>0</v>
      </c>
      <c r="CJ198">
        <f t="shared" ref="CJ198:CJ261" si="96">AW198-AA198</f>
        <v>0</v>
      </c>
    </row>
    <row r="199" spans="1:88" outlineLevel="1" x14ac:dyDescent="0.15">
      <c r="A199" s="5"/>
      <c r="B199" s="11" t="s">
        <v>166</v>
      </c>
      <c r="C199" s="12" t="s">
        <v>258</v>
      </c>
      <c r="D199" s="11">
        <v>47062018</v>
      </c>
      <c r="E199" s="13">
        <v>20</v>
      </c>
      <c r="F199" s="12">
        <v>1</v>
      </c>
      <c r="G199" s="12"/>
      <c r="I199" s="27" t="str">
        <f t="shared" si="73"/>
        <v>·</v>
      </c>
      <c r="J199" s="28">
        <f t="shared" si="74"/>
        <v>11.992627600456911</v>
      </c>
      <c r="K199" s="28">
        <f t="shared" si="75"/>
        <v>11.370199722417343</v>
      </c>
      <c r="L199" s="28">
        <f t="shared" si="76"/>
        <v>0.62231942540160523</v>
      </c>
      <c r="M199" s="29"/>
      <c r="N199" s="28">
        <f t="shared" si="77"/>
        <v>11.992627600456911</v>
      </c>
      <c r="O199" s="30">
        <v>47062018</v>
      </c>
      <c r="P199" s="31">
        <v>564397256</v>
      </c>
      <c r="Q199" s="31">
        <v>535104544</v>
      </c>
      <c r="R199" s="31">
        <v>29287608</v>
      </c>
      <c r="S199" s="43"/>
      <c r="T199" s="44">
        <v>29.462299999999999</v>
      </c>
      <c r="U199" s="44">
        <v>35.645499999999998</v>
      </c>
      <c r="V199" s="44">
        <v>36.975099999999998</v>
      </c>
      <c r="W199" s="45"/>
      <c r="X199" s="44">
        <v>21.686399999999999</v>
      </c>
      <c r="Y199" s="44">
        <v>21.686399999999999</v>
      </c>
      <c r="Z199" s="44">
        <v>21.686399999999999</v>
      </c>
      <c r="AA199" s="45"/>
      <c r="AB199" s="51">
        <v>136.67099999999999</v>
      </c>
      <c r="AC199" s="51">
        <v>121.062</v>
      </c>
      <c r="AE199" s="27" t="str">
        <f t="shared" si="78"/>
        <v>·</v>
      </c>
      <c r="AF199" s="28">
        <f t="shared" si="79"/>
        <v>12.043097514432976</v>
      </c>
      <c r="AG199" s="28">
        <f t="shared" si="80"/>
        <v>11.370199722417343</v>
      </c>
      <c r="AH199" s="28">
        <f t="shared" si="81"/>
        <v>0.67278933937766972</v>
      </c>
      <c r="AI199" s="29"/>
      <c r="AJ199" s="28">
        <f t="shared" si="82"/>
        <v>12.043097514432976</v>
      </c>
      <c r="AK199" s="30">
        <v>47062018</v>
      </c>
      <c r="AL199" s="31">
        <v>566772472</v>
      </c>
      <c r="AM199" s="31">
        <v>535104544</v>
      </c>
      <c r="AN199" s="31">
        <v>31662824</v>
      </c>
      <c r="AO199" s="43"/>
      <c r="AP199" s="44">
        <v>29.6374</v>
      </c>
      <c r="AQ199" s="44">
        <v>35.563699999999997</v>
      </c>
      <c r="AR199" s="44">
        <v>37.030900000000003</v>
      </c>
      <c r="AS199" s="45"/>
      <c r="AT199" s="44">
        <v>21.686399999999999</v>
      </c>
      <c r="AU199" s="44">
        <v>21.686399999999999</v>
      </c>
      <c r="AV199" s="44">
        <v>21.686399999999999</v>
      </c>
      <c r="AW199" s="45"/>
      <c r="AX199" s="51">
        <v>137.60900000000001</v>
      </c>
      <c r="AY199" s="51">
        <v>120.92100000000001</v>
      </c>
      <c r="BA199" s="57">
        <f t="shared" si="83"/>
        <v>-3.9732702630342898E-3</v>
      </c>
      <c r="BB199" s="57"/>
      <c r="BD199" s="58"/>
      <c r="BE199" s="58"/>
      <c r="BF199" s="58"/>
      <c r="BG199" s="63"/>
      <c r="BI199" s="58"/>
      <c r="BJ199" s="58"/>
      <c r="BK199" s="58"/>
      <c r="BL199" s="63"/>
      <c r="BN199" s="58"/>
      <c r="BO199" s="58"/>
      <c r="BP199" s="58"/>
      <c r="BQ199" s="63"/>
      <c r="BS199" s="58"/>
      <c r="BT199" s="58"/>
      <c r="BU199" s="58"/>
      <c r="BV199" s="63"/>
      <c r="BX199">
        <f t="shared" si="84"/>
        <v>0</v>
      </c>
      <c r="BY199">
        <f t="shared" si="85"/>
        <v>2375216</v>
      </c>
      <c r="BZ199">
        <f t="shared" si="86"/>
        <v>0</v>
      </c>
      <c r="CA199">
        <f t="shared" si="87"/>
        <v>2375216</v>
      </c>
      <c r="CB199">
        <f t="shared" si="88"/>
        <v>0</v>
      </c>
      <c r="CC199">
        <f t="shared" si="89"/>
        <v>0.17510000000000048</v>
      </c>
      <c r="CD199">
        <f t="shared" si="90"/>
        <v>-8.1800000000001205E-2</v>
      </c>
      <c r="CE199">
        <f t="shared" si="91"/>
        <v>5.5800000000004957E-2</v>
      </c>
      <c r="CF199">
        <f t="shared" si="92"/>
        <v>0</v>
      </c>
      <c r="CG199">
        <f t="shared" si="93"/>
        <v>0</v>
      </c>
      <c r="CH199">
        <f t="shared" si="94"/>
        <v>0</v>
      </c>
      <c r="CI199">
        <f t="shared" si="95"/>
        <v>0</v>
      </c>
      <c r="CJ199">
        <f t="shared" si="96"/>
        <v>0</v>
      </c>
    </row>
    <row r="200" spans="1:88" x14ac:dyDescent="0.15">
      <c r="A200" s="8"/>
      <c r="B200" s="8" t="s">
        <v>167</v>
      </c>
      <c r="C200" s="9" t="s">
        <v>254</v>
      </c>
      <c r="D200" s="8">
        <v>43399204</v>
      </c>
      <c r="E200" s="10">
        <v>16</v>
      </c>
      <c r="F200" s="9">
        <v>1</v>
      </c>
      <c r="G200" s="9"/>
      <c r="I200" s="22" t="str">
        <f t="shared" si="73"/>
        <v>·</v>
      </c>
      <c r="J200" s="23">
        <f t="shared" si="74"/>
        <v>17.212059281087274</v>
      </c>
      <c r="K200" s="23">
        <f t="shared" si="75"/>
        <v>11.385743572624051</v>
      </c>
      <c r="L200" s="23">
        <f t="shared" si="76"/>
        <v>5.8262111904172249</v>
      </c>
      <c r="M200" s="24"/>
      <c r="N200" s="23">
        <f t="shared" si="77"/>
        <v>17.212059281087274</v>
      </c>
      <c r="O200" s="25">
        <v>43399204</v>
      </c>
      <c r="P200" s="26">
        <v>746989672</v>
      </c>
      <c r="Q200" s="26">
        <v>494132208</v>
      </c>
      <c r="R200" s="26">
        <v>252852928</v>
      </c>
      <c r="S200" s="40"/>
      <c r="T200" s="41">
        <v>52.935400000000001</v>
      </c>
      <c r="U200" s="41">
        <v>55.866300000000003</v>
      </c>
      <c r="V200" s="41">
        <v>55.752699999999997</v>
      </c>
      <c r="W200" s="42"/>
      <c r="X200" s="41">
        <v>48.130800000000001</v>
      </c>
      <c r="Y200" s="41">
        <v>48.130800000000001</v>
      </c>
      <c r="Z200" s="41">
        <v>48.130800000000001</v>
      </c>
      <c r="AA200" s="42"/>
      <c r="AB200" s="50">
        <v>98.936999999999998</v>
      </c>
      <c r="AC200" s="50">
        <v>87.531000000000006</v>
      </c>
      <c r="AE200" s="22" t="str">
        <f t="shared" si="78"/>
        <v>·</v>
      </c>
      <c r="AF200" s="23">
        <f t="shared" si="79"/>
        <v>17.28473950812554</v>
      </c>
      <c r="AG200" s="23">
        <f t="shared" si="80"/>
        <v>11.385743572624051</v>
      </c>
      <c r="AH200" s="23">
        <f t="shared" si="81"/>
        <v>5.8988914174554905</v>
      </c>
      <c r="AI200" s="24"/>
      <c r="AJ200" s="23">
        <f t="shared" si="82"/>
        <v>17.28473950812554</v>
      </c>
      <c r="AK200" s="25">
        <v>43399204</v>
      </c>
      <c r="AL200" s="26">
        <v>750143936</v>
      </c>
      <c r="AM200" s="26">
        <v>494132208</v>
      </c>
      <c r="AN200" s="26">
        <v>256007192</v>
      </c>
      <c r="AO200" s="40"/>
      <c r="AP200" s="41">
        <v>52.941299999999998</v>
      </c>
      <c r="AQ200" s="41">
        <v>55.857799999999997</v>
      </c>
      <c r="AR200" s="41">
        <v>55.74</v>
      </c>
      <c r="AS200" s="42"/>
      <c r="AT200" s="41">
        <v>48.130800000000001</v>
      </c>
      <c r="AU200" s="41">
        <v>48.130800000000001</v>
      </c>
      <c r="AV200" s="41">
        <v>48.130800000000001</v>
      </c>
      <c r="AW200" s="42"/>
      <c r="AX200" s="50">
        <v>100.078</v>
      </c>
      <c r="AY200" s="50">
        <v>87.906000000000006</v>
      </c>
      <c r="BA200" s="55">
        <f t="shared" si="83"/>
        <v>-2.7815188135255076E-3</v>
      </c>
      <c r="BB200" s="55">
        <f t="array" ref="BB200">AVERAGE(AM200:AM204/AL200:AL204)-AVERAGE(Q200:Q204/P200:P204)</f>
        <v>-4.5863519955501308E-3</v>
      </c>
      <c r="BD200" s="56">
        <f>IF(OR(ISBLANK(R200:R204),ISBLANK(AN200:AN204),ISBLANK(T200:T204),ISBLANK(AP200:AP204)),"·",bdRateExtend(R200:R204,T200:T204,AN200:AN204,AP200:AP204))</f>
        <v>4.1263678590409025E-2</v>
      </c>
      <c r="BE200" s="56">
        <f>IF(OR(ISBLANK(R200:R204),ISBLANK(AN200:AN204),ISBLANK(U200:U204),ISBLANK(AQ200:AQ204)),"·",bdRateExtend(R200:R204,U200:U204,AN200:AN204,AQ200:AQ204))</f>
        <v>4.6222531059937122E-2</v>
      </c>
      <c r="BF200" s="56">
        <f>IF(OR(ISBLANK(R200:R204),ISBLANK(AN200:AN204),ISBLANK(V200:V204),ISBLANK(AR200:AR204)),"·",bdRateExtend(R200:R204,V200:V204,AN200:AN204,AR200:AR204))</f>
        <v>4.1985101963388338E-2</v>
      </c>
      <c r="BG200" s="62"/>
      <c r="BI200" s="56">
        <f>IF(OR(ISBLANK(R200:R204),ISBLANK(AN200:AN204),ISBLANK(X200:X204),ISBLANK(AT200:AT204)),"·",bdRateExtend(R200:R204,X200:X204,AN200:AN204,AT200:AT204))</f>
        <v>4.2406623071663097E-2</v>
      </c>
      <c r="BJ200" s="56">
        <f>IF(OR(ISBLANK(R200:R204),ISBLANK(AN200:AN204),ISBLANK(Y200:Y204),ISBLANK(AU200:AU204)),"·",bdRateExtend(R200:R204,Y200:Y204,AN200:AN204,AU200:AU204))</f>
        <v>4.2406623071663097E-2</v>
      </c>
      <c r="BK200" s="56">
        <f>IF(OR(ISBLANK(R200:R204),ISBLANK(AN200:AN204),ISBLANK(Z200:Z204),ISBLANK(AV200:AV204)),"·",bdRateExtend(R200:R204,Z200:Z204,AN200:AN204,AV200:AV204))</f>
        <v>4.2406623071663097E-2</v>
      </c>
      <c r="BL200" s="62"/>
      <c r="BN200" s="56">
        <f>IF(OR(ISBLANK(P200:P204),ISBLANK(AL200:AL204),ISBLANK(T200:T204),ISBLANK(AP200:AP204)),"·",bdRateExtend(P200:P204,T200:T204,AL200:AL204,AP200:AP204))</f>
        <v>5.6645742737431171E-3</v>
      </c>
      <c r="BO200" s="56">
        <f>IF(OR(ISBLANK(P200:P204),ISBLANK(AL200:AL204),ISBLANK(U200:U204),ISBLANK(AQ200:AQ204)),"·",bdRateExtend(P200:P204,U200:U204,AL200:AL204,AQ200:AQ204))</f>
        <v>6.2878661319276663E-3</v>
      </c>
      <c r="BP200" s="56">
        <f>IF(OR(ISBLANK(P200:P204),ISBLANK(AL200:AL204),ISBLANK(V200:V204),ISBLANK(AR200:AR204)),"·",bdRateExtend(P200:P204,V200:V204,AL200:AL204,AR200:AR204))</f>
        <v>5.8262214707951454E-3</v>
      </c>
      <c r="BQ200" s="62"/>
      <c r="BS200" s="56">
        <f>IF(OR(ISBLANK(P200:P204),ISBLANK(AL200:AL204),ISBLANK(X200:X204),ISBLANK(AT200:AT204)),"·",bdRateExtend(P200:P204,X200:X204,AL200:AL204,AT200:AT204))</f>
        <v>5.8843154787446839E-3</v>
      </c>
      <c r="BT200" s="56">
        <f>IF(OR(ISBLANK(P200:P204),ISBLANK(AL200:AL204),ISBLANK(Y200:Y204),ISBLANK(AU200:AU204)),"·",bdRateExtend(P200:P204,Y200:Y204,AL200:AL204,AU200:AU204))</f>
        <v>5.8843154787446839E-3</v>
      </c>
      <c r="BU200" s="56">
        <f>IF(OR(ISBLANK(P200:P204),ISBLANK(AL200:AL204),ISBLANK(Z200:Z204),ISBLANK(AV200:AV204)),"·",bdRateExtend(P200:P204,Z200:Z204,AL200:AL204,AV200:AV204))</f>
        <v>5.8843154787446839E-3</v>
      </c>
      <c r="BV200" s="62"/>
      <c r="BX200">
        <f t="shared" si="84"/>
        <v>0</v>
      </c>
      <c r="BY200">
        <f t="shared" si="85"/>
        <v>3154264</v>
      </c>
      <c r="BZ200">
        <f t="shared" si="86"/>
        <v>0</v>
      </c>
      <c r="CA200">
        <f t="shared" si="87"/>
        <v>3154264</v>
      </c>
      <c r="CB200">
        <f t="shared" si="88"/>
        <v>0</v>
      </c>
      <c r="CC200">
        <f t="shared" si="89"/>
        <v>5.8999999999969077E-3</v>
      </c>
      <c r="CD200">
        <f t="shared" si="90"/>
        <v>-8.5000000000050591E-3</v>
      </c>
      <c r="CE200">
        <f t="shared" si="91"/>
        <v>-1.2699999999995271E-2</v>
      </c>
      <c r="CF200">
        <f t="shared" si="92"/>
        <v>0</v>
      </c>
      <c r="CG200">
        <f t="shared" si="93"/>
        <v>0</v>
      </c>
      <c r="CH200">
        <f t="shared" si="94"/>
        <v>0</v>
      </c>
      <c r="CI200">
        <f t="shared" si="95"/>
        <v>0</v>
      </c>
      <c r="CJ200">
        <f t="shared" si="96"/>
        <v>0</v>
      </c>
    </row>
    <row r="201" spans="1:88" outlineLevel="1" x14ac:dyDescent="0.15">
      <c r="A201" s="5"/>
      <c r="B201" s="5" t="s">
        <v>167</v>
      </c>
      <c r="C201" s="6" t="s">
        <v>255</v>
      </c>
      <c r="D201" s="5">
        <v>43399204</v>
      </c>
      <c r="E201" s="7">
        <v>16</v>
      </c>
      <c r="F201" s="6">
        <v>1</v>
      </c>
      <c r="G201" s="6"/>
      <c r="I201" s="17" t="str">
        <f t="shared" si="73"/>
        <v>·</v>
      </c>
      <c r="J201" s="18">
        <f t="shared" si="74"/>
        <v>15.464898388458922</v>
      </c>
      <c r="K201" s="18">
        <f t="shared" si="75"/>
        <v>11.385743572624051</v>
      </c>
      <c r="L201" s="18">
        <f t="shared" si="76"/>
        <v>4.0790502977888723</v>
      </c>
      <c r="M201" s="19"/>
      <c r="N201" s="18">
        <f t="shared" si="77"/>
        <v>15.464898388458922</v>
      </c>
      <c r="O201" s="20">
        <v>43399204</v>
      </c>
      <c r="P201" s="21">
        <v>671164280</v>
      </c>
      <c r="Q201" s="21">
        <v>494132208</v>
      </c>
      <c r="R201" s="21">
        <v>177027536</v>
      </c>
      <c r="S201" s="37"/>
      <c r="T201" s="38">
        <v>48.3752</v>
      </c>
      <c r="U201" s="38">
        <v>51.321800000000003</v>
      </c>
      <c r="V201" s="38">
        <v>51.282200000000003</v>
      </c>
      <c r="W201" s="39"/>
      <c r="X201" s="38">
        <v>42.110199999999999</v>
      </c>
      <c r="Y201" s="38">
        <v>42.110199999999999</v>
      </c>
      <c r="Z201" s="38">
        <v>42.110199999999999</v>
      </c>
      <c r="AA201" s="39"/>
      <c r="AB201" s="49">
        <v>97.968000000000004</v>
      </c>
      <c r="AC201" s="49">
        <v>87.343000000000004</v>
      </c>
      <c r="AE201" s="17" t="str">
        <f t="shared" si="78"/>
        <v>·</v>
      </c>
      <c r="AF201" s="18">
        <f t="shared" si="79"/>
        <v>15.551075084234263</v>
      </c>
      <c r="AG201" s="18">
        <f t="shared" si="80"/>
        <v>11.385743572624051</v>
      </c>
      <c r="AH201" s="18">
        <f t="shared" si="81"/>
        <v>4.1652269935642137</v>
      </c>
      <c r="AI201" s="19"/>
      <c r="AJ201" s="18">
        <f t="shared" si="82"/>
        <v>15.551075084234263</v>
      </c>
      <c r="AK201" s="20">
        <v>43399204</v>
      </c>
      <c r="AL201" s="21">
        <v>674904280</v>
      </c>
      <c r="AM201" s="21">
        <v>494132208</v>
      </c>
      <c r="AN201" s="21">
        <v>180767536</v>
      </c>
      <c r="AO201" s="37"/>
      <c r="AP201" s="38">
        <v>48.380200000000002</v>
      </c>
      <c r="AQ201" s="38">
        <v>51.313200000000002</v>
      </c>
      <c r="AR201" s="38">
        <v>51.279299999999999</v>
      </c>
      <c r="AS201" s="39"/>
      <c r="AT201" s="38">
        <v>42.110199999999999</v>
      </c>
      <c r="AU201" s="38">
        <v>42.110199999999999</v>
      </c>
      <c r="AV201" s="38">
        <v>42.110199999999999</v>
      </c>
      <c r="AW201" s="39"/>
      <c r="AX201" s="49">
        <v>99.515000000000001</v>
      </c>
      <c r="AY201" s="49">
        <v>87.015000000000001</v>
      </c>
      <c r="BA201" s="53">
        <f t="shared" si="83"/>
        <v>-4.0798457865659499E-3</v>
      </c>
      <c r="BB201" s="53"/>
      <c r="BD201" s="54"/>
      <c r="BE201" s="54"/>
      <c r="BF201" s="54"/>
      <c r="BG201" s="61"/>
      <c r="BI201" s="54"/>
      <c r="BJ201" s="54"/>
      <c r="BK201" s="54"/>
      <c r="BL201" s="61"/>
      <c r="BN201" s="54"/>
      <c r="BO201" s="54"/>
      <c r="BP201" s="54"/>
      <c r="BQ201" s="61"/>
      <c r="BS201" s="54"/>
      <c r="BT201" s="54"/>
      <c r="BU201" s="54"/>
      <c r="BV201" s="61"/>
      <c r="BX201">
        <f t="shared" si="84"/>
        <v>0</v>
      </c>
      <c r="BY201">
        <f t="shared" si="85"/>
        <v>3740000</v>
      </c>
      <c r="BZ201">
        <f t="shared" si="86"/>
        <v>0</v>
      </c>
      <c r="CA201">
        <f t="shared" si="87"/>
        <v>3740000</v>
      </c>
      <c r="CB201">
        <f t="shared" si="88"/>
        <v>0</v>
      </c>
      <c r="CC201">
        <f t="shared" si="89"/>
        <v>5.000000000002558E-3</v>
      </c>
      <c r="CD201">
        <f t="shared" si="90"/>
        <v>-8.6000000000012733E-3</v>
      </c>
      <c r="CE201">
        <f t="shared" si="91"/>
        <v>-2.9000000000038995E-3</v>
      </c>
      <c r="CF201">
        <f t="shared" si="92"/>
        <v>0</v>
      </c>
      <c r="CG201">
        <f t="shared" si="93"/>
        <v>0</v>
      </c>
      <c r="CH201">
        <f t="shared" si="94"/>
        <v>0</v>
      </c>
      <c r="CI201">
        <f t="shared" si="95"/>
        <v>0</v>
      </c>
      <c r="CJ201">
        <f t="shared" si="96"/>
        <v>0</v>
      </c>
    </row>
    <row r="202" spans="1:88" outlineLevel="1" x14ac:dyDescent="0.15">
      <c r="A202" s="8"/>
      <c r="B202" s="8" t="s">
        <v>167</v>
      </c>
      <c r="C202" s="9" t="s">
        <v>256</v>
      </c>
      <c r="D202" s="8">
        <v>43399204</v>
      </c>
      <c r="E202" s="10">
        <v>16</v>
      </c>
      <c r="F202" s="9">
        <v>1</v>
      </c>
      <c r="G202" s="9"/>
      <c r="I202" s="22" t="str">
        <f t="shared" si="73"/>
        <v>·</v>
      </c>
      <c r="J202" s="23">
        <f t="shared" si="74"/>
        <v>13.685943364306866</v>
      </c>
      <c r="K202" s="23">
        <f t="shared" si="75"/>
        <v>11.385743572624051</v>
      </c>
      <c r="L202" s="23">
        <f t="shared" si="76"/>
        <v>2.3000952736368161</v>
      </c>
      <c r="M202" s="24"/>
      <c r="N202" s="23">
        <f t="shared" si="77"/>
        <v>13.685943364306866</v>
      </c>
      <c r="O202" s="25">
        <v>43399204</v>
      </c>
      <c r="P202" s="26">
        <v>593959048</v>
      </c>
      <c r="Q202" s="26">
        <v>494132208</v>
      </c>
      <c r="R202" s="26">
        <v>99822304</v>
      </c>
      <c r="S202" s="40"/>
      <c r="T202" s="41">
        <v>41.481999999999999</v>
      </c>
      <c r="U202" s="41">
        <v>45.665399999999998</v>
      </c>
      <c r="V202" s="41">
        <v>45.957900000000002</v>
      </c>
      <c r="W202" s="42"/>
      <c r="X202" s="41">
        <v>34.151400000000002</v>
      </c>
      <c r="Y202" s="41">
        <v>34.151400000000002</v>
      </c>
      <c r="Z202" s="41">
        <v>34.151400000000002</v>
      </c>
      <c r="AA202" s="42"/>
      <c r="AB202" s="50">
        <v>97.921000000000006</v>
      </c>
      <c r="AC202" s="50">
        <v>86.608999999999995</v>
      </c>
      <c r="AE202" s="22" t="str">
        <f t="shared" si="78"/>
        <v>·</v>
      </c>
      <c r="AF202" s="23">
        <f t="shared" si="79"/>
        <v>13.773395843850039</v>
      </c>
      <c r="AG202" s="23">
        <f t="shared" si="80"/>
        <v>11.385743572624051</v>
      </c>
      <c r="AH202" s="23">
        <f t="shared" si="81"/>
        <v>2.3875477531799891</v>
      </c>
      <c r="AI202" s="24"/>
      <c r="AJ202" s="23">
        <f t="shared" si="82"/>
        <v>13.773395843850039</v>
      </c>
      <c r="AK202" s="25">
        <v>43399204</v>
      </c>
      <c r="AL202" s="26">
        <v>597754416</v>
      </c>
      <c r="AM202" s="26">
        <v>494132208</v>
      </c>
      <c r="AN202" s="26">
        <v>103617672</v>
      </c>
      <c r="AO202" s="40"/>
      <c r="AP202" s="41">
        <v>41.495800000000003</v>
      </c>
      <c r="AQ202" s="41">
        <v>45.637999999999998</v>
      </c>
      <c r="AR202" s="41">
        <v>45.936199999999999</v>
      </c>
      <c r="AS202" s="42"/>
      <c r="AT202" s="41">
        <v>34.151400000000002</v>
      </c>
      <c r="AU202" s="41">
        <v>34.151400000000002</v>
      </c>
      <c r="AV202" s="41">
        <v>34.151400000000002</v>
      </c>
      <c r="AW202" s="42"/>
      <c r="AX202" s="50">
        <v>98.843000000000004</v>
      </c>
      <c r="AY202" s="50">
        <v>86.858999999999995</v>
      </c>
      <c r="BA202" s="55">
        <f t="shared" si="83"/>
        <v>-5.2822354853809816E-3</v>
      </c>
      <c r="BB202" s="55"/>
      <c r="BD202" s="56"/>
      <c r="BE202" s="56"/>
      <c r="BF202" s="56"/>
      <c r="BG202" s="62"/>
      <c r="BI202" s="56"/>
      <c r="BJ202" s="56"/>
      <c r="BK202" s="56"/>
      <c r="BL202" s="62"/>
      <c r="BN202" s="56"/>
      <c r="BO202" s="56"/>
      <c r="BP202" s="56"/>
      <c r="BQ202" s="62"/>
      <c r="BS202" s="56"/>
      <c r="BT202" s="56"/>
      <c r="BU202" s="56"/>
      <c r="BV202" s="62"/>
      <c r="BX202">
        <f t="shared" si="84"/>
        <v>0</v>
      </c>
      <c r="BY202">
        <f t="shared" si="85"/>
        <v>3795368</v>
      </c>
      <c r="BZ202">
        <f t="shared" si="86"/>
        <v>0</v>
      </c>
      <c r="CA202">
        <f t="shared" si="87"/>
        <v>3795368</v>
      </c>
      <c r="CB202">
        <f t="shared" si="88"/>
        <v>0</v>
      </c>
      <c r="CC202">
        <f t="shared" si="89"/>
        <v>1.3800000000003365E-2</v>
      </c>
      <c r="CD202">
        <f t="shared" si="90"/>
        <v>-2.7400000000000091E-2</v>
      </c>
      <c r="CE202">
        <f t="shared" si="91"/>
        <v>-2.1700000000002717E-2</v>
      </c>
      <c r="CF202">
        <f t="shared" si="92"/>
        <v>0</v>
      </c>
      <c r="CG202">
        <f t="shared" si="93"/>
        <v>0</v>
      </c>
      <c r="CH202">
        <f t="shared" si="94"/>
        <v>0</v>
      </c>
      <c r="CI202">
        <f t="shared" si="95"/>
        <v>0</v>
      </c>
      <c r="CJ202">
        <f t="shared" si="96"/>
        <v>0</v>
      </c>
    </row>
    <row r="203" spans="1:88" outlineLevel="1" x14ac:dyDescent="0.15">
      <c r="A203" s="5"/>
      <c r="B203" s="5" t="s">
        <v>167</v>
      </c>
      <c r="C203" s="6" t="s">
        <v>257</v>
      </c>
      <c r="D203" s="5">
        <v>43399204</v>
      </c>
      <c r="E203" s="7">
        <v>16</v>
      </c>
      <c r="F203" s="6">
        <v>1</v>
      </c>
      <c r="G203" s="6"/>
      <c r="I203" s="17" t="str">
        <f t="shared" si="73"/>
        <v>·</v>
      </c>
      <c r="J203" s="18">
        <f t="shared" si="74"/>
        <v>12.721504477363226</v>
      </c>
      <c r="K203" s="18">
        <f t="shared" si="75"/>
        <v>11.385743572624051</v>
      </c>
      <c r="L203" s="18">
        <f t="shared" si="76"/>
        <v>1.3356563866931752</v>
      </c>
      <c r="M203" s="19"/>
      <c r="N203" s="18">
        <f t="shared" si="77"/>
        <v>12.721504477363226</v>
      </c>
      <c r="O203" s="20">
        <v>43399204</v>
      </c>
      <c r="P203" s="21">
        <v>552103168</v>
      </c>
      <c r="Q203" s="21">
        <v>494132208</v>
      </c>
      <c r="R203" s="21">
        <v>57966424</v>
      </c>
      <c r="S203" s="37"/>
      <c r="T203" s="38">
        <v>35.9054</v>
      </c>
      <c r="U203" s="38">
        <v>40.8658</v>
      </c>
      <c r="V203" s="38">
        <v>41.297499999999999</v>
      </c>
      <c r="W203" s="39"/>
      <c r="X203" s="38">
        <v>28.130800000000001</v>
      </c>
      <c r="Y203" s="38">
        <v>28.130800000000001</v>
      </c>
      <c r="Z203" s="38">
        <v>28.130800000000001</v>
      </c>
      <c r="AA203" s="39"/>
      <c r="AB203" s="49">
        <v>97.078000000000003</v>
      </c>
      <c r="AC203" s="49">
        <v>86.968000000000004</v>
      </c>
      <c r="AE203" s="17" t="str">
        <f t="shared" si="78"/>
        <v>·</v>
      </c>
      <c r="AF203" s="18">
        <f t="shared" si="79"/>
        <v>12.803114084765241</v>
      </c>
      <c r="AG203" s="18">
        <f t="shared" si="80"/>
        <v>11.385743572624051</v>
      </c>
      <c r="AH203" s="18">
        <f t="shared" si="81"/>
        <v>1.4172659940951913</v>
      </c>
      <c r="AI203" s="19"/>
      <c r="AJ203" s="18">
        <f t="shared" si="82"/>
        <v>12.803114084765241</v>
      </c>
      <c r="AK203" s="20">
        <v>43399204</v>
      </c>
      <c r="AL203" s="21">
        <v>555644960</v>
      </c>
      <c r="AM203" s="21">
        <v>494132208</v>
      </c>
      <c r="AN203" s="21">
        <v>61508216</v>
      </c>
      <c r="AO203" s="37"/>
      <c r="AP203" s="38">
        <v>35.926000000000002</v>
      </c>
      <c r="AQ203" s="38">
        <v>40.804900000000004</v>
      </c>
      <c r="AR203" s="38">
        <v>41.370899999999999</v>
      </c>
      <c r="AS203" s="39"/>
      <c r="AT203" s="38">
        <v>28.130800000000001</v>
      </c>
      <c r="AU203" s="38">
        <v>28.130800000000001</v>
      </c>
      <c r="AV203" s="38">
        <v>28.130800000000001</v>
      </c>
      <c r="AW203" s="39"/>
      <c r="AX203" s="49">
        <v>98.203000000000003</v>
      </c>
      <c r="AY203" s="49">
        <v>86.171000000000006</v>
      </c>
      <c r="BA203" s="53">
        <f t="shared" si="83"/>
        <v>-5.7049073620213386E-3</v>
      </c>
      <c r="BB203" s="53"/>
      <c r="BD203" s="54"/>
      <c r="BE203" s="54"/>
      <c r="BF203" s="54"/>
      <c r="BG203" s="61"/>
      <c r="BI203" s="54"/>
      <c r="BJ203" s="54"/>
      <c r="BK203" s="54"/>
      <c r="BL203" s="61"/>
      <c r="BN203" s="54"/>
      <c r="BO203" s="54"/>
      <c r="BP203" s="54"/>
      <c r="BQ203" s="61"/>
      <c r="BS203" s="54"/>
      <c r="BT203" s="54"/>
      <c r="BU203" s="54"/>
      <c r="BV203" s="61"/>
      <c r="BX203">
        <f t="shared" si="84"/>
        <v>0</v>
      </c>
      <c r="BY203">
        <f t="shared" si="85"/>
        <v>3541792</v>
      </c>
      <c r="BZ203">
        <f t="shared" si="86"/>
        <v>0</v>
      </c>
      <c r="CA203">
        <f t="shared" si="87"/>
        <v>3541792</v>
      </c>
      <c r="CB203">
        <f t="shared" si="88"/>
        <v>0</v>
      </c>
      <c r="CC203">
        <f t="shared" si="89"/>
        <v>2.0600000000001728E-2</v>
      </c>
      <c r="CD203">
        <f t="shared" si="90"/>
        <v>-6.0899999999996624E-2</v>
      </c>
      <c r="CE203">
        <f t="shared" si="91"/>
        <v>7.3399999999999466E-2</v>
      </c>
      <c r="CF203">
        <f t="shared" si="92"/>
        <v>0</v>
      </c>
      <c r="CG203">
        <f t="shared" si="93"/>
        <v>0</v>
      </c>
      <c r="CH203">
        <f t="shared" si="94"/>
        <v>0</v>
      </c>
      <c r="CI203">
        <f t="shared" si="95"/>
        <v>0</v>
      </c>
      <c r="CJ203">
        <f t="shared" si="96"/>
        <v>0</v>
      </c>
    </row>
    <row r="204" spans="1:88" outlineLevel="1" x14ac:dyDescent="0.15">
      <c r="A204" s="8"/>
      <c r="B204" s="14" t="s">
        <v>167</v>
      </c>
      <c r="C204" s="15" t="s">
        <v>258</v>
      </c>
      <c r="D204" s="14">
        <v>43399204</v>
      </c>
      <c r="E204" s="16">
        <v>16</v>
      </c>
      <c r="F204" s="15">
        <v>1</v>
      </c>
      <c r="G204" s="15"/>
      <c r="I204" s="32" t="str">
        <f t="shared" si="73"/>
        <v>·</v>
      </c>
      <c r="J204" s="33">
        <f t="shared" si="74"/>
        <v>12.045785171543699</v>
      </c>
      <c r="K204" s="33">
        <f t="shared" si="75"/>
        <v>11.385743572624051</v>
      </c>
      <c r="L204" s="33">
        <f t="shared" si="76"/>
        <v>0.65993708087364922</v>
      </c>
      <c r="M204" s="34"/>
      <c r="N204" s="33">
        <f t="shared" si="77"/>
        <v>12.045785171543699</v>
      </c>
      <c r="O204" s="35">
        <v>43399204</v>
      </c>
      <c r="P204" s="36">
        <v>522777488</v>
      </c>
      <c r="Q204" s="36">
        <v>494132208</v>
      </c>
      <c r="R204" s="36">
        <v>28640744</v>
      </c>
      <c r="S204" s="46"/>
      <c r="T204" s="47">
        <v>29.620799999999999</v>
      </c>
      <c r="U204" s="47">
        <v>35.544699999999999</v>
      </c>
      <c r="V204" s="47">
        <v>36.587800000000001</v>
      </c>
      <c r="W204" s="48"/>
      <c r="X204" s="47">
        <v>21.686399999999999</v>
      </c>
      <c r="Y204" s="47">
        <v>21.686399999999999</v>
      </c>
      <c r="Z204" s="47">
        <v>21.686399999999999</v>
      </c>
      <c r="AA204" s="48"/>
      <c r="AB204" s="52">
        <v>96.125</v>
      </c>
      <c r="AC204" s="52">
        <v>85.843000000000004</v>
      </c>
      <c r="AE204" s="32" t="str">
        <f t="shared" si="78"/>
        <v>·</v>
      </c>
      <c r="AF204" s="33">
        <f t="shared" si="79"/>
        <v>12.11091687303758</v>
      </c>
      <c r="AG204" s="33">
        <f t="shared" si="80"/>
        <v>11.385743572624051</v>
      </c>
      <c r="AH204" s="33">
        <f t="shared" si="81"/>
        <v>0.72506878236752914</v>
      </c>
      <c r="AI204" s="34"/>
      <c r="AJ204" s="33">
        <f t="shared" si="82"/>
        <v>12.11091687303758</v>
      </c>
      <c r="AK204" s="35">
        <v>43399204</v>
      </c>
      <c r="AL204" s="36">
        <v>525604152</v>
      </c>
      <c r="AM204" s="36">
        <v>494132208</v>
      </c>
      <c r="AN204" s="36">
        <v>31467408</v>
      </c>
      <c r="AO204" s="46"/>
      <c r="AP204" s="47">
        <v>29.767299999999999</v>
      </c>
      <c r="AQ204" s="47">
        <v>35.5762</v>
      </c>
      <c r="AR204" s="47">
        <v>36.506100000000004</v>
      </c>
      <c r="AS204" s="48"/>
      <c r="AT204" s="47">
        <v>21.686399999999999</v>
      </c>
      <c r="AU204" s="47">
        <v>21.686399999999999</v>
      </c>
      <c r="AV204" s="47">
        <v>21.686399999999999</v>
      </c>
      <c r="AW204" s="48"/>
      <c r="AX204" s="52">
        <v>97.343000000000004</v>
      </c>
      <c r="AY204" s="52">
        <v>86.14</v>
      </c>
      <c r="BA204" s="59">
        <f t="shared" si="83"/>
        <v>-5.0832525302570986E-3</v>
      </c>
      <c r="BB204" s="59"/>
      <c r="BD204" s="60"/>
      <c r="BE204" s="60"/>
      <c r="BF204" s="60"/>
      <c r="BG204" s="64"/>
      <c r="BI204" s="60"/>
      <c r="BJ204" s="60"/>
      <c r="BK204" s="60"/>
      <c r="BL204" s="64"/>
      <c r="BN204" s="60"/>
      <c r="BO204" s="60"/>
      <c r="BP204" s="60"/>
      <c r="BQ204" s="64"/>
      <c r="BS204" s="60"/>
      <c r="BT204" s="60"/>
      <c r="BU204" s="60"/>
      <c r="BV204" s="64"/>
      <c r="BX204">
        <f t="shared" si="84"/>
        <v>0</v>
      </c>
      <c r="BY204">
        <f t="shared" si="85"/>
        <v>2826664</v>
      </c>
      <c r="BZ204">
        <f t="shared" si="86"/>
        <v>0</v>
      </c>
      <c r="CA204">
        <f t="shared" si="87"/>
        <v>2826664</v>
      </c>
      <c r="CB204">
        <f t="shared" si="88"/>
        <v>0</v>
      </c>
      <c r="CC204">
        <f t="shared" si="89"/>
        <v>0.14649999999999963</v>
      </c>
      <c r="CD204">
        <f t="shared" si="90"/>
        <v>3.1500000000001194E-2</v>
      </c>
      <c r="CE204">
        <f t="shared" si="91"/>
        <v>-8.1699999999997885E-2</v>
      </c>
      <c r="CF204">
        <f t="shared" si="92"/>
        <v>0</v>
      </c>
      <c r="CG204">
        <f t="shared" si="93"/>
        <v>0</v>
      </c>
      <c r="CH204">
        <f t="shared" si="94"/>
        <v>0</v>
      </c>
      <c r="CI204">
        <f t="shared" si="95"/>
        <v>0</v>
      </c>
      <c r="CJ204">
        <f t="shared" si="96"/>
        <v>0</v>
      </c>
    </row>
    <row r="205" spans="1:88" x14ac:dyDescent="0.15">
      <c r="A205" s="5"/>
      <c r="B205" s="5" t="s">
        <v>168</v>
      </c>
      <c r="C205" s="6" t="s">
        <v>254</v>
      </c>
      <c r="D205" s="5">
        <v>43399207</v>
      </c>
      <c r="E205" s="7">
        <v>20</v>
      </c>
      <c r="F205" s="6">
        <v>1</v>
      </c>
      <c r="G205" s="6"/>
      <c r="I205" s="17" t="str">
        <f t="shared" si="73"/>
        <v>·</v>
      </c>
      <c r="J205" s="18">
        <f t="shared" si="74"/>
        <v>17.46081360426701</v>
      </c>
      <c r="K205" s="18">
        <f t="shared" si="75"/>
        <v>11.635811133599745</v>
      </c>
      <c r="L205" s="18">
        <f t="shared" si="76"/>
        <v>5.8248977682933241</v>
      </c>
      <c r="M205" s="19"/>
      <c r="N205" s="18">
        <f t="shared" si="77"/>
        <v>17.46081360426701</v>
      </c>
      <c r="O205" s="20">
        <v>43399207</v>
      </c>
      <c r="P205" s="21">
        <v>757785464</v>
      </c>
      <c r="Q205" s="21">
        <v>504984976</v>
      </c>
      <c r="R205" s="21">
        <v>252795944</v>
      </c>
      <c r="S205" s="37"/>
      <c r="T205" s="38">
        <v>52.932299999999998</v>
      </c>
      <c r="U205" s="38">
        <v>55.872</v>
      </c>
      <c r="V205" s="38">
        <v>55.753300000000003</v>
      </c>
      <c r="W205" s="39"/>
      <c r="X205" s="38">
        <v>48.130800000000001</v>
      </c>
      <c r="Y205" s="38">
        <v>48.130800000000001</v>
      </c>
      <c r="Z205" s="38">
        <v>48.130800000000001</v>
      </c>
      <c r="AA205" s="39"/>
      <c r="AB205" s="49">
        <v>133.21799999999999</v>
      </c>
      <c r="AC205" s="49">
        <v>116.312</v>
      </c>
      <c r="AE205" s="17" t="str">
        <f t="shared" si="78"/>
        <v>·</v>
      </c>
      <c r="AF205" s="18">
        <f t="shared" si="79"/>
        <v>17.533251978544218</v>
      </c>
      <c r="AG205" s="18">
        <f t="shared" si="80"/>
        <v>11.635811133599745</v>
      </c>
      <c r="AH205" s="18">
        <f t="shared" si="81"/>
        <v>5.8973361425705315</v>
      </c>
      <c r="AI205" s="19"/>
      <c r="AJ205" s="18">
        <f t="shared" si="82"/>
        <v>17.533251978544218</v>
      </c>
      <c r="AK205" s="20">
        <v>43399207</v>
      </c>
      <c r="AL205" s="21">
        <v>760929232</v>
      </c>
      <c r="AM205" s="21">
        <v>504984976</v>
      </c>
      <c r="AN205" s="21">
        <v>255939712</v>
      </c>
      <c r="AO205" s="37"/>
      <c r="AP205" s="38">
        <v>52.940399999999997</v>
      </c>
      <c r="AQ205" s="38">
        <v>55.861499999999999</v>
      </c>
      <c r="AR205" s="38">
        <v>55.7376</v>
      </c>
      <c r="AS205" s="39"/>
      <c r="AT205" s="38">
        <v>48.130800000000001</v>
      </c>
      <c r="AU205" s="38">
        <v>48.130800000000001</v>
      </c>
      <c r="AV205" s="38">
        <v>48.130800000000001</v>
      </c>
      <c r="AW205" s="39"/>
      <c r="AX205" s="49">
        <v>134.34299999999999</v>
      </c>
      <c r="AY205" s="49">
        <v>116.843</v>
      </c>
      <c r="BA205" s="53">
        <f t="shared" si="83"/>
        <v>-2.7532041011898434E-3</v>
      </c>
      <c r="BB205" s="53">
        <f t="array" ref="BB205">AVERAGE(AM205:AM209/AL205:AL209)-AVERAGE(Q205:Q209/P205:P209)</f>
        <v>-4.5049391065515865E-3</v>
      </c>
      <c r="BD205" s="54">
        <f>IF(OR(ISBLANK(R205:R209),ISBLANK(AN205:AN209),ISBLANK(T205:T209),ISBLANK(AP205:AP209)),"·",bdRateExtend(R205:R209,T205:T209,AN205:AN209,AP205:AP209))</f>
        <v>4.0563564787880591E-2</v>
      </c>
      <c r="BE205" s="54">
        <f>IF(OR(ISBLANK(R205:R209),ISBLANK(AN205:AN209),ISBLANK(U205:U209),ISBLANK(AQ205:AQ209)),"·",bdRateExtend(R205:R209,U205:U209,AN205:AN209,AQ205:AQ209))</f>
        <v>4.5220823462930104E-2</v>
      </c>
      <c r="BF205" s="54">
        <f>IF(OR(ISBLANK(R205:R209),ISBLANK(AN205:AN209),ISBLANK(V205:V209),ISBLANK(AR205:AR209)),"·",bdRateExtend(R205:R209,V205:V209,AN205:AN209,AR205:AR209))</f>
        <v>4.0999506505027261E-2</v>
      </c>
      <c r="BG205" s="61"/>
      <c r="BI205" s="54">
        <f>IF(OR(ISBLANK(R205:R209),ISBLANK(AN205:AN209),ISBLANK(X205:X209),ISBLANK(AT205:AT209)),"·",bdRateExtend(R205:R209,X205:X209,AN205:AN209,AT205:AT209))</f>
        <v>4.2363193308242009E-2</v>
      </c>
      <c r="BJ205" s="54">
        <f>IF(OR(ISBLANK(R205:R209),ISBLANK(AN205:AN209),ISBLANK(Y205:Y209),ISBLANK(AU205:AU209)),"·",bdRateExtend(R205:R209,Y205:Y209,AN205:AN209,AU205:AU209))</f>
        <v>4.2363193308242009E-2</v>
      </c>
      <c r="BK205" s="54">
        <f>IF(OR(ISBLANK(R205:R209),ISBLANK(AN205:AN209),ISBLANK(Z205:Z209),ISBLANK(AV205:AV209)),"·",bdRateExtend(R205:R209,Z205:Z209,AN205:AN209,AV205:AV209))</f>
        <v>4.2363193308242009E-2</v>
      </c>
      <c r="BL205" s="61"/>
      <c r="BN205" s="54">
        <f>IF(OR(ISBLANK(P205:P209),ISBLANK(AL205:AL209),ISBLANK(T205:T209),ISBLANK(AP205:AP209)),"·",bdRateExtend(P205:P209,T205:T209,AL205:AL209,AP205:AP209))</f>
        <v>5.5284349785045261E-3</v>
      </c>
      <c r="BO205" s="54">
        <f>IF(OR(ISBLANK(P205:P209),ISBLANK(AL205:AL209),ISBLANK(U205:U209),ISBLANK(AQ205:AQ209)),"·",bdRateExtend(P205:P209,U205:U209,AL205:AL209,AQ205:AQ209))</f>
        <v>6.0795617212121567E-3</v>
      </c>
      <c r="BP205" s="54">
        <f>IF(OR(ISBLANK(P205:P209),ISBLANK(AL205:AL209),ISBLANK(V205:V209),ISBLANK(AR205:AR209)),"·",bdRateExtend(P205:P209,V205:V209,AL205:AL209,AR205:AR209))</f>
        <v>5.7211752690056183E-3</v>
      </c>
      <c r="BQ205" s="61"/>
      <c r="BS205" s="54">
        <f>IF(OR(ISBLANK(P205:P209),ISBLANK(AL205:AL209),ISBLANK(X205:X209),ISBLANK(AT205:AT209)),"·",bdRateExtend(P205:P209,X205:X209,AL205:AL209,AT205:AT209))</f>
        <v>5.7807256269144514E-3</v>
      </c>
      <c r="BT205" s="54">
        <f>IF(OR(ISBLANK(P205:P209),ISBLANK(AL205:AL209),ISBLANK(Y205:Y209),ISBLANK(AU205:AU209)),"·",bdRateExtend(P205:P209,Y205:Y209,AL205:AL209,AU205:AU209))</f>
        <v>5.7807256269144514E-3</v>
      </c>
      <c r="BU205" s="54">
        <f>IF(OR(ISBLANK(P205:P209),ISBLANK(AL205:AL209),ISBLANK(Z205:Z209),ISBLANK(AV205:AV209)),"·",bdRateExtend(P205:P209,Z205:Z209,AL205:AL209,AV205:AV209))</f>
        <v>5.7807256269144514E-3</v>
      </c>
      <c r="BV205" s="61"/>
      <c r="BX205">
        <f t="shared" si="84"/>
        <v>0</v>
      </c>
      <c r="BY205">
        <f t="shared" si="85"/>
        <v>3143768</v>
      </c>
      <c r="BZ205">
        <f t="shared" si="86"/>
        <v>0</v>
      </c>
      <c r="CA205">
        <f t="shared" si="87"/>
        <v>3143768</v>
      </c>
      <c r="CB205">
        <f t="shared" si="88"/>
        <v>0</v>
      </c>
      <c r="CC205">
        <f t="shared" si="89"/>
        <v>8.0999999999988859E-3</v>
      </c>
      <c r="CD205">
        <f t="shared" si="90"/>
        <v>-1.0500000000000398E-2</v>
      </c>
      <c r="CE205">
        <f t="shared" si="91"/>
        <v>-1.570000000000249E-2</v>
      </c>
      <c r="CF205">
        <f t="shared" si="92"/>
        <v>0</v>
      </c>
      <c r="CG205">
        <f t="shared" si="93"/>
        <v>0</v>
      </c>
      <c r="CH205">
        <f t="shared" si="94"/>
        <v>0</v>
      </c>
      <c r="CI205">
        <f t="shared" si="95"/>
        <v>0</v>
      </c>
      <c r="CJ205">
        <f t="shared" si="96"/>
        <v>0</v>
      </c>
    </row>
    <row r="206" spans="1:88" outlineLevel="1" x14ac:dyDescent="0.15">
      <c r="A206" s="8"/>
      <c r="B206" s="8" t="s">
        <v>168</v>
      </c>
      <c r="C206" s="9" t="s">
        <v>255</v>
      </c>
      <c r="D206" s="8">
        <v>43399207</v>
      </c>
      <c r="E206" s="10">
        <v>20</v>
      </c>
      <c r="F206" s="9">
        <v>1</v>
      </c>
      <c r="G206" s="9"/>
      <c r="I206" s="22" t="str">
        <f t="shared" si="73"/>
        <v>·</v>
      </c>
      <c r="J206" s="23">
        <f t="shared" si="74"/>
        <v>15.713972838259464</v>
      </c>
      <c r="K206" s="23">
        <f t="shared" si="75"/>
        <v>11.635811133599745</v>
      </c>
      <c r="L206" s="23">
        <f t="shared" si="76"/>
        <v>4.0780570022857789</v>
      </c>
      <c r="M206" s="24"/>
      <c r="N206" s="23">
        <f t="shared" si="77"/>
        <v>15.713972838259464</v>
      </c>
      <c r="O206" s="25">
        <v>43399207</v>
      </c>
      <c r="P206" s="26">
        <v>681973960</v>
      </c>
      <c r="Q206" s="26">
        <v>504984976</v>
      </c>
      <c r="R206" s="26">
        <v>176984440</v>
      </c>
      <c r="S206" s="40"/>
      <c r="T206" s="41">
        <v>48.373199999999997</v>
      </c>
      <c r="U206" s="41">
        <v>51.320799999999998</v>
      </c>
      <c r="V206" s="41">
        <v>51.2851</v>
      </c>
      <c r="W206" s="42"/>
      <c r="X206" s="41">
        <v>42.110199999999999</v>
      </c>
      <c r="Y206" s="41">
        <v>42.110199999999999</v>
      </c>
      <c r="Z206" s="41">
        <v>42.110199999999999</v>
      </c>
      <c r="AA206" s="42"/>
      <c r="AB206" s="50">
        <v>132.40600000000001</v>
      </c>
      <c r="AC206" s="50">
        <v>115.92100000000001</v>
      </c>
      <c r="AE206" s="22" t="str">
        <f t="shared" si="78"/>
        <v>·</v>
      </c>
      <c r="AF206" s="23">
        <f t="shared" si="79"/>
        <v>15.800165196566841</v>
      </c>
      <c r="AG206" s="23">
        <f t="shared" si="80"/>
        <v>11.635811133599745</v>
      </c>
      <c r="AH206" s="23">
        <f t="shared" si="81"/>
        <v>4.1642493605931552</v>
      </c>
      <c r="AI206" s="24"/>
      <c r="AJ206" s="23">
        <f t="shared" si="82"/>
        <v>15.800165196566841</v>
      </c>
      <c r="AK206" s="25">
        <v>43399207</v>
      </c>
      <c r="AL206" s="26">
        <v>685714640</v>
      </c>
      <c r="AM206" s="26">
        <v>504984976</v>
      </c>
      <c r="AN206" s="26">
        <v>180725120</v>
      </c>
      <c r="AO206" s="40"/>
      <c r="AP206" s="41">
        <v>48.379199999999997</v>
      </c>
      <c r="AQ206" s="41">
        <v>51.311199999999999</v>
      </c>
      <c r="AR206" s="41">
        <v>51.277999999999999</v>
      </c>
      <c r="AS206" s="42"/>
      <c r="AT206" s="41">
        <v>42.110199999999999</v>
      </c>
      <c r="AU206" s="41">
        <v>42.110199999999999</v>
      </c>
      <c r="AV206" s="41">
        <v>42.110199999999999</v>
      </c>
      <c r="AW206" s="42"/>
      <c r="AX206" s="50">
        <v>133.46799999999999</v>
      </c>
      <c r="AY206" s="50">
        <v>115.375</v>
      </c>
      <c r="BA206" s="55">
        <f t="shared" si="83"/>
        <v>-4.0394087433130998E-3</v>
      </c>
      <c r="BB206" s="55"/>
      <c r="BD206" s="56"/>
      <c r="BE206" s="56"/>
      <c r="BF206" s="56"/>
      <c r="BG206" s="62"/>
      <c r="BI206" s="56"/>
      <c r="BJ206" s="56"/>
      <c r="BK206" s="56"/>
      <c r="BL206" s="62"/>
      <c r="BN206" s="56"/>
      <c r="BO206" s="56"/>
      <c r="BP206" s="56"/>
      <c r="BQ206" s="62"/>
      <c r="BS206" s="56"/>
      <c r="BT206" s="56"/>
      <c r="BU206" s="56"/>
      <c r="BV206" s="62"/>
      <c r="BX206">
        <f t="shared" si="84"/>
        <v>0</v>
      </c>
      <c r="BY206">
        <f t="shared" si="85"/>
        <v>3740680</v>
      </c>
      <c r="BZ206">
        <f t="shared" si="86"/>
        <v>0</v>
      </c>
      <c r="CA206">
        <f t="shared" si="87"/>
        <v>3740680</v>
      </c>
      <c r="CB206">
        <f t="shared" si="88"/>
        <v>0</v>
      </c>
      <c r="CC206">
        <f t="shared" si="89"/>
        <v>6.0000000000002274E-3</v>
      </c>
      <c r="CD206">
        <f t="shared" si="90"/>
        <v>-9.5999999999989427E-3</v>
      </c>
      <c r="CE206">
        <f t="shared" si="91"/>
        <v>-7.1000000000012164E-3</v>
      </c>
      <c r="CF206">
        <f t="shared" si="92"/>
        <v>0</v>
      </c>
      <c r="CG206">
        <f t="shared" si="93"/>
        <v>0</v>
      </c>
      <c r="CH206">
        <f t="shared" si="94"/>
        <v>0</v>
      </c>
      <c r="CI206">
        <f t="shared" si="95"/>
        <v>0</v>
      </c>
      <c r="CJ206">
        <f t="shared" si="96"/>
        <v>0</v>
      </c>
    </row>
    <row r="207" spans="1:88" outlineLevel="1" x14ac:dyDescent="0.15">
      <c r="A207" s="5"/>
      <c r="B207" s="5" t="s">
        <v>168</v>
      </c>
      <c r="C207" s="6" t="s">
        <v>256</v>
      </c>
      <c r="D207" s="5">
        <v>43399207</v>
      </c>
      <c r="E207" s="7">
        <v>20</v>
      </c>
      <c r="F207" s="6">
        <v>1</v>
      </c>
      <c r="G207" s="6"/>
      <c r="I207" s="17" t="str">
        <f t="shared" si="73"/>
        <v>·</v>
      </c>
      <c r="J207" s="18">
        <f t="shared" si="74"/>
        <v>13.934973327968873</v>
      </c>
      <c r="K207" s="18">
        <f t="shared" si="75"/>
        <v>11.635811133599745</v>
      </c>
      <c r="L207" s="18">
        <f t="shared" si="76"/>
        <v>2.2990574919951881</v>
      </c>
      <c r="M207" s="19"/>
      <c r="N207" s="18">
        <f t="shared" si="77"/>
        <v>13.934973327968873</v>
      </c>
      <c r="O207" s="20">
        <v>43399207</v>
      </c>
      <c r="P207" s="21">
        <v>604766792</v>
      </c>
      <c r="Q207" s="21">
        <v>504984976</v>
      </c>
      <c r="R207" s="21">
        <v>99777272</v>
      </c>
      <c r="S207" s="37"/>
      <c r="T207" s="38">
        <v>41.477600000000002</v>
      </c>
      <c r="U207" s="38">
        <v>45.673499999999997</v>
      </c>
      <c r="V207" s="38">
        <v>45.955100000000002</v>
      </c>
      <c r="W207" s="39"/>
      <c r="X207" s="38">
        <v>34.151400000000002</v>
      </c>
      <c r="Y207" s="38">
        <v>34.151400000000002</v>
      </c>
      <c r="Z207" s="38">
        <v>34.151400000000002</v>
      </c>
      <c r="AA207" s="39"/>
      <c r="AB207" s="49">
        <v>131.56200000000001</v>
      </c>
      <c r="AC207" s="49">
        <v>114.843</v>
      </c>
      <c r="AE207" s="17" t="str">
        <f t="shared" si="78"/>
        <v>·</v>
      </c>
      <c r="AF207" s="18">
        <f t="shared" si="79"/>
        <v>14.022151879411069</v>
      </c>
      <c r="AG207" s="18">
        <f t="shared" si="80"/>
        <v>11.635811133599745</v>
      </c>
      <c r="AH207" s="18">
        <f t="shared" si="81"/>
        <v>2.3862360434373837</v>
      </c>
      <c r="AI207" s="19"/>
      <c r="AJ207" s="18">
        <f t="shared" si="82"/>
        <v>14.022151879411069</v>
      </c>
      <c r="AK207" s="20">
        <v>43399207</v>
      </c>
      <c r="AL207" s="21">
        <v>608550272</v>
      </c>
      <c r="AM207" s="21">
        <v>504984976</v>
      </c>
      <c r="AN207" s="21">
        <v>103560752</v>
      </c>
      <c r="AO207" s="37"/>
      <c r="AP207" s="38">
        <v>41.487200000000001</v>
      </c>
      <c r="AQ207" s="38">
        <v>45.645400000000002</v>
      </c>
      <c r="AR207" s="38">
        <v>45.9482</v>
      </c>
      <c r="AS207" s="39"/>
      <c r="AT207" s="38">
        <v>34.151400000000002</v>
      </c>
      <c r="AU207" s="38">
        <v>34.151400000000002</v>
      </c>
      <c r="AV207" s="38">
        <v>34.151400000000002</v>
      </c>
      <c r="AW207" s="39"/>
      <c r="AX207" s="49">
        <v>132.71799999999999</v>
      </c>
      <c r="AY207" s="49">
        <v>115.187</v>
      </c>
      <c r="BA207" s="53">
        <f t="shared" si="83"/>
        <v>-5.1914120793239427E-3</v>
      </c>
      <c r="BB207" s="53"/>
      <c r="BD207" s="54"/>
      <c r="BE207" s="54"/>
      <c r="BF207" s="54"/>
      <c r="BG207" s="61"/>
      <c r="BI207" s="54"/>
      <c r="BJ207" s="54"/>
      <c r="BK207" s="54"/>
      <c r="BL207" s="61"/>
      <c r="BN207" s="54"/>
      <c r="BO207" s="54"/>
      <c r="BP207" s="54"/>
      <c r="BQ207" s="61"/>
      <c r="BS207" s="54"/>
      <c r="BT207" s="54"/>
      <c r="BU207" s="54"/>
      <c r="BV207" s="61"/>
      <c r="BX207">
        <f t="shared" si="84"/>
        <v>0</v>
      </c>
      <c r="BY207">
        <f t="shared" si="85"/>
        <v>3783480</v>
      </c>
      <c r="BZ207">
        <f t="shared" si="86"/>
        <v>0</v>
      </c>
      <c r="CA207">
        <f t="shared" si="87"/>
        <v>3783480</v>
      </c>
      <c r="CB207">
        <f t="shared" si="88"/>
        <v>0</v>
      </c>
      <c r="CC207">
        <f t="shared" si="89"/>
        <v>9.5999999999989427E-3</v>
      </c>
      <c r="CD207">
        <f t="shared" si="90"/>
        <v>-2.8099999999994907E-2</v>
      </c>
      <c r="CE207">
        <f t="shared" si="91"/>
        <v>-6.9000000000016826E-3</v>
      </c>
      <c r="CF207">
        <f t="shared" si="92"/>
        <v>0</v>
      </c>
      <c r="CG207">
        <f t="shared" si="93"/>
        <v>0</v>
      </c>
      <c r="CH207">
        <f t="shared" si="94"/>
        <v>0</v>
      </c>
      <c r="CI207">
        <f t="shared" si="95"/>
        <v>0</v>
      </c>
      <c r="CJ207">
        <f t="shared" si="96"/>
        <v>0</v>
      </c>
    </row>
    <row r="208" spans="1:88" outlineLevel="1" x14ac:dyDescent="0.15">
      <c r="A208" s="8"/>
      <c r="B208" s="8" t="s">
        <v>168</v>
      </c>
      <c r="C208" s="9" t="s">
        <v>257</v>
      </c>
      <c r="D208" s="8">
        <v>43399207</v>
      </c>
      <c r="E208" s="10">
        <v>20</v>
      </c>
      <c r="F208" s="9">
        <v>1</v>
      </c>
      <c r="G208" s="9"/>
      <c r="I208" s="22" t="str">
        <f t="shared" si="73"/>
        <v>·</v>
      </c>
      <c r="J208" s="23">
        <f t="shared" si="74"/>
        <v>12.970583725181891</v>
      </c>
      <c r="K208" s="23">
        <f t="shared" si="75"/>
        <v>11.635811133599745</v>
      </c>
      <c r="L208" s="23">
        <f t="shared" si="76"/>
        <v>1.334667889208206</v>
      </c>
      <c r="M208" s="24"/>
      <c r="N208" s="23">
        <f t="shared" si="77"/>
        <v>12.970583725181891</v>
      </c>
      <c r="O208" s="25">
        <v>43399207</v>
      </c>
      <c r="P208" s="26">
        <v>562913048</v>
      </c>
      <c r="Q208" s="26">
        <v>504984976</v>
      </c>
      <c r="R208" s="26">
        <v>57923528</v>
      </c>
      <c r="S208" s="40"/>
      <c r="T208" s="41">
        <v>35.898400000000002</v>
      </c>
      <c r="U208" s="41">
        <v>40.853499999999997</v>
      </c>
      <c r="V208" s="41">
        <v>41.349699999999999</v>
      </c>
      <c r="W208" s="42"/>
      <c r="X208" s="41">
        <v>28.130800000000001</v>
      </c>
      <c r="Y208" s="41">
        <v>28.130800000000001</v>
      </c>
      <c r="Z208" s="41">
        <v>28.130800000000001</v>
      </c>
      <c r="AA208" s="42"/>
      <c r="AB208" s="50">
        <v>130.96799999999999</v>
      </c>
      <c r="AC208" s="50">
        <v>114.48399999999999</v>
      </c>
      <c r="AE208" s="22" t="str">
        <f t="shared" si="78"/>
        <v>·</v>
      </c>
      <c r="AF208" s="23">
        <f t="shared" si="79"/>
        <v>13.053039978357209</v>
      </c>
      <c r="AG208" s="23">
        <f t="shared" si="80"/>
        <v>11.635811133599745</v>
      </c>
      <c r="AH208" s="23">
        <f t="shared" si="81"/>
        <v>1.4171241423835232</v>
      </c>
      <c r="AI208" s="24"/>
      <c r="AJ208" s="23">
        <f t="shared" si="82"/>
        <v>13.053039978357209</v>
      </c>
      <c r="AK208" s="25">
        <v>43399207</v>
      </c>
      <c r="AL208" s="26">
        <v>566491584</v>
      </c>
      <c r="AM208" s="26">
        <v>504984976</v>
      </c>
      <c r="AN208" s="26">
        <v>61502064</v>
      </c>
      <c r="AO208" s="40"/>
      <c r="AP208" s="41">
        <v>35.924700000000001</v>
      </c>
      <c r="AQ208" s="41">
        <v>40.824399999999997</v>
      </c>
      <c r="AR208" s="41">
        <v>41.3797</v>
      </c>
      <c r="AS208" s="42"/>
      <c r="AT208" s="41">
        <v>28.130800000000001</v>
      </c>
      <c r="AU208" s="41">
        <v>28.130800000000001</v>
      </c>
      <c r="AV208" s="41">
        <v>28.130800000000001</v>
      </c>
      <c r="AW208" s="42"/>
      <c r="AX208" s="50">
        <v>131.26499999999999</v>
      </c>
      <c r="AY208" s="50">
        <v>114.015</v>
      </c>
      <c r="BA208" s="55">
        <f t="shared" si="83"/>
        <v>-5.6669459482620033E-3</v>
      </c>
      <c r="BB208" s="55"/>
      <c r="BD208" s="56"/>
      <c r="BE208" s="56"/>
      <c r="BF208" s="56"/>
      <c r="BG208" s="62"/>
      <c r="BI208" s="56"/>
      <c r="BJ208" s="56"/>
      <c r="BK208" s="56"/>
      <c r="BL208" s="62"/>
      <c r="BN208" s="56"/>
      <c r="BO208" s="56"/>
      <c r="BP208" s="56"/>
      <c r="BQ208" s="62"/>
      <c r="BS208" s="56"/>
      <c r="BT208" s="56"/>
      <c r="BU208" s="56"/>
      <c r="BV208" s="62"/>
      <c r="BX208">
        <f t="shared" si="84"/>
        <v>0</v>
      </c>
      <c r="BY208">
        <f t="shared" si="85"/>
        <v>3578536</v>
      </c>
      <c r="BZ208">
        <f t="shared" si="86"/>
        <v>0</v>
      </c>
      <c r="CA208">
        <f t="shared" si="87"/>
        <v>3578536</v>
      </c>
      <c r="CB208">
        <f t="shared" si="88"/>
        <v>0</v>
      </c>
      <c r="CC208">
        <f t="shared" si="89"/>
        <v>2.6299999999999102E-2</v>
      </c>
      <c r="CD208">
        <f t="shared" si="90"/>
        <v>-2.9099999999999682E-2</v>
      </c>
      <c r="CE208">
        <f t="shared" si="91"/>
        <v>3.0000000000001137E-2</v>
      </c>
      <c r="CF208">
        <f t="shared" si="92"/>
        <v>0</v>
      </c>
      <c r="CG208">
        <f t="shared" si="93"/>
        <v>0</v>
      </c>
      <c r="CH208">
        <f t="shared" si="94"/>
        <v>0</v>
      </c>
      <c r="CI208">
        <f t="shared" si="95"/>
        <v>0</v>
      </c>
      <c r="CJ208">
        <f t="shared" si="96"/>
        <v>0</v>
      </c>
    </row>
    <row r="209" spans="1:88" outlineLevel="1" x14ac:dyDescent="0.15">
      <c r="A209" s="5"/>
      <c r="B209" s="11" t="s">
        <v>168</v>
      </c>
      <c r="C209" s="12" t="s">
        <v>258</v>
      </c>
      <c r="D209" s="11">
        <v>43399207</v>
      </c>
      <c r="E209" s="13">
        <v>20</v>
      </c>
      <c r="F209" s="12">
        <v>1</v>
      </c>
      <c r="G209" s="12"/>
      <c r="I209" s="27" t="str">
        <f t="shared" si="73"/>
        <v>·</v>
      </c>
      <c r="J209" s="28">
        <f t="shared" si="74"/>
        <v>12.296165688004391</v>
      </c>
      <c r="K209" s="28">
        <f t="shared" si="75"/>
        <v>11.635811133599745</v>
      </c>
      <c r="L209" s="28">
        <f t="shared" si="76"/>
        <v>0.66024985203070641</v>
      </c>
      <c r="M209" s="29"/>
      <c r="N209" s="28">
        <f t="shared" si="77"/>
        <v>12.296165688004391</v>
      </c>
      <c r="O209" s="30">
        <v>43399207</v>
      </c>
      <c r="P209" s="31">
        <v>533643840</v>
      </c>
      <c r="Q209" s="31">
        <v>504984976</v>
      </c>
      <c r="R209" s="31">
        <v>28654320</v>
      </c>
      <c r="S209" s="43"/>
      <c r="T209" s="44">
        <v>29.610199999999999</v>
      </c>
      <c r="U209" s="44">
        <v>35.513100000000001</v>
      </c>
      <c r="V209" s="44">
        <v>36.557099999999998</v>
      </c>
      <c r="W209" s="45"/>
      <c r="X209" s="44">
        <v>21.686399999999999</v>
      </c>
      <c r="Y209" s="44">
        <v>21.686399999999999</v>
      </c>
      <c r="Z209" s="44">
        <v>21.686399999999999</v>
      </c>
      <c r="AA209" s="45"/>
      <c r="AB209" s="51">
        <v>130.28100000000001</v>
      </c>
      <c r="AC209" s="51">
        <v>113.875</v>
      </c>
      <c r="AE209" s="27" t="str">
        <f t="shared" si="78"/>
        <v>·</v>
      </c>
      <c r="AF209" s="28">
        <f t="shared" si="79"/>
        <v>12.359822703672904</v>
      </c>
      <c r="AG209" s="28">
        <f t="shared" si="80"/>
        <v>11.635811133599745</v>
      </c>
      <c r="AH209" s="28">
        <f t="shared" si="81"/>
        <v>0.72390686769921853</v>
      </c>
      <c r="AI209" s="29"/>
      <c r="AJ209" s="28">
        <f t="shared" si="82"/>
        <v>12.359822703672904</v>
      </c>
      <c r="AK209" s="30">
        <v>43399207</v>
      </c>
      <c r="AL209" s="31">
        <v>536406504</v>
      </c>
      <c r="AM209" s="31">
        <v>504984976</v>
      </c>
      <c r="AN209" s="31">
        <v>31416984</v>
      </c>
      <c r="AO209" s="43"/>
      <c r="AP209" s="44">
        <v>29.796700000000001</v>
      </c>
      <c r="AQ209" s="44">
        <v>35.5398</v>
      </c>
      <c r="AR209" s="44">
        <v>36.6267</v>
      </c>
      <c r="AS209" s="45"/>
      <c r="AT209" s="44">
        <v>21.686399999999999</v>
      </c>
      <c r="AU209" s="44">
        <v>21.686399999999999</v>
      </c>
      <c r="AV209" s="44">
        <v>21.686399999999999</v>
      </c>
      <c r="AW209" s="45"/>
      <c r="AX209" s="51">
        <v>131.09299999999999</v>
      </c>
      <c r="AY209" s="51">
        <v>114.17100000000001</v>
      </c>
      <c r="BA209" s="57">
        <f t="shared" si="83"/>
        <v>-4.8737246606698204E-3</v>
      </c>
      <c r="BB209" s="57"/>
      <c r="BD209" s="58"/>
      <c r="BE209" s="58"/>
      <c r="BF209" s="58"/>
      <c r="BG209" s="63"/>
      <c r="BI209" s="58"/>
      <c r="BJ209" s="58"/>
      <c r="BK209" s="58"/>
      <c r="BL209" s="63"/>
      <c r="BN209" s="58"/>
      <c r="BO209" s="58"/>
      <c r="BP209" s="58"/>
      <c r="BQ209" s="63"/>
      <c r="BS209" s="58"/>
      <c r="BT209" s="58"/>
      <c r="BU209" s="58"/>
      <c r="BV209" s="63"/>
      <c r="BX209">
        <f t="shared" si="84"/>
        <v>0</v>
      </c>
      <c r="BY209">
        <f t="shared" si="85"/>
        <v>2762664</v>
      </c>
      <c r="BZ209">
        <f t="shared" si="86"/>
        <v>0</v>
      </c>
      <c r="CA209">
        <f t="shared" si="87"/>
        <v>2762664</v>
      </c>
      <c r="CB209">
        <f t="shared" si="88"/>
        <v>0</v>
      </c>
      <c r="CC209">
        <f t="shared" si="89"/>
        <v>0.18650000000000233</v>
      </c>
      <c r="CD209">
        <f t="shared" si="90"/>
        <v>2.669999999999817E-2</v>
      </c>
      <c r="CE209">
        <f t="shared" si="91"/>
        <v>6.9600000000001216E-2</v>
      </c>
      <c r="CF209">
        <f t="shared" si="92"/>
        <v>0</v>
      </c>
      <c r="CG209">
        <f t="shared" si="93"/>
        <v>0</v>
      </c>
      <c r="CH209">
        <f t="shared" si="94"/>
        <v>0</v>
      </c>
      <c r="CI209">
        <f t="shared" si="95"/>
        <v>0</v>
      </c>
      <c r="CJ209">
        <f t="shared" si="96"/>
        <v>0</v>
      </c>
    </row>
    <row r="210" spans="1:88" x14ac:dyDescent="0.15">
      <c r="A210" s="8"/>
      <c r="B210" s="8" t="s">
        <v>169</v>
      </c>
      <c r="C210" s="9" t="s">
        <v>254</v>
      </c>
      <c r="D210" s="8">
        <v>499660</v>
      </c>
      <c r="E210" s="10">
        <v>12</v>
      </c>
      <c r="F210" s="9">
        <v>1</v>
      </c>
      <c r="G210" s="9"/>
      <c r="I210" s="22" t="str">
        <f t="shared" si="73"/>
        <v>·</v>
      </c>
      <c r="J210" s="23">
        <f t="shared" si="74"/>
        <v>19.465748709122202</v>
      </c>
      <c r="K210" s="23">
        <f t="shared" si="75"/>
        <v>9.8042669014930155</v>
      </c>
      <c r="L210" s="23">
        <f t="shared" si="76"/>
        <v>9.6604410999479651</v>
      </c>
      <c r="M210" s="24"/>
      <c r="N210" s="23">
        <f t="shared" si="77"/>
        <v>19.465748709122202</v>
      </c>
      <c r="O210" s="25">
        <v>499660</v>
      </c>
      <c r="P210" s="26">
        <v>9726256</v>
      </c>
      <c r="Q210" s="26">
        <v>4898800</v>
      </c>
      <c r="R210" s="26">
        <v>4826936</v>
      </c>
      <c r="S210" s="40"/>
      <c r="T210" s="41">
        <v>53.417299999999997</v>
      </c>
      <c r="U210" s="41">
        <v>54.833399999999997</v>
      </c>
      <c r="V210" s="41">
        <v>54.987699999999997</v>
      </c>
      <c r="W210" s="42"/>
      <c r="X210" s="41">
        <v>48.130800000000001</v>
      </c>
      <c r="Y210" s="41">
        <v>48.130800000000001</v>
      </c>
      <c r="Z210" s="41">
        <v>48.130800000000001</v>
      </c>
      <c r="AA210" s="42"/>
      <c r="AB210" s="50">
        <v>0.98399999999999999</v>
      </c>
      <c r="AC210" s="50">
        <v>0.92100000000000004</v>
      </c>
      <c r="AE210" s="22" t="str">
        <f t="shared" si="78"/>
        <v>·</v>
      </c>
      <c r="AF210" s="23">
        <f t="shared" si="79"/>
        <v>19.561125565384462</v>
      </c>
      <c r="AG210" s="23">
        <f t="shared" si="80"/>
        <v>9.8042669014930155</v>
      </c>
      <c r="AH210" s="23">
        <f t="shared" si="81"/>
        <v>9.7558179562102225</v>
      </c>
      <c r="AI210" s="24"/>
      <c r="AJ210" s="23">
        <f t="shared" si="82"/>
        <v>19.561125565384462</v>
      </c>
      <c r="AK210" s="25">
        <v>499660</v>
      </c>
      <c r="AL210" s="26">
        <v>9773912</v>
      </c>
      <c r="AM210" s="26">
        <v>4898800</v>
      </c>
      <c r="AN210" s="26">
        <v>4874592</v>
      </c>
      <c r="AO210" s="40"/>
      <c r="AP210" s="41">
        <v>53.418399999999998</v>
      </c>
      <c r="AQ210" s="41">
        <v>54.818800000000003</v>
      </c>
      <c r="AR210" s="41">
        <v>54.979100000000003</v>
      </c>
      <c r="AS210" s="42"/>
      <c r="AT210" s="41">
        <v>48.130800000000001</v>
      </c>
      <c r="AU210" s="41">
        <v>48.130800000000001</v>
      </c>
      <c r="AV210" s="41">
        <v>48.130800000000001</v>
      </c>
      <c r="AW210" s="42"/>
      <c r="AX210" s="50">
        <v>1.0620000000000001</v>
      </c>
      <c r="AY210" s="50">
        <v>0.93700000000000006</v>
      </c>
      <c r="BA210" s="55">
        <f t="shared" si="83"/>
        <v>-2.4558010205869563E-3</v>
      </c>
      <c r="BB210" s="55">
        <f t="array" ref="BB210">AVERAGE(AM210:AM214/AL210:AL214)-AVERAGE(Q210:Q214/P210:P214)</f>
        <v>-5.6880079853000032E-3</v>
      </c>
      <c r="BD210" s="56">
        <f>IF(OR(ISBLANK(R210:R214),ISBLANK(AN210:AN214),ISBLANK(T210:T214),ISBLANK(AP210:AP214)),"·",bdRateExtend(R210:R214,T210:T214,AN210:AN214,AP210:AP214))</f>
        <v>3.171284515848094E-2</v>
      </c>
      <c r="BE210" s="56">
        <f>IF(OR(ISBLANK(R210:R214),ISBLANK(AN210:AN214),ISBLANK(U210:U214),ISBLANK(AQ210:AQ214)),"·",bdRateExtend(R210:R214,U210:U214,AN210:AN214,AQ210:AQ214))</f>
        <v>3.846189534918798E-2</v>
      </c>
      <c r="BF210" s="56">
        <f>IF(OR(ISBLANK(R210:R214),ISBLANK(AN210:AN214),ISBLANK(V210:V214),ISBLANK(AR210:AR214)),"·",bdRateExtend(R210:R214,V210:V214,AN210:AN214,AR210:AR214))</f>
        <v>3.6219427910640922E-2</v>
      </c>
      <c r="BG210" s="62"/>
      <c r="BI210" s="56">
        <f>IF(OR(ISBLANK(R210:R214),ISBLANK(AN210:AN214),ISBLANK(X210:X214),ISBLANK(AT210:AT214)),"·",bdRateExtend(R210:R214,X210:X214,AN210:AN214,AT210:AT214))</f>
        <v>3.3376313758309406E-2</v>
      </c>
      <c r="BJ210" s="56">
        <f>IF(OR(ISBLANK(R210:R214),ISBLANK(AN210:AN214),ISBLANK(Y210:Y214),ISBLANK(AU210:AU214)),"·",bdRateExtend(R210:R214,Y210:Y214,AN210:AN214,AU210:AU214))</f>
        <v>3.3376313758309406E-2</v>
      </c>
      <c r="BK210" s="56">
        <f>IF(OR(ISBLANK(R210:R214),ISBLANK(AN210:AN214),ISBLANK(Z210:Z214),ISBLANK(AV210:AV214)),"·",bdRateExtend(R210:R214,Z210:Z214,AN210:AN214,AV210:AV214))</f>
        <v>3.3376313758309406E-2</v>
      </c>
      <c r="BL210" s="62"/>
      <c r="BN210" s="56">
        <f>IF(OR(ISBLANK(P210:P214),ISBLANK(AL210:AL214),ISBLANK(T210:T214),ISBLANK(AP210:AP214)),"·",bdRateExtend(P210:P214,T210:T214,AL210:AL214,AP210:AP214))</f>
        <v>8.0954363975787036E-3</v>
      </c>
      <c r="BO210" s="56">
        <f>IF(OR(ISBLANK(P210:P214),ISBLANK(AL210:AL214),ISBLANK(U210:U214),ISBLANK(AQ210:AQ214)),"·",bdRateExtend(P210:P214,U210:U214,AL210:AL214,AQ210:AQ214))</f>
        <v>9.4420943003041824E-3</v>
      </c>
      <c r="BP210" s="56">
        <f>IF(OR(ISBLANK(P210:P214),ISBLANK(AL210:AL214),ISBLANK(V210:V214),ISBLANK(AR210:AR214)),"·",bdRateExtend(P210:P214,V210:V214,AL210:AL214,AR210:AR214))</f>
        <v>9.1108756653601741E-3</v>
      </c>
      <c r="BQ210" s="62"/>
      <c r="BS210" s="56">
        <f>IF(OR(ISBLANK(P210:P214),ISBLANK(AL210:AL214),ISBLANK(X210:X214),ISBLANK(AT210:AT214)),"·",bdRateExtend(P210:P214,X210:X214,AL210:AL214,AT210:AT214))</f>
        <v>8.4720901706401008E-3</v>
      </c>
      <c r="BT210" s="56">
        <f>IF(OR(ISBLANK(P210:P214),ISBLANK(AL210:AL214),ISBLANK(Y210:Y214),ISBLANK(AU210:AU214)),"·",bdRateExtend(P210:P214,Y210:Y214,AL210:AL214,AU210:AU214))</f>
        <v>8.4720901706401008E-3</v>
      </c>
      <c r="BU210" s="56">
        <f>IF(OR(ISBLANK(P210:P214),ISBLANK(AL210:AL214),ISBLANK(Z210:Z214),ISBLANK(AV210:AV214)),"·",bdRateExtend(P210:P214,Z210:Z214,AL210:AL214,AV210:AV214))</f>
        <v>8.4720901706401008E-3</v>
      </c>
      <c r="BV210" s="62"/>
      <c r="BX210">
        <f t="shared" si="84"/>
        <v>0</v>
      </c>
      <c r="BY210">
        <f t="shared" si="85"/>
        <v>47656</v>
      </c>
      <c r="BZ210">
        <f t="shared" si="86"/>
        <v>0</v>
      </c>
      <c r="CA210">
        <f t="shared" si="87"/>
        <v>47656</v>
      </c>
      <c r="CB210">
        <f t="shared" si="88"/>
        <v>0</v>
      </c>
      <c r="CC210">
        <f t="shared" si="89"/>
        <v>1.1000000000009891E-3</v>
      </c>
      <c r="CD210">
        <f t="shared" si="90"/>
        <v>-1.4599999999994395E-2</v>
      </c>
      <c r="CE210">
        <f t="shared" si="91"/>
        <v>-8.5999999999941679E-3</v>
      </c>
      <c r="CF210">
        <f t="shared" si="92"/>
        <v>0</v>
      </c>
      <c r="CG210">
        <f t="shared" si="93"/>
        <v>0</v>
      </c>
      <c r="CH210">
        <f t="shared" si="94"/>
        <v>0</v>
      </c>
      <c r="CI210">
        <f t="shared" si="95"/>
        <v>0</v>
      </c>
      <c r="CJ210">
        <f t="shared" si="96"/>
        <v>0</v>
      </c>
    </row>
    <row r="211" spans="1:88" outlineLevel="1" x14ac:dyDescent="0.15">
      <c r="A211" s="5"/>
      <c r="B211" s="5" t="s">
        <v>169</v>
      </c>
      <c r="C211" s="6" t="s">
        <v>255</v>
      </c>
      <c r="D211" s="5">
        <v>499660</v>
      </c>
      <c r="E211" s="7">
        <v>12</v>
      </c>
      <c r="F211" s="6">
        <v>1</v>
      </c>
      <c r="G211" s="6"/>
      <c r="I211" s="17" t="str">
        <f t="shared" si="73"/>
        <v>·</v>
      </c>
      <c r="J211" s="18">
        <f t="shared" si="74"/>
        <v>16.910971460593203</v>
      </c>
      <c r="K211" s="18">
        <f t="shared" si="75"/>
        <v>9.8042669014930155</v>
      </c>
      <c r="L211" s="18">
        <f t="shared" si="76"/>
        <v>7.1056638514189645</v>
      </c>
      <c r="M211" s="19"/>
      <c r="N211" s="18">
        <f t="shared" si="77"/>
        <v>16.910971460593203</v>
      </c>
      <c r="O211" s="20">
        <v>499660</v>
      </c>
      <c r="P211" s="21">
        <v>8449736</v>
      </c>
      <c r="Q211" s="21">
        <v>4898800</v>
      </c>
      <c r="R211" s="21">
        <v>3550416</v>
      </c>
      <c r="S211" s="37"/>
      <c r="T211" s="38">
        <v>48.506700000000002</v>
      </c>
      <c r="U211" s="38">
        <v>50.4861</v>
      </c>
      <c r="V211" s="38">
        <v>50.470300000000002</v>
      </c>
      <c r="W211" s="39"/>
      <c r="X211" s="38">
        <v>42.110199999999999</v>
      </c>
      <c r="Y211" s="38">
        <v>42.110199999999999</v>
      </c>
      <c r="Z211" s="38">
        <v>42.110199999999999</v>
      </c>
      <c r="AA211" s="39"/>
      <c r="AB211" s="49">
        <v>0.98399999999999999</v>
      </c>
      <c r="AC211" s="49">
        <v>0.92100000000000004</v>
      </c>
      <c r="AE211" s="17" t="str">
        <f t="shared" si="78"/>
        <v>·</v>
      </c>
      <c r="AF211" s="18">
        <f t="shared" si="79"/>
        <v>17.027386622903574</v>
      </c>
      <c r="AG211" s="18">
        <f t="shared" si="80"/>
        <v>9.8042669014930155</v>
      </c>
      <c r="AH211" s="18">
        <f t="shared" si="81"/>
        <v>7.2220790137293358</v>
      </c>
      <c r="AI211" s="19"/>
      <c r="AJ211" s="18">
        <f t="shared" si="82"/>
        <v>17.027386622903574</v>
      </c>
      <c r="AK211" s="20">
        <v>499660</v>
      </c>
      <c r="AL211" s="21">
        <v>8507904</v>
      </c>
      <c r="AM211" s="21">
        <v>4898800</v>
      </c>
      <c r="AN211" s="21">
        <v>3608584</v>
      </c>
      <c r="AO211" s="37"/>
      <c r="AP211" s="38">
        <v>48.517800000000001</v>
      </c>
      <c r="AQ211" s="38">
        <v>50.479199999999999</v>
      </c>
      <c r="AR211" s="38">
        <v>50.468800000000002</v>
      </c>
      <c r="AS211" s="39"/>
      <c r="AT211" s="38">
        <v>42.110199999999999</v>
      </c>
      <c r="AU211" s="38">
        <v>42.110199999999999</v>
      </c>
      <c r="AV211" s="38">
        <v>42.110199999999999</v>
      </c>
      <c r="AW211" s="39"/>
      <c r="AX211" s="49">
        <v>0.98399999999999999</v>
      </c>
      <c r="AY211" s="49">
        <v>0.92100000000000004</v>
      </c>
      <c r="BA211" s="53">
        <f t="shared" si="83"/>
        <v>-3.963767018747566E-3</v>
      </c>
      <c r="BB211" s="53"/>
      <c r="BD211" s="54"/>
      <c r="BE211" s="54"/>
      <c r="BF211" s="54"/>
      <c r="BG211" s="61"/>
      <c r="BI211" s="54"/>
      <c r="BJ211" s="54"/>
      <c r="BK211" s="54"/>
      <c r="BL211" s="61"/>
      <c r="BN211" s="54"/>
      <c r="BO211" s="54"/>
      <c r="BP211" s="54"/>
      <c r="BQ211" s="61"/>
      <c r="BS211" s="54"/>
      <c r="BT211" s="54"/>
      <c r="BU211" s="54"/>
      <c r="BV211" s="61"/>
      <c r="BX211">
        <f t="shared" si="84"/>
        <v>0</v>
      </c>
      <c r="BY211">
        <f t="shared" si="85"/>
        <v>58168</v>
      </c>
      <c r="BZ211">
        <f t="shared" si="86"/>
        <v>0</v>
      </c>
      <c r="CA211">
        <f t="shared" si="87"/>
        <v>58168</v>
      </c>
      <c r="CB211">
        <f t="shared" si="88"/>
        <v>0</v>
      </c>
      <c r="CC211">
        <f t="shared" si="89"/>
        <v>1.1099999999999E-2</v>
      </c>
      <c r="CD211">
        <f t="shared" si="90"/>
        <v>-6.9000000000016826E-3</v>
      </c>
      <c r="CE211">
        <f t="shared" si="91"/>
        <v>-1.5000000000000568E-3</v>
      </c>
      <c r="CF211">
        <f t="shared" si="92"/>
        <v>0</v>
      </c>
      <c r="CG211">
        <f t="shared" si="93"/>
        <v>0</v>
      </c>
      <c r="CH211">
        <f t="shared" si="94"/>
        <v>0</v>
      </c>
      <c r="CI211">
        <f t="shared" si="95"/>
        <v>0</v>
      </c>
      <c r="CJ211">
        <f t="shared" si="96"/>
        <v>0</v>
      </c>
    </row>
    <row r="212" spans="1:88" outlineLevel="1" x14ac:dyDescent="0.15">
      <c r="A212" s="8"/>
      <c r="B212" s="8" t="s">
        <v>169</v>
      </c>
      <c r="C212" s="9" t="s">
        <v>256</v>
      </c>
      <c r="D212" s="8">
        <v>499660</v>
      </c>
      <c r="E212" s="10">
        <v>12</v>
      </c>
      <c r="F212" s="9">
        <v>1</v>
      </c>
      <c r="G212" s="9"/>
      <c r="I212" s="22" t="str">
        <f t="shared" si="73"/>
        <v>·</v>
      </c>
      <c r="J212" s="23">
        <f t="shared" si="74"/>
        <v>14.233310651242846</v>
      </c>
      <c r="K212" s="23">
        <f t="shared" si="75"/>
        <v>9.8042669014930155</v>
      </c>
      <c r="L212" s="23">
        <f t="shared" si="76"/>
        <v>4.4280030420686067</v>
      </c>
      <c r="M212" s="24"/>
      <c r="N212" s="23">
        <f t="shared" si="77"/>
        <v>14.233310651242846</v>
      </c>
      <c r="O212" s="25">
        <v>499660</v>
      </c>
      <c r="P212" s="26">
        <v>7111816</v>
      </c>
      <c r="Q212" s="26">
        <v>4898800</v>
      </c>
      <c r="R212" s="26">
        <v>2212496</v>
      </c>
      <c r="S212" s="40"/>
      <c r="T212" s="41">
        <v>41.366</v>
      </c>
      <c r="U212" s="41">
        <v>44.281500000000001</v>
      </c>
      <c r="V212" s="41">
        <v>44.608800000000002</v>
      </c>
      <c r="W212" s="42"/>
      <c r="X212" s="41">
        <v>34.151400000000002</v>
      </c>
      <c r="Y212" s="41">
        <v>34.151400000000002</v>
      </c>
      <c r="Z212" s="41">
        <v>34.151400000000002</v>
      </c>
      <c r="AA212" s="42"/>
      <c r="AB212" s="50">
        <v>0.96799999999999997</v>
      </c>
      <c r="AC212" s="50">
        <v>0.90600000000000003</v>
      </c>
      <c r="AE212" s="22" t="str">
        <f t="shared" si="78"/>
        <v>·</v>
      </c>
      <c r="AF212" s="23">
        <f t="shared" si="79"/>
        <v>14.365320417884162</v>
      </c>
      <c r="AG212" s="23">
        <f t="shared" si="80"/>
        <v>9.8042669014930155</v>
      </c>
      <c r="AH212" s="23">
        <f t="shared" si="81"/>
        <v>4.5600128087099225</v>
      </c>
      <c r="AI212" s="24"/>
      <c r="AJ212" s="23">
        <f t="shared" si="82"/>
        <v>14.365320417884162</v>
      </c>
      <c r="AK212" s="25">
        <v>499660</v>
      </c>
      <c r="AL212" s="26">
        <v>7177776</v>
      </c>
      <c r="AM212" s="26">
        <v>4898800</v>
      </c>
      <c r="AN212" s="26">
        <v>2278456</v>
      </c>
      <c r="AO212" s="40"/>
      <c r="AP212" s="41">
        <v>41.375900000000001</v>
      </c>
      <c r="AQ212" s="41">
        <v>44.245699999999999</v>
      </c>
      <c r="AR212" s="41">
        <v>44.580800000000004</v>
      </c>
      <c r="AS212" s="42"/>
      <c r="AT212" s="41">
        <v>34.151400000000002</v>
      </c>
      <c r="AU212" s="41">
        <v>34.151400000000002</v>
      </c>
      <c r="AV212" s="41">
        <v>34.151400000000002</v>
      </c>
      <c r="AW212" s="42"/>
      <c r="AX212" s="50">
        <v>1</v>
      </c>
      <c r="AY212" s="50">
        <v>0.92100000000000004</v>
      </c>
      <c r="BA212" s="55">
        <f t="shared" si="83"/>
        <v>-6.3299450989777739E-3</v>
      </c>
      <c r="BB212" s="55"/>
      <c r="BD212" s="56"/>
      <c r="BE212" s="56"/>
      <c r="BF212" s="56"/>
      <c r="BG212" s="62"/>
      <c r="BI212" s="56"/>
      <c r="BJ212" s="56"/>
      <c r="BK212" s="56"/>
      <c r="BL212" s="62"/>
      <c r="BN212" s="56"/>
      <c r="BO212" s="56"/>
      <c r="BP212" s="56"/>
      <c r="BQ212" s="62"/>
      <c r="BS212" s="56"/>
      <c r="BT212" s="56"/>
      <c r="BU212" s="56"/>
      <c r="BV212" s="62"/>
      <c r="BX212">
        <f t="shared" si="84"/>
        <v>0</v>
      </c>
      <c r="BY212">
        <f t="shared" si="85"/>
        <v>65960</v>
      </c>
      <c r="BZ212">
        <f t="shared" si="86"/>
        <v>0</v>
      </c>
      <c r="CA212">
        <f t="shared" si="87"/>
        <v>65960</v>
      </c>
      <c r="CB212">
        <f t="shared" si="88"/>
        <v>0</v>
      </c>
      <c r="CC212">
        <f t="shared" si="89"/>
        <v>9.9000000000017963E-3</v>
      </c>
      <c r="CD212">
        <f t="shared" si="90"/>
        <v>-3.580000000000183E-2</v>
      </c>
      <c r="CE212">
        <f t="shared" si="91"/>
        <v>-2.7999999999998693E-2</v>
      </c>
      <c r="CF212">
        <f t="shared" si="92"/>
        <v>0</v>
      </c>
      <c r="CG212">
        <f t="shared" si="93"/>
        <v>0</v>
      </c>
      <c r="CH212">
        <f t="shared" si="94"/>
        <v>0</v>
      </c>
      <c r="CI212">
        <f t="shared" si="95"/>
        <v>0</v>
      </c>
      <c r="CJ212">
        <f t="shared" si="96"/>
        <v>0</v>
      </c>
    </row>
    <row r="213" spans="1:88" outlineLevel="1" x14ac:dyDescent="0.15">
      <c r="A213" s="5"/>
      <c r="B213" s="5" t="s">
        <v>169</v>
      </c>
      <c r="C213" s="6" t="s">
        <v>257</v>
      </c>
      <c r="D213" s="5">
        <v>499660</v>
      </c>
      <c r="E213" s="7">
        <v>12</v>
      </c>
      <c r="F213" s="6">
        <v>1</v>
      </c>
      <c r="G213" s="6"/>
      <c r="I213" s="17" t="str">
        <f t="shared" si="73"/>
        <v>·</v>
      </c>
      <c r="J213" s="18">
        <f t="shared" si="74"/>
        <v>12.458071488612257</v>
      </c>
      <c r="K213" s="18">
        <f t="shared" si="75"/>
        <v>9.8042669014930155</v>
      </c>
      <c r="L213" s="18">
        <f t="shared" si="76"/>
        <v>2.6527638794380177</v>
      </c>
      <c r="M213" s="19"/>
      <c r="N213" s="18">
        <f t="shared" si="77"/>
        <v>12.458071488612257</v>
      </c>
      <c r="O213" s="20">
        <v>499660</v>
      </c>
      <c r="P213" s="21">
        <v>6224800</v>
      </c>
      <c r="Q213" s="21">
        <v>4898800</v>
      </c>
      <c r="R213" s="21">
        <v>1325480</v>
      </c>
      <c r="S213" s="37"/>
      <c r="T213" s="38">
        <v>35.6419</v>
      </c>
      <c r="U213" s="38">
        <v>39.438699999999997</v>
      </c>
      <c r="V213" s="38">
        <v>39.841200000000001</v>
      </c>
      <c r="W213" s="39"/>
      <c r="X213" s="38">
        <v>28.130800000000001</v>
      </c>
      <c r="Y213" s="38">
        <v>28.130800000000001</v>
      </c>
      <c r="Z213" s="38">
        <v>28.130800000000001</v>
      </c>
      <c r="AA213" s="39"/>
      <c r="AB213" s="49">
        <v>0.98399999999999999</v>
      </c>
      <c r="AC213" s="49">
        <v>0.90600000000000003</v>
      </c>
      <c r="AE213" s="17" t="str">
        <f t="shared" si="78"/>
        <v>·</v>
      </c>
      <c r="AF213" s="18">
        <f t="shared" si="79"/>
        <v>12.589536885081856</v>
      </c>
      <c r="AG213" s="18">
        <f t="shared" si="80"/>
        <v>9.8042669014930155</v>
      </c>
      <c r="AH213" s="18">
        <f t="shared" si="81"/>
        <v>2.784229275907617</v>
      </c>
      <c r="AI213" s="19"/>
      <c r="AJ213" s="18">
        <f t="shared" si="82"/>
        <v>12.589536885081856</v>
      </c>
      <c r="AK213" s="20">
        <v>499660</v>
      </c>
      <c r="AL213" s="21">
        <v>6290488</v>
      </c>
      <c r="AM213" s="21">
        <v>4898800</v>
      </c>
      <c r="AN213" s="21">
        <v>1391168</v>
      </c>
      <c r="AO213" s="37"/>
      <c r="AP213" s="38">
        <v>35.670299999999997</v>
      </c>
      <c r="AQ213" s="38">
        <v>39.3994</v>
      </c>
      <c r="AR213" s="38">
        <v>39.7926</v>
      </c>
      <c r="AS213" s="39"/>
      <c r="AT213" s="38">
        <v>28.130800000000001</v>
      </c>
      <c r="AU213" s="38">
        <v>28.130800000000001</v>
      </c>
      <c r="AV213" s="38">
        <v>28.130800000000001</v>
      </c>
      <c r="AW213" s="39"/>
      <c r="AX213" s="49">
        <v>0.98399999999999999</v>
      </c>
      <c r="AY213" s="49">
        <v>0.90600000000000003</v>
      </c>
      <c r="BA213" s="53">
        <f t="shared" si="83"/>
        <v>-8.2179975561393892E-3</v>
      </c>
      <c r="BB213" s="53"/>
      <c r="BD213" s="54"/>
      <c r="BE213" s="54"/>
      <c r="BF213" s="54"/>
      <c r="BG213" s="61"/>
      <c r="BI213" s="54"/>
      <c r="BJ213" s="54"/>
      <c r="BK213" s="54"/>
      <c r="BL213" s="61"/>
      <c r="BN213" s="54"/>
      <c r="BO213" s="54"/>
      <c r="BP213" s="54"/>
      <c r="BQ213" s="61"/>
      <c r="BS213" s="54"/>
      <c r="BT213" s="54"/>
      <c r="BU213" s="54"/>
      <c r="BV213" s="61"/>
      <c r="BX213">
        <f t="shared" si="84"/>
        <v>0</v>
      </c>
      <c r="BY213">
        <f t="shared" si="85"/>
        <v>65688</v>
      </c>
      <c r="BZ213">
        <f t="shared" si="86"/>
        <v>0</v>
      </c>
      <c r="CA213">
        <f t="shared" si="87"/>
        <v>65688</v>
      </c>
      <c r="CB213">
        <f t="shared" si="88"/>
        <v>0</v>
      </c>
      <c r="CC213">
        <f t="shared" si="89"/>
        <v>2.839999999999776E-2</v>
      </c>
      <c r="CD213">
        <f t="shared" si="90"/>
        <v>-3.9299999999997226E-2</v>
      </c>
      <c r="CE213">
        <f t="shared" si="91"/>
        <v>-4.8600000000000421E-2</v>
      </c>
      <c r="CF213">
        <f t="shared" si="92"/>
        <v>0</v>
      </c>
      <c r="CG213">
        <f t="shared" si="93"/>
        <v>0</v>
      </c>
      <c r="CH213">
        <f t="shared" si="94"/>
        <v>0</v>
      </c>
      <c r="CI213">
        <f t="shared" si="95"/>
        <v>0</v>
      </c>
      <c r="CJ213">
        <f t="shared" si="96"/>
        <v>0</v>
      </c>
    </row>
    <row r="214" spans="1:88" outlineLevel="1" x14ac:dyDescent="0.15">
      <c r="A214" s="8"/>
      <c r="B214" s="14" t="s">
        <v>169</v>
      </c>
      <c r="C214" s="15" t="s">
        <v>258</v>
      </c>
      <c r="D214" s="14">
        <v>499660</v>
      </c>
      <c r="E214" s="16">
        <v>12</v>
      </c>
      <c r="F214" s="15">
        <v>1</v>
      </c>
      <c r="G214" s="15"/>
      <c r="I214" s="32" t="str">
        <f t="shared" si="73"/>
        <v>·</v>
      </c>
      <c r="J214" s="33">
        <f t="shared" si="74"/>
        <v>11.085746307489092</v>
      </c>
      <c r="K214" s="33">
        <f t="shared" si="75"/>
        <v>9.8042669014930155</v>
      </c>
      <c r="L214" s="33">
        <f t="shared" si="76"/>
        <v>1.2804386983148541</v>
      </c>
      <c r="M214" s="34"/>
      <c r="N214" s="33">
        <f t="shared" si="77"/>
        <v>11.085746307489092</v>
      </c>
      <c r="O214" s="35">
        <v>499660</v>
      </c>
      <c r="P214" s="36">
        <v>5539104</v>
      </c>
      <c r="Q214" s="36">
        <v>4898800</v>
      </c>
      <c r="R214" s="36">
        <v>639784</v>
      </c>
      <c r="S214" s="46"/>
      <c r="T214" s="47">
        <v>29.556699999999999</v>
      </c>
      <c r="U214" s="47">
        <v>34.2196</v>
      </c>
      <c r="V214" s="47">
        <v>34.882100000000001</v>
      </c>
      <c r="W214" s="48"/>
      <c r="X214" s="47">
        <v>21.686399999999999</v>
      </c>
      <c r="Y214" s="47">
        <v>21.686399999999999</v>
      </c>
      <c r="Z214" s="47">
        <v>21.686399999999999</v>
      </c>
      <c r="AA214" s="48"/>
      <c r="AB214" s="52">
        <v>0.96799999999999997</v>
      </c>
      <c r="AC214" s="52">
        <v>0.92100000000000004</v>
      </c>
      <c r="AE214" s="32" t="str">
        <f t="shared" si="78"/>
        <v>·</v>
      </c>
      <c r="AF214" s="33">
        <f t="shared" si="79"/>
        <v>11.180210543169355</v>
      </c>
      <c r="AG214" s="33">
        <f t="shared" si="80"/>
        <v>9.8042669014930155</v>
      </c>
      <c r="AH214" s="33">
        <f t="shared" si="81"/>
        <v>1.3749029339951166</v>
      </c>
      <c r="AI214" s="34"/>
      <c r="AJ214" s="33">
        <f t="shared" si="82"/>
        <v>11.180210543169355</v>
      </c>
      <c r="AK214" s="35">
        <v>499660</v>
      </c>
      <c r="AL214" s="36">
        <v>5586304</v>
      </c>
      <c r="AM214" s="36">
        <v>4898800</v>
      </c>
      <c r="AN214" s="36">
        <v>686984</v>
      </c>
      <c r="AO214" s="46"/>
      <c r="AP214" s="47">
        <v>29.646999999999998</v>
      </c>
      <c r="AQ214" s="47">
        <v>34.083399999999997</v>
      </c>
      <c r="AR214" s="47">
        <v>34.875500000000002</v>
      </c>
      <c r="AS214" s="48"/>
      <c r="AT214" s="47">
        <v>21.686399999999999</v>
      </c>
      <c r="AU214" s="47">
        <v>21.686399999999999</v>
      </c>
      <c r="AV214" s="47">
        <v>21.686399999999999</v>
      </c>
      <c r="AW214" s="48"/>
      <c r="AX214" s="52">
        <v>0.95299999999999996</v>
      </c>
      <c r="AY214" s="52">
        <v>0.89</v>
      </c>
      <c r="BA214" s="59">
        <f t="shared" si="83"/>
        <v>-7.4725292320484415E-3</v>
      </c>
      <c r="BB214" s="59"/>
      <c r="BD214" s="60"/>
      <c r="BE214" s="60"/>
      <c r="BF214" s="60"/>
      <c r="BG214" s="64"/>
      <c r="BI214" s="60"/>
      <c r="BJ214" s="60"/>
      <c r="BK214" s="60"/>
      <c r="BL214" s="64"/>
      <c r="BN214" s="60"/>
      <c r="BO214" s="60"/>
      <c r="BP214" s="60"/>
      <c r="BQ214" s="64"/>
      <c r="BS214" s="60"/>
      <c r="BT214" s="60"/>
      <c r="BU214" s="60"/>
      <c r="BV214" s="64"/>
      <c r="BX214">
        <f t="shared" si="84"/>
        <v>0</v>
      </c>
      <c r="BY214">
        <f t="shared" si="85"/>
        <v>47200</v>
      </c>
      <c r="BZ214">
        <f t="shared" si="86"/>
        <v>0</v>
      </c>
      <c r="CA214">
        <f t="shared" si="87"/>
        <v>47200</v>
      </c>
      <c r="CB214">
        <f t="shared" si="88"/>
        <v>0</v>
      </c>
      <c r="CC214">
        <f t="shared" si="89"/>
        <v>9.0299999999999159E-2</v>
      </c>
      <c r="CD214">
        <f t="shared" si="90"/>
        <v>-0.13620000000000232</v>
      </c>
      <c r="CE214">
        <f t="shared" si="91"/>
        <v>-6.599999999998829E-3</v>
      </c>
      <c r="CF214">
        <f t="shared" si="92"/>
        <v>0</v>
      </c>
      <c r="CG214">
        <f t="shared" si="93"/>
        <v>0</v>
      </c>
      <c r="CH214">
        <f t="shared" si="94"/>
        <v>0</v>
      </c>
      <c r="CI214">
        <f t="shared" si="95"/>
        <v>0</v>
      </c>
      <c r="CJ214">
        <f t="shared" si="96"/>
        <v>0</v>
      </c>
    </row>
    <row r="215" spans="1:88" x14ac:dyDescent="0.15">
      <c r="A215" s="5"/>
      <c r="B215" s="5" t="s">
        <v>170</v>
      </c>
      <c r="C215" s="6" t="s">
        <v>254</v>
      </c>
      <c r="D215" s="5">
        <v>499886</v>
      </c>
      <c r="E215" s="7">
        <v>20</v>
      </c>
      <c r="F215" s="6">
        <v>1</v>
      </c>
      <c r="G215" s="6"/>
      <c r="I215" s="17" t="str">
        <f t="shared" si="73"/>
        <v>·</v>
      </c>
      <c r="J215" s="18">
        <f t="shared" si="74"/>
        <v>43.88445365543344</v>
      </c>
      <c r="K215" s="18">
        <f t="shared" si="75"/>
        <v>34.227515873619183</v>
      </c>
      <c r="L215" s="18">
        <f t="shared" si="76"/>
        <v>9.6558495336936829</v>
      </c>
      <c r="M215" s="19"/>
      <c r="N215" s="18">
        <f t="shared" si="77"/>
        <v>43.88445365543344</v>
      </c>
      <c r="O215" s="20">
        <v>499886</v>
      </c>
      <c r="P215" s="21">
        <v>21937224</v>
      </c>
      <c r="Q215" s="21">
        <v>17109856</v>
      </c>
      <c r="R215" s="21">
        <v>4826824</v>
      </c>
      <c r="S215" s="37"/>
      <c r="T215" s="38">
        <v>53.406199999999998</v>
      </c>
      <c r="U215" s="38">
        <v>54.818100000000001</v>
      </c>
      <c r="V215" s="38">
        <v>54.9925</v>
      </c>
      <c r="W215" s="39"/>
      <c r="X215" s="38">
        <v>48.130800000000001</v>
      </c>
      <c r="Y215" s="38">
        <v>48.130800000000001</v>
      </c>
      <c r="Z215" s="38">
        <v>48.130800000000001</v>
      </c>
      <c r="AA215" s="39"/>
      <c r="AB215" s="49">
        <v>1.875</v>
      </c>
      <c r="AC215" s="49">
        <v>1.6559999999999999</v>
      </c>
      <c r="AE215" s="17" t="str">
        <f t="shared" si="78"/>
        <v>·</v>
      </c>
      <c r="AF215" s="18">
        <f t="shared" si="79"/>
        <v>43.979051223679001</v>
      </c>
      <c r="AG215" s="18">
        <f t="shared" si="80"/>
        <v>34.227515873619183</v>
      </c>
      <c r="AH215" s="18">
        <f t="shared" si="81"/>
        <v>9.7504471019392422</v>
      </c>
      <c r="AI215" s="19"/>
      <c r="AJ215" s="18">
        <f t="shared" si="82"/>
        <v>43.979051223679001</v>
      </c>
      <c r="AK215" s="20">
        <v>499886</v>
      </c>
      <c r="AL215" s="21">
        <v>21984512</v>
      </c>
      <c r="AM215" s="21">
        <v>17109856</v>
      </c>
      <c r="AN215" s="21">
        <v>4874112</v>
      </c>
      <c r="AO215" s="37"/>
      <c r="AP215" s="38">
        <v>53.410600000000002</v>
      </c>
      <c r="AQ215" s="38">
        <v>54.808399999999999</v>
      </c>
      <c r="AR215" s="38">
        <v>54.982500000000002</v>
      </c>
      <c r="AS215" s="39"/>
      <c r="AT215" s="38">
        <v>48.130800000000001</v>
      </c>
      <c r="AU215" s="38">
        <v>48.130800000000001</v>
      </c>
      <c r="AV215" s="38">
        <v>48.130800000000001</v>
      </c>
      <c r="AW215" s="39"/>
      <c r="AX215" s="49">
        <v>1.89</v>
      </c>
      <c r="AY215" s="49">
        <v>1.609</v>
      </c>
      <c r="BA215" s="53">
        <f t="shared" si="83"/>
        <v>-1.6776401106708416E-3</v>
      </c>
      <c r="BB215" s="53">
        <f t="array" ref="BB215">AVERAGE(AM215:AM219/AL215:AL219)-AVERAGE(Q215:Q219/P215:P219)</f>
        <v>-2.5523920975493164E-3</v>
      </c>
      <c r="BD215" s="54">
        <f>IF(OR(ISBLANK(R215:R219),ISBLANK(AN215:AN219),ISBLANK(T215:T219),ISBLANK(AP215:AP219)),"·",bdRateExtend(R215:R219,T215:T219,AN215:AN219,AP215:AP219))</f>
        <v>3.1235756094105893E-2</v>
      </c>
      <c r="BE215" s="54">
        <f>IF(OR(ISBLANK(R215:R219),ISBLANK(AN215:AN219),ISBLANK(U215:U219),ISBLANK(AQ215:AQ219)),"·",bdRateExtend(R215:R219,U215:U219,AN215:AN219,AQ215:AQ219))</f>
        <v>3.3634018317511227E-2</v>
      </c>
      <c r="BF215" s="54">
        <f>IF(OR(ISBLANK(R215:R219),ISBLANK(AN215:AN219),ISBLANK(V215:V219),ISBLANK(AR215:AR219)),"·",bdRateExtend(R215:R219,V215:V219,AN215:AN219,AR215:AR219))</f>
        <v>3.7684369512267502E-2</v>
      </c>
      <c r="BG215" s="61"/>
      <c r="BI215" s="54">
        <f>IF(OR(ISBLANK(R215:R219),ISBLANK(AN215:AN219),ISBLANK(X215:X219),ISBLANK(AT215:AT219)),"·",bdRateExtend(R215:R219,X215:X219,AN215:AN219,AT215:AT219))</f>
        <v>3.2772462312710804E-2</v>
      </c>
      <c r="BJ215" s="54">
        <f>IF(OR(ISBLANK(R215:R219),ISBLANK(AN215:AN219),ISBLANK(Y215:Y219),ISBLANK(AU215:AU219)),"·",bdRateExtend(R215:R219,Y215:Y219,AN215:AN219,AU215:AU219))</f>
        <v>3.2772462312710804E-2</v>
      </c>
      <c r="BK215" s="54">
        <f>IF(OR(ISBLANK(R215:R219),ISBLANK(AN215:AN219),ISBLANK(Z215:Z219),ISBLANK(AV215:AV219)),"·",bdRateExtend(R215:R219,Z215:Z219,AN215:AN219,AV215:AV219))</f>
        <v>3.2772462312710804E-2</v>
      </c>
      <c r="BL215" s="61"/>
      <c r="BN215" s="54">
        <f>IF(OR(ISBLANK(P215:P219),ISBLANK(AL215:AL219),ISBLANK(T215:T219),ISBLANK(AP215:AP219)),"·",bdRateExtend(P215:P219,T215:T219,AL215:AL219,AP215:AP219))</f>
        <v>2.9619821943895897E-3</v>
      </c>
      <c r="BO215" s="54">
        <f>IF(OR(ISBLANK(P215:P219),ISBLANK(AL215:AL219),ISBLANK(U215:U219),ISBLANK(AQ215:AQ219)),"·",bdRateExtend(P215:P219,U215:U219,AL215:AL219,AQ215:AQ219))</f>
        <v>3.1443298673168307E-3</v>
      </c>
      <c r="BP215" s="54">
        <f>IF(OR(ISBLANK(P215:P219),ISBLANK(AL215:AL219),ISBLANK(V215:V219),ISBLANK(AR215:AR219)),"·",bdRateExtend(P215:P219,V215:V219,AL215:AL219,AR215:AR219))</f>
        <v>3.4420528512446591E-3</v>
      </c>
      <c r="BQ215" s="61"/>
      <c r="BS215" s="54">
        <f>IF(OR(ISBLANK(P215:P219),ISBLANK(AL215:AL219),ISBLANK(X215:X219),ISBLANK(AT215:AT219)),"·",bdRateExtend(P215:P219,X215:X219,AL215:AL219,AT215:AT219))</f>
        <v>3.0821660934914341E-3</v>
      </c>
      <c r="BT215" s="54">
        <f>IF(OR(ISBLANK(P215:P219),ISBLANK(AL215:AL219),ISBLANK(Y215:Y219),ISBLANK(AU215:AU219)),"·",bdRateExtend(P215:P219,Y215:Y219,AL215:AL219,AU215:AU219))</f>
        <v>3.0821660934914341E-3</v>
      </c>
      <c r="BU215" s="54">
        <f>IF(OR(ISBLANK(P215:P219),ISBLANK(AL215:AL219),ISBLANK(Z215:Z219),ISBLANK(AV215:AV219)),"·",bdRateExtend(P215:P219,Z215:Z219,AL215:AL219,AV215:AV219))</f>
        <v>3.0821660934914341E-3</v>
      </c>
      <c r="BV215" s="61"/>
      <c r="BX215">
        <f t="shared" si="84"/>
        <v>0</v>
      </c>
      <c r="BY215">
        <f t="shared" si="85"/>
        <v>47288</v>
      </c>
      <c r="BZ215">
        <f t="shared" si="86"/>
        <v>0</v>
      </c>
      <c r="CA215">
        <f t="shared" si="87"/>
        <v>47288</v>
      </c>
      <c r="CB215">
        <f t="shared" si="88"/>
        <v>0</v>
      </c>
      <c r="CC215">
        <f t="shared" si="89"/>
        <v>4.4000000000039563E-3</v>
      </c>
      <c r="CD215">
        <f t="shared" si="90"/>
        <v>-9.7000000000022624E-3</v>
      </c>
      <c r="CE215">
        <f t="shared" si="91"/>
        <v>-9.9999999999980105E-3</v>
      </c>
      <c r="CF215">
        <f t="shared" si="92"/>
        <v>0</v>
      </c>
      <c r="CG215">
        <f t="shared" si="93"/>
        <v>0</v>
      </c>
      <c r="CH215">
        <f t="shared" si="94"/>
        <v>0</v>
      </c>
      <c r="CI215">
        <f t="shared" si="95"/>
        <v>0</v>
      </c>
      <c r="CJ215">
        <f t="shared" si="96"/>
        <v>0</v>
      </c>
    </row>
    <row r="216" spans="1:88" outlineLevel="1" x14ac:dyDescent="0.15">
      <c r="A216" s="8"/>
      <c r="B216" s="8" t="s">
        <v>170</v>
      </c>
      <c r="C216" s="9" t="s">
        <v>255</v>
      </c>
      <c r="D216" s="8">
        <v>499886</v>
      </c>
      <c r="E216" s="10">
        <v>20</v>
      </c>
      <c r="F216" s="9">
        <v>1</v>
      </c>
      <c r="G216" s="9"/>
      <c r="I216" s="22" t="str">
        <f t="shared" si="73"/>
        <v>·</v>
      </c>
      <c r="J216" s="23">
        <f t="shared" si="74"/>
        <v>41.327790736287874</v>
      </c>
      <c r="K216" s="23">
        <f t="shared" si="75"/>
        <v>34.227515873619183</v>
      </c>
      <c r="L216" s="23">
        <f t="shared" si="76"/>
        <v>7.0991866145481168</v>
      </c>
      <c r="M216" s="24"/>
      <c r="N216" s="23">
        <f t="shared" si="77"/>
        <v>41.327790736287874</v>
      </c>
      <c r="O216" s="25">
        <v>499886</v>
      </c>
      <c r="P216" s="26">
        <v>20659184</v>
      </c>
      <c r="Q216" s="26">
        <v>17109856</v>
      </c>
      <c r="R216" s="26">
        <v>3548784</v>
      </c>
      <c r="S216" s="40"/>
      <c r="T216" s="41">
        <v>48.514400000000002</v>
      </c>
      <c r="U216" s="41">
        <v>50.471299999999999</v>
      </c>
      <c r="V216" s="41">
        <v>50.476300000000002</v>
      </c>
      <c r="W216" s="42"/>
      <c r="X216" s="41">
        <v>42.110199999999999</v>
      </c>
      <c r="Y216" s="41">
        <v>42.110199999999999</v>
      </c>
      <c r="Z216" s="41">
        <v>42.110199999999999</v>
      </c>
      <c r="AA216" s="42"/>
      <c r="AB216" s="50">
        <v>1.859</v>
      </c>
      <c r="AC216" s="50">
        <v>1.64</v>
      </c>
      <c r="AE216" s="22" t="str">
        <f t="shared" si="78"/>
        <v>·</v>
      </c>
      <c r="AF216" s="23">
        <f t="shared" si="79"/>
        <v>41.445593595339737</v>
      </c>
      <c r="AG216" s="23">
        <f t="shared" si="80"/>
        <v>34.227515873619183</v>
      </c>
      <c r="AH216" s="23">
        <f t="shared" si="81"/>
        <v>7.2169894735999804</v>
      </c>
      <c r="AI216" s="24"/>
      <c r="AJ216" s="23">
        <f t="shared" si="82"/>
        <v>41.445593595339737</v>
      </c>
      <c r="AK216" s="25">
        <v>499886</v>
      </c>
      <c r="AL216" s="26">
        <v>20718072</v>
      </c>
      <c r="AM216" s="26">
        <v>17109856</v>
      </c>
      <c r="AN216" s="26">
        <v>3607672</v>
      </c>
      <c r="AO216" s="40"/>
      <c r="AP216" s="41">
        <v>48.510300000000001</v>
      </c>
      <c r="AQ216" s="41">
        <v>50.477200000000003</v>
      </c>
      <c r="AR216" s="41">
        <v>50.466299999999997</v>
      </c>
      <c r="AS216" s="42"/>
      <c r="AT216" s="41">
        <v>42.110199999999999</v>
      </c>
      <c r="AU216" s="41">
        <v>42.110199999999999</v>
      </c>
      <c r="AV216" s="41">
        <v>42.110199999999999</v>
      </c>
      <c r="AW216" s="42"/>
      <c r="AX216" s="50">
        <v>1.875</v>
      </c>
      <c r="AY216" s="50">
        <v>1.625</v>
      </c>
      <c r="BA216" s="55">
        <f t="shared" si="83"/>
        <v>-2.3540227597299568E-3</v>
      </c>
      <c r="BB216" s="55"/>
      <c r="BD216" s="56"/>
      <c r="BE216" s="56"/>
      <c r="BF216" s="56"/>
      <c r="BG216" s="62"/>
      <c r="BI216" s="56"/>
      <c r="BJ216" s="56"/>
      <c r="BK216" s="56"/>
      <c r="BL216" s="62"/>
      <c r="BN216" s="56"/>
      <c r="BO216" s="56"/>
      <c r="BP216" s="56"/>
      <c r="BQ216" s="62"/>
      <c r="BS216" s="56"/>
      <c r="BT216" s="56"/>
      <c r="BU216" s="56"/>
      <c r="BV216" s="62"/>
      <c r="BX216">
        <f t="shared" si="84"/>
        <v>0</v>
      </c>
      <c r="BY216">
        <f t="shared" si="85"/>
        <v>58888</v>
      </c>
      <c r="BZ216">
        <f t="shared" si="86"/>
        <v>0</v>
      </c>
      <c r="CA216">
        <f t="shared" si="87"/>
        <v>58888</v>
      </c>
      <c r="CB216">
        <f t="shared" si="88"/>
        <v>0</v>
      </c>
      <c r="CC216">
        <f t="shared" si="89"/>
        <v>-4.1000000000011028E-3</v>
      </c>
      <c r="CD216">
        <f t="shared" si="90"/>
        <v>5.9000000000040131E-3</v>
      </c>
      <c r="CE216">
        <f t="shared" si="91"/>
        <v>-1.0000000000005116E-2</v>
      </c>
      <c r="CF216">
        <f t="shared" si="92"/>
        <v>0</v>
      </c>
      <c r="CG216">
        <f t="shared" si="93"/>
        <v>0</v>
      </c>
      <c r="CH216">
        <f t="shared" si="94"/>
        <v>0</v>
      </c>
      <c r="CI216">
        <f t="shared" si="95"/>
        <v>0</v>
      </c>
      <c r="CJ216">
        <f t="shared" si="96"/>
        <v>0</v>
      </c>
    </row>
    <row r="217" spans="1:88" outlineLevel="1" x14ac:dyDescent="0.15">
      <c r="A217" s="5"/>
      <c r="B217" s="5" t="s">
        <v>170</v>
      </c>
      <c r="C217" s="6" t="s">
        <v>256</v>
      </c>
      <c r="D217" s="5">
        <v>499886</v>
      </c>
      <c r="E217" s="7">
        <v>20</v>
      </c>
      <c r="F217" s="6">
        <v>1</v>
      </c>
      <c r="G217" s="6"/>
      <c r="I217" s="17" t="str">
        <f t="shared" si="73"/>
        <v>·</v>
      </c>
      <c r="J217" s="18">
        <f t="shared" si="74"/>
        <v>38.658590158556152</v>
      </c>
      <c r="K217" s="18">
        <f t="shared" si="75"/>
        <v>34.227515873619183</v>
      </c>
      <c r="L217" s="18">
        <f t="shared" si="76"/>
        <v>4.4299860368163939</v>
      </c>
      <c r="M217" s="19"/>
      <c r="N217" s="18">
        <f t="shared" si="77"/>
        <v>38.658590158556152</v>
      </c>
      <c r="O217" s="20">
        <v>499886</v>
      </c>
      <c r="P217" s="21">
        <v>19324888</v>
      </c>
      <c r="Q217" s="21">
        <v>17109856</v>
      </c>
      <c r="R217" s="21">
        <v>2214488</v>
      </c>
      <c r="S217" s="37"/>
      <c r="T217" s="38">
        <v>41.363</v>
      </c>
      <c r="U217" s="38">
        <v>44.258699999999997</v>
      </c>
      <c r="V217" s="38">
        <v>44.6282</v>
      </c>
      <c r="W217" s="39"/>
      <c r="X217" s="38">
        <v>34.151400000000002</v>
      </c>
      <c r="Y217" s="38">
        <v>34.151400000000002</v>
      </c>
      <c r="Z217" s="38">
        <v>34.151400000000002</v>
      </c>
      <c r="AA217" s="39"/>
      <c r="AB217" s="49">
        <v>1.8280000000000001</v>
      </c>
      <c r="AC217" s="49">
        <v>1.64</v>
      </c>
      <c r="AE217" s="17" t="str">
        <f t="shared" si="78"/>
        <v>·</v>
      </c>
      <c r="AF217" s="18">
        <f t="shared" si="79"/>
        <v>38.793997031323144</v>
      </c>
      <c r="AG217" s="18">
        <f t="shared" si="80"/>
        <v>34.227515873619183</v>
      </c>
      <c r="AH217" s="18">
        <f t="shared" si="81"/>
        <v>4.5653929095833847</v>
      </c>
      <c r="AI217" s="19"/>
      <c r="AJ217" s="18">
        <f t="shared" si="82"/>
        <v>38.793997031323144</v>
      </c>
      <c r="AK217" s="20">
        <v>499886</v>
      </c>
      <c r="AL217" s="21">
        <v>19392576</v>
      </c>
      <c r="AM217" s="21">
        <v>17109856</v>
      </c>
      <c r="AN217" s="21">
        <v>2282176</v>
      </c>
      <c r="AO217" s="37"/>
      <c r="AP217" s="38">
        <v>41.389400000000002</v>
      </c>
      <c r="AQ217" s="38">
        <v>44.240099999999998</v>
      </c>
      <c r="AR217" s="38">
        <v>44.588500000000003</v>
      </c>
      <c r="AS217" s="39"/>
      <c r="AT217" s="38">
        <v>34.151400000000002</v>
      </c>
      <c r="AU217" s="38">
        <v>34.151400000000002</v>
      </c>
      <c r="AV217" s="38">
        <v>34.151400000000002</v>
      </c>
      <c r="AW217" s="39"/>
      <c r="AX217" s="49">
        <v>1.843</v>
      </c>
      <c r="AY217" s="49">
        <v>1.609</v>
      </c>
      <c r="BA217" s="53">
        <f t="shared" si="83"/>
        <v>-3.0903349159924209E-3</v>
      </c>
      <c r="BB217" s="53"/>
      <c r="BD217" s="54"/>
      <c r="BE217" s="54"/>
      <c r="BF217" s="54"/>
      <c r="BG217" s="61"/>
      <c r="BI217" s="54"/>
      <c r="BJ217" s="54"/>
      <c r="BK217" s="54"/>
      <c r="BL217" s="61"/>
      <c r="BN217" s="54"/>
      <c r="BO217" s="54"/>
      <c r="BP217" s="54"/>
      <c r="BQ217" s="61"/>
      <c r="BS217" s="54"/>
      <c r="BT217" s="54"/>
      <c r="BU217" s="54"/>
      <c r="BV217" s="61"/>
      <c r="BX217">
        <f t="shared" si="84"/>
        <v>0</v>
      </c>
      <c r="BY217">
        <f t="shared" si="85"/>
        <v>67688</v>
      </c>
      <c r="BZ217">
        <f t="shared" si="86"/>
        <v>0</v>
      </c>
      <c r="CA217">
        <f t="shared" si="87"/>
        <v>67688</v>
      </c>
      <c r="CB217">
        <f t="shared" si="88"/>
        <v>0</v>
      </c>
      <c r="CC217">
        <f t="shared" si="89"/>
        <v>2.6400000000002422E-2</v>
      </c>
      <c r="CD217">
        <f t="shared" si="90"/>
        <v>-1.8599999999999284E-2</v>
      </c>
      <c r="CE217">
        <f t="shared" si="91"/>
        <v>-3.9699999999996294E-2</v>
      </c>
      <c r="CF217">
        <f t="shared" si="92"/>
        <v>0</v>
      </c>
      <c r="CG217">
        <f t="shared" si="93"/>
        <v>0</v>
      </c>
      <c r="CH217">
        <f t="shared" si="94"/>
        <v>0</v>
      </c>
      <c r="CI217">
        <f t="shared" si="95"/>
        <v>0</v>
      </c>
      <c r="CJ217">
        <f t="shared" si="96"/>
        <v>0</v>
      </c>
    </row>
    <row r="218" spans="1:88" outlineLevel="1" x14ac:dyDescent="0.15">
      <c r="A218" s="8"/>
      <c r="B218" s="8" t="s">
        <v>170</v>
      </c>
      <c r="C218" s="9" t="s">
        <v>257</v>
      </c>
      <c r="D218" s="8">
        <v>499886</v>
      </c>
      <c r="E218" s="10">
        <v>20</v>
      </c>
      <c r="F218" s="9">
        <v>1</v>
      </c>
      <c r="G218" s="9"/>
      <c r="I218" s="22" t="str">
        <f t="shared" si="73"/>
        <v>·</v>
      </c>
      <c r="J218" s="23">
        <f t="shared" si="74"/>
        <v>36.890330995466968</v>
      </c>
      <c r="K218" s="23">
        <f t="shared" si="75"/>
        <v>34.227515873619183</v>
      </c>
      <c r="L218" s="23">
        <f t="shared" si="76"/>
        <v>2.66172687372721</v>
      </c>
      <c r="M218" s="24"/>
      <c r="N218" s="23">
        <f t="shared" si="77"/>
        <v>36.890330995466968</v>
      </c>
      <c r="O218" s="25">
        <v>499886</v>
      </c>
      <c r="P218" s="26">
        <v>18440960</v>
      </c>
      <c r="Q218" s="26">
        <v>17109856</v>
      </c>
      <c r="R218" s="26">
        <v>1330560</v>
      </c>
      <c r="S218" s="40"/>
      <c r="T218" s="41">
        <v>35.6492</v>
      </c>
      <c r="U218" s="41">
        <v>39.4208</v>
      </c>
      <c r="V218" s="41">
        <v>39.8581</v>
      </c>
      <c r="W218" s="42"/>
      <c r="X218" s="41">
        <v>28.130800000000001</v>
      </c>
      <c r="Y218" s="41">
        <v>28.130800000000001</v>
      </c>
      <c r="Z218" s="41">
        <v>28.130800000000001</v>
      </c>
      <c r="AA218" s="42"/>
      <c r="AB218" s="50">
        <v>1.8280000000000001</v>
      </c>
      <c r="AC218" s="50">
        <v>1.609</v>
      </c>
      <c r="AE218" s="22" t="str">
        <f t="shared" si="78"/>
        <v>·</v>
      </c>
      <c r="AF218" s="23">
        <f t="shared" si="79"/>
        <v>37.015127449058383</v>
      </c>
      <c r="AG218" s="23">
        <f t="shared" si="80"/>
        <v>34.227515873619183</v>
      </c>
      <c r="AH218" s="23">
        <f t="shared" si="81"/>
        <v>2.7865233273186285</v>
      </c>
      <c r="AI218" s="24"/>
      <c r="AJ218" s="23">
        <f t="shared" si="82"/>
        <v>37.015127449058383</v>
      </c>
      <c r="AK218" s="25">
        <v>499886</v>
      </c>
      <c r="AL218" s="26">
        <v>18503344</v>
      </c>
      <c r="AM218" s="26">
        <v>17109856</v>
      </c>
      <c r="AN218" s="26">
        <v>1392944</v>
      </c>
      <c r="AO218" s="40"/>
      <c r="AP218" s="41">
        <v>35.667099999999998</v>
      </c>
      <c r="AQ218" s="41">
        <v>39.405200000000001</v>
      </c>
      <c r="AR218" s="41">
        <v>39.805700000000002</v>
      </c>
      <c r="AS218" s="42"/>
      <c r="AT218" s="41">
        <v>28.130800000000001</v>
      </c>
      <c r="AU218" s="41">
        <v>28.130800000000001</v>
      </c>
      <c r="AV218" s="41">
        <v>28.130800000000001</v>
      </c>
      <c r="AW218" s="42"/>
      <c r="AX218" s="50">
        <v>1.843</v>
      </c>
      <c r="AY218" s="50">
        <v>1.609</v>
      </c>
      <c r="BA218" s="55">
        <f t="shared" si="83"/>
        <v>-3.1281374200547996E-3</v>
      </c>
      <c r="BB218" s="55"/>
      <c r="BD218" s="56"/>
      <c r="BE218" s="56"/>
      <c r="BF218" s="56"/>
      <c r="BG218" s="62"/>
      <c r="BI218" s="56"/>
      <c r="BJ218" s="56"/>
      <c r="BK218" s="56"/>
      <c r="BL218" s="62"/>
      <c r="BN218" s="56"/>
      <c r="BO218" s="56"/>
      <c r="BP218" s="56"/>
      <c r="BQ218" s="62"/>
      <c r="BS218" s="56"/>
      <c r="BT218" s="56"/>
      <c r="BU218" s="56"/>
      <c r="BV218" s="62"/>
      <c r="BX218">
        <f t="shared" si="84"/>
        <v>0</v>
      </c>
      <c r="BY218">
        <f t="shared" si="85"/>
        <v>62384</v>
      </c>
      <c r="BZ218">
        <f t="shared" si="86"/>
        <v>0</v>
      </c>
      <c r="CA218">
        <f t="shared" si="87"/>
        <v>62384</v>
      </c>
      <c r="CB218">
        <f t="shared" si="88"/>
        <v>0</v>
      </c>
      <c r="CC218">
        <f t="shared" si="89"/>
        <v>1.7899999999997362E-2</v>
      </c>
      <c r="CD218">
        <f t="shared" si="90"/>
        <v>-1.559999999999917E-2</v>
      </c>
      <c r="CE218">
        <f t="shared" si="91"/>
        <v>-5.239999999999867E-2</v>
      </c>
      <c r="CF218">
        <f t="shared" si="92"/>
        <v>0</v>
      </c>
      <c r="CG218">
        <f t="shared" si="93"/>
        <v>0</v>
      </c>
      <c r="CH218">
        <f t="shared" si="94"/>
        <v>0</v>
      </c>
      <c r="CI218">
        <f t="shared" si="95"/>
        <v>0</v>
      </c>
      <c r="CJ218">
        <f t="shared" si="96"/>
        <v>0</v>
      </c>
    </row>
    <row r="219" spans="1:88" outlineLevel="1" x14ac:dyDescent="0.15">
      <c r="A219" s="5"/>
      <c r="B219" s="11" t="s">
        <v>170</v>
      </c>
      <c r="C219" s="12" t="s">
        <v>258</v>
      </c>
      <c r="D219" s="11">
        <v>499886</v>
      </c>
      <c r="E219" s="13">
        <v>20</v>
      </c>
      <c r="F219" s="12">
        <v>1</v>
      </c>
      <c r="G219" s="12"/>
      <c r="I219" s="27" t="str">
        <f t="shared" si="73"/>
        <v>·</v>
      </c>
      <c r="J219" s="28">
        <f t="shared" si="74"/>
        <v>35.511984732519018</v>
      </c>
      <c r="K219" s="28">
        <f t="shared" si="75"/>
        <v>34.227515873619183</v>
      </c>
      <c r="L219" s="28">
        <f t="shared" si="76"/>
        <v>1.2833806107792576</v>
      </c>
      <c r="M219" s="29"/>
      <c r="N219" s="28">
        <f t="shared" si="77"/>
        <v>35.511984732519018</v>
      </c>
      <c r="O219" s="30">
        <v>499886</v>
      </c>
      <c r="P219" s="31">
        <v>17751944</v>
      </c>
      <c r="Q219" s="31">
        <v>17109856</v>
      </c>
      <c r="R219" s="31">
        <v>641544</v>
      </c>
      <c r="S219" s="43"/>
      <c r="T219" s="44">
        <v>29.569900000000001</v>
      </c>
      <c r="U219" s="44">
        <v>34.099499999999999</v>
      </c>
      <c r="V219" s="44">
        <v>34.990099999999998</v>
      </c>
      <c r="W219" s="45"/>
      <c r="X219" s="44">
        <v>21.686399999999999</v>
      </c>
      <c r="Y219" s="44">
        <v>21.686399999999999</v>
      </c>
      <c r="Z219" s="44">
        <v>21.686399999999999</v>
      </c>
      <c r="AA219" s="45"/>
      <c r="AB219" s="51">
        <v>1.89</v>
      </c>
      <c r="AC219" s="51">
        <v>1.609</v>
      </c>
      <c r="AE219" s="27" t="str">
        <f t="shared" si="78"/>
        <v>·</v>
      </c>
      <c r="AF219" s="28">
        <f t="shared" si="79"/>
        <v>35.604773888446566</v>
      </c>
      <c r="AG219" s="28">
        <f t="shared" si="80"/>
        <v>34.227515873619183</v>
      </c>
      <c r="AH219" s="28">
        <f t="shared" si="81"/>
        <v>1.3761697667068091</v>
      </c>
      <c r="AI219" s="29"/>
      <c r="AJ219" s="28">
        <f t="shared" si="82"/>
        <v>35.604773888446566</v>
      </c>
      <c r="AK219" s="30">
        <v>499886</v>
      </c>
      <c r="AL219" s="31">
        <v>17798328</v>
      </c>
      <c r="AM219" s="31">
        <v>17109856</v>
      </c>
      <c r="AN219" s="31">
        <v>687928</v>
      </c>
      <c r="AO219" s="43"/>
      <c r="AP219" s="44">
        <v>29.667200000000001</v>
      </c>
      <c r="AQ219" s="44">
        <v>34.148099999999999</v>
      </c>
      <c r="AR219" s="44">
        <v>34.879600000000003</v>
      </c>
      <c r="AS219" s="45"/>
      <c r="AT219" s="44">
        <v>21.686399999999999</v>
      </c>
      <c r="AU219" s="44">
        <v>21.686399999999999</v>
      </c>
      <c r="AV219" s="44">
        <v>21.686399999999999</v>
      </c>
      <c r="AW219" s="45"/>
      <c r="AX219" s="51">
        <v>1.843</v>
      </c>
      <c r="AY219" s="51">
        <v>1.593</v>
      </c>
      <c r="BA219" s="57">
        <f t="shared" si="83"/>
        <v>-2.5118252812991182E-3</v>
      </c>
      <c r="BB219" s="57"/>
      <c r="BD219" s="58"/>
      <c r="BE219" s="58"/>
      <c r="BF219" s="58"/>
      <c r="BG219" s="63"/>
      <c r="BI219" s="58"/>
      <c r="BJ219" s="58"/>
      <c r="BK219" s="58"/>
      <c r="BL219" s="63"/>
      <c r="BN219" s="58"/>
      <c r="BO219" s="58"/>
      <c r="BP219" s="58"/>
      <c r="BQ219" s="63"/>
      <c r="BS219" s="58"/>
      <c r="BT219" s="58"/>
      <c r="BU219" s="58"/>
      <c r="BV219" s="63"/>
      <c r="BX219">
        <f t="shared" si="84"/>
        <v>0</v>
      </c>
      <c r="BY219">
        <f t="shared" si="85"/>
        <v>46384</v>
      </c>
      <c r="BZ219">
        <f t="shared" si="86"/>
        <v>0</v>
      </c>
      <c r="CA219">
        <f t="shared" si="87"/>
        <v>46384</v>
      </c>
      <c r="CB219">
        <f t="shared" si="88"/>
        <v>0</v>
      </c>
      <c r="CC219">
        <f t="shared" si="89"/>
        <v>9.7300000000000608E-2</v>
      </c>
      <c r="CD219">
        <f t="shared" si="90"/>
        <v>4.8600000000000421E-2</v>
      </c>
      <c r="CE219">
        <f t="shared" si="91"/>
        <v>-0.11049999999999471</v>
      </c>
      <c r="CF219">
        <f t="shared" si="92"/>
        <v>0</v>
      </c>
      <c r="CG219">
        <f t="shared" si="93"/>
        <v>0</v>
      </c>
      <c r="CH219">
        <f t="shared" si="94"/>
        <v>0</v>
      </c>
      <c r="CI219">
        <f t="shared" si="95"/>
        <v>0</v>
      </c>
      <c r="CJ219">
        <f t="shared" si="96"/>
        <v>0</v>
      </c>
    </row>
    <row r="220" spans="1:88" x14ac:dyDescent="0.15">
      <c r="A220" s="8"/>
      <c r="B220" s="8" t="s">
        <v>171</v>
      </c>
      <c r="C220" s="9" t="s">
        <v>254</v>
      </c>
      <c r="D220" s="8">
        <v>63787119</v>
      </c>
      <c r="E220" s="10">
        <v>15</v>
      </c>
      <c r="F220" s="9">
        <v>1</v>
      </c>
      <c r="G220" s="9"/>
      <c r="I220" s="22" t="str">
        <f t="shared" si="73"/>
        <v>·</v>
      </c>
      <c r="J220" s="23">
        <f t="shared" si="74"/>
        <v>12.399933096210225</v>
      </c>
      <c r="K220" s="23">
        <f t="shared" si="75"/>
        <v>8.3884078225887588</v>
      </c>
      <c r="L220" s="23">
        <f t="shared" si="76"/>
        <v>4.0114429999574055</v>
      </c>
      <c r="M220" s="24"/>
      <c r="N220" s="23">
        <f t="shared" si="77"/>
        <v>12.399933096210225</v>
      </c>
      <c r="O220" s="25">
        <v>63787119</v>
      </c>
      <c r="P220" s="26">
        <v>790956008</v>
      </c>
      <c r="Q220" s="26">
        <v>535072368</v>
      </c>
      <c r="R220" s="26">
        <v>255878392</v>
      </c>
      <c r="S220" s="40"/>
      <c r="T220" s="41">
        <v>52.621000000000002</v>
      </c>
      <c r="U220" s="41">
        <v>56.854300000000002</v>
      </c>
      <c r="V220" s="41">
        <v>56.303600000000003</v>
      </c>
      <c r="W220" s="42"/>
      <c r="X220" s="41">
        <v>48.130800000000001</v>
      </c>
      <c r="Y220" s="41">
        <v>48.130800000000001</v>
      </c>
      <c r="Z220" s="41">
        <v>48.130800000000001</v>
      </c>
      <c r="AA220" s="42"/>
      <c r="AB220" s="50">
        <v>151.18700000000001</v>
      </c>
      <c r="AC220" s="50">
        <v>133.48400000000001</v>
      </c>
      <c r="AE220" s="22" t="str">
        <f t="shared" si="78"/>
        <v>·</v>
      </c>
      <c r="AF220" s="23">
        <f t="shared" si="79"/>
        <v>12.410876120616139</v>
      </c>
      <c r="AG220" s="23">
        <f t="shared" si="80"/>
        <v>8.3884078225887588</v>
      </c>
      <c r="AH220" s="23">
        <f t="shared" si="81"/>
        <v>4.0223860243633203</v>
      </c>
      <c r="AI220" s="24"/>
      <c r="AJ220" s="23">
        <f t="shared" si="82"/>
        <v>12.410876120616139</v>
      </c>
      <c r="AK220" s="25">
        <v>63787119</v>
      </c>
      <c r="AL220" s="26">
        <v>791654032</v>
      </c>
      <c r="AM220" s="26">
        <v>535072368</v>
      </c>
      <c r="AN220" s="26">
        <v>256576416</v>
      </c>
      <c r="AO220" s="40"/>
      <c r="AP220" s="41">
        <v>52.622999999999998</v>
      </c>
      <c r="AQ220" s="41">
        <v>56.85</v>
      </c>
      <c r="AR220" s="41">
        <v>56.299799999999998</v>
      </c>
      <c r="AS220" s="42"/>
      <c r="AT220" s="41">
        <v>48.130800000000001</v>
      </c>
      <c r="AU220" s="41">
        <v>48.130800000000001</v>
      </c>
      <c r="AV220" s="41">
        <v>48.130800000000001</v>
      </c>
      <c r="AW220" s="42"/>
      <c r="AX220" s="50">
        <v>151.56200000000001</v>
      </c>
      <c r="AY220" s="50">
        <v>133.98400000000001</v>
      </c>
      <c r="BA220" s="55">
        <f t="shared" si="83"/>
        <v>-5.964789498676959E-4</v>
      </c>
      <c r="BB220" s="55">
        <f t="array" ref="BB220">AVERAGE(AM220:AM224/AL220:AL224)-AVERAGE(Q220:Q224/P220:P224)</f>
        <v>-8.165770316980181E-4</v>
      </c>
      <c r="BD220" s="56">
        <f>IF(OR(ISBLANK(R220:R224),ISBLANK(AN220:AN224),ISBLANK(T220:T224),ISBLANK(AP220:AP224)),"·",bdRateExtend(R220:R224,T220:T224,AN220:AN224,AP220:AP224))</f>
        <v>8.4779766157461189E-3</v>
      </c>
      <c r="BE220" s="56">
        <f>IF(OR(ISBLANK(R220:R224),ISBLANK(AN220:AN224),ISBLANK(U220:U224),ISBLANK(AQ220:AQ224)),"·",bdRateExtend(R220:R224,U220:U224,AN220:AN224,AQ220:AQ224))</f>
        <v>9.7517369867132775E-3</v>
      </c>
      <c r="BF220" s="56">
        <f>IF(OR(ISBLANK(R220:R224),ISBLANK(AN220:AN224),ISBLANK(V220:V224),ISBLANK(AR220:AR224)),"·",bdRateExtend(R220:R224,V220:V224,AN220:AN224,AR220:AR224))</f>
        <v>1.9173526116461392E-2</v>
      </c>
      <c r="BG220" s="62"/>
      <c r="BI220" s="56">
        <f>IF(OR(ISBLANK(R220:R224),ISBLANK(AN220:AN224),ISBLANK(X220:X224),ISBLANK(AT220:AT224)),"·",bdRateExtend(R220:R224,X220:X224,AN220:AN224,AT220:AT224))</f>
        <v>1.0290269497148286E-2</v>
      </c>
      <c r="BJ220" s="56">
        <f>IF(OR(ISBLANK(R220:R224),ISBLANK(AN220:AN224),ISBLANK(Y220:Y224),ISBLANK(AU220:AU224)),"·",bdRateExtend(R220:R224,Y220:Y224,AN220:AN224,AU220:AU224))</f>
        <v>1.0290269497148286E-2</v>
      </c>
      <c r="BK220" s="56">
        <f>IF(OR(ISBLANK(R220:R224),ISBLANK(AN220:AN224),ISBLANK(Z220:Z224),ISBLANK(AV220:AV224)),"·",bdRateExtend(R220:R224,Z220:Z224,AN220:AN224,AV220:AV224))</f>
        <v>1.0290269497148286E-2</v>
      </c>
      <c r="BL220" s="62"/>
      <c r="BN220" s="56">
        <f>IF(OR(ISBLANK(P220:P224),ISBLANK(AL220:AL224),ISBLANK(T220:T224),ISBLANK(AP220:AP224)),"·",bdRateExtend(P220:P224,T220:T224,AL220:AL224,AP220:AP224))</f>
        <v>9.5200716279486564E-4</v>
      </c>
      <c r="BO220" s="56">
        <f>IF(OR(ISBLANK(P220:P224),ISBLANK(AL220:AL224),ISBLANK(U220:U224),ISBLANK(AQ220:AQ224)),"·",bdRateExtend(P220:P224,U220:U224,AL220:AL224,AQ220:AQ224))</f>
        <v>1.0398724073124033E-3</v>
      </c>
      <c r="BP220" s="56">
        <f>IF(OR(ISBLANK(P220:P224),ISBLANK(AL220:AL224),ISBLANK(V220:V224),ISBLANK(AR220:AR224)),"·",bdRateExtend(P220:P224,V220:V224,AL220:AL224,AR220:AR224))</f>
        <v>1.4616946799193009E-3</v>
      </c>
      <c r="BQ220" s="62"/>
      <c r="BS220" s="56">
        <f>IF(OR(ISBLANK(P220:P224),ISBLANK(AL220:AL224),ISBLANK(X220:X224),ISBLANK(AT220:AT224)),"·",bdRateExtend(P220:P224,X220:X224,AL220:AL224,AT220:AT224))</f>
        <v>1.0377086646526923E-3</v>
      </c>
      <c r="BT220" s="56">
        <f>IF(OR(ISBLANK(P220:P224),ISBLANK(AL220:AL224),ISBLANK(Y220:Y224),ISBLANK(AU220:AU224)),"·",bdRateExtend(P220:P224,Y220:Y224,AL220:AL224,AU220:AU224))</f>
        <v>1.0377086646526923E-3</v>
      </c>
      <c r="BU220" s="56">
        <f>IF(OR(ISBLANK(P220:P224),ISBLANK(AL220:AL224),ISBLANK(Z220:Z224),ISBLANK(AV220:AV224)),"·",bdRateExtend(P220:P224,Z220:Z224,AL220:AL224,AV220:AV224))</f>
        <v>1.0377086646526923E-3</v>
      </c>
      <c r="BV220" s="62"/>
      <c r="BX220">
        <f t="shared" si="84"/>
        <v>0</v>
      </c>
      <c r="BY220">
        <f t="shared" si="85"/>
        <v>698024</v>
      </c>
      <c r="BZ220">
        <f t="shared" si="86"/>
        <v>0</v>
      </c>
      <c r="CA220">
        <f t="shared" si="87"/>
        <v>698024</v>
      </c>
      <c r="CB220">
        <f t="shared" si="88"/>
        <v>0</v>
      </c>
      <c r="CC220">
        <f t="shared" si="89"/>
        <v>1.9999999999953388E-3</v>
      </c>
      <c r="CD220">
        <f t="shared" si="90"/>
        <v>-4.3000000000006366E-3</v>
      </c>
      <c r="CE220">
        <f t="shared" si="91"/>
        <v>-3.8000000000053547E-3</v>
      </c>
      <c r="CF220">
        <f t="shared" si="92"/>
        <v>0</v>
      </c>
      <c r="CG220">
        <f t="shared" si="93"/>
        <v>0</v>
      </c>
      <c r="CH220">
        <f t="shared" si="94"/>
        <v>0</v>
      </c>
      <c r="CI220">
        <f t="shared" si="95"/>
        <v>0</v>
      </c>
      <c r="CJ220">
        <f t="shared" si="96"/>
        <v>0</v>
      </c>
    </row>
    <row r="221" spans="1:88" outlineLevel="1" x14ac:dyDescent="0.15">
      <c r="A221" s="5"/>
      <c r="B221" s="5" t="s">
        <v>171</v>
      </c>
      <c r="C221" s="6" t="s">
        <v>255</v>
      </c>
      <c r="D221" s="5">
        <v>63787119</v>
      </c>
      <c r="E221" s="7">
        <v>15</v>
      </c>
      <c r="F221" s="6">
        <v>1</v>
      </c>
      <c r="G221" s="6"/>
      <c r="I221" s="17" t="str">
        <f t="shared" si="73"/>
        <v>·</v>
      </c>
      <c r="J221" s="18">
        <f t="shared" si="74"/>
        <v>11.099398924099393</v>
      </c>
      <c r="K221" s="18">
        <f t="shared" si="75"/>
        <v>8.3884078225887588</v>
      </c>
      <c r="L221" s="18">
        <f t="shared" si="76"/>
        <v>2.7109088278465752</v>
      </c>
      <c r="M221" s="19"/>
      <c r="N221" s="18">
        <f t="shared" si="77"/>
        <v>11.099398924099393</v>
      </c>
      <c r="O221" s="20">
        <v>63787119</v>
      </c>
      <c r="P221" s="21">
        <v>707998680</v>
      </c>
      <c r="Q221" s="21">
        <v>535072368</v>
      </c>
      <c r="R221" s="21">
        <v>172921064</v>
      </c>
      <c r="S221" s="37"/>
      <c r="T221" s="38">
        <v>47.863100000000003</v>
      </c>
      <c r="U221" s="38">
        <v>52.793900000000001</v>
      </c>
      <c r="V221" s="38">
        <v>52.2102</v>
      </c>
      <c r="W221" s="39"/>
      <c r="X221" s="38">
        <v>42.110199999999999</v>
      </c>
      <c r="Y221" s="38">
        <v>42.110199999999999</v>
      </c>
      <c r="Z221" s="38">
        <v>42.110199999999999</v>
      </c>
      <c r="AA221" s="39"/>
      <c r="AB221" s="49">
        <v>150.25</v>
      </c>
      <c r="AC221" s="49">
        <v>132.875</v>
      </c>
      <c r="AE221" s="17" t="str">
        <f t="shared" si="78"/>
        <v>·</v>
      </c>
      <c r="AF221" s="18">
        <f t="shared" si="79"/>
        <v>11.11096464475845</v>
      </c>
      <c r="AG221" s="18">
        <f t="shared" si="80"/>
        <v>8.3884078225887588</v>
      </c>
      <c r="AH221" s="18">
        <f t="shared" si="81"/>
        <v>2.7224745485056316</v>
      </c>
      <c r="AI221" s="19"/>
      <c r="AJ221" s="18">
        <f t="shared" si="82"/>
        <v>11.11096464475845</v>
      </c>
      <c r="AK221" s="20">
        <v>63787119</v>
      </c>
      <c r="AL221" s="21">
        <v>708736424</v>
      </c>
      <c r="AM221" s="21">
        <v>535072368</v>
      </c>
      <c r="AN221" s="21">
        <v>173658808</v>
      </c>
      <c r="AO221" s="37"/>
      <c r="AP221" s="38">
        <v>47.863599999999998</v>
      </c>
      <c r="AQ221" s="38">
        <v>52.790999999999997</v>
      </c>
      <c r="AR221" s="38">
        <v>52.210900000000002</v>
      </c>
      <c r="AS221" s="39"/>
      <c r="AT221" s="38">
        <v>42.110199999999999</v>
      </c>
      <c r="AU221" s="38">
        <v>42.110199999999999</v>
      </c>
      <c r="AV221" s="38">
        <v>42.110199999999999</v>
      </c>
      <c r="AW221" s="39"/>
      <c r="AX221" s="49">
        <v>151.21799999999999</v>
      </c>
      <c r="AY221" s="49">
        <v>133.375</v>
      </c>
      <c r="BA221" s="53">
        <f t="shared" si="83"/>
        <v>-7.8668525293135172E-4</v>
      </c>
      <c r="BB221" s="53"/>
      <c r="BD221" s="54"/>
      <c r="BE221" s="54"/>
      <c r="BF221" s="54"/>
      <c r="BG221" s="61"/>
      <c r="BI221" s="54"/>
      <c r="BJ221" s="54"/>
      <c r="BK221" s="54"/>
      <c r="BL221" s="61"/>
      <c r="BN221" s="54"/>
      <c r="BO221" s="54"/>
      <c r="BP221" s="54"/>
      <c r="BQ221" s="61"/>
      <c r="BS221" s="54"/>
      <c r="BT221" s="54"/>
      <c r="BU221" s="54"/>
      <c r="BV221" s="61"/>
      <c r="BX221">
        <f t="shared" si="84"/>
        <v>0</v>
      </c>
      <c r="BY221">
        <f t="shared" si="85"/>
        <v>737744</v>
      </c>
      <c r="BZ221">
        <f t="shared" si="86"/>
        <v>0</v>
      </c>
      <c r="CA221">
        <f t="shared" si="87"/>
        <v>737744</v>
      </c>
      <c r="CB221">
        <f t="shared" si="88"/>
        <v>0</v>
      </c>
      <c r="CC221">
        <f t="shared" si="89"/>
        <v>4.99999999995282E-4</v>
      </c>
      <c r="CD221">
        <f t="shared" si="90"/>
        <v>-2.9000000000038995E-3</v>
      </c>
      <c r="CE221">
        <f t="shared" si="91"/>
        <v>7.0000000000192131E-4</v>
      </c>
      <c r="CF221">
        <f t="shared" si="92"/>
        <v>0</v>
      </c>
      <c r="CG221">
        <f t="shared" si="93"/>
        <v>0</v>
      </c>
      <c r="CH221">
        <f t="shared" si="94"/>
        <v>0</v>
      </c>
      <c r="CI221">
        <f t="shared" si="95"/>
        <v>0</v>
      </c>
      <c r="CJ221">
        <f t="shared" si="96"/>
        <v>0</v>
      </c>
    </row>
    <row r="222" spans="1:88" outlineLevel="1" x14ac:dyDescent="0.15">
      <c r="A222" s="8"/>
      <c r="B222" s="8" t="s">
        <v>171</v>
      </c>
      <c r="C222" s="9" t="s">
        <v>256</v>
      </c>
      <c r="D222" s="8">
        <v>63787119</v>
      </c>
      <c r="E222" s="10">
        <v>15</v>
      </c>
      <c r="F222" s="9">
        <v>1</v>
      </c>
      <c r="G222" s="9"/>
      <c r="I222" s="22" t="str">
        <f t="shared" si="73"/>
        <v>·</v>
      </c>
      <c r="J222" s="23">
        <f t="shared" si="74"/>
        <v>9.7002869811379941</v>
      </c>
      <c r="K222" s="23">
        <f t="shared" si="75"/>
        <v>8.3884078225887588</v>
      </c>
      <c r="L222" s="23">
        <f t="shared" si="76"/>
        <v>1.3117968848851755</v>
      </c>
      <c r="M222" s="24"/>
      <c r="N222" s="23">
        <f t="shared" si="77"/>
        <v>9.7002869811379941</v>
      </c>
      <c r="O222" s="25">
        <v>63787119</v>
      </c>
      <c r="P222" s="26">
        <v>618753360</v>
      </c>
      <c r="Q222" s="26">
        <v>535072368</v>
      </c>
      <c r="R222" s="26">
        <v>83675744</v>
      </c>
      <c r="S222" s="40"/>
      <c r="T222" s="41">
        <v>41.145400000000002</v>
      </c>
      <c r="U222" s="41">
        <v>47.846600000000002</v>
      </c>
      <c r="V222" s="41">
        <v>47.004300000000001</v>
      </c>
      <c r="W222" s="42"/>
      <c r="X222" s="41">
        <v>34.151400000000002</v>
      </c>
      <c r="Y222" s="41">
        <v>34.151400000000002</v>
      </c>
      <c r="Z222" s="41">
        <v>34.151400000000002</v>
      </c>
      <c r="AA222" s="42"/>
      <c r="AB222" s="50">
        <v>149.09299999999999</v>
      </c>
      <c r="AC222" s="50">
        <v>132.078</v>
      </c>
      <c r="AE222" s="22" t="str">
        <f t="shared" si="78"/>
        <v>·</v>
      </c>
      <c r="AF222" s="23">
        <f t="shared" si="79"/>
        <v>9.7117617743482043</v>
      </c>
      <c r="AG222" s="23">
        <f t="shared" si="80"/>
        <v>8.3884078225887588</v>
      </c>
      <c r="AH222" s="23">
        <f t="shared" si="81"/>
        <v>1.3232716780953848</v>
      </c>
      <c r="AI222" s="24"/>
      <c r="AJ222" s="23">
        <f t="shared" si="82"/>
        <v>9.7117617743482043</v>
      </c>
      <c r="AK222" s="25">
        <v>63787119</v>
      </c>
      <c r="AL222" s="26">
        <v>619485304</v>
      </c>
      <c r="AM222" s="26">
        <v>535072368</v>
      </c>
      <c r="AN222" s="26">
        <v>84407688</v>
      </c>
      <c r="AO222" s="40"/>
      <c r="AP222" s="41">
        <v>41.1526</v>
      </c>
      <c r="AQ222" s="41">
        <v>47.8386</v>
      </c>
      <c r="AR222" s="41">
        <v>46.976700000000001</v>
      </c>
      <c r="AS222" s="42"/>
      <c r="AT222" s="41">
        <v>34.151400000000002</v>
      </c>
      <c r="AU222" s="41">
        <v>34.151400000000002</v>
      </c>
      <c r="AV222" s="41">
        <v>34.151400000000002</v>
      </c>
      <c r="AW222" s="42"/>
      <c r="AX222" s="50">
        <v>150.18700000000001</v>
      </c>
      <c r="AY222" s="50">
        <v>131.98400000000001</v>
      </c>
      <c r="BA222" s="55">
        <f t="shared" si="83"/>
        <v>-1.0217433047762237E-3</v>
      </c>
      <c r="BB222" s="55"/>
      <c r="BD222" s="56"/>
      <c r="BE222" s="56"/>
      <c r="BF222" s="56"/>
      <c r="BG222" s="62"/>
      <c r="BI222" s="56"/>
      <c r="BJ222" s="56"/>
      <c r="BK222" s="56"/>
      <c r="BL222" s="62"/>
      <c r="BN222" s="56"/>
      <c r="BO222" s="56"/>
      <c r="BP222" s="56"/>
      <c r="BQ222" s="62"/>
      <c r="BS222" s="56"/>
      <c r="BT222" s="56"/>
      <c r="BU222" s="56"/>
      <c r="BV222" s="62"/>
      <c r="BX222">
        <f t="shared" si="84"/>
        <v>0</v>
      </c>
      <c r="BY222">
        <f t="shared" si="85"/>
        <v>731944</v>
      </c>
      <c r="BZ222">
        <f t="shared" si="86"/>
        <v>0</v>
      </c>
      <c r="CA222">
        <f t="shared" si="87"/>
        <v>731944</v>
      </c>
      <c r="CB222">
        <f t="shared" si="88"/>
        <v>0</v>
      </c>
      <c r="CC222">
        <f t="shared" si="89"/>
        <v>7.1999999999974307E-3</v>
      </c>
      <c r="CD222">
        <f t="shared" si="90"/>
        <v>-8.0000000000026716E-3</v>
      </c>
      <c r="CE222">
        <f t="shared" si="91"/>
        <v>-2.7599999999999625E-2</v>
      </c>
      <c r="CF222">
        <f t="shared" si="92"/>
        <v>0</v>
      </c>
      <c r="CG222">
        <f t="shared" si="93"/>
        <v>0</v>
      </c>
      <c r="CH222">
        <f t="shared" si="94"/>
        <v>0</v>
      </c>
      <c r="CI222">
        <f t="shared" si="95"/>
        <v>0</v>
      </c>
      <c r="CJ222">
        <f t="shared" si="96"/>
        <v>0</v>
      </c>
    </row>
    <row r="223" spans="1:88" outlineLevel="1" x14ac:dyDescent="0.15">
      <c r="A223" s="5"/>
      <c r="B223" s="5" t="s">
        <v>171</v>
      </c>
      <c r="C223" s="6" t="s">
        <v>257</v>
      </c>
      <c r="D223" s="5">
        <v>63787119</v>
      </c>
      <c r="E223" s="7">
        <v>15</v>
      </c>
      <c r="F223" s="6">
        <v>1</v>
      </c>
      <c r="G223" s="6"/>
      <c r="I223" s="17" t="str">
        <f t="shared" si="73"/>
        <v>·</v>
      </c>
      <c r="J223" s="18">
        <f t="shared" si="74"/>
        <v>9.0113392329256943</v>
      </c>
      <c r="K223" s="18">
        <f t="shared" si="75"/>
        <v>8.3884078225887588</v>
      </c>
      <c r="L223" s="18">
        <f t="shared" si="76"/>
        <v>0.62284913667287589</v>
      </c>
      <c r="M223" s="19"/>
      <c r="N223" s="18">
        <f t="shared" si="77"/>
        <v>9.0113392329256943</v>
      </c>
      <c r="O223" s="20">
        <v>63787119</v>
      </c>
      <c r="P223" s="21">
        <v>574807368</v>
      </c>
      <c r="Q223" s="21">
        <v>535072368</v>
      </c>
      <c r="R223" s="21">
        <v>39729752</v>
      </c>
      <c r="S223" s="37"/>
      <c r="T223" s="38">
        <v>35.889000000000003</v>
      </c>
      <c r="U223" s="38">
        <v>43.092799999999997</v>
      </c>
      <c r="V223" s="38">
        <v>42.116900000000001</v>
      </c>
      <c r="W223" s="39"/>
      <c r="X223" s="38">
        <v>28.130800000000001</v>
      </c>
      <c r="Y223" s="38">
        <v>28.130800000000001</v>
      </c>
      <c r="Z223" s="38">
        <v>28.130800000000001</v>
      </c>
      <c r="AA223" s="39"/>
      <c r="AB223" s="49">
        <v>148.18700000000001</v>
      </c>
      <c r="AC223" s="49">
        <v>131.29599999999999</v>
      </c>
      <c r="AE223" s="17" t="str">
        <f t="shared" si="78"/>
        <v>·</v>
      </c>
      <c r="AF223" s="18">
        <f t="shared" si="79"/>
        <v>9.0207911725876819</v>
      </c>
      <c r="AG223" s="18">
        <f t="shared" si="80"/>
        <v>8.3884078225887588</v>
      </c>
      <c r="AH223" s="18">
        <f t="shared" si="81"/>
        <v>0.63230107633486321</v>
      </c>
      <c r="AI223" s="19"/>
      <c r="AJ223" s="18">
        <f t="shared" si="82"/>
        <v>9.0207911725876819</v>
      </c>
      <c r="AK223" s="20">
        <v>63787119</v>
      </c>
      <c r="AL223" s="21">
        <v>575410280</v>
      </c>
      <c r="AM223" s="21">
        <v>535072368</v>
      </c>
      <c r="AN223" s="21">
        <v>40332664</v>
      </c>
      <c r="AO223" s="37"/>
      <c r="AP223" s="38">
        <v>35.887</v>
      </c>
      <c r="AQ223" s="38">
        <v>43.0959</v>
      </c>
      <c r="AR223" s="38">
        <v>42.058700000000002</v>
      </c>
      <c r="AS223" s="39"/>
      <c r="AT223" s="38">
        <v>28.130800000000001</v>
      </c>
      <c r="AU223" s="38">
        <v>28.130800000000001</v>
      </c>
      <c r="AV223" s="38">
        <v>28.130800000000001</v>
      </c>
      <c r="AW223" s="39"/>
      <c r="AX223" s="49">
        <v>148.93700000000001</v>
      </c>
      <c r="AY223" s="49">
        <v>131.18700000000001</v>
      </c>
      <c r="BA223" s="53">
        <f t="shared" si="83"/>
        <v>-9.7536352126359471E-4</v>
      </c>
      <c r="BB223" s="53"/>
      <c r="BD223" s="54"/>
      <c r="BE223" s="54"/>
      <c r="BF223" s="54"/>
      <c r="BG223" s="61"/>
      <c r="BI223" s="54"/>
      <c r="BJ223" s="54"/>
      <c r="BK223" s="54"/>
      <c r="BL223" s="61"/>
      <c r="BN223" s="54"/>
      <c r="BO223" s="54"/>
      <c r="BP223" s="54"/>
      <c r="BQ223" s="61"/>
      <c r="BS223" s="54"/>
      <c r="BT223" s="54"/>
      <c r="BU223" s="54"/>
      <c r="BV223" s="61"/>
      <c r="BX223">
        <f t="shared" si="84"/>
        <v>0</v>
      </c>
      <c r="BY223">
        <f t="shared" si="85"/>
        <v>602912</v>
      </c>
      <c r="BZ223">
        <f t="shared" si="86"/>
        <v>0</v>
      </c>
      <c r="CA223">
        <f t="shared" si="87"/>
        <v>602912</v>
      </c>
      <c r="CB223">
        <f t="shared" si="88"/>
        <v>0</v>
      </c>
      <c r="CC223">
        <f t="shared" si="89"/>
        <v>-2.0000000000024443E-3</v>
      </c>
      <c r="CD223">
        <f t="shared" si="90"/>
        <v>3.1000000000034333E-3</v>
      </c>
      <c r="CE223">
        <f t="shared" si="91"/>
        <v>-5.8199999999999363E-2</v>
      </c>
      <c r="CF223">
        <f t="shared" si="92"/>
        <v>0</v>
      </c>
      <c r="CG223">
        <f t="shared" si="93"/>
        <v>0</v>
      </c>
      <c r="CH223">
        <f t="shared" si="94"/>
        <v>0</v>
      </c>
      <c r="CI223">
        <f t="shared" si="95"/>
        <v>0</v>
      </c>
      <c r="CJ223">
        <f t="shared" si="96"/>
        <v>0</v>
      </c>
    </row>
    <row r="224" spans="1:88" outlineLevel="1" x14ac:dyDescent="0.15">
      <c r="A224" s="8"/>
      <c r="B224" s="14" t="s">
        <v>171</v>
      </c>
      <c r="C224" s="15" t="s">
        <v>258</v>
      </c>
      <c r="D224" s="14">
        <v>63787119</v>
      </c>
      <c r="E224" s="16">
        <v>15</v>
      </c>
      <c r="F224" s="15">
        <v>1</v>
      </c>
      <c r="G224" s="15"/>
      <c r="I224" s="32" t="str">
        <f t="shared" si="73"/>
        <v>·</v>
      </c>
      <c r="J224" s="33">
        <f t="shared" si="74"/>
        <v>8.6204155418902051</v>
      </c>
      <c r="K224" s="33">
        <f t="shared" si="75"/>
        <v>8.3884078225887588</v>
      </c>
      <c r="L224" s="33">
        <f t="shared" si="76"/>
        <v>0.23192544563738646</v>
      </c>
      <c r="M224" s="34"/>
      <c r="N224" s="33">
        <f t="shared" si="77"/>
        <v>8.6204155418902051</v>
      </c>
      <c r="O224" s="35">
        <v>63787119</v>
      </c>
      <c r="P224" s="36">
        <v>549871472</v>
      </c>
      <c r="Q224" s="36">
        <v>535072368</v>
      </c>
      <c r="R224" s="36">
        <v>14793856</v>
      </c>
      <c r="S224" s="46"/>
      <c r="T224" s="47">
        <v>29.887799999999999</v>
      </c>
      <c r="U224" s="47">
        <v>36.970300000000002</v>
      </c>
      <c r="V224" s="47">
        <v>35.971499999999999</v>
      </c>
      <c r="W224" s="48"/>
      <c r="X224" s="47">
        <v>21.686399999999999</v>
      </c>
      <c r="Y224" s="47">
        <v>21.686399999999999</v>
      </c>
      <c r="Z224" s="47">
        <v>21.686399999999999</v>
      </c>
      <c r="AA224" s="48"/>
      <c r="AB224" s="52">
        <v>147.79599999999999</v>
      </c>
      <c r="AC224" s="52">
        <v>130.75</v>
      </c>
      <c r="AE224" s="32" t="str">
        <f t="shared" si="78"/>
        <v>·</v>
      </c>
      <c r="AF224" s="33">
        <f t="shared" si="79"/>
        <v>8.6266443856791835</v>
      </c>
      <c r="AG224" s="33">
        <f t="shared" si="80"/>
        <v>8.3884078225887588</v>
      </c>
      <c r="AH224" s="33">
        <f t="shared" si="81"/>
        <v>0.23815428942636521</v>
      </c>
      <c r="AI224" s="34"/>
      <c r="AJ224" s="33">
        <f t="shared" si="82"/>
        <v>8.6266443856791835</v>
      </c>
      <c r="AK224" s="35">
        <v>63787119</v>
      </c>
      <c r="AL224" s="36">
        <v>550268792</v>
      </c>
      <c r="AM224" s="36">
        <v>535072368</v>
      </c>
      <c r="AN224" s="36">
        <v>15191176</v>
      </c>
      <c r="AO224" s="46"/>
      <c r="AP224" s="47">
        <v>30.000699999999998</v>
      </c>
      <c r="AQ224" s="47">
        <v>37.064799999999998</v>
      </c>
      <c r="AR224" s="47">
        <v>35.758800000000001</v>
      </c>
      <c r="AS224" s="48"/>
      <c r="AT224" s="47">
        <v>21.686399999999999</v>
      </c>
      <c r="AU224" s="47">
        <v>21.686399999999999</v>
      </c>
      <c r="AV224" s="47">
        <v>21.686399999999999</v>
      </c>
      <c r="AW224" s="48"/>
      <c r="AX224" s="52">
        <v>148.01499999999999</v>
      </c>
      <c r="AY224" s="52">
        <v>130.828</v>
      </c>
      <c r="BA224" s="59">
        <f t="shared" si="83"/>
        <v>-7.0261412965155756E-4</v>
      </c>
      <c r="BB224" s="59"/>
      <c r="BD224" s="60"/>
      <c r="BE224" s="60"/>
      <c r="BF224" s="60"/>
      <c r="BG224" s="64"/>
      <c r="BI224" s="60"/>
      <c r="BJ224" s="60"/>
      <c r="BK224" s="60"/>
      <c r="BL224" s="64"/>
      <c r="BN224" s="60"/>
      <c r="BO224" s="60"/>
      <c r="BP224" s="60"/>
      <c r="BQ224" s="64"/>
      <c r="BS224" s="60"/>
      <c r="BT224" s="60"/>
      <c r="BU224" s="60"/>
      <c r="BV224" s="64"/>
      <c r="BX224">
        <f t="shared" si="84"/>
        <v>0</v>
      </c>
      <c r="BY224">
        <f t="shared" si="85"/>
        <v>397320</v>
      </c>
      <c r="BZ224">
        <f t="shared" si="86"/>
        <v>0</v>
      </c>
      <c r="CA224">
        <f t="shared" si="87"/>
        <v>397320</v>
      </c>
      <c r="CB224">
        <f t="shared" si="88"/>
        <v>0</v>
      </c>
      <c r="CC224">
        <f t="shared" si="89"/>
        <v>0.11289999999999978</v>
      </c>
      <c r="CD224">
        <f t="shared" si="90"/>
        <v>9.4499999999996476E-2</v>
      </c>
      <c r="CE224">
        <f t="shared" si="91"/>
        <v>-0.21269999999999811</v>
      </c>
      <c r="CF224">
        <f t="shared" si="92"/>
        <v>0</v>
      </c>
      <c r="CG224">
        <f t="shared" si="93"/>
        <v>0</v>
      </c>
      <c r="CH224">
        <f t="shared" si="94"/>
        <v>0</v>
      </c>
      <c r="CI224">
        <f t="shared" si="95"/>
        <v>0</v>
      </c>
      <c r="CJ224">
        <f t="shared" si="96"/>
        <v>0</v>
      </c>
    </row>
    <row r="225" spans="1:88" x14ac:dyDescent="0.15">
      <c r="A225" s="5"/>
      <c r="B225" s="5" t="s">
        <v>172</v>
      </c>
      <c r="C225" s="6" t="s">
        <v>254</v>
      </c>
      <c r="D225" s="5">
        <v>63864641</v>
      </c>
      <c r="E225" s="7">
        <v>20</v>
      </c>
      <c r="F225" s="6">
        <v>1</v>
      </c>
      <c r="G225" s="6"/>
      <c r="I225" s="17" t="str">
        <f t="shared" si="73"/>
        <v>·</v>
      </c>
      <c r="J225" s="18">
        <f t="shared" si="74"/>
        <v>27.348085147773713</v>
      </c>
      <c r="K225" s="18">
        <f t="shared" si="75"/>
        <v>23.377496539908524</v>
      </c>
      <c r="L225" s="18">
        <f t="shared" si="76"/>
        <v>3.9705061835390261</v>
      </c>
      <c r="M225" s="19"/>
      <c r="N225" s="18">
        <f t="shared" si="77"/>
        <v>27.348085147773713</v>
      </c>
      <c r="O225" s="20">
        <v>63864641</v>
      </c>
      <c r="P225" s="21">
        <v>1746575640</v>
      </c>
      <c r="Q225" s="21">
        <v>1492995424</v>
      </c>
      <c r="R225" s="21">
        <v>253574952</v>
      </c>
      <c r="S225" s="37"/>
      <c r="T225" s="38">
        <v>52.621699999999997</v>
      </c>
      <c r="U225" s="38">
        <v>56.857799999999997</v>
      </c>
      <c r="V225" s="38">
        <v>56.305999999999997</v>
      </c>
      <c r="W225" s="39"/>
      <c r="X225" s="38">
        <v>48.130800000000001</v>
      </c>
      <c r="Y225" s="38">
        <v>48.130800000000001</v>
      </c>
      <c r="Z225" s="38">
        <v>48.130800000000001</v>
      </c>
      <c r="AA225" s="39"/>
      <c r="AB225" s="49">
        <v>234.76499999999999</v>
      </c>
      <c r="AC225" s="49">
        <v>206.96799999999999</v>
      </c>
      <c r="AE225" s="17" t="str">
        <f t="shared" si="78"/>
        <v>·</v>
      </c>
      <c r="AF225" s="18">
        <f t="shared" si="79"/>
        <v>27.358751832645549</v>
      </c>
      <c r="AG225" s="18">
        <f t="shared" si="80"/>
        <v>23.377496539908524</v>
      </c>
      <c r="AH225" s="18">
        <f t="shared" si="81"/>
        <v>3.9811728684108627</v>
      </c>
      <c r="AI225" s="19"/>
      <c r="AJ225" s="18">
        <f t="shared" si="82"/>
        <v>27.358751832645549</v>
      </c>
      <c r="AK225" s="20">
        <v>63864641</v>
      </c>
      <c r="AL225" s="21">
        <v>1747256864</v>
      </c>
      <c r="AM225" s="21">
        <v>1492995424</v>
      </c>
      <c r="AN225" s="21">
        <v>254256176</v>
      </c>
      <c r="AO225" s="37"/>
      <c r="AP225" s="38">
        <v>52.624000000000002</v>
      </c>
      <c r="AQ225" s="38">
        <v>56.852499999999999</v>
      </c>
      <c r="AR225" s="38">
        <v>56.302100000000003</v>
      </c>
      <c r="AS225" s="39"/>
      <c r="AT225" s="38">
        <v>48.130800000000001</v>
      </c>
      <c r="AU225" s="38">
        <v>48.130800000000001</v>
      </c>
      <c r="AV225" s="38">
        <v>48.130800000000001</v>
      </c>
      <c r="AW225" s="39"/>
      <c r="AX225" s="49">
        <v>235.04599999999999</v>
      </c>
      <c r="AY225" s="49">
        <v>207.35900000000001</v>
      </c>
      <c r="BA225" s="53">
        <f t="shared" si="83"/>
        <v>-3.3327617081879701E-4</v>
      </c>
      <c r="BB225" s="53">
        <f t="array" ref="BB225">AVERAGE(AM225:AM229/AL225:AL229)-AVERAGE(Q225:Q229/P225:P229)</f>
        <v>-3.6802452967510391E-4</v>
      </c>
      <c r="BD225" s="54">
        <f>IF(OR(ISBLANK(R225:R229),ISBLANK(AN225:AN229),ISBLANK(T225:T229),ISBLANK(AP225:AP229)),"·",bdRateExtend(R225:R229,T225:T229,AN225:AN229,AP225:AP229))</f>
        <v>8.9465163635027434E-3</v>
      </c>
      <c r="BE225" s="54">
        <f>IF(OR(ISBLANK(R225:R229),ISBLANK(AN225:AN229),ISBLANK(U225:U229),ISBLANK(AQ225:AQ229)),"·",bdRateExtend(R225:R229,U225:U229,AN225:AN229,AQ225:AQ229))</f>
        <v>1.1785515206719444E-2</v>
      </c>
      <c r="BF225" s="54">
        <f>IF(OR(ISBLANK(R225:R229),ISBLANK(AN225:AN229),ISBLANK(V225:V229),ISBLANK(AR225:AR229)),"·",bdRateExtend(R225:R229,V225:V229,AN225:AN229,AR225:AR229))</f>
        <v>1.7691566741955489E-2</v>
      </c>
      <c r="BG225" s="61"/>
      <c r="BI225" s="54">
        <f>IF(OR(ISBLANK(R225:R229),ISBLANK(AN225:AN229),ISBLANK(X225:X229),ISBLANK(AT225:AT229)),"·",bdRateExtend(R225:R229,X225:X229,AN225:AN229,AT225:AT229))</f>
        <v>1.0727652771064911E-2</v>
      </c>
      <c r="BJ225" s="54">
        <f>IF(OR(ISBLANK(R225:R229),ISBLANK(AN225:AN229),ISBLANK(Y225:Y229),ISBLANK(AU225:AU229)),"·",bdRateExtend(R225:R229,Y225:Y229,AN225:AN229,AU225:AU229))</f>
        <v>1.0727652771064911E-2</v>
      </c>
      <c r="BK225" s="54">
        <f>IF(OR(ISBLANK(R225:R229),ISBLANK(AN225:AN229),ISBLANK(Z225:Z229),ISBLANK(AV225:AV229)),"·",bdRateExtend(R225:R229,Z225:Z229,AN225:AN229,AV225:AV229))</f>
        <v>1.0727652771064911E-2</v>
      </c>
      <c r="BL225" s="61"/>
      <c r="BN225" s="54">
        <f>IF(OR(ISBLANK(P225:P229),ISBLANK(AL225:AL229),ISBLANK(T225:T229),ISBLANK(AP225:AP229)),"·",bdRateExtend(P225:P229,T225:T229,AL225:AL229,AP225:AP229))</f>
        <v>3.71224311264573E-4</v>
      </c>
      <c r="BO225" s="54">
        <f>IF(OR(ISBLANK(P225:P229),ISBLANK(AL225:AL229),ISBLANK(U225:U229),ISBLANK(AQ225:AQ229)),"·",bdRateExtend(P225:P229,U225:U229,AL225:AL229,AQ225:AQ229))</f>
        <v>4.601259863818985E-4</v>
      </c>
      <c r="BP225" s="54">
        <f>IF(OR(ISBLANK(P225:P229),ISBLANK(AL225:AL229),ISBLANK(V225:V229),ISBLANK(AR225:AR229)),"·",bdRateExtend(P225:P229,V225:V229,AL225:AL229,AR225:AR229))</f>
        <v>5.3189537996223279E-4</v>
      </c>
      <c r="BQ225" s="61"/>
      <c r="BS225" s="54">
        <f>IF(OR(ISBLANK(P225:P229),ISBLANK(AL225:AL229),ISBLANK(X225:X229),ISBLANK(AT225:AT229)),"·",bdRateExtend(P225:P229,X225:X229,AL225:AL229,AT225:AT229))</f>
        <v>4.1331357439866601E-4</v>
      </c>
      <c r="BT225" s="54">
        <f>IF(OR(ISBLANK(P225:P229),ISBLANK(AL225:AL229),ISBLANK(Y225:Y229),ISBLANK(AU225:AU229)),"·",bdRateExtend(P225:P229,Y225:Y229,AL225:AL229,AU225:AU229))</f>
        <v>4.1331357439866601E-4</v>
      </c>
      <c r="BU225" s="54">
        <f>IF(OR(ISBLANK(P225:P229),ISBLANK(AL225:AL229),ISBLANK(Z225:Z229),ISBLANK(AV225:AV229)),"·",bdRateExtend(P225:P229,Z225:Z229,AL225:AL229,AV225:AV229))</f>
        <v>4.1331357439866601E-4</v>
      </c>
      <c r="BV225" s="61"/>
      <c r="BX225">
        <f t="shared" si="84"/>
        <v>0</v>
      </c>
      <c r="BY225">
        <f t="shared" si="85"/>
        <v>681224</v>
      </c>
      <c r="BZ225">
        <f t="shared" si="86"/>
        <v>0</v>
      </c>
      <c r="CA225">
        <f t="shared" si="87"/>
        <v>681224</v>
      </c>
      <c r="CB225">
        <f t="shared" si="88"/>
        <v>0</v>
      </c>
      <c r="CC225">
        <f t="shared" si="89"/>
        <v>2.3000000000052978E-3</v>
      </c>
      <c r="CD225">
        <f t="shared" si="90"/>
        <v>-5.2999999999983061E-3</v>
      </c>
      <c r="CE225">
        <f t="shared" si="91"/>
        <v>-3.8999999999944635E-3</v>
      </c>
      <c r="CF225">
        <f t="shared" si="92"/>
        <v>0</v>
      </c>
      <c r="CG225">
        <f t="shared" si="93"/>
        <v>0</v>
      </c>
      <c r="CH225">
        <f t="shared" si="94"/>
        <v>0</v>
      </c>
      <c r="CI225">
        <f t="shared" si="95"/>
        <v>0</v>
      </c>
      <c r="CJ225">
        <f t="shared" si="96"/>
        <v>0</v>
      </c>
    </row>
    <row r="226" spans="1:88" outlineLevel="1" x14ac:dyDescent="0.15">
      <c r="A226" s="8"/>
      <c r="B226" s="8" t="s">
        <v>172</v>
      </c>
      <c r="C226" s="9" t="s">
        <v>255</v>
      </c>
      <c r="D226" s="8">
        <v>63864641</v>
      </c>
      <c r="E226" s="10">
        <v>20</v>
      </c>
      <c r="F226" s="9">
        <v>1</v>
      </c>
      <c r="G226" s="9"/>
      <c r="I226" s="22" t="str">
        <f t="shared" si="73"/>
        <v>·</v>
      </c>
      <c r="J226" s="23">
        <f t="shared" si="74"/>
        <v>26.05124823296196</v>
      </c>
      <c r="K226" s="23">
        <f t="shared" si="75"/>
        <v>23.377496539908524</v>
      </c>
      <c r="L226" s="23">
        <f t="shared" si="76"/>
        <v>2.6736692687272758</v>
      </c>
      <c r="M226" s="24"/>
      <c r="N226" s="23">
        <f t="shared" si="77"/>
        <v>26.05124823296196</v>
      </c>
      <c r="O226" s="25">
        <v>63864641</v>
      </c>
      <c r="P226" s="26">
        <v>1663753616</v>
      </c>
      <c r="Q226" s="26">
        <v>1492995424</v>
      </c>
      <c r="R226" s="26">
        <v>170752928</v>
      </c>
      <c r="S226" s="40"/>
      <c r="T226" s="41">
        <v>47.855899999999998</v>
      </c>
      <c r="U226" s="41">
        <v>52.8354</v>
      </c>
      <c r="V226" s="41">
        <v>52.244900000000001</v>
      </c>
      <c r="W226" s="42"/>
      <c r="X226" s="41">
        <v>42.110199999999999</v>
      </c>
      <c r="Y226" s="41">
        <v>42.110199999999999</v>
      </c>
      <c r="Z226" s="41">
        <v>42.110199999999999</v>
      </c>
      <c r="AA226" s="42"/>
      <c r="AB226" s="50">
        <v>233.54599999999999</v>
      </c>
      <c r="AC226" s="50">
        <v>206.48400000000001</v>
      </c>
      <c r="AE226" s="22" t="str">
        <f t="shared" si="78"/>
        <v>·</v>
      </c>
      <c r="AF226" s="23">
        <f t="shared" si="79"/>
        <v>26.062520699051607</v>
      </c>
      <c r="AG226" s="23">
        <f t="shared" si="80"/>
        <v>23.377496539908524</v>
      </c>
      <c r="AH226" s="23">
        <f t="shared" si="81"/>
        <v>2.6849417348169231</v>
      </c>
      <c r="AI226" s="24"/>
      <c r="AJ226" s="23">
        <f t="shared" si="82"/>
        <v>26.062520699051607</v>
      </c>
      <c r="AK226" s="25">
        <v>63864641</v>
      </c>
      <c r="AL226" s="26">
        <v>1664473528</v>
      </c>
      <c r="AM226" s="26">
        <v>1492995424</v>
      </c>
      <c r="AN226" s="26">
        <v>171472840</v>
      </c>
      <c r="AO226" s="40"/>
      <c r="AP226" s="41">
        <v>47.856699999999996</v>
      </c>
      <c r="AQ226" s="41">
        <v>52.834499999999998</v>
      </c>
      <c r="AR226" s="41">
        <v>52.243899999999996</v>
      </c>
      <c r="AS226" s="42"/>
      <c r="AT226" s="41">
        <v>42.110199999999999</v>
      </c>
      <c r="AU226" s="41">
        <v>42.110199999999999</v>
      </c>
      <c r="AV226" s="41">
        <v>42.110199999999999</v>
      </c>
      <c r="AW226" s="42"/>
      <c r="AX226" s="50">
        <v>234.453</v>
      </c>
      <c r="AY226" s="50">
        <v>206.578</v>
      </c>
      <c r="BA226" s="55">
        <f t="shared" si="83"/>
        <v>-3.8812532798648824E-4</v>
      </c>
      <c r="BB226" s="55"/>
      <c r="BD226" s="56"/>
      <c r="BE226" s="56"/>
      <c r="BF226" s="56"/>
      <c r="BG226" s="62"/>
      <c r="BI226" s="56"/>
      <c r="BJ226" s="56"/>
      <c r="BK226" s="56"/>
      <c r="BL226" s="62"/>
      <c r="BN226" s="56"/>
      <c r="BO226" s="56"/>
      <c r="BP226" s="56"/>
      <c r="BQ226" s="62"/>
      <c r="BS226" s="56"/>
      <c r="BT226" s="56"/>
      <c r="BU226" s="56"/>
      <c r="BV226" s="62"/>
      <c r="BX226">
        <f t="shared" si="84"/>
        <v>0</v>
      </c>
      <c r="BY226">
        <f t="shared" si="85"/>
        <v>719912</v>
      </c>
      <c r="BZ226">
        <f t="shared" si="86"/>
        <v>0</v>
      </c>
      <c r="CA226">
        <f t="shared" si="87"/>
        <v>719912</v>
      </c>
      <c r="CB226">
        <f t="shared" si="88"/>
        <v>0</v>
      </c>
      <c r="CC226">
        <f t="shared" si="89"/>
        <v>7.9999999999813554E-4</v>
      </c>
      <c r="CD226">
        <f t="shared" si="90"/>
        <v>-9.0000000000145519E-4</v>
      </c>
      <c r="CE226">
        <f t="shared" si="91"/>
        <v>-1.0000000000047748E-3</v>
      </c>
      <c r="CF226">
        <f t="shared" si="92"/>
        <v>0</v>
      </c>
      <c r="CG226">
        <f t="shared" si="93"/>
        <v>0</v>
      </c>
      <c r="CH226">
        <f t="shared" si="94"/>
        <v>0</v>
      </c>
      <c r="CI226">
        <f t="shared" si="95"/>
        <v>0</v>
      </c>
      <c r="CJ226">
        <f t="shared" si="96"/>
        <v>0</v>
      </c>
    </row>
    <row r="227" spans="1:88" outlineLevel="1" x14ac:dyDescent="0.15">
      <c r="A227" s="5"/>
      <c r="B227" s="5" t="s">
        <v>172</v>
      </c>
      <c r="C227" s="6" t="s">
        <v>256</v>
      </c>
      <c r="D227" s="5">
        <v>63864641</v>
      </c>
      <c r="E227" s="7">
        <v>20</v>
      </c>
      <c r="F227" s="6">
        <v>1</v>
      </c>
      <c r="G227" s="6"/>
      <c r="I227" s="17" t="str">
        <f t="shared" si="73"/>
        <v>·</v>
      </c>
      <c r="J227" s="18">
        <f t="shared" si="74"/>
        <v>24.670588659536971</v>
      </c>
      <c r="K227" s="18">
        <f t="shared" si="75"/>
        <v>23.377496539908524</v>
      </c>
      <c r="L227" s="18">
        <f t="shared" si="76"/>
        <v>1.2930096953022878</v>
      </c>
      <c r="M227" s="19"/>
      <c r="N227" s="18">
        <f t="shared" si="77"/>
        <v>24.670588659536971</v>
      </c>
      <c r="O227" s="20">
        <v>63864641</v>
      </c>
      <c r="P227" s="21">
        <v>1575578288</v>
      </c>
      <c r="Q227" s="21">
        <v>1492995424</v>
      </c>
      <c r="R227" s="21">
        <v>82577600</v>
      </c>
      <c r="S227" s="37"/>
      <c r="T227" s="38">
        <v>41.1374</v>
      </c>
      <c r="U227" s="38">
        <v>47.9056</v>
      </c>
      <c r="V227" s="38">
        <v>47.0289</v>
      </c>
      <c r="W227" s="39"/>
      <c r="X227" s="38">
        <v>34.151400000000002</v>
      </c>
      <c r="Y227" s="38">
        <v>34.151400000000002</v>
      </c>
      <c r="Z227" s="38">
        <v>34.151400000000002</v>
      </c>
      <c r="AA227" s="39"/>
      <c r="AB227" s="49">
        <v>233.46799999999999</v>
      </c>
      <c r="AC227" s="49">
        <v>205.28100000000001</v>
      </c>
      <c r="AE227" s="17" t="str">
        <f t="shared" si="78"/>
        <v>·</v>
      </c>
      <c r="AF227" s="18">
        <f t="shared" si="79"/>
        <v>24.681992027482</v>
      </c>
      <c r="AG227" s="18">
        <f t="shared" si="80"/>
        <v>23.377496539908524</v>
      </c>
      <c r="AH227" s="18">
        <f t="shared" si="81"/>
        <v>1.3044130632473139</v>
      </c>
      <c r="AI227" s="19"/>
      <c r="AJ227" s="18">
        <f t="shared" si="82"/>
        <v>24.681992027482</v>
      </c>
      <c r="AK227" s="20">
        <v>63864641</v>
      </c>
      <c r="AL227" s="21">
        <v>1576306560</v>
      </c>
      <c r="AM227" s="21">
        <v>1492995424</v>
      </c>
      <c r="AN227" s="21">
        <v>83305872</v>
      </c>
      <c r="AO227" s="37"/>
      <c r="AP227" s="38">
        <v>41.143099999999997</v>
      </c>
      <c r="AQ227" s="38">
        <v>47.872300000000003</v>
      </c>
      <c r="AR227" s="38">
        <v>47.016199999999998</v>
      </c>
      <c r="AS227" s="39"/>
      <c r="AT227" s="38">
        <v>34.151400000000002</v>
      </c>
      <c r="AU227" s="38">
        <v>34.151400000000002</v>
      </c>
      <c r="AV227" s="38">
        <v>34.151400000000002</v>
      </c>
      <c r="AW227" s="39"/>
      <c r="AX227" s="49">
        <v>232.73400000000001</v>
      </c>
      <c r="AY227" s="49">
        <v>205.53100000000001</v>
      </c>
      <c r="BA227" s="53">
        <f t="shared" si="83"/>
        <v>-4.3779562689216789E-4</v>
      </c>
      <c r="BB227" s="53"/>
      <c r="BD227" s="54"/>
      <c r="BE227" s="54"/>
      <c r="BF227" s="54"/>
      <c r="BG227" s="61"/>
      <c r="BI227" s="54"/>
      <c r="BJ227" s="54"/>
      <c r="BK227" s="54"/>
      <c r="BL227" s="61"/>
      <c r="BN227" s="54"/>
      <c r="BO227" s="54"/>
      <c r="BP227" s="54"/>
      <c r="BQ227" s="61"/>
      <c r="BS227" s="54"/>
      <c r="BT227" s="54"/>
      <c r="BU227" s="54"/>
      <c r="BV227" s="61"/>
      <c r="BX227">
        <f t="shared" si="84"/>
        <v>0</v>
      </c>
      <c r="BY227">
        <f t="shared" si="85"/>
        <v>728272</v>
      </c>
      <c r="BZ227">
        <f t="shared" si="86"/>
        <v>0</v>
      </c>
      <c r="CA227">
        <f t="shared" si="87"/>
        <v>728272</v>
      </c>
      <c r="CB227">
        <f t="shared" si="88"/>
        <v>0</v>
      </c>
      <c r="CC227">
        <f t="shared" si="89"/>
        <v>5.6999999999973738E-3</v>
      </c>
      <c r="CD227">
        <f t="shared" si="90"/>
        <v>-3.3299999999996999E-2</v>
      </c>
      <c r="CE227">
        <f t="shared" si="91"/>
        <v>-1.2700000000002376E-2</v>
      </c>
      <c r="CF227">
        <f t="shared" si="92"/>
        <v>0</v>
      </c>
      <c r="CG227">
        <f t="shared" si="93"/>
        <v>0</v>
      </c>
      <c r="CH227">
        <f t="shared" si="94"/>
        <v>0</v>
      </c>
      <c r="CI227">
        <f t="shared" si="95"/>
        <v>0</v>
      </c>
      <c r="CJ227">
        <f t="shared" si="96"/>
        <v>0</v>
      </c>
    </row>
    <row r="228" spans="1:88" outlineLevel="1" x14ac:dyDescent="0.15">
      <c r="A228" s="8"/>
      <c r="B228" s="8" t="s">
        <v>172</v>
      </c>
      <c r="C228" s="9" t="s">
        <v>257</v>
      </c>
      <c r="D228" s="8">
        <v>63864641</v>
      </c>
      <c r="E228" s="10">
        <v>20</v>
      </c>
      <c r="F228" s="9">
        <v>1</v>
      </c>
      <c r="G228" s="9"/>
      <c r="I228" s="22" t="str">
        <f t="shared" si="73"/>
        <v>·</v>
      </c>
      <c r="J228" s="23">
        <f t="shared" si="74"/>
        <v>23.990915787031511</v>
      </c>
      <c r="K228" s="23">
        <f t="shared" si="75"/>
        <v>23.377496539908524</v>
      </c>
      <c r="L228" s="23">
        <f t="shared" si="76"/>
        <v>0.61333682279682744</v>
      </c>
      <c r="M228" s="24"/>
      <c r="N228" s="23">
        <f t="shared" si="77"/>
        <v>23.990915787031511</v>
      </c>
      <c r="O228" s="25">
        <v>63864641</v>
      </c>
      <c r="P228" s="26">
        <v>1532171224</v>
      </c>
      <c r="Q228" s="26">
        <v>1492995424</v>
      </c>
      <c r="R228" s="26">
        <v>39170536</v>
      </c>
      <c r="S228" s="40"/>
      <c r="T228" s="41">
        <v>35.883099999999999</v>
      </c>
      <c r="U228" s="41">
        <v>43.134099999999997</v>
      </c>
      <c r="V228" s="41">
        <v>42.111699999999999</v>
      </c>
      <c r="W228" s="42"/>
      <c r="X228" s="41">
        <v>28.130800000000001</v>
      </c>
      <c r="Y228" s="41">
        <v>28.130800000000001</v>
      </c>
      <c r="Z228" s="41">
        <v>28.130800000000001</v>
      </c>
      <c r="AA228" s="42"/>
      <c r="AB228" s="50">
        <v>232.21799999999999</v>
      </c>
      <c r="AC228" s="50">
        <v>204.953</v>
      </c>
      <c r="AE228" s="22" t="str">
        <f t="shared" si="78"/>
        <v>·</v>
      </c>
      <c r="AF228" s="23">
        <f t="shared" si="79"/>
        <v>24.000235247544882</v>
      </c>
      <c r="AG228" s="23">
        <f t="shared" si="80"/>
        <v>23.377496539908524</v>
      </c>
      <c r="AH228" s="23">
        <f t="shared" si="81"/>
        <v>0.62265628331019662</v>
      </c>
      <c r="AI228" s="24"/>
      <c r="AJ228" s="23">
        <f t="shared" si="82"/>
        <v>24.000235247544882</v>
      </c>
      <c r="AK228" s="25">
        <v>63864641</v>
      </c>
      <c r="AL228" s="26">
        <v>1532766408</v>
      </c>
      <c r="AM228" s="26">
        <v>1492995424</v>
      </c>
      <c r="AN228" s="26">
        <v>39765720</v>
      </c>
      <c r="AO228" s="40"/>
      <c r="AP228" s="41">
        <v>35.896500000000003</v>
      </c>
      <c r="AQ228" s="41">
        <v>43.1434</v>
      </c>
      <c r="AR228" s="41">
        <v>42.053100000000001</v>
      </c>
      <c r="AS228" s="42"/>
      <c r="AT228" s="41">
        <v>28.130800000000001</v>
      </c>
      <c r="AU228" s="41">
        <v>28.130800000000001</v>
      </c>
      <c r="AV228" s="41">
        <v>28.130800000000001</v>
      </c>
      <c r="AW228" s="42"/>
      <c r="AX228" s="50">
        <v>232.34299999999999</v>
      </c>
      <c r="AY228" s="50">
        <v>205.35900000000001</v>
      </c>
      <c r="BA228" s="55">
        <f t="shared" si="83"/>
        <v>-3.7837849811050983E-4</v>
      </c>
      <c r="BB228" s="55"/>
      <c r="BD228" s="56"/>
      <c r="BE228" s="56"/>
      <c r="BF228" s="56"/>
      <c r="BG228" s="62"/>
      <c r="BI228" s="56"/>
      <c r="BJ228" s="56"/>
      <c r="BK228" s="56"/>
      <c r="BL228" s="62"/>
      <c r="BN228" s="56"/>
      <c r="BO228" s="56"/>
      <c r="BP228" s="56"/>
      <c r="BQ228" s="62"/>
      <c r="BS228" s="56"/>
      <c r="BT228" s="56"/>
      <c r="BU228" s="56"/>
      <c r="BV228" s="62"/>
      <c r="BX228">
        <f t="shared" si="84"/>
        <v>0</v>
      </c>
      <c r="BY228">
        <f t="shared" si="85"/>
        <v>595184</v>
      </c>
      <c r="BZ228">
        <f t="shared" si="86"/>
        <v>0</v>
      </c>
      <c r="CA228">
        <f t="shared" si="87"/>
        <v>595184</v>
      </c>
      <c r="CB228">
        <f t="shared" si="88"/>
        <v>0</v>
      </c>
      <c r="CC228">
        <f t="shared" si="89"/>
        <v>1.3400000000004297E-2</v>
      </c>
      <c r="CD228">
        <f t="shared" si="90"/>
        <v>9.3000000000031946E-3</v>
      </c>
      <c r="CE228">
        <f t="shared" si="91"/>
        <v>-5.8599999999998431E-2</v>
      </c>
      <c r="CF228">
        <f t="shared" si="92"/>
        <v>0</v>
      </c>
      <c r="CG228">
        <f t="shared" si="93"/>
        <v>0</v>
      </c>
      <c r="CH228">
        <f t="shared" si="94"/>
        <v>0</v>
      </c>
      <c r="CI228">
        <f t="shared" si="95"/>
        <v>0</v>
      </c>
      <c r="CJ228">
        <f t="shared" si="96"/>
        <v>0</v>
      </c>
    </row>
    <row r="229" spans="1:88" outlineLevel="1" x14ac:dyDescent="0.15">
      <c r="A229" s="5"/>
      <c r="B229" s="11" t="s">
        <v>172</v>
      </c>
      <c r="C229" s="12" t="s">
        <v>258</v>
      </c>
      <c r="D229" s="11">
        <v>63864641</v>
      </c>
      <c r="E229" s="13">
        <v>20</v>
      </c>
      <c r="F229" s="12">
        <v>1</v>
      </c>
      <c r="G229" s="12"/>
      <c r="I229" s="27" t="str">
        <f t="shared" si="73"/>
        <v>·</v>
      </c>
      <c r="J229" s="28">
        <f t="shared" si="74"/>
        <v>23.605499387368358</v>
      </c>
      <c r="K229" s="28">
        <f t="shared" si="75"/>
        <v>23.377496539908524</v>
      </c>
      <c r="L229" s="28">
        <f t="shared" si="76"/>
        <v>0.22792042313367111</v>
      </c>
      <c r="M229" s="29"/>
      <c r="N229" s="28">
        <f t="shared" si="77"/>
        <v>23.605499387368358</v>
      </c>
      <c r="O229" s="30">
        <v>63864641</v>
      </c>
      <c r="P229" s="31">
        <v>1507556744</v>
      </c>
      <c r="Q229" s="31">
        <v>1492995424</v>
      </c>
      <c r="R229" s="31">
        <v>14556056</v>
      </c>
      <c r="S229" s="43"/>
      <c r="T229" s="44">
        <v>29.953199999999999</v>
      </c>
      <c r="U229" s="44">
        <v>37.2273</v>
      </c>
      <c r="V229" s="44">
        <v>35.847499999999997</v>
      </c>
      <c r="W229" s="45"/>
      <c r="X229" s="44">
        <v>21.686399999999999</v>
      </c>
      <c r="Y229" s="44">
        <v>21.686399999999999</v>
      </c>
      <c r="Z229" s="44">
        <v>21.686399999999999</v>
      </c>
      <c r="AA229" s="45"/>
      <c r="AB229" s="51">
        <v>232.53100000000001</v>
      </c>
      <c r="AC229" s="51">
        <v>205.01499999999999</v>
      </c>
      <c r="AE229" s="27" t="str">
        <f t="shared" si="78"/>
        <v>·</v>
      </c>
      <c r="AF229" s="28">
        <f t="shared" si="79"/>
        <v>23.612713019086726</v>
      </c>
      <c r="AG229" s="28">
        <f t="shared" si="80"/>
        <v>23.377496539908524</v>
      </c>
      <c r="AH229" s="28">
        <f t="shared" si="81"/>
        <v>0.23513405485204247</v>
      </c>
      <c r="AI229" s="29"/>
      <c r="AJ229" s="28">
        <f t="shared" si="82"/>
        <v>23.612713019086726</v>
      </c>
      <c r="AK229" s="30">
        <v>63864641</v>
      </c>
      <c r="AL229" s="31">
        <v>1508017440</v>
      </c>
      <c r="AM229" s="31">
        <v>1492995424</v>
      </c>
      <c r="AN229" s="31">
        <v>15016752</v>
      </c>
      <c r="AO229" s="43"/>
      <c r="AP229" s="44">
        <v>30.026900000000001</v>
      </c>
      <c r="AQ229" s="44">
        <v>37.265700000000002</v>
      </c>
      <c r="AR229" s="44">
        <v>35.726999999999997</v>
      </c>
      <c r="AS229" s="45"/>
      <c r="AT229" s="44">
        <v>21.686399999999999</v>
      </c>
      <c r="AU229" s="44">
        <v>21.686399999999999</v>
      </c>
      <c r="AV229" s="44">
        <v>21.686399999999999</v>
      </c>
      <c r="AW229" s="45"/>
      <c r="AX229" s="51">
        <v>232.703</v>
      </c>
      <c r="AY229" s="51">
        <v>205.39</v>
      </c>
      <c r="BA229" s="57">
        <f t="shared" si="83"/>
        <v>-3.0254702456689042E-4</v>
      </c>
      <c r="BB229" s="57"/>
      <c r="BD229" s="58"/>
      <c r="BE229" s="58"/>
      <c r="BF229" s="58"/>
      <c r="BG229" s="63"/>
      <c r="BI229" s="58"/>
      <c r="BJ229" s="58"/>
      <c r="BK229" s="58"/>
      <c r="BL229" s="63"/>
      <c r="BN229" s="58"/>
      <c r="BO229" s="58"/>
      <c r="BP229" s="58"/>
      <c r="BQ229" s="63"/>
      <c r="BS229" s="58"/>
      <c r="BT229" s="58"/>
      <c r="BU229" s="58"/>
      <c r="BV229" s="63"/>
      <c r="BX229">
        <f t="shared" si="84"/>
        <v>0</v>
      </c>
      <c r="BY229">
        <f t="shared" si="85"/>
        <v>460696</v>
      </c>
      <c r="BZ229">
        <f t="shared" si="86"/>
        <v>0</v>
      </c>
      <c r="CA229">
        <f t="shared" si="87"/>
        <v>460696</v>
      </c>
      <c r="CB229">
        <f t="shared" si="88"/>
        <v>0</v>
      </c>
      <c r="CC229">
        <f t="shared" si="89"/>
        <v>7.3700000000002319E-2</v>
      </c>
      <c r="CD229">
        <f t="shared" si="90"/>
        <v>3.8400000000002876E-2</v>
      </c>
      <c r="CE229">
        <f t="shared" si="91"/>
        <v>-0.12049999999999983</v>
      </c>
      <c r="CF229">
        <f t="shared" si="92"/>
        <v>0</v>
      </c>
      <c r="CG229">
        <f t="shared" si="93"/>
        <v>0</v>
      </c>
      <c r="CH229">
        <f t="shared" si="94"/>
        <v>0</v>
      </c>
      <c r="CI229">
        <f t="shared" si="95"/>
        <v>0</v>
      </c>
      <c r="CJ229">
        <f t="shared" si="96"/>
        <v>0</v>
      </c>
    </row>
    <row r="230" spans="1:88" x14ac:dyDescent="0.15">
      <c r="A230" s="8"/>
      <c r="B230" s="8" t="s">
        <v>173</v>
      </c>
      <c r="C230" s="9" t="s">
        <v>254</v>
      </c>
      <c r="D230" s="8">
        <v>2000297</v>
      </c>
      <c r="E230" s="10">
        <v>20</v>
      </c>
      <c r="F230" s="9">
        <v>1</v>
      </c>
      <c r="G230" s="9"/>
      <c r="I230" s="22" t="str">
        <f t="shared" si="73"/>
        <v>·</v>
      </c>
      <c r="J230" s="23">
        <f t="shared" si="74"/>
        <v>35.383989477562579</v>
      </c>
      <c r="K230" s="23">
        <f t="shared" si="75"/>
        <v>30.838964413784552</v>
      </c>
      <c r="L230" s="23">
        <f t="shared" si="76"/>
        <v>4.5447131101031495</v>
      </c>
      <c r="M230" s="24"/>
      <c r="N230" s="23">
        <f t="shared" si="77"/>
        <v>35.383989477562579</v>
      </c>
      <c r="O230" s="25">
        <v>2000297</v>
      </c>
      <c r="P230" s="26">
        <v>70778488</v>
      </c>
      <c r="Q230" s="26">
        <v>61687088</v>
      </c>
      <c r="R230" s="26">
        <v>9090776</v>
      </c>
      <c r="S230" s="40"/>
      <c r="T230" s="41">
        <v>53.4283</v>
      </c>
      <c r="U230" s="41">
        <v>56.1252</v>
      </c>
      <c r="V230" s="41">
        <v>55.189799999999998</v>
      </c>
      <c r="W230" s="42"/>
      <c r="X230" s="41">
        <v>48.130800000000001</v>
      </c>
      <c r="Y230" s="41">
        <v>48.130800000000001</v>
      </c>
      <c r="Z230" s="41">
        <v>48.130800000000001</v>
      </c>
      <c r="AA230" s="42"/>
      <c r="AB230" s="50">
        <v>7.984</v>
      </c>
      <c r="AC230" s="50">
        <v>6.875</v>
      </c>
      <c r="AE230" s="22" t="str">
        <f t="shared" si="78"/>
        <v>·</v>
      </c>
      <c r="AF230" s="23">
        <f t="shared" si="79"/>
        <v>35.506663260505817</v>
      </c>
      <c r="AG230" s="23">
        <f t="shared" si="80"/>
        <v>30.838964413784552</v>
      </c>
      <c r="AH230" s="23">
        <f t="shared" si="81"/>
        <v>4.6673868930463822</v>
      </c>
      <c r="AI230" s="24"/>
      <c r="AJ230" s="23">
        <f t="shared" si="82"/>
        <v>35.506663260505817</v>
      </c>
      <c r="AK230" s="25">
        <v>2000297</v>
      </c>
      <c r="AL230" s="26">
        <v>71023872</v>
      </c>
      <c r="AM230" s="26">
        <v>61687088</v>
      </c>
      <c r="AN230" s="26">
        <v>9336160</v>
      </c>
      <c r="AO230" s="40"/>
      <c r="AP230" s="41">
        <v>53.3521</v>
      </c>
      <c r="AQ230" s="41">
        <v>56.021999999999998</v>
      </c>
      <c r="AR230" s="41">
        <v>55.086500000000001</v>
      </c>
      <c r="AS230" s="42"/>
      <c r="AT230" s="41">
        <v>48.130800000000001</v>
      </c>
      <c r="AU230" s="41">
        <v>48.130800000000001</v>
      </c>
      <c r="AV230" s="41">
        <v>48.130800000000001</v>
      </c>
      <c r="AW230" s="42"/>
      <c r="AX230" s="50">
        <v>7.9370000000000003</v>
      </c>
      <c r="AY230" s="50">
        <v>6.875</v>
      </c>
      <c r="BA230" s="55">
        <f t="shared" si="83"/>
        <v>-3.0111672979739046E-3</v>
      </c>
      <c r="BB230" s="55">
        <f t="array" ref="BB230">AVERAGE(AM230:AM234/AL230:AL234)-AVERAGE(Q230:Q234/P230:P234)</f>
        <v>-3.4877609742112181E-3</v>
      </c>
      <c r="BD230" s="56">
        <f>IF(OR(ISBLANK(R230:R234),ISBLANK(AN230:AN234),ISBLANK(T230:T234),ISBLANK(AP230:AP234)),"·",bdRateExtend(R230:R234,T230:T234,AN230:AN234,AP230:AP234))</f>
        <v>6.8134631426534309E-2</v>
      </c>
      <c r="BE230" s="56">
        <f>IF(OR(ISBLANK(R230:R234),ISBLANK(AN230:AN234),ISBLANK(U230:U234),ISBLANK(AQ230:AQ234)),"·",bdRateExtend(R230:R234,U230:U234,AN230:AN234,AQ230:AQ234))</f>
        <v>6.8803021483708315E-2</v>
      </c>
      <c r="BF230" s="56">
        <f>IF(OR(ISBLANK(R230:R234),ISBLANK(AN230:AN234),ISBLANK(V230:V234),ISBLANK(AR230:AR234)),"·",bdRateExtend(R230:R234,V230:V234,AN230:AN234,AR230:AR234))</f>
        <v>6.9311154809750475E-2</v>
      </c>
      <c r="BG230" s="62"/>
      <c r="BI230" s="56">
        <f>IF(OR(ISBLANK(R230:R234),ISBLANK(AN230:AN234),ISBLANK(X230:X234),ISBLANK(AT230:AT234)),"·",bdRateExtend(R230:R234,X230:X234,AN230:AN234,AT230:AT234))</f>
        <v>6.9350698817457701E-2</v>
      </c>
      <c r="BJ230" s="56">
        <f>IF(OR(ISBLANK(R230:R234),ISBLANK(AN230:AN234),ISBLANK(Y230:Y234),ISBLANK(AU230:AU234)),"·",bdRateExtend(R230:R234,Y230:Y234,AN230:AN234,AU230:AU234))</f>
        <v>6.9350698817457701E-2</v>
      </c>
      <c r="BK230" s="56">
        <f>IF(OR(ISBLANK(R230:R234),ISBLANK(AN230:AN234),ISBLANK(Z230:Z234),ISBLANK(AV230:AV234)),"·",bdRateExtend(R230:R234,Z230:Z234,AN230:AN234,AV230:AV234))</f>
        <v>6.9350698817457701E-2</v>
      </c>
      <c r="BL230" s="62"/>
      <c r="BN230" s="56">
        <f>IF(OR(ISBLANK(P230:P234),ISBLANK(AL230:AL234),ISBLANK(T230:T234),ISBLANK(AP230:AP234)),"·",bdRateExtend(P230:P234,T230:T234,AL230:AL234,AP230:AP234))</f>
        <v>3.8144534393902418E-3</v>
      </c>
      <c r="BO230" s="56">
        <f>IF(OR(ISBLANK(P230:P234),ISBLANK(AL230:AL234),ISBLANK(U230:U234),ISBLANK(AQ230:AQ234)),"·",bdRateExtend(P230:P234,U230:U234,AL230:AL234,AQ230:AQ234))</f>
        <v>4.2106428040356025E-3</v>
      </c>
      <c r="BP230" s="56">
        <f>IF(OR(ISBLANK(P230:P234),ISBLANK(AL230:AL234),ISBLANK(V230:V234),ISBLANK(AR230:AR234)),"·",bdRateExtend(P230:P234,V230:V234,AL230:AL234,AR230:AR234))</f>
        <v>3.6129650275626979E-3</v>
      </c>
      <c r="BQ230" s="62"/>
      <c r="BS230" s="56">
        <f>IF(OR(ISBLANK(P230:P234),ISBLANK(AL230:AL234),ISBLANK(X230:X234),ISBLANK(AT230:AT234)),"·",bdRateExtend(P230:P234,X230:X234,AL230:AL234,AT230:AT234))</f>
        <v>3.9093717515827908E-3</v>
      </c>
      <c r="BT230" s="56">
        <f>IF(OR(ISBLANK(P230:P234),ISBLANK(AL230:AL234),ISBLANK(Y230:Y234),ISBLANK(AU230:AU234)),"·",bdRateExtend(P230:P234,Y230:Y234,AL230:AL234,AU230:AU234))</f>
        <v>3.9093717515827908E-3</v>
      </c>
      <c r="BU230" s="56">
        <f>IF(OR(ISBLANK(P230:P234),ISBLANK(AL230:AL234),ISBLANK(Z230:Z234),ISBLANK(AV230:AV234)),"·",bdRateExtend(P230:P234,Z230:Z234,AL230:AL234,AV230:AV234))</f>
        <v>3.9093717515827908E-3</v>
      </c>
      <c r="BV230" s="62"/>
      <c r="BX230">
        <f t="shared" si="84"/>
        <v>0</v>
      </c>
      <c r="BY230">
        <f t="shared" si="85"/>
        <v>245384</v>
      </c>
      <c r="BZ230">
        <f t="shared" si="86"/>
        <v>0</v>
      </c>
      <c r="CA230">
        <f t="shared" si="87"/>
        <v>245384</v>
      </c>
      <c r="CB230">
        <f t="shared" si="88"/>
        <v>0</v>
      </c>
      <c r="CC230">
        <f t="shared" si="89"/>
        <v>-7.6200000000000045E-2</v>
      </c>
      <c r="CD230">
        <f t="shared" si="90"/>
        <v>-0.10320000000000107</v>
      </c>
      <c r="CE230">
        <f t="shared" si="91"/>
        <v>-0.10329999999999728</v>
      </c>
      <c r="CF230">
        <f t="shared" si="92"/>
        <v>0</v>
      </c>
      <c r="CG230">
        <f t="shared" si="93"/>
        <v>0</v>
      </c>
      <c r="CH230">
        <f t="shared" si="94"/>
        <v>0</v>
      </c>
      <c r="CI230">
        <f t="shared" si="95"/>
        <v>0</v>
      </c>
      <c r="CJ230">
        <f t="shared" si="96"/>
        <v>0</v>
      </c>
    </row>
    <row r="231" spans="1:88" outlineLevel="1" x14ac:dyDescent="0.15">
      <c r="A231" s="5"/>
      <c r="B231" s="5" t="s">
        <v>173</v>
      </c>
      <c r="C231" s="6" t="s">
        <v>255</v>
      </c>
      <c r="D231" s="5">
        <v>2000297</v>
      </c>
      <c r="E231" s="7">
        <v>20</v>
      </c>
      <c r="F231" s="6">
        <v>1</v>
      </c>
      <c r="G231" s="6"/>
      <c r="I231" s="17" t="str">
        <f t="shared" si="73"/>
        <v>·</v>
      </c>
      <c r="J231" s="18">
        <f t="shared" si="74"/>
        <v>34.231424633441932</v>
      </c>
      <c r="K231" s="18">
        <f t="shared" si="75"/>
        <v>30.838964413784552</v>
      </c>
      <c r="L231" s="18">
        <f t="shared" si="76"/>
        <v>3.3921482659825015</v>
      </c>
      <c r="M231" s="19"/>
      <c r="N231" s="18">
        <f t="shared" si="77"/>
        <v>34.231424633441932</v>
      </c>
      <c r="O231" s="20">
        <v>2000297</v>
      </c>
      <c r="P231" s="21">
        <v>68473016</v>
      </c>
      <c r="Q231" s="21">
        <v>61687088</v>
      </c>
      <c r="R231" s="21">
        <v>6785304</v>
      </c>
      <c r="S231" s="37"/>
      <c r="T231" s="38">
        <v>49.141199999999998</v>
      </c>
      <c r="U231" s="38">
        <v>51.9818</v>
      </c>
      <c r="V231" s="38">
        <v>51.459400000000002</v>
      </c>
      <c r="W231" s="39"/>
      <c r="X231" s="38">
        <v>42.110199999999999</v>
      </c>
      <c r="Y231" s="38">
        <v>42.110199999999999</v>
      </c>
      <c r="Z231" s="38">
        <v>42.110199999999999</v>
      </c>
      <c r="AA231" s="39"/>
      <c r="AB231" s="49">
        <v>7.843</v>
      </c>
      <c r="AC231" s="49">
        <v>6.843</v>
      </c>
      <c r="AE231" s="17" t="str">
        <f t="shared" si="78"/>
        <v>·</v>
      </c>
      <c r="AF231" s="18">
        <f t="shared" si="79"/>
        <v>34.365836673254023</v>
      </c>
      <c r="AG231" s="18">
        <f t="shared" si="80"/>
        <v>30.838964413784552</v>
      </c>
      <c r="AH231" s="18">
        <f t="shared" si="81"/>
        <v>3.5265603057945896</v>
      </c>
      <c r="AI231" s="19"/>
      <c r="AJ231" s="18">
        <f t="shared" si="82"/>
        <v>34.365836673254023</v>
      </c>
      <c r="AK231" s="20">
        <v>2000297</v>
      </c>
      <c r="AL231" s="21">
        <v>68741880</v>
      </c>
      <c r="AM231" s="21">
        <v>61687088</v>
      </c>
      <c r="AN231" s="21">
        <v>7054168</v>
      </c>
      <c r="AO231" s="37"/>
      <c r="AP231" s="38">
        <v>49.1738</v>
      </c>
      <c r="AQ231" s="38">
        <v>51.948399999999999</v>
      </c>
      <c r="AR231" s="38">
        <v>51.4741</v>
      </c>
      <c r="AS231" s="39"/>
      <c r="AT231" s="38">
        <v>42.110199999999999</v>
      </c>
      <c r="AU231" s="38">
        <v>42.110199999999999</v>
      </c>
      <c r="AV231" s="38">
        <v>42.110199999999999</v>
      </c>
      <c r="AW231" s="39"/>
      <c r="AX231" s="49">
        <v>7.7649999999999997</v>
      </c>
      <c r="AY231" s="49">
        <v>6.859</v>
      </c>
      <c r="BA231" s="53">
        <f t="shared" si="83"/>
        <v>-3.5235956254832113E-3</v>
      </c>
      <c r="BB231" s="53"/>
      <c r="BD231" s="54"/>
      <c r="BE231" s="54"/>
      <c r="BF231" s="54"/>
      <c r="BG231" s="61"/>
      <c r="BI231" s="54"/>
      <c r="BJ231" s="54"/>
      <c r="BK231" s="54"/>
      <c r="BL231" s="61"/>
      <c r="BN231" s="54"/>
      <c r="BO231" s="54"/>
      <c r="BP231" s="54"/>
      <c r="BQ231" s="61"/>
      <c r="BS231" s="54"/>
      <c r="BT231" s="54"/>
      <c r="BU231" s="54"/>
      <c r="BV231" s="61"/>
      <c r="BX231">
        <f t="shared" si="84"/>
        <v>0</v>
      </c>
      <c r="BY231">
        <f t="shared" si="85"/>
        <v>268864</v>
      </c>
      <c r="BZ231">
        <f t="shared" si="86"/>
        <v>0</v>
      </c>
      <c r="CA231">
        <f t="shared" si="87"/>
        <v>268864</v>
      </c>
      <c r="CB231">
        <f t="shared" si="88"/>
        <v>0</v>
      </c>
      <c r="CC231">
        <f t="shared" si="89"/>
        <v>3.2600000000002183E-2</v>
      </c>
      <c r="CD231">
        <f t="shared" si="90"/>
        <v>-3.3400000000000318E-2</v>
      </c>
      <c r="CE231">
        <f t="shared" si="91"/>
        <v>1.4699999999997715E-2</v>
      </c>
      <c r="CF231">
        <f t="shared" si="92"/>
        <v>0</v>
      </c>
      <c r="CG231">
        <f t="shared" si="93"/>
        <v>0</v>
      </c>
      <c r="CH231">
        <f t="shared" si="94"/>
        <v>0</v>
      </c>
      <c r="CI231">
        <f t="shared" si="95"/>
        <v>0</v>
      </c>
      <c r="CJ231">
        <f t="shared" si="96"/>
        <v>0</v>
      </c>
    </row>
    <row r="232" spans="1:88" outlineLevel="1" x14ac:dyDescent="0.15">
      <c r="A232" s="8"/>
      <c r="B232" s="8" t="s">
        <v>173</v>
      </c>
      <c r="C232" s="9" t="s">
        <v>256</v>
      </c>
      <c r="D232" s="8">
        <v>2000297</v>
      </c>
      <c r="E232" s="10">
        <v>20</v>
      </c>
      <c r="F232" s="9">
        <v>1</v>
      </c>
      <c r="G232" s="9"/>
      <c r="I232" s="22" t="str">
        <f t="shared" si="73"/>
        <v>·</v>
      </c>
      <c r="J232" s="23">
        <f t="shared" si="74"/>
        <v>32.98279005567673</v>
      </c>
      <c r="K232" s="23">
        <f t="shared" si="75"/>
        <v>30.838964413784552</v>
      </c>
      <c r="L232" s="23">
        <f t="shared" si="76"/>
        <v>2.1435136882172996</v>
      </c>
      <c r="M232" s="24"/>
      <c r="N232" s="23">
        <f t="shared" si="77"/>
        <v>32.98279005567673</v>
      </c>
      <c r="O232" s="25">
        <v>2000297</v>
      </c>
      <c r="P232" s="26">
        <v>65975376</v>
      </c>
      <c r="Q232" s="26">
        <v>61687088</v>
      </c>
      <c r="R232" s="26">
        <v>4287664</v>
      </c>
      <c r="S232" s="40"/>
      <c r="T232" s="41">
        <v>41.852200000000003</v>
      </c>
      <c r="U232" s="41">
        <v>45.889099999999999</v>
      </c>
      <c r="V232" s="41">
        <v>45.012599999999999</v>
      </c>
      <c r="W232" s="42"/>
      <c r="X232" s="41">
        <v>34.151400000000002</v>
      </c>
      <c r="Y232" s="41">
        <v>34.151400000000002</v>
      </c>
      <c r="Z232" s="41">
        <v>34.151400000000002</v>
      </c>
      <c r="AA232" s="42"/>
      <c r="AB232" s="50">
        <v>7.7960000000000003</v>
      </c>
      <c r="AC232" s="50">
        <v>6.843</v>
      </c>
      <c r="AE232" s="22" t="str">
        <f t="shared" si="78"/>
        <v>·</v>
      </c>
      <c r="AF232" s="23">
        <f t="shared" si="79"/>
        <v>33.116042267723245</v>
      </c>
      <c r="AG232" s="23">
        <f t="shared" si="80"/>
        <v>30.838964413784552</v>
      </c>
      <c r="AH232" s="23">
        <f t="shared" si="81"/>
        <v>2.2767659002638108</v>
      </c>
      <c r="AI232" s="24"/>
      <c r="AJ232" s="23">
        <f t="shared" si="82"/>
        <v>33.116042267723245</v>
      </c>
      <c r="AK232" s="25">
        <v>2000297</v>
      </c>
      <c r="AL232" s="26">
        <v>66241920</v>
      </c>
      <c r="AM232" s="26">
        <v>61687088</v>
      </c>
      <c r="AN232" s="26">
        <v>4554208</v>
      </c>
      <c r="AO232" s="40"/>
      <c r="AP232" s="41">
        <v>41.881</v>
      </c>
      <c r="AQ232" s="41">
        <v>45.722799999999999</v>
      </c>
      <c r="AR232" s="41">
        <v>45.221899999999998</v>
      </c>
      <c r="AS232" s="42"/>
      <c r="AT232" s="41">
        <v>34.151400000000002</v>
      </c>
      <c r="AU232" s="41">
        <v>34.151400000000002</v>
      </c>
      <c r="AV232" s="41">
        <v>34.151400000000002</v>
      </c>
      <c r="AW232" s="42"/>
      <c r="AX232" s="50">
        <v>7.8120000000000003</v>
      </c>
      <c r="AY232" s="50">
        <v>6.7960000000000003</v>
      </c>
      <c r="BA232" s="55">
        <f t="shared" si="83"/>
        <v>-3.7622564415928927E-3</v>
      </c>
      <c r="BB232" s="55"/>
      <c r="BD232" s="56"/>
      <c r="BE232" s="56"/>
      <c r="BF232" s="56"/>
      <c r="BG232" s="62"/>
      <c r="BI232" s="56"/>
      <c r="BJ232" s="56"/>
      <c r="BK232" s="56"/>
      <c r="BL232" s="62"/>
      <c r="BN232" s="56"/>
      <c r="BO232" s="56"/>
      <c r="BP232" s="56"/>
      <c r="BQ232" s="62"/>
      <c r="BS232" s="56"/>
      <c r="BT232" s="56"/>
      <c r="BU232" s="56"/>
      <c r="BV232" s="62"/>
      <c r="BX232">
        <f t="shared" si="84"/>
        <v>0</v>
      </c>
      <c r="BY232">
        <f t="shared" si="85"/>
        <v>266544</v>
      </c>
      <c r="BZ232">
        <f t="shared" si="86"/>
        <v>0</v>
      </c>
      <c r="CA232">
        <f t="shared" si="87"/>
        <v>266544</v>
      </c>
      <c r="CB232">
        <f t="shared" si="88"/>
        <v>0</v>
      </c>
      <c r="CC232">
        <f t="shared" si="89"/>
        <v>2.8799999999996828E-2</v>
      </c>
      <c r="CD232">
        <f t="shared" si="90"/>
        <v>-0.16629999999999967</v>
      </c>
      <c r="CE232">
        <f t="shared" si="91"/>
        <v>0.20929999999999893</v>
      </c>
      <c r="CF232">
        <f t="shared" si="92"/>
        <v>0</v>
      </c>
      <c r="CG232">
        <f t="shared" si="93"/>
        <v>0</v>
      </c>
      <c r="CH232">
        <f t="shared" si="94"/>
        <v>0</v>
      </c>
      <c r="CI232">
        <f t="shared" si="95"/>
        <v>0</v>
      </c>
      <c r="CJ232">
        <f t="shared" si="96"/>
        <v>0</v>
      </c>
    </row>
    <row r="233" spans="1:88" outlineLevel="1" x14ac:dyDescent="0.15">
      <c r="A233" s="5"/>
      <c r="B233" s="5" t="s">
        <v>173</v>
      </c>
      <c r="C233" s="6" t="s">
        <v>257</v>
      </c>
      <c r="D233" s="5">
        <v>2000297</v>
      </c>
      <c r="E233" s="7">
        <v>20</v>
      </c>
      <c r="F233" s="6">
        <v>1</v>
      </c>
      <c r="G233" s="6"/>
      <c r="I233" s="17" t="str">
        <f t="shared" si="73"/>
        <v>·</v>
      </c>
      <c r="J233" s="18">
        <f t="shared" si="74"/>
        <v>32.181169096389183</v>
      </c>
      <c r="K233" s="18">
        <f t="shared" si="75"/>
        <v>30.838964413784552</v>
      </c>
      <c r="L233" s="18">
        <f t="shared" si="76"/>
        <v>1.341892728929754</v>
      </c>
      <c r="M233" s="19"/>
      <c r="N233" s="18">
        <f t="shared" si="77"/>
        <v>32.181169096389183</v>
      </c>
      <c r="O233" s="20">
        <v>2000297</v>
      </c>
      <c r="P233" s="21">
        <v>64371896</v>
      </c>
      <c r="Q233" s="21">
        <v>61687088</v>
      </c>
      <c r="R233" s="21">
        <v>2684184</v>
      </c>
      <c r="S233" s="37"/>
      <c r="T233" s="38">
        <v>36.487499999999997</v>
      </c>
      <c r="U233" s="38">
        <v>40.971299999999999</v>
      </c>
      <c r="V233" s="38">
        <v>40.163400000000003</v>
      </c>
      <c r="W233" s="39"/>
      <c r="X233" s="38">
        <v>28.130800000000001</v>
      </c>
      <c r="Y233" s="38">
        <v>28.130800000000001</v>
      </c>
      <c r="Z233" s="38">
        <v>28.130800000000001</v>
      </c>
      <c r="AA233" s="39"/>
      <c r="AB233" s="49">
        <v>7.843</v>
      </c>
      <c r="AC233" s="49">
        <v>6.843</v>
      </c>
      <c r="AE233" s="17" t="str">
        <f t="shared" si="78"/>
        <v>·</v>
      </c>
      <c r="AF233" s="18">
        <f t="shared" si="79"/>
        <v>32.313249482451859</v>
      </c>
      <c r="AG233" s="18">
        <f t="shared" si="80"/>
        <v>30.838964413784552</v>
      </c>
      <c r="AH233" s="18">
        <f t="shared" si="81"/>
        <v>1.4739731149924236</v>
      </c>
      <c r="AI233" s="19"/>
      <c r="AJ233" s="18">
        <f t="shared" si="82"/>
        <v>32.313249482451859</v>
      </c>
      <c r="AK233" s="20">
        <v>2000297</v>
      </c>
      <c r="AL233" s="21">
        <v>64636096</v>
      </c>
      <c r="AM233" s="21">
        <v>61687088</v>
      </c>
      <c r="AN233" s="21">
        <v>2948384</v>
      </c>
      <c r="AO233" s="37"/>
      <c r="AP233" s="38">
        <v>36.432600000000001</v>
      </c>
      <c r="AQ233" s="38">
        <v>40.878399999999999</v>
      </c>
      <c r="AR233" s="38">
        <v>40.203800000000001</v>
      </c>
      <c r="AS233" s="39"/>
      <c r="AT233" s="38">
        <v>28.130800000000001</v>
      </c>
      <c r="AU233" s="38">
        <v>28.130800000000001</v>
      </c>
      <c r="AV233" s="38">
        <v>28.130800000000001</v>
      </c>
      <c r="AW233" s="39"/>
      <c r="AX233" s="49">
        <v>7.8120000000000003</v>
      </c>
      <c r="AY233" s="49">
        <v>6.7960000000000003</v>
      </c>
      <c r="BA233" s="53">
        <f t="shared" si="83"/>
        <v>-3.9170188762885916E-3</v>
      </c>
      <c r="BB233" s="53"/>
      <c r="BD233" s="54"/>
      <c r="BE233" s="54"/>
      <c r="BF233" s="54"/>
      <c r="BG233" s="61"/>
      <c r="BI233" s="54"/>
      <c r="BJ233" s="54"/>
      <c r="BK233" s="54"/>
      <c r="BL233" s="61"/>
      <c r="BN233" s="54"/>
      <c r="BO233" s="54"/>
      <c r="BP233" s="54"/>
      <c r="BQ233" s="61"/>
      <c r="BS233" s="54"/>
      <c r="BT233" s="54"/>
      <c r="BU233" s="54"/>
      <c r="BV233" s="61"/>
      <c r="BX233">
        <f t="shared" si="84"/>
        <v>0</v>
      </c>
      <c r="BY233">
        <f t="shared" si="85"/>
        <v>264200</v>
      </c>
      <c r="BZ233">
        <f t="shared" si="86"/>
        <v>0</v>
      </c>
      <c r="CA233">
        <f t="shared" si="87"/>
        <v>264200</v>
      </c>
      <c r="CB233">
        <f t="shared" si="88"/>
        <v>0</v>
      </c>
      <c r="CC233">
        <f t="shared" si="89"/>
        <v>-5.4899999999996396E-2</v>
      </c>
      <c r="CD233">
        <f t="shared" si="90"/>
        <v>-9.2900000000000205E-2</v>
      </c>
      <c r="CE233">
        <f t="shared" si="91"/>
        <v>4.0399999999998215E-2</v>
      </c>
      <c r="CF233">
        <f t="shared" si="92"/>
        <v>0</v>
      </c>
      <c r="CG233">
        <f t="shared" si="93"/>
        <v>0</v>
      </c>
      <c r="CH233">
        <f t="shared" si="94"/>
        <v>0</v>
      </c>
      <c r="CI233">
        <f t="shared" si="95"/>
        <v>0</v>
      </c>
      <c r="CJ233">
        <f t="shared" si="96"/>
        <v>0</v>
      </c>
    </row>
    <row r="234" spans="1:88" outlineLevel="1" x14ac:dyDescent="0.15">
      <c r="A234" s="14"/>
      <c r="B234" s="14" t="s">
        <v>173</v>
      </c>
      <c r="C234" s="15" t="s">
        <v>258</v>
      </c>
      <c r="D234" s="14">
        <v>2000297</v>
      </c>
      <c r="E234" s="16">
        <v>20</v>
      </c>
      <c r="F234" s="15">
        <v>1</v>
      </c>
      <c r="G234" s="15"/>
      <c r="I234" s="32" t="str">
        <f t="shared" si="73"/>
        <v>·</v>
      </c>
      <c r="J234" s="33">
        <f t="shared" si="74"/>
        <v>31.56519256890352</v>
      </c>
      <c r="K234" s="33">
        <f t="shared" si="75"/>
        <v>30.838964413784552</v>
      </c>
      <c r="L234" s="33">
        <f t="shared" si="76"/>
        <v>0.72591620144408553</v>
      </c>
      <c r="M234" s="34"/>
      <c r="N234" s="33">
        <f t="shared" si="77"/>
        <v>31.56519256890352</v>
      </c>
      <c r="O234" s="35">
        <v>2000297</v>
      </c>
      <c r="P234" s="36">
        <v>63139760</v>
      </c>
      <c r="Q234" s="36">
        <v>61687088</v>
      </c>
      <c r="R234" s="36">
        <v>1452048</v>
      </c>
      <c r="S234" s="46"/>
      <c r="T234" s="47">
        <v>29.602799999999998</v>
      </c>
      <c r="U234" s="47">
        <v>35.340200000000003</v>
      </c>
      <c r="V234" s="47">
        <v>33.9133</v>
      </c>
      <c r="W234" s="48"/>
      <c r="X234" s="47">
        <v>21.686399999999999</v>
      </c>
      <c r="Y234" s="47">
        <v>21.686399999999999</v>
      </c>
      <c r="Z234" s="47">
        <v>21.686399999999999</v>
      </c>
      <c r="AA234" s="48"/>
      <c r="AB234" s="52">
        <v>7.75</v>
      </c>
      <c r="AC234" s="52">
        <v>6.7649999999999997</v>
      </c>
      <c r="AE234" s="32" t="str">
        <f t="shared" si="78"/>
        <v>·</v>
      </c>
      <c r="AF234" s="33">
        <f t="shared" si="79"/>
        <v>31.669725045830695</v>
      </c>
      <c r="AG234" s="33">
        <f t="shared" si="80"/>
        <v>30.838964413784552</v>
      </c>
      <c r="AH234" s="33">
        <f t="shared" si="81"/>
        <v>0.83044867837126191</v>
      </c>
      <c r="AI234" s="34"/>
      <c r="AJ234" s="33">
        <f t="shared" si="82"/>
        <v>31.669725045830695</v>
      </c>
      <c r="AK234" s="35">
        <v>2000297</v>
      </c>
      <c r="AL234" s="36">
        <v>63348856</v>
      </c>
      <c r="AM234" s="36">
        <v>61687088</v>
      </c>
      <c r="AN234" s="36">
        <v>1661144</v>
      </c>
      <c r="AO234" s="46"/>
      <c r="AP234" s="47">
        <v>30.113900000000001</v>
      </c>
      <c r="AQ234" s="47">
        <v>36.168900000000001</v>
      </c>
      <c r="AR234" s="47">
        <v>33.892899999999997</v>
      </c>
      <c r="AS234" s="48"/>
      <c r="AT234" s="47">
        <v>21.686399999999999</v>
      </c>
      <c r="AU234" s="47">
        <v>21.686399999999999</v>
      </c>
      <c r="AV234" s="47">
        <v>21.686399999999999</v>
      </c>
      <c r="AW234" s="48"/>
      <c r="AX234" s="52">
        <v>7.9210000000000003</v>
      </c>
      <c r="AY234" s="52">
        <v>6.875</v>
      </c>
      <c r="BA234" s="59">
        <f t="shared" si="83"/>
        <v>-3.2247666297176014E-3</v>
      </c>
      <c r="BB234" s="59"/>
      <c r="BD234" s="60"/>
      <c r="BE234" s="60"/>
      <c r="BF234" s="60"/>
      <c r="BG234" s="64"/>
      <c r="BI234" s="60"/>
      <c r="BJ234" s="60"/>
      <c r="BK234" s="60"/>
      <c r="BL234" s="64"/>
      <c r="BN234" s="60"/>
      <c r="BO234" s="60"/>
      <c r="BP234" s="60"/>
      <c r="BQ234" s="64"/>
      <c r="BS234" s="60"/>
      <c r="BT234" s="60"/>
      <c r="BU234" s="60"/>
      <c r="BV234" s="64"/>
      <c r="BX234">
        <f t="shared" si="84"/>
        <v>0</v>
      </c>
      <c r="BY234">
        <f t="shared" si="85"/>
        <v>209096</v>
      </c>
      <c r="BZ234">
        <f t="shared" si="86"/>
        <v>0</v>
      </c>
      <c r="CA234">
        <f t="shared" si="87"/>
        <v>209096</v>
      </c>
      <c r="CB234">
        <f t="shared" si="88"/>
        <v>0</v>
      </c>
      <c r="CC234">
        <f t="shared" si="89"/>
        <v>0.51110000000000255</v>
      </c>
      <c r="CD234">
        <f t="shared" si="90"/>
        <v>0.82869999999999777</v>
      </c>
      <c r="CE234">
        <f t="shared" si="91"/>
        <v>-2.0400000000002194E-2</v>
      </c>
      <c r="CF234">
        <f t="shared" si="92"/>
        <v>0</v>
      </c>
      <c r="CG234">
        <f t="shared" si="93"/>
        <v>0</v>
      </c>
      <c r="CH234">
        <f t="shared" si="94"/>
        <v>0</v>
      </c>
      <c r="CI234">
        <f t="shared" si="95"/>
        <v>0</v>
      </c>
      <c r="CJ234">
        <f t="shared" si="96"/>
        <v>0</v>
      </c>
    </row>
    <row r="235" spans="1:88" x14ac:dyDescent="0.15">
      <c r="A235" s="5" t="s">
        <v>261</v>
      </c>
      <c r="B235" s="5" t="s">
        <v>174</v>
      </c>
      <c r="C235" s="6" t="s">
        <v>254</v>
      </c>
      <c r="D235" s="5">
        <v>19948121</v>
      </c>
      <c r="E235" s="7">
        <v>21</v>
      </c>
      <c r="F235" s="6">
        <v>1</v>
      </c>
      <c r="G235" s="6"/>
      <c r="I235" s="17" t="str">
        <f t="shared" si="73"/>
        <v>·</v>
      </c>
      <c r="J235" s="18">
        <f t="shared" si="74"/>
        <v>31.763001638099148</v>
      </c>
      <c r="K235" s="18">
        <f t="shared" si="75"/>
        <v>17.528235366127969</v>
      </c>
      <c r="L235" s="18">
        <f t="shared" si="76"/>
        <v>10.582027650624337</v>
      </c>
      <c r="M235" s="18">
        <f t="shared" ref="M235:M266" si="97">IF(ISBLANK(Q235),"·",S235/D235)</f>
        <v>3.6525413095298549</v>
      </c>
      <c r="N235" s="18">
        <f t="shared" si="77"/>
        <v>31.763001638099148</v>
      </c>
      <c r="O235" s="20">
        <v>19948121</v>
      </c>
      <c r="P235" s="21">
        <v>633612200</v>
      </c>
      <c r="Q235" s="21">
        <v>349655360</v>
      </c>
      <c r="R235" s="21">
        <v>211091568</v>
      </c>
      <c r="S235" s="21">
        <v>72861336</v>
      </c>
      <c r="T235" s="38">
        <v>53.491199999999999</v>
      </c>
      <c r="U235" s="38">
        <v>55.0411</v>
      </c>
      <c r="V235" s="38">
        <v>54.828600000000002</v>
      </c>
      <c r="W235" s="38"/>
      <c r="X235" s="38">
        <v>48.130800000000001</v>
      </c>
      <c r="Y235" s="38">
        <v>48.130800000000001</v>
      </c>
      <c r="Z235" s="38">
        <v>48.130800000000001</v>
      </c>
      <c r="AA235" s="38"/>
      <c r="AB235" s="49">
        <v>58.453000000000003</v>
      </c>
      <c r="AC235" s="49">
        <v>47.14</v>
      </c>
      <c r="AE235" s="17" t="str">
        <f t="shared" si="78"/>
        <v>·</v>
      </c>
      <c r="AF235" s="18">
        <f t="shared" si="79"/>
        <v>31.876679713342426</v>
      </c>
      <c r="AG235" s="18">
        <f t="shared" si="80"/>
        <v>17.528235366127969</v>
      </c>
      <c r="AH235" s="18">
        <f t="shared" si="81"/>
        <v>10.675387421201226</v>
      </c>
      <c r="AI235" s="18">
        <f t="shared" ref="AI235:AI266" si="98">IF(ISBLANK(AM235),"·",AO235/D235)</f>
        <v>3.6728596141962444</v>
      </c>
      <c r="AJ235" s="18">
        <f t="shared" si="82"/>
        <v>31.876679713342426</v>
      </c>
      <c r="AK235" s="20">
        <v>19948121</v>
      </c>
      <c r="AL235" s="21">
        <v>635879864</v>
      </c>
      <c r="AM235" s="21">
        <v>349655360</v>
      </c>
      <c r="AN235" s="21">
        <v>212953920</v>
      </c>
      <c r="AO235" s="21">
        <v>73266648</v>
      </c>
      <c r="AP235" s="38">
        <v>53.499499999999998</v>
      </c>
      <c r="AQ235" s="38">
        <v>55.048000000000002</v>
      </c>
      <c r="AR235" s="38">
        <v>54.847700000000003</v>
      </c>
      <c r="AS235" s="38"/>
      <c r="AT235" s="38">
        <v>48.130800000000001</v>
      </c>
      <c r="AU235" s="38">
        <v>48.130800000000001</v>
      </c>
      <c r="AV235" s="38">
        <v>48.130800000000001</v>
      </c>
      <c r="AW235" s="38"/>
      <c r="AX235" s="49">
        <v>58.75</v>
      </c>
      <c r="AY235" s="49">
        <v>47.125</v>
      </c>
      <c r="BA235" s="53">
        <f t="shared" si="83"/>
        <v>-1.9679782398674961E-3</v>
      </c>
      <c r="BB235" s="53">
        <f t="array" ref="BB235">AVERAGE(AM235:AM239/AL235:AL239)-AVERAGE(Q235:Q239/P235:P239)</f>
        <v>-3.5513657319462544E-3</v>
      </c>
      <c r="BD235" s="54">
        <f>IF(OR(ISBLANK(R235:R239),ISBLANK(AN235:AN239),ISBLANK(T235:T239),ISBLANK(AP235:AP239)),"·",bdRateExtend(R235:R239,T235:T239,AN235:AN239,AP235:AP239))</f>
        <v>1.8937397513792975E-2</v>
      </c>
      <c r="BE235" s="54">
        <f>IF(OR(ISBLANK(R235:R239),ISBLANK(AN235:AN239),ISBLANK(U235:U239),ISBLANK(AQ235:AQ239)),"·",bdRateExtend(R235:R239,U235:U239,AN235:AN239,AQ235:AQ239))</f>
        <v>1.8784977525120761E-2</v>
      </c>
      <c r="BF235" s="54">
        <f>IF(OR(ISBLANK(R235:R239),ISBLANK(AN235:AN239),ISBLANK(V235:V239),ISBLANK(AR235:AR239)),"·",bdRateExtend(R235:R239,V235:V239,AN235:AN239,AR235:AR239))</f>
        <v>1.8270435951708297E-2</v>
      </c>
      <c r="BG235" s="54" t="str">
        <f>IF(OR(ISBLANK(S235:S239),ISBLANK(AO235:AO239),ISBLANK(W235:W239),ISBLANK(AS235:AS239)),"·",bdRateExtend(S235:S239,W235:W239,AO235:AO239,AS235:AS239))</f>
        <v>·</v>
      </c>
      <c r="BI235" s="54">
        <f>IF(OR(ISBLANK(R235:R239),ISBLANK(AN235:AN239),ISBLANK(X235:X239),ISBLANK(AT235:AT239)),"·",bdRateExtend(R235:R239,X235:X239,AN235:AN239,AT235:AT239))</f>
        <v>2.240522883990459E-2</v>
      </c>
      <c r="BJ235" s="54">
        <f>IF(OR(ISBLANK(R235:R239),ISBLANK(AN235:AN239),ISBLANK(Y235:Y239),ISBLANK(AU235:AU239)),"·",bdRateExtend(R235:R239,Y235:Y239,AN235:AN239,AU235:AU239))</f>
        <v>2.240522883990459E-2</v>
      </c>
      <c r="BK235" s="54">
        <f>IF(OR(ISBLANK(R235:R239),ISBLANK(AN235:AN239),ISBLANK(Z235:Z239),ISBLANK(AV235:AV239)),"·",bdRateExtend(R235:R239,Z235:Z239,AN235:AN239,AV235:AV239))</f>
        <v>2.240522883990459E-2</v>
      </c>
      <c r="BL235" s="54" t="str">
        <f>IF(OR(ISBLANK(S235:S239),ISBLANK(AO235:AO239),ISBLANK(AA235:AA239),ISBLANK(AW235:AW239)),"·",bdRateExtend(S235:S239,AA235:AA239,AO235:AO239,AW235:AW239))</f>
        <v>·</v>
      </c>
      <c r="BN235" s="54">
        <f>IF(OR(ISBLANK(P235:P239),ISBLANK(AL235:AL239),ISBLANK(T235:T239),ISBLANK(AP235:AP239)),"·",bdRateExtend(P235:P239,T235:T239,AL235:AL239,AP235:AP239))</f>
        <v>4.1884491990324957E-3</v>
      </c>
      <c r="BO235" s="54">
        <f>IF(OR(ISBLANK(P235:P239),ISBLANK(AL235:AL239),ISBLANK(U235:U239),ISBLANK(AQ235:AQ239)),"·",bdRateExtend(P235:P239,U235:U239,AL235:AL239,AQ235:AQ239))</f>
        <v>4.1940271965130727E-3</v>
      </c>
      <c r="BP235" s="54">
        <f>IF(OR(ISBLANK(P235:P239),ISBLANK(AL235:AL239),ISBLANK(V235:V239),ISBLANK(AR235:AR239)),"·",bdRateExtend(P235:P239,V235:V239,AL235:AL239,AR235:AR239))</f>
        <v>4.0614129340121874E-3</v>
      </c>
      <c r="BQ235" s="54" t="str">
        <f>IF(OR(ISBLANK(P235:P239),ISBLANK(AL235:AL239),ISBLANK(W235:W239),ISBLANK(AS235:AS239)),"·",bdRateExtend(P235:P239,W235:W239,AL235:AL239,AS235:AS239))</f>
        <v>·</v>
      </c>
      <c r="BS235" s="54">
        <f>IF(OR(ISBLANK(P235:P239),ISBLANK(AL235:AL239),ISBLANK(X235:X239),ISBLANK(AT235:AT239)),"·",bdRateExtend(P235:P239,X235:X239,AL235:AL239,AT235:AT239))</f>
        <v>4.9143230851980135E-3</v>
      </c>
      <c r="BT235" s="54">
        <f>IF(OR(ISBLANK(P235:P239),ISBLANK(AL235:AL239),ISBLANK(Y235:Y239),ISBLANK(AU235:AU239)),"·",bdRateExtend(P235:P239,Y235:Y239,AL235:AL239,AU235:AU239))</f>
        <v>4.9143230851980135E-3</v>
      </c>
      <c r="BU235" s="54">
        <f>IF(OR(ISBLANK(P235:P239),ISBLANK(AL235:AL239),ISBLANK(Z235:Z239),ISBLANK(AV235:AV239)),"·",bdRateExtend(P235:P239,Z235:Z239,AL235:AL239,AV235:AV239))</f>
        <v>4.9143230851980135E-3</v>
      </c>
      <c r="BV235" s="54" t="str">
        <f>IF(OR(ISBLANK(P235:P239),ISBLANK(AL235:AL239),ISBLANK(AA235:AA239),ISBLANK(AW235:AW239)),"·",bdRateExtend(P235:P239,AA235:AA239,AL235:AL239,AW235:AW239))</f>
        <v>·</v>
      </c>
      <c r="BX235">
        <f t="shared" si="84"/>
        <v>0</v>
      </c>
      <c r="BY235">
        <f t="shared" si="85"/>
        <v>2267664</v>
      </c>
      <c r="BZ235">
        <f t="shared" si="86"/>
        <v>0</v>
      </c>
      <c r="CA235">
        <f t="shared" si="87"/>
        <v>1862352</v>
      </c>
      <c r="CB235">
        <f t="shared" si="88"/>
        <v>405312</v>
      </c>
      <c r="CC235">
        <f t="shared" si="89"/>
        <v>8.2999999999984198E-3</v>
      </c>
      <c r="CD235">
        <f t="shared" si="90"/>
        <v>6.9000000000016826E-3</v>
      </c>
      <c r="CE235">
        <f t="shared" si="91"/>
        <v>1.9100000000001671E-2</v>
      </c>
      <c r="CF235">
        <f t="shared" si="92"/>
        <v>0</v>
      </c>
      <c r="CG235">
        <f t="shared" si="93"/>
        <v>0</v>
      </c>
      <c r="CH235">
        <f t="shared" si="94"/>
        <v>0</v>
      </c>
      <c r="CI235">
        <f t="shared" si="95"/>
        <v>0</v>
      </c>
      <c r="CJ235">
        <f t="shared" si="96"/>
        <v>0</v>
      </c>
    </row>
    <row r="236" spans="1:88" outlineLevel="1" x14ac:dyDescent="0.15">
      <c r="A236" s="8"/>
      <c r="B236" s="8" t="s">
        <v>174</v>
      </c>
      <c r="C236" s="9" t="s">
        <v>255</v>
      </c>
      <c r="D236" s="8">
        <v>19948121</v>
      </c>
      <c r="E236" s="10">
        <v>21</v>
      </c>
      <c r="F236" s="9">
        <v>1</v>
      </c>
      <c r="G236" s="9"/>
      <c r="I236" s="22" t="str">
        <f t="shared" si="73"/>
        <v>·</v>
      </c>
      <c r="J236" s="23">
        <f t="shared" si="74"/>
        <v>28.28951238063976</v>
      </c>
      <c r="K236" s="23">
        <f t="shared" si="75"/>
        <v>17.528235366127969</v>
      </c>
      <c r="L236" s="23">
        <f t="shared" si="76"/>
        <v>8.0461144184958577</v>
      </c>
      <c r="M236" s="23">
        <f t="shared" si="97"/>
        <v>2.7149648831586695</v>
      </c>
      <c r="N236" s="23">
        <f t="shared" si="77"/>
        <v>28.28951238063976</v>
      </c>
      <c r="O236" s="25">
        <v>19948121</v>
      </c>
      <c r="P236" s="26">
        <v>564322616</v>
      </c>
      <c r="Q236" s="26">
        <v>349655360</v>
      </c>
      <c r="R236" s="26">
        <v>160504864</v>
      </c>
      <c r="S236" s="26">
        <v>54158448</v>
      </c>
      <c r="T236" s="41">
        <v>48.669699999999999</v>
      </c>
      <c r="U236" s="41">
        <v>50.5702</v>
      </c>
      <c r="V236" s="41">
        <v>50.2226</v>
      </c>
      <c r="W236" s="41"/>
      <c r="X236" s="41">
        <v>42.110199999999999</v>
      </c>
      <c r="Y236" s="41">
        <v>42.110199999999999</v>
      </c>
      <c r="Z236" s="41">
        <v>42.110199999999999</v>
      </c>
      <c r="AA236" s="41"/>
      <c r="AB236" s="50">
        <v>56.905999999999999</v>
      </c>
      <c r="AC236" s="50">
        <v>46.015000000000001</v>
      </c>
      <c r="AE236" s="22" t="str">
        <f t="shared" si="78"/>
        <v>·</v>
      </c>
      <c r="AF236" s="23">
        <f t="shared" si="79"/>
        <v>28.410510644085225</v>
      </c>
      <c r="AG236" s="23">
        <f t="shared" si="80"/>
        <v>17.528235366127969</v>
      </c>
      <c r="AH236" s="23">
        <f t="shared" si="81"/>
        <v>8.1451741745500748</v>
      </c>
      <c r="AI236" s="23">
        <f t="shared" si="98"/>
        <v>2.7369033905499172</v>
      </c>
      <c r="AJ236" s="23">
        <f t="shared" si="82"/>
        <v>28.410510644085225</v>
      </c>
      <c r="AK236" s="25">
        <v>19948121</v>
      </c>
      <c r="AL236" s="26">
        <v>566736304</v>
      </c>
      <c r="AM236" s="26">
        <v>349655360</v>
      </c>
      <c r="AN236" s="26">
        <v>162480920</v>
      </c>
      <c r="AO236" s="26">
        <v>54596080</v>
      </c>
      <c r="AP236" s="41">
        <v>48.682600000000001</v>
      </c>
      <c r="AQ236" s="41">
        <v>50.584600000000002</v>
      </c>
      <c r="AR236" s="41">
        <v>50.237299999999998</v>
      </c>
      <c r="AS236" s="41"/>
      <c r="AT236" s="41">
        <v>42.110199999999999</v>
      </c>
      <c r="AU236" s="41">
        <v>42.110199999999999</v>
      </c>
      <c r="AV236" s="41">
        <v>42.110199999999999</v>
      </c>
      <c r="AW236" s="41"/>
      <c r="AX236" s="50">
        <v>58.14</v>
      </c>
      <c r="AY236" s="50">
        <v>45.734000000000002</v>
      </c>
      <c r="BA236" s="55">
        <f t="shared" si="83"/>
        <v>-2.638838624763995E-3</v>
      </c>
      <c r="BB236" s="55"/>
      <c r="BD236" s="56"/>
      <c r="BE236" s="56"/>
      <c r="BF236" s="56"/>
      <c r="BG236" s="56"/>
      <c r="BI236" s="56"/>
      <c r="BJ236" s="56"/>
      <c r="BK236" s="56"/>
      <c r="BL236" s="56"/>
      <c r="BN236" s="56"/>
      <c r="BO236" s="56"/>
      <c r="BP236" s="56"/>
      <c r="BQ236" s="56"/>
      <c r="BS236" s="56"/>
      <c r="BT236" s="56"/>
      <c r="BU236" s="56"/>
      <c r="BV236" s="56"/>
      <c r="BX236">
        <f t="shared" si="84"/>
        <v>0</v>
      </c>
      <c r="BY236">
        <f t="shared" si="85"/>
        <v>2413688</v>
      </c>
      <c r="BZ236">
        <f t="shared" si="86"/>
        <v>0</v>
      </c>
      <c r="CA236">
        <f t="shared" si="87"/>
        <v>1976056</v>
      </c>
      <c r="CB236">
        <f t="shared" si="88"/>
        <v>437632</v>
      </c>
      <c r="CC236">
        <f t="shared" si="89"/>
        <v>1.290000000000191E-2</v>
      </c>
      <c r="CD236">
        <f t="shared" si="90"/>
        <v>1.4400000000001967E-2</v>
      </c>
      <c r="CE236">
        <f t="shared" si="91"/>
        <v>1.4699999999997715E-2</v>
      </c>
      <c r="CF236">
        <f t="shared" si="92"/>
        <v>0</v>
      </c>
      <c r="CG236">
        <f t="shared" si="93"/>
        <v>0</v>
      </c>
      <c r="CH236">
        <f t="shared" si="94"/>
        <v>0</v>
      </c>
      <c r="CI236">
        <f t="shared" si="95"/>
        <v>0</v>
      </c>
      <c r="CJ236">
        <f t="shared" si="96"/>
        <v>0</v>
      </c>
    </row>
    <row r="237" spans="1:88" outlineLevel="1" x14ac:dyDescent="0.15">
      <c r="A237" s="5"/>
      <c r="B237" s="5" t="s">
        <v>174</v>
      </c>
      <c r="C237" s="6" t="s">
        <v>256</v>
      </c>
      <c r="D237" s="5">
        <v>19948121</v>
      </c>
      <c r="E237" s="7">
        <v>21</v>
      </c>
      <c r="F237" s="6">
        <v>1</v>
      </c>
      <c r="G237" s="6"/>
      <c r="I237" s="17" t="str">
        <f t="shared" si="73"/>
        <v>·</v>
      </c>
      <c r="J237" s="18">
        <f t="shared" si="74"/>
        <v>24.448338968868295</v>
      </c>
      <c r="K237" s="18">
        <f t="shared" si="75"/>
        <v>17.528235366127969</v>
      </c>
      <c r="L237" s="18">
        <f t="shared" si="76"/>
        <v>5.260758143586556</v>
      </c>
      <c r="M237" s="18">
        <f t="shared" si="97"/>
        <v>1.6591477462965059</v>
      </c>
      <c r="N237" s="18">
        <f t="shared" si="77"/>
        <v>24.448338968868295</v>
      </c>
      <c r="O237" s="20">
        <v>19948121</v>
      </c>
      <c r="P237" s="21">
        <v>487698424</v>
      </c>
      <c r="Q237" s="21">
        <v>349655360</v>
      </c>
      <c r="R237" s="21">
        <v>104942240</v>
      </c>
      <c r="S237" s="21">
        <v>33096880</v>
      </c>
      <c r="T237" s="38">
        <v>41.536200000000001</v>
      </c>
      <c r="U237" s="38">
        <v>44.401600000000002</v>
      </c>
      <c r="V237" s="38">
        <v>44.061999999999998</v>
      </c>
      <c r="W237" s="38"/>
      <c r="X237" s="38">
        <v>34.151400000000002</v>
      </c>
      <c r="Y237" s="38">
        <v>34.151400000000002</v>
      </c>
      <c r="Z237" s="38">
        <v>34.151400000000002</v>
      </c>
      <c r="AA237" s="38"/>
      <c r="AB237" s="49">
        <v>55.609000000000002</v>
      </c>
      <c r="AC237" s="49">
        <v>45.170999999999999</v>
      </c>
      <c r="AE237" s="17" t="str">
        <f t="shared" si="78"/>
        <v>·</v>
      </c>
      <c r="AF237" s="18">
        <f t="shared" si="79"/>
        <v>24.568937395156166</v>
      </c>
      <c r="AG237" s="18">
        <f t="shared" si="80"/>
        <v>17.528235366127969</v>
      </c>
      <c r="AH237" s="18">
        <f t="shared" si="81"/>
        <v>5.360476808818234</v>
      </c>
      <c r="AI237" s="18">
        <f t="shared" si="98"/>
        <v>1.6800275073526976</v>
      </c>
      <c r="AJ237" s="18">
        <f t="shared" si="82"/>
        <v>24.568937395156166</v>
      </c>
      <c r="AK237" s="20">
        <v>19948121</v>
      </c>
      <c r="AL237" s="21">
        <v>490104136</v>
      </c>
      <c r="AM237" s="21">
        <v>349655360</v>
      </c>
      <c r="AN237" s="21">
        <v>106931440</v>
      </c>
      <c r="AO237" s="21">
        <v>33513392</v>
      </c>
      <c r="AP237" s="38">
        <v>41.563600000000001</v>
      </c>
      <c r="AQ237" s="38">
        <v>44.4298</v>
      </c>
      <c r="AR237" s="38">
        <v>44.102899999999998</v>
      </c>
      <c r="AS237" s="38"/>
      <c r="AT237" s="38">
        <v>34.151400000000002</v>
      </c>
      <c r="AU237" s="38">
        <v>34.151400000000002</v>
      </c>
      <c r="AV237" s="38">
        <v>34.151400000000002</v>
      </c>
      <c r="AW237" s="38"/>
      <c r="AX237" s="49">
        <v>56.795999999999999</v>
      </c>
      <c r="AY237" s="49">
        <v>44.936999999999998</v>
      </c>
      <c r="BA237" s="53">
        <f t="shared" si="83"/>
        <v>-3.5192012634885916E-3</v>
      </c>
      <c r="BB237" s="53"/>
      <c r="BD237" s="54"/>
      <c r="BE237" s="54"/>
      <c r="BF237" s="54"/>
      <c r="BG237" s="54"/>
      <c r="BI237" s="54"/>
      <c r="BJ237" s="54"/>
      <c r="BK237" s="54"/>
      <c r="BL237" s="54"/>
      <c r="BN237" s="54"/>
      <c r="BO237" s="54"/>
      <c r="BP237" s="54"/>
      <c r="BQ237" s="54"/>
      <c r="BS237" s="54"/>
      <c r="BT237" s="54"/>
      <c r="BU237" s="54"/>
      <c r="BV237" s="54"/>
      <c r="BX237">
        <f t="shared" si="84"/>
        <v>0</v>
      </c>
      <c r="BY237">
        <f t="shared" si="85"/>
        <v>2405712</v>
      </c>
      <c r="BZ237">
        <f t="shared" si="86"/>
        <v>0</v>
      </c>
      <c r="CA237">
        <f t="shared" si="87"/>
        <v>1989200</v>
      </c>
      <c r="CB237">
        <f t="shared" si="88"/>
        <v>416512</v>
      </c>
      <c r="CC237">
        <f t="shared" si="89"/>
        <v>2.7400000000000091E-2</v>
      </c>
      <c r="CD237">
        <f t="shared" si="90"/>
        <v>2.8199999999998226E-2</v>
      </c>
      <c r="CE237">
        <f t="shared" si="91"/>
        <v>4.0900000000000603E-2</v>
      </c>
      <c r="CF237">
        <f t="shared" si="92"/>
        <v>0</v>
      </c>
      <c r="CG237">
        <f t="shared" si="93"/>
        <v>0</v>
      </c>
      <c r="CH237">
        <f t="shared" si="94"/>
        <v>0</v>
      </c>
      <c r="CI237">
        <f t="shared" si="95"/>
        <v>0</v>
      </c>
      <c r="CJ237">
        <f t="shared" si="96"/>
        <v>0</v>
      </c>
    </row>
    <row r="238" spans="1:88" outlineLevel="1" x14ac:dyDescent="0.15">
      <c r="A238" s="8"/>
      <c r="B238" s="8" t="s">
        <v>174</v>
      </c>
      <c r="C238" s="9" t="s">
        <v>257</v>
      </c>
      <c r="D238" s="8">
        <v>19948121</v>
      </c>
      <c r="E238" s="10">
        <v>21</v>
      </c>
      <c r="F238" s="9">
        <v>1</v>
      </c>
      <c r="G238" s="9"/>
      <c r="I238" s="22" t="str">
        <f t="shared" si="73"/>
        <v>·</v>
      </c>
      <c r="J238" s="23">
        <f t="shared" si="74"/>
        <v>21.77485007234516</v>
      </c>
      <c r="K238" s="23">
        <f t="shared" si="75"/>
        <v>17.528235366127969</v>
      </c>
      <c r="L238" s="23">
        <f t="shared" si="76"/>
        <v>3.2950728542302303</v>
      </c>
      <c r="M238" s="23">
        <f t="shared" si="97"/>
        <v>0.95134413912969551</v>
      </c>
      <c r="N238" s="23">
        <f t="shared" si="77"/>
        <v>21.77485007234516</v>
      </c>
      <c r="O238" s="25">
        <v>19948121</v>
      </c>
      <c r="P238" s="26">
        <v>434367344</v>
      </c>
      <c r="Q238" s="26">
        <v>349655360</v>
      </c>
      <c r="R238" s="26">
        <v>65730512</v>
      </c>
      <c r="S238" s="26">
        <v>18977528</v>
      </c>
      <c r="T238" s="41">
        <v>35.786499999999997</v>
      </c>
      <c r="U238" s="41">
        <v>39.660200000000003</v>
      </c>
      <c r="V238" s="41">
        <v>39.162599999999998</v>
      </c>
      <c r="W238" s="41"/>
      <c r="X238" s="41">
        <v>28.130800000000001</v>
      </c>
      <c r="Y238" s="41">
        <v>28.130800000000001</v>
      </c>
      <c r="Z238" s="41">
        <v>28.130800000000001</v>
      </c>
      <c r="AA238" s="41"/>
      <c r="AB238" s="50">
        <v>55.203000000000003</v>
      </c>
      <c r="AC238" s="50">
        <v>44.328000000000003</v>
      </c>
      <c r="AE238" s="22" t="str">
        <f t="shared" si="78"/>
        <v>·</v>
      </c>
      <c r="AF238" s="23">
        <f t="shared" si="79"/>
        <v>21.899745645216409</v>
      </c>
      <c r="AG238" s="23">
        <f t="shared" si="80"/>
        <v>17.528235366127969</v>
      </c>
      <c r="AH238" s="23">
        <f t="shared" si="81"/>
        <v>3.3976521397679509</v>
      </c>
      <c r="AI238" s="23">
        <f t="shared" si="98"/>
        <v>0.97366042646322426</v>
      </c>
      <c r="AJ238" s="23">
        <f t="shared" si="82"/>
        <v>21.899745645216409</v>
      </c>
      <c r="AK238" s="25">
        <v>19948121</v>
      </c>
      <c r="AL238" s="26">
        <v>436858776</v>
      </c>
      <c r="AM238" s="26">
        <v>349655360</v>
      </c>
      <c r="AN238" s="26">
        <v>67776776</v>
      </c>
      <c r="AO238" s="26">
        <v>19422696</v>
      </c>
      <c r="AP238" s="41">
        <v>35.843200000000003</v>
      </c>
      <c r="AQ238" s="41">
        <v>39.7102</v>
      </c>
      <c r="AR238" s="41">
        <v>39.212899999999998</v>
      </c>
      <c r="AS238" s="41"/>
      <c r="AT238" s="41">
        <v>28.130800000000001</v>
      </c>
      <c r="AU238" s="41">
        <v>28.130800000000001</v>
      </c>
      <c r="AV238" s="41">
        <v>28.130800000000001</v>
      </c>
      <c r="AW238" s="41"/>
      <c r="AX238" s="50">
        <v>56.578000000000003</v>
      </c>
      <c r="AY238" s="50">
        <v>44.468000000000004</v>
      </c>
      <c r="BA238" s="55">
        <f t="shared" si="83"/>
        <v>-4.5908277318167379E-3</v>
      </c>
      <c r="BB238" s="55"/>
      <c r="BD238" s="56"/>
      <c r="BE238" s="56"/>
      <c r="BF238" s="56"/>
      <c r="BG238" s="56"/>
      <c r="BI238" s="56"/>
      <c r="BJ238" s="56"/>
      <c r="BK238" s="56"/>
      <c r="BL238" s="56"/>
      <c r="BN238" s="56"/>
      <c r="BO238" s="56"/>
      <c r="BP238" s="56"/>
      <c r="BQ238" s="56"/>
      <c r="BS238" s="56"/>
      <c r="BT238" s="56"/>
      <c r="BU238" s="56"/>
      <c r="BV238" s="56"/>
      <c r="BX238">
        <f t="shared" si="84"/>
        <v>0</v>
      </c>
      <c r="BY238">
        <f t="shared" si="85"/>
        <v>2491432</v>
      </c>
      <c r="BZ238">
        <f t="shared" si="86"/>
        <v>0</v>
      </c>
      <c r="CA238">
        <f t="shared" si="87"/>
        <v>2046264</v>
      </c>
      <c r="CB238">
        <f t="shared" si="88"/>
        <v>445168</v>
      </c>
      <c r="CC238">
        <f t="shared" si="89"/>
        <v>5.6700000000006412E-2</v>
      </c>
      <c r="CD238">
        <f t="shared" si="90"/>
        <v>4.9999999999997158E-2</v>
      </c>
      <c r="CE238">
        <f t="shared" si="91"/>
        <v>5.0300000000000011E-2</v>
      </c>
      <c r="CF238">
        <f t="shared" si="92"/>
        <v>0</v>
      </c>
      <c r="CG238">
        <f t="shared" si="93"/>
        <v>0</v>
      </c>
      <c r="CH238">
        <f t="shared" si="94"/>
        <v>0</v>
      </c>
      <c r="CI238">
        <f t="shared" si="95"/>
        <v>0</v>
      </c>
      <c r="CJ238">
        <f t="shared" si="96"/>
        <v>0</v>
      </c>
    </row>
    <row r="239" spans="1:88" outlineLevel="1" x14ac:dyDescent="0.15">
      <c r="A239" s="5"/>
      <c r="B239" s="11" t="s">
        <v>174</v>
      </c>
      <c r="C239" s="12" t="s">
        <v>258</v>
      </c>
      <c r="D239" s="11">
        <v>19948121</v>
      </c>
      <c r="E239" s="13">
        <v>21</v>
      </c>
      <c r="F239" s="12">
        <v>1</v>
      </c>
      <c r="G239" s="12"/>
      <c r="I239" s="27" t="str">
        <f t="shared" si="73"/>
        <v>·</v>
      </c>
      <c r="J239" s="28">
        <f t="shared" si="74"/>
        <v>19.76226512762781</v>
      </c>
      <c r="K239" s="28">
        <f t="shared" si="75"/>
        <v>17.528235366127969</v>
      </c>
      <c r="L239" s="28">
        <f t="shared" si="76"/>
        <v>1.7624288523214793</v>
      </c>
      <c r="M239" s="28">
        <f t="shared" si="97"/>
        <v>0.47140319632109712</v>
      </c>
      <c r="N239" s="28">
        <f t="shared" si="77"/>
        <v>19.76226512762781</v>
      </c>
      <c r="O239" s="30">
        <v>19948121</v>
      </c>
      <c r="P239" s="31">
        <v>394220056</v>
      </c>
      <c r="Q239" s="31">
        <v>349655360</v>
      </c>
      <c r="R239" s="31">
        <v>35157144</v>
      </c>
      <c r="S239" s="31">
        <v>9403608</v>
      </c>
      <c r="T239" s="44">
        <v>29.2089</v>
      </c>
      <c r="U239" s="44">
        <v>35.075600000000001</v>
      </c>
      <c r="V239" s="44">
        <v>34.353400000000001</v>
      </c>
      <c r="W239" s="44"/>
      <c r="X239" s="44">
        <v>21.686399999999999</v>
      </c>
      <c r="Y239" s="44">
        <v>21.686399999999999</v>
      </c>
      <c r="Z239" s="44">
        <v>21.686399999999999</v>
      </c>
      <c r="AA239" s="44"/>
      <c r="AB239" s="51">
        <v>54.545999999999999</v>
      </c>
      <c r="AC239" s="51">
        <v>43.920999999999999</v>
      </c>
      <c r="AE239" s="27" t="str">
        <f t="shared" si="78"/>
        <v>·</v>
      </c>
      <c r="AF239" s="28">
        <f t="shared" si="79"/>
        <v>19.875202882517105</v>
      </c>
      <c r="AG239" s="28">
        <f t="shared" si="80"/>
        <v>17.528235366127969</v>
      </c>
      <c r="AH239" s="28">
        <f t="shared" si="81"/>
        <v>1.854034071680235</v>
      </c>
      <c r="AI239" s="28">
        <f t="shared" si="98"/>
        <v>0.49273573185163655</v>
      </c>
      <c r="AJ239" s="28">
        <f t="shared" si="82"/>
        <v>19.875202882517105</v>
      </c>
      <c r="AK239" s="30">
        <v>19948121</v>
      </c>
      <c r="AL239" s="31">
        <v>396472952</v>
      </c>
      <c r="AM239" s="31">
        <v>349655360</v>
      </c>
      <c r="AN239" s="31">
        <v>36984496</v>
      </c>
      <c r="AO239" s="31">
        <v>9829152</v>
      </c>
      <c r="AP239" s="44">
        <v>29.4069</v>
      </c>
      <c r="AQ239" s="44">
        <v>35.136299999999999</v>
      </c>
      <c r="AR239" s="44">
        <v>34.444099999999999</v>
      </c>
      <c r="AS239" s="44"/>
      <c r="AT239" s="44">
        <v>21.686399999999999</v>
      </c>
      <c r="AU239" s="44">
        <v>21.686399999999999</v>
      </c>
      <c r="AV239" s="44">
        <v>21.686399999999999</v>
      </c>
      <c r="AW239" s="44"/>
      <c r="AX239" s="51">
        <v>55.718000000000004</v>
      </c>
      <c r="AY239" s="51">
        <v>43.89</v>
      </c>
      <c r="BA239" s="57">
        <f t="shared" si="83"/>
        <v>-5.0399827997944513E-3</v>
      </c>
      <c r="BB239" s="57"/>
      <c r="BD239" s="58"/>
      <c r="BE239" s="58"/>
      <c r="BF239" s="58"/>
      <c r="BG239" s="58"/>
      <c r="BI239" s="58"/>
      <c r="BJ239" s="58"/>
      <c r="BK239" s="58"/>
      <c r="BL239" s="58"/>
      <c r="BN239" s="58"/>
      <c r="BO239" s="58"/>
      <c r="BP239" s="58"/>
      <c r="BQ239" s="58"/>
      <c r="BS239" s="58"/>
      <c r="BT239" s="58"/>
      <c r="BU239" s="58"/>
      <c r="BV239" s="58"/>
      <c r="BX239">
        <f t="shared" si="84"/>
        <v>0</v>
      </c>
      <c r="BY239">
        <f t="shared" si="85"/>
        <v>2252896</v>
      </c>
      <c r="BZ239">
        <f t="shared" si="86"/>
        <v>0</v>
      </c>
      <c r="CA239">
        <f t="shared" si="87"/>
        <v>1827352</v>
      </c>
      <c r="CB239">
        <f t="shared" si="88"/>
        <v>425544</v>
      </c>
      <c r="CC239">
        <f t="shared" si="89"/>
        <v>0.1980000000000004</v>
      </c>
      <c r="CD239">
        <f t="shared" si="90"/>
        <v>6.069999999999709E-2</v>
      </c>
      <c r="CE239">
        <f t="shared" si="91"/>
        <v>9.0699999999998226E-2</v>
      </c>
      <c r="CF239">
        <f t="shared" si="92"/>
        <v>0</v>
      </c>
      <c r="CG239">
        <f t="shared" si="93"/>
        <v>0</v>
      </c>
      <c r="CH239">
        <f t="shared" si="94"/>
        <v>0</v>
      </c>
      <c r="CI239">
        <f t="shared" si="95"/>
        <v>0</v>
      </c>
      <c r="CJ239">
        <f t="shared" si="96"/>
        <v>0</v>
      </c>
    </row>
    <row r="240" spans="1:88" x14ac:dyDescent="0.15">
      <c r="A240" s="8"/>
      <c r="B240" s="8" t="s">
        <v>175</v>
      </c>
      <c r="C240" s="9" t="s">
        <v>254</v>
      </c>
      <c r="D240" s="8">
        <v>5255920</v>
      </c>
      <c r="E240" s="10">
        <v>20</v>
      </c>
      <c r="F240" s="9">
        <v>1</v>
      </c>
      <c r="G240" s="9"/>
      <c r="I240" s="22" t="str">
        <f t="shared" si="73"/>
        <v>·</v>
      </c>
      <c r="J240" s="23">
        <f t="shared" si="74"/>
        <v>35.110405028995878</v>
      </c>
      <c r="K240" s="23">
        <f t="shared" si="75"/>
        <v>20.815736921414327</v>
      </c>
      <c r="L240" s="23">
        <f t="shared" si="76"/>
        <v>10.224720315377708</v>
      </c>
      <c r="M240" s="23">
        <f t="shared" si="97"/>
        <v>4.06965555031279</v>
      </c>
      <c r="N240" s="23">
        <f t="shared" si="77"/>
        <v>35.110405028995878</v>
      </c>
      <c r="O240" s="25">
        <v>5255920</v>
      </c>
      <c r="P240" s="26">
        <v>184537480</v>
      </c>
      <c r="Q240" s="26">
        <v>109405848</v>
      </c>
      <c r="R240" s="26">
        <v>53740312</v>
      </c>
      <c r="S240" s="26">
        <v>21389784</v>
      </c>
      <c r="T240" s="41">
        <v>53.424500000000002</v>
      </c>
      <c r="U240" s="41">
        <v>55.040500000000002</v>
      </c>
      <c r="V240" s="41">
        <v>54.942100000000003</v>
      </c>
      <c r="W240" s="41"/>
      <c r="X240" s="41">
        <v>48.130800000000001</v>
      </c>
      <c r="Y240" s="41">
        <v>48.130800000000001</v>
      </c>
      <c r="Z240" s="41">
        <v>48.130800000000001</v>
      </c>
      <c r="AA240" s="41"/>
      <c r="AB240" s="50">
        <v>14.670999999999999</v>
      </c>
      <c r="AC240" s="50">
        <v>11.593</v>
      </c>
      <c r="AE240" s="22" t="str">
        <f t="shared" si="78"/>
        <v>·</v>
      </c>
      <c r="AF240" s="23">
        <f t="shared" si="79"/>
        <v>35.212029102421653</v>
      </c>
      <c r="AG240" s="23">
        <f t="shared" si="80"/>
        <v>20.815736921414327</v>
      </c>
      <c r="AH240" s="23">
        <f t="shared" si="81"/>
        <v>10.29797866025358</v>
      </c>
      <c r="AI240" s="23">
        <f t="shared" si="98"/>
        <v>4.0980212788626922</v>
      </c>
      <c r="AJ240" s="23">
        <f t="shared" si="82"/>
        <v>35.212029102421653</v>
      </c>
      <c r="AK240" s="25">
        <v>5255920</v>
      </c>
      <c r="AL240" s="26">
        <v>185071608</v>
      </c>
      <c r="AM240" s="26">
        <v>109405848</v>
      </c>
      <c r="AN240" s="26">
        <v>54125352</v>
      </c>
      <c r="AO240" s="26">
        <v>21538872</v>
      </c>
      <c r="AP240" s="41">
        <v>53.430599999999998</v>
      </c>
      <c r="AQ240" s="41">
        <v>55.042700000000004</v>
      </c>
      <c r="AR240" s="41">
        <v>54.953299999999999</v>
      </c>
      <c r="AS240" s="41"/>
      <c r="AT240" s="41">
        <v>48.130800000000001</v>
      </c>
      <c r="AU240" s="41">
        <v>48.130800000000001</v>
      </c>
      <c r="AV240" s="41">
        <v>48.130800000000001</v>
      </c>
      <c r="AW240" s="41"/>
      <c r="AX240" s="50">
        <v>15.170999999999999</v>
      </c>
      <c r="AY240" s="50">
        <v>11.686999999999999</v>
      </c>
      <c r="BA240" s="55">
        <f t="shared" si="83"/>
        <v>-1.7110452608829485E-3</v>
      </c>
      <c r="BB240" s="55">
        <f t="array" ref="BB240">AVERAGE(AM240:AM244/AL240:AL244)-AVERAGE(Q240:Q244/P240:P244)</f>
        <v>-3.217263777743895E-3</v>
      </c>
      <c r="BD240" s="56">
        <f>IF(OR(ISBLANK(R240:R244),ISBLANK(AN240:AN244),ISBLANK(T240:T244),ISBLANK(AP240:AP244)),"·",bdRateExtend(R240:R244,T240:T244,AN240:AN244,AP240:AP244))</f>
        <v>1.9992414600114028E-2</v>
      </c>
      <c r="BE240" s="56">
        <f>IF(OR(ISBLANK(R240:R244),ISBLANK(AN240:AN244),ISBLANK(U240:U244),ISBLANK(AQ240:AQ244)),"·",bdRateExtend(R240:R244,U240:U244,AN240:AN244,AQ240:AQ244))</f>
        <v>2.0112430731989539E-2</v>
      </c>
      <c r="BF240" s="56">
        <f>IF(OR(ISBLANK(R240:R244),ISBLANK(AN240:AN244),ISBLANK(V240:V244),ISBLANK(AR240:AR244)),"·",bdRateExtend(R240:R244,V240:V244,AN240:AN244,AR240:AR244))</f>
        <v>1.9308930314531736E-2</v>
      </c>
      <c r="BG240" s="56" t="str">
        <f>IF(OR(ISBLANK(S240:S244),ISBLANK(AO240:AO244),ISBLANK(W240:W244),ISBLANK(AS240:AS244)),"·",bdRateExtend(S240:S244,W240:W244,AO240:AO244,AS240:AS244))</f>
        <v>·</v>
      </c>
      <c r="BI240" s="56">
        <f>IF(OR(ISBLANK(R240:R244),ISBLANK(AN240:AN244),ISBLANK(X240:X244),ISBLANK(AT240:AT244)),"·",bdRateExtend(R240:R244,X240:X244,AN240:AN244,AT240:AT244))</f>
        <v>2.2488645605327262E-2</v>
      </c>
      <c r="BJ240" s="56">
        <f>IF(OR(ISBLANK(R240:R244),ISBLANK(AN240:AN244),ISBLANK(Y240:Y244),ISBLANK(AU240:AU244)),"·",bdRateExtend(R240:R244,Y240:Y244,AN240:AN244,AU240:AU244))</f>
        <v>2.2488645605327262E-2</v>
      </c>
      <c r="BK240" s="56">
        <f>IF(OR(ISBLANK(R240:R244),ISBLANK(AN240:AN244),ISBLANK(Z240:Z244),ISBLANK(AV240:AV244)),"·",bdRateExtend(R240:R244,Z240:Z244,AN240:AN244,AV240:AV244))</f>
        <v>2.2488645605327262E-2</v>
      </c>
      <c r="BL240" s="56" t="str">
        <f>IF(OR(ISBLANK(S240:S244),ISBLANK(AO240:AO244),ISBLANK(AA240:AA244),ISBLANK(AW240:AW244)),"·",bdRateExtend(S240:S244,AA240:AA244,AO240:AO244,AW240:AW244))</f>
        <v>·</v>
      </c>
      <c r="BN240" s="56">
        <f>IF(OR(ISBLANK(P240:P244),ISBLANK(AL240:AL244),ISBLANK(T240:T244),ISBLANK(AP240:AP244)),"·",bdRateExtend(P240:P244,T240:T244,AL240:AL244,AP240:AP244))</f>
        <v>3.8052812605371411E-3</v>
      </c>
      <c r="BO240" s="56">
        <f>IF(OR(ISBLANK(P240:P244),ISBLANK(AL240:AL244),ISBLANK(U240:U244),ISBLANK(AQ240:AQ244)),"·",bdRateExtend(P240:P244,U240:U244,AL240:AL244,AQ240:AQ244))</f>
        <v>3.9093313280831321E-3</v>
      </c>
      <c r="BP240" s="56">
        <f>IF(OR(ISBLANK(P240:P244),ISBLANK(AL240:AL244),ISBLANK(V240:V244),ISBLANK(AR240:AR244)),"·",bdRateExtend(P240:P244,V240:V244,AL240:AL244,AR240:AR244))</f>
        <v>3.6937226556927882E-3</v>
      </c>
      <c r="BQ240" s="56" t="str">
        <f>IF(OR(ISBLANK(P240:P244),ISBLANK(AL240:AL244),ISBLANK(W240:W244),ISBLANK(AS240:AS244)),"·",bdRateExtend(P240:P244,W240:W244,AL240:AL244,AS240:AS244))</f>
        <v>·</v>
      </c>
      <c r="BS240" s="56">
        <f>IF(OR(ISBLANK(P240:P244),ISBLANK(AL240:AL244),ISBLANK(X240:X244),ISBLANK(AT240:AT244)),"·",bdRateExtend(P240:P244,X240:X244,AL240:AL244,AT240:AT244))</f>
        <v>4.2494771718533109E-3</v>
      </c>
      <c r="BT240" s="56">
        <f>IF(OR(ISBLANK(P240:P244),ISBLANK(AL240:AL244),ISBLANK(Y240:Y244),ISBLANK(AU240:AU244)),"·",bdRateExtend(P240:P244,Y240:Y244,AL240:AL244,AU240:AU244))</f>
        <v>4.2494771718533109E-3</v>
      </c>
      <c r="BU240" s="56">
        <f>IF(OR(ISBLANK(P240:P244),ISBLANK(AL240:AL244),ISBLANK(Z240:Z244),ISBLANK(AV240:AV244)),"·",bdRateExtend(P240:P244,Z240:Z244,AL240:AL244,AV240:AV244))</f>
        <v>4.2494771718533109E-3</v>
      </c>
      <c r="BV240" s="56" t="str">
        <f>IF(OR(ISBLANK(P240:P244),ISBLANK(AL240:AL244),ISBLANK(AA240:AA244),ISBLANK(AW240:AW244)),"·",bdRateExtend(P240:P244,AA240:AA244,AL240:AL244,AW240:AW244))</f>
        <v>·</v>
      </c>
      <c r="BX240">
        <f t="shared" si="84"/>
        <v>0</v>
      </c>
      <c r="BY240">
        <f t="shared" si="85"/>
        <v>534128</v>
      </c>
      <c r="BZ240">
        <f t="shared" si="86"/>
        <v>0</v>
      </c>
      <c r="CA240">
        <f t="shared" si="87"/>
        <v>385040</v>
      </c>
      <c r="CB240">
        <f t="shared" si="88"/>
        <v>149088</v>
      </c>
      <c r="CC240">
        <f t="shared" si="89"/>
        <v>6.0999999999964416E-3</v>
      </c>
      <c r="CD240">
        <f t="shared" si="90"/>
        <v>2.2000000000019782E-3</v>
      </c>
      <c r="CE240">
        <f t="shared" si="91"/>
        <v>1.1199999999995214E-2</v>
      </c>
      <c r="CF240">
        <f t="shared" si="92"/>
        <v>0</v>
      </c>
      <c r="CG240">
        <f t="shared" si="93"/>
        <v>0</v>
      </c>
      <c r="CH240">
        <f t="shared" si="94"/>
        <v>0</v>
      </c>
      <c r="CI240">
        <f t="shared" si="95"/>
        <v>0</v>
      </c>
      <c r="CJ240">
        <f t="shared" si="96"/>
        <v>0</v>
      </c>
    </row>
    <row r="241" spans="1:88" outlineLevel="1" x14ac:dyDescent="0.15">
      <c r="A241" s="5"/>
      <c r="B241" s="5" t="s">
        <v>175</v>
      </c>
      <c r="C241" s="6" t="s">
        <v>255</v>
      </c>
      <c r="D241" s="5">
        <v>5255920</v>
      </c>
      <c r="E241" s="7">
        <v>20</v>
      </c>
      <c r="F241" s="6">
        <v>1</v>
      </c>
      <c r="G241" s="6"/>
      <c r="I241" s="17" t="str">
        <f t="shared" si="73"/>
        <v>·</v>
      </c>
      <c r="J241" s="18">
        <f t="shared" si="74"/>
        <v>31.562644789113989</v>
      </c>
      <c r="K241" s="18">
        <f t="shared" si="75"/>
        <v>20.815736921414327</v>
      </c>
      <c r="L241" s="18">
        <f t="shared" si="76"/>
        <v>7.6406185786693861</v>
      </c>
      <c r="M241" s="18">
        <f t="shared" si="97"/>
        <v>3.1059955250460431</v>
      </c>
      <c r="N241" s="18">
        <f t="shared" si="77"/>
        <v>31.562644789113989</v>
      </c>
      <c r="O241" s="20">
        <v>5255920</v>
      </c>
      <c r="P241" s="21">
        <v>165890736</v>
      </c>
      <c r="Q241" s="21">
        <v>109405848</v>
      </c>
      <c r="R241" s="21">
        <v>40158480</v>
      </c>
      <c r="S241" s="21">
        <v>16324864</v>
      </c>
      <c r="T241" s="38">
        <v>48.588799999999999</v>
      </c>
      <c r="U241" s="38">
        <v>50.590800000000002</v>
      </c>
      <c r="V241" s="38">
        <v>50.305</v>
      </c>
      <c r="W241" s="38"/>
      <c r="X241" s="38">
        <v>42.110199999999999</v>
      </c>
      <c r="Y241" s="38">
        <v>42.110199999999999</v>
      </c>
      <c r="Z241" s="38">
        <v>42.110199999999999</v>
      </c>
      <c r="AA241" s="38"/>
      <c r="AB241" s="49">
        <v>14.468</v>
      </c>
      <c r="AC241" s="49">
        <v>11.327999999999999</v>
      </c>
      <c r="AE241" s="17" t="str">
        <f t="shared" si="78"/>
        <v>·</v>
      </c>
      <c r="AF241" s="18">
        <f t="shared" si="79"/>
        <v>31.678243200048708</v>
      </c>
      <c r="AG241" s="18">
        <f t="shared" si="80"/>
        <v>20.815736921414327</v>
      </c>
      <c r="AH241" s="18">
        <f t="shared" si="81"/>
        <v>7.7254676631303365</v>
      </c>
      <c r="AI241" s="18">
        <f t="shared" si="98"/>
        <v>3.13674485151981</v>
      </c>
      <c r="AJ241" s="18">
        <f t="shared" si="82"/>
        <v>31.678243200048708</v>
      </c>
      <c r="AK241" s="20">
        <v>5255920</v>
      </c>
      <c r="AL241" s="21">
        <v>166498312</v>
      </c>
      <c r="AM241" s="21">
        <v>109405848</v>
      </c>
      <c r="AN241" s="21">
        <v>40604440</v>
      </c>
      <c r="AO241" s="21">
        <v>16486480</v>
      </c>
      <c r="AP241" s="38">
        <v>48.601700000000001</v>
      </c>
      <c r="AQ241" s="38">
        <v>50.599299999999999</v>
      </c>
      <c r="AR241" s="38">
        <v>50.317900000000002</v>
      </c>
      <c r="AS241" s="38"/>
      <c r="AT241" s="38">
        <v>42.110199999999999</v>
      </c>
      <c r="AU241" s="38">
        <v>42.110199999999999</v>
      </c>
      <c r="AV241" s="38">
        <v>42.110199999999999</v>
      </c>
      <c r="AW241" s="38"/>
      <c r="AX241" s="49">
        <v>14.89</v>
      </c>
      <c r="AY241" s="49">
        <v>11.359</v>
      </c>
      <c r="BA241" s="53">
        <f t="shared" si="83"/>
        <v>-2.4066291802451456E-3</v>
      </c>
      <c r="BB241" s="53"/>
      <c r="BD241" s="54"/>
      <c r="BE241" s="54"/>
      <c r="BF241" s="54"/>
      <c r="BG241" s="54"/>
      <c r="BI241" s="54"/>
      <c r="BJ241" s="54"/>
      <c r="BK241" s="54"/>
      <c r="BL241" s="54"/>
      <c r="BN241" s="54"/>
      <c r="BO241" s="54"/>
      <c r="BP241" s="54"/>
      <c r="BQ241" s="54"/>
      <c r="BS241" s="54"/>
      <c r="BT241" s="54"/>
      <c r="BU241" s="54"/>
      <c r="BV241" s="54"/>
      <c r="BX241">
        <f t="shared" si="84"/>
        <v>0</v>
      </c>
      <c r="BY241">
        <f t="shared" si="85"/>
        <v>607576</v>
      </c>
      <c r="BZ241">
        <f t="shared" si="86"/>
        <v>0</v>
      </c>
      <c r="CA241">
        <f t="shared" si="87"/>
        <v>445960</v>
      </c>
      <c r="CB241">
        <f t="shared" si="88"/>
        <v>161616</v>
      </c>
      <c r="CC241">
        <f t="shared" si="89"/>
        <v>1.290000000000191E-2</v>
      </c>
      <c r="CD241">
        <f t="shared" si="90"/>
        <v>8.4999999999979536E-3</v>
      </c>
      <c r="CE241">
        <f t="shared" si="91"/>
        <v>1.290000000000191E-2</v>
      </c>
      <c r="CF241">
        <f t="shared" si="92"/>
        <v>0</v>
      </c>
      <c r="CG241">
        <f t="shared" si="93"/>
        <v>0</v>
      </c>
      <c r="CH241">
        <f t="shared" si="94"/>
        <v>0</v>
      </c>
      <c r="CI241">
        <f t="shared" si="95"/>
        <v>0</v>
      </c>
      <c r="CJ241">
        <f t="shared" si="96"/>
        <v>0</v>
      </c>
    </row>
    <row r="242" spans="1:88" outlineLevel="1" x14ac:dyDescent="0.15">
      <c r="A242" s="8"/>
      <c r="B242" s="8" t="s">
        <v>175</v>
      </c>
      <c r="C242" s="9" t="s">
        <v>256</v>
      </c>
      <c r="D242" s="8">
        <v>5255920</v>
      </c>
      <c r="E242" s="10">
        <v>20</v>
      </c>
      <c r="F242" s="9">
        <v>1</v>
      </c>
      <c r="G242" s="9"/>
      <c r="I242" s="22" t="str">
        <f t="shared" si="73"/>
        <v>·</v>
      </c>
      <c r="J242" s="23">
        <f t="shared" si="74"/>
        <v>27.621962282530937</v>
      </c>
      <c r="K242" s="23">
        <f t="shared" si="75"/>
        <v>20.815736921414327</v>
      </c>
      <c r="L242" s="23">
        <f t="shared" si="76"/>
        <v>4.7843909344130049</v>
      </c>
      <c r="M242" s="23">
        <f t="shared" si="97"/>
        <v>2.0215406627193717</v>
      </c>
      <c r="N242" s="23">
        <f t="shared" si="77"/>
        <v>27.621962282530937</v>
      </c>
      <c r="O242" s="25">
        <v>5255920</v>
      </c>
      <c r="P242" s="26">
        <v>145178824</v>
      </c>
      <c r="Q242" s="26">
        <v>109405848</v>
      </c>
      <c r="R242" s="26">
        <v>25146376</v>
      </c>
      <c r="S242" s="26">
        <v>10625056</v>
      </c>
      <c r="T242" s="41">
        <v>41.497300000000003</v>
      </c>
      <c r="U242" s="41">
        <v>44.676299999999998</v>
      </c>
      <c r="V242" s="41">
        <v>44.447499999999998</v>
      </c>
      <c r="W242" s="41"/>
      <c r="X242" s="41">
        <v>34.151400000000002</v>
      </c>
      <c r="Y242" s="41">
        <v>34.151400000000002</v>
      </c>
      <c r="Z242" s="41">
        <v>34.151400000000002</v>
      </c>
      <c r="AA242" s="41"/>
      <c r="AB242" s="50">
        <v>14.125</v>
      </c>
      <c r="AC242" s="50">
        <v>11.156000000000001</v>
      </c>
      <c r="AE242" s="22" t="str">
        <f t="shared" si="78"/>
        <v>·</v>
      </c>
      <c r="AF242" s="23">
        <f t="shared" si="79"/>
        <v>27.740017351862281</v>
      </c>
      <c r="AG242" s="23">
        <f t="shared" si="80"/>
        <v>20.815736921414327</v>
      </c>
      <c r="AH242" s="23">
        <f t="shared" si="81"/>
        <v>4.872748443659721</v>
      </c>
      <c r="AI242" s="23">
        <f t="shared" si="98"/>
        <v>2.0512382228040003</v>
      </c>
      <c r="AJ242" s="23">
        <f t="shared" si="82"/>
        <v>27.740017351862281</v>
      </c>
      <c r="AK242" s="25">
        <v>5255920</v>
      </c>
      <c r="AL242" s="26">
        <v>145799312</v>
      </c>
      <c r="AM242" s="26">
        <v>109405848</v>
      </c>
      <c r="AN242" s="26">
        <v>25610776</v>
      </c>
      <c r="AO242" s="26">
        <v>10781144</v>
      </c>
      <c r="AP242" s="41">
        <v>41.511299999999999</v>
      </c>
      <c r="AQ242" s="41">
        <v>44.689700000000002</v>
      </c>
      <c r="AR242" s="41">
        <v>44.478099999999998</v>
      </c>
      <c r="AS242" s="41"/>
      <c r="AT242" s="41">
        <v>34.151400000000002</v>
      </c>
      <c r="AU242" s="41">
        <v>34.151400000000002</v>
      </c>
      <c r="AV242" s="41">
        <v>34.151400000000002</v>
      </c>
      <c r="AW242" s="41"/>
      <c r="AX242" s="50">
        <v>14.202999999999999</v>
      </c>
      <c r="AY242" s="50">
        <v>11.311999999999999</v>
      </c>
      <c r="BA242" s="55">
        <f t="shared" si="83"/>
        <v>-3.2071197386859263E-3</v>
      </c>
      <c r="BB242" s="55"/>
      <c r="BD242" s="56"/>
      <c r="BE242" s="56"/>
      <c r="BF242" s="56"/>
      <c r="BG242" s="56"/>
      <c r="BI242" s="56"/>
      <c r="BJ242" s="56"/>
      <c r="BK242" s="56"/>
      <c r="BL242" s="56"/>
      <c r="BN242" s="56"/>
      <c r="BO242" s="56"/>
      <c r="BP242" s="56"/>
      <c r="BQ242" s="56"/>
      <c r="BS242" s="56"/>
      <c r="BT242" s="56"/>
      <c r="BU242" s="56"/>
      <c r="BV242" s="56"/>
      <c r="BX242">
        <f t="shared" si="84"/>
        <v>0</v>
      </c>
      <c r="BY242">
        <f t="shared" si="85"/>
        <v>620488</v>
      </c>
      <c r="BZ242">
        <f t="shared" si="86"/>
        <v>0</v>
      </c>
      <c r="CA242">
        <f t="shared" si="87"/>
        <v>464400</v>
      </c>
      <c r="CB242">
        <f t="shared" si="88"/>
        <v>156088</v>
      </c>
      <c r="CC242">
        <f t="shared" si="89"/>
        <v>1.3999999999995794E-2</v>
      </c>
      <c r="CD242">
        <f t="shared" si="90"/>
        <v>1.3400000000004297E-2</v>
      </c>
      <c r="CE242">
        <f t="shared" si="91"/>
        <v>3.0599999999999739E-2</v>
      </c>
      <c r="CF242">
        <f t="shared" si="92"/>
        <v>0</v>
      </c>
      <c r="CG242">
        <f t="shared" si="93"/>
        <v>0</v>
      </c>
      <c r="CH242">
        <f t="shared" si="94"/>
        <v>0</v>
      </c>
      <c r="CI242">
        <f t="shared" si="95"/>
        <v>0</v>
      </c>
      <c r="CJ242">
        <f t="shared" si="96"/>
        <v>0</v>
      </c>
    </row>
    <row r="243" spans="1:88" outlineLevel="1" x14ac:dyDescent="0.15">
      <c r="A243" s="5"/>
      <c r="B243" s="5" t="s">
        <v>175</v>
      </c>
      <c r="C243" s="6" t="s">
        <v>257</v>
      </c>
      <c r="D243" s="5">
        <v>5255920</v>
      </c>
      <c r="E243" s="7">
        <v>20</v>
      </c>
      <c r="F243" s="6">
        <v>1</v>
      </c>
      <c r="G243" s="6"/>
      <c r="I243" s="17" t="str">
        <f t="shared" si="73"/>
        <v>·</v>
      </c>
      <c r="J243" s="18">
        <f t="shared" si="74"/>
        <v>24.927281998203931</v>
      </c>
      <c r="K243" s="18">
        <f t="shared" si="75"/>
        <v>20.815736921414327</v>
      </c>
      <c r="L243" s="18">
        <f t="shared" si="76"/>
        <v>2.8920044445120929</v>
      </c>
      <c r="M243" s="18">
        <f t="shared" si="97"/>
        <v>1.2192468682932769</v>
      </c>
      <c r="N243" s="18">
        <f t="shared" si="77"/>
        <v>24.927281998203931</v>
      </c>
      <c r="O243" s="20">
        <v>5255920</v>
      </c>
      <c r="P243" s="21">
        <v>131015800</v>
      </c>
      <c r="Q243" s="21">
        <v>109405848</v>
      </c>
      <c r="R243" s="21">
        <v>15200144</v>
      </c>
      <c r="S243" s="21">
        <v>6408264</v>
      </c>
      <c r="T243" s="38">
        <v>35.845399999999998</v>
      </c>
      <c r="U243" s="38">
        <v>40.283099999999997</v>
      </c>
      <c r="V243" s="38">
        <v>39.804699999999997</v>
      </c>
      <c r="W243" s="38"/>
      <c r="X243" s="38">
        <v>28.130800000000001</v>
      </c>
      <c r="Y243" s="38">
        <v>28.130800000000001</v>
      </c>
      <c r="Z243" s="38">
        <v>28.130800000000001</v>
      </c>
      <c r="AA243" s="38"/>
      <c r="AB243" s="49">
        <v>13.89</v>
      </c>
      <c r="AC243" s="49">
        <v>11.218</v>
      </c>
      <c r="AE243" s="17" t="str">
        <f t="shared" si="78"/>
        <v>·</v>
      </c>
      <c r="AF243" s="18">
        <f t="shared" si="79"/>
        <v>25.051780087976987</v>
      </c>
      <c r="AG243" s="18">
        <f t="shared" si="80"/>
        <v>20.815736921414327</v>
      </c>
      <c r="AH243" s="18">
        <f t="shared" si="81"/>
        <v>2.9840499855401146</v>
      </c>
      <c r="AI243" s="18">
        <f t="shared" si="98"/>
        <v>1.2516994170383111</v>
      </c>
      <c r="AJ243" s="18">
        <f t="shared" si="82"/>
        <v>25.051780087976987</v>
      </c>
      <c r="AK243" s="20">
        <v>5255920</v>
      </c>
      <c r="AL243" s="21">
        <v>131670152</v>
      </c>
      <c r="AM243" s="21">
        <v>109405848</v>
      </c>
      <c r="AN243" s="21">
        <v>15683928</v>
      </c>
      <c r="AO243" s="21">
        <v>6578832</v>
      </c>
      <c r="AP243" s="38">
        <v>35.881900000000002</v>
      </c>
      <c r="AQ243" s="38">
        <v>40.305300000000003</v>
      </c>
      <c r="AR243" s="38">
        <v>39.842799999999997</v>
      </c>
      <c r="AS243" s="38"/>
      <c r="AT243" s="38">
        <v>28.130800000000001</v>
      </c>
      <c r="AU243" s="38">
        <v>28.130800000000001</v>
      </c>
      <c r="AV243" s="38">
        <v>28.130800000000001</v>
      </c>
      <c r="AW243" s="38"/>
      <c r="AX243" s="49">
        <v>14.452999999999999</v>
      </c>
      <c r="AY243" s="49">
        <v>11</v>
      </c>
      <c r="BA243" s="53">
        <f t="shared" si="83"/>
        <v>-4.1499318123578988E-3</v>
      </c>
      <c r="BB243" s="53"/>
      <c r="BD243" s="54"/>
      <c r="BE243" s="54"/>
      <c r="BF243" s="54"/>
      <c r="BG243" s="54"/>
      <c r="BI243" s="54"/>
      <c r="BJ243" s="54"/>
      <c r="BK243" s="54"/>
      <c r="BL243" s="54"/>
      <c r="BN243" s="54"/>
      <c r="BO243" s="54"/>
      <c r="BP243" s="54"/>
      <c r="BQ243" s="54"/>
      <c r="BS243" s="54"/>
      <c r="BT243" s="54"/>
      <c r="BU243" s="54"/>
      <c r="BV243" s="54"/>
      <c r="BX243">
        <f t="shared" si="84"/>
        <v>0</v>
      </c>
      <c r="BY243">
        <f t="shared" si="85"/>
        <v>654352</v>
      </c>
      <c r="BZ243">
        <f t="shared" si="86"/>
        <v>0</v>
      </c>
      <c r="CA243">
        <f t="shared" si="87"/>
        <v>483784</v>
      </c>
      <c r="CB243">
        <f t="shared" si="88"/>
        <v>170568</v>
      </c>
      <c r="CC243">
        <f t="shared" si="89"/>
        <v>3.6500000000003752E-2</v>
      </c>
      <c r="CD243">
        <f t="shared" si="90"/>
        <v>2.2200000000005105E-2</v>
      </c>
      <c r="CE243">
        <f t="shared" si="91"/>
        <v>3.8100000000000023E-2</v>
      </c>
      <c r="CF243">
        <f t="shared" si="92"/>
        <v>0</v>
      </c>
      <c r="CG243">
        <f t="shared" si="93"/>
        <v>0</v>
      </c>
      <c r="CH243">
        <f t="shared" si="94"/>
        <v>0</v>
      </c>
      <c r="CI243">
        <f t="shared" si="95"/>
        <v>0</v>
      </c>
      <c r="CJ243">
        <f t="shared" si="96"/>
        <v>0</v>
      </c>
    </row>
    <row r="244" spans="1:88" outlineLevel="1" x14ac:dyDescent="0.15">
      <c r="A244" s="8"/>
      <c r="B244" s="14" t="s">
        <v>175</v>
      </c>
      <c r="C244" s="15" t="s">
        <v>258</v>
      </c>
      <c r="D244" s="14">
        <v>5255920</v>
      </c>
      <c r="E244" s="16">
        <v>20</v>
      </c>
      <c r="F244" s="15">
        <v>1</v>
      </c>
      <c r="G244" s="15"/>
      <c r="I244" s="32" t="str">
        <f t="shared" si="73"/>
        <v>·</v>
      </c>
      <c r="J244" s="33">
        <f t="shared" si="74"/>
        <v>22.943859115055023</v>
      </c>
      <c r="K244" s="33">
        <f t="shared" si="75"/>
        <v>20.815736921414327</v>
      </c>
      <c r="L244" s="33">
        <f t="shared" si="76"/>
        <v>1.5013211768824488</v>
      </c>
      <c r="M244" s="33">
        <f t="shared" si="97"/>
        <v>0.62650725277401487</v>
      </c>
      <c r="N244" s="33">
        <f t="shared" si="77"/>
        <v>22.943859115055023</v>
      </c>
      <c r="O244" s="35">
        <v>5255920</v>
      </c>
      <c r="P244" s="36">
        <v>120591088</v>
      </c>
      <c r="Q244" s="36">
        <v>109405848</v>
      </c>
      <c r="R244" s="36">
        <v>7890824</v>
      </c>
      <c r="S244" s="36">
        <v>3292872</v>
      </c>
      <c r="T244" s="47">
        <v>29.314399999999999</v>
      </c>
      <c r="U244" s="47">
        <v>36.035600000000002</v>
      </c>
      <c r="V244" s="47">
        <v>35.3127</v>
      </c>
      <c r="W244" s="47"/>
      <c r="X244" s="47">
        <v>21.686399999999999</v>
      </c>
      <c r="Y244" s="47">
        <v>21.686399999999999</v>
      </c>
      <c r="Z244" s="47">
        <v>21.686399999999999</v>
      </c>
      <c r="AA244" s="47"/>
      <c r="AB244" s="52">
        <v>13.734</v>
      </c>
      <c r="AC244" s="52">
        <v>10.936999999999999</v>
      </c>
      <c r="AE244" s="32" t="str">
        <f t="shared" si="78"/>
        <v>·</v>
      </c>
      <c r="AF244" s="33">
        <f t="shared" si="79"/>
        <v>23.061080077322334</v>
      </c>
      <c r="AG244" s="33">
        <f t="shared" si="80"/>
        <v>20.815736921414327</v>
      </c>
      <c r="AH244" s="33">
        <f t="shared" si="81"/>
        <v>1.5881824685307235</v>
      </c>
      <c r="AI244" s="33">
        <f t="shared" si="98"/>
        <v>0.65686692339305008</v>
      </c>
      <c r="AJ244" s="33">
        <f t="shared" si="82"/>
        <v>23.061080077322334</v>
      </c>
      <c r="AK244" s="35">
        <v>5255920</v>
      </c>
      <c r="AL244" s="36">
        <v>121207192</v>
      </c>
      <c r="AM244" s="36">
        <v>109405848</v>
      </c>
      <c r="AN244" s="36">
        <v>8347360</v>
      </c>
      <c r="AO244" s="36">
        <v>3452440</v>
      </c>
      <c r="AP244" s="47">
        <v>29.4847</v>
      </c>
      <c r="AQ244" s="47">
        <v>36.063600000000001</v>
      </c>
      <c r="AR244" s="47">
        <v>35.340000000000003</v>
      </c>
      <c r="AS244" s="47"/>
      <c r="AT244" s="47">
        <v>21.686399999999999</v>
      </c>
      <c r="AU244" s="47">
        <v>21.686399999999999</v>
      </c>
      <c r="AV244" s="47">
        <v>21.686399999999999</v>
      </c>
      <c r="AW244" s="47"/>
      <c r="AX244" s="52">
        <v>13.89</v>
      </c>
      <c r="AY244" s="52">
        <v>10.75</v>
      </c>
      <c r="BA244" s="59">
        <f t="shared" si="83"/>
        <v>-4.611592896547223E-3</v>
      </c>
      <c r="BB244" s="59"/>
      <c r="BD244" s="60"/>
      <c r="BE244" s="60"/>
      <c r="BF244" s="60"/>
      <c r="BG244" s="60"/>
      <c r="BI244" s="60"/>
      <c r="BJ244" s="60"/>
      <c r="BK244" s="60"/>
      <c r="BL244" s="60"/>
      <c r="BN244" s="60"/>
      <c r="BO244" s="60"/>
      <c r="BP244" s="60"/>
      <c r="BQ244" s="60"/>
      <c r="BS244" s="60"/>
      <c r="BT244" s="60"/>
      <c r="BU244" s="60"/>
      <c r="BV244" s="60"/>
      <c r="BX244">
        <f t="shared" si="84"/>
        <v>0</v>
      </c>
      <c r="BY244">
        <f t="shared" si="85"/>
        <v>616104</v>
      </c>
      <c r="BZ244">
        <f t="shared" si="86"/>
        <v>0</v>
      </c>
      <c r="CA244">
        <f t="shared" si="87"/>
        <v>456536</v>
      </c>
      <c r="CB244">
        <f t="shared" si="88"/>
        <v>159568</v>
      </c>
      <c r="CC244">
        <f t="shared" si="89"/>
        <v>0.17030000000000101</v>
      </c>
      <c r="CD244">
        <f t="shared" si="90"/>
        <v>2.7999999999998693E-2</v>
      </c>
      <c r="CE244">
        <f t="shared" si="91"/>
        <v>2.7300000000003877E-2</v>
      </c>
      <c r="CF244">
        <f t="shared" si="92"/>
        <v>0</v>
      </c>
      <c r="CG244">
        <f t="shared" si="93"/>
        <v>0</v>
      </c>
      <c r="CH244">
        <f t="shared" si="94"/>
        <v>0</v>
      </c>
      <c r="CI244">
        <f t="shared" si="95"/>
        <v>0</v>
      </c>
      <c r="CJ244">
        <f t="shared" si="96"/>
        <v>0</v>
      </c>
    </row>
    <row r="245" spans="1:88" x14ac:dyDescent="0.15">
      <c r="A245" s="5"/>
      <c r="B245" s="5" t="s">
        <v>176</v>
      </c>
      <c r="C245" s="6" t="s">
        <v>254</v>
      </c>
      <c r="D245" s="5">
        <v>7148516</v>
      </c>
      <c r="E245" s="7">
        <v>21</v>
      </c>
      <c r="F245" s="6">
        <v>1</v>
      </c>
      <c r="G245" s="6"/>
      <c r="I245" s="17" t="str">
        <f t="shared" si="73"/>
        <v>·</v>
      </c>
      <c r="J245" s="18">
        <f t="shared" si="74"/>
        <v>33.578080821250175</v>
      </c>
      <c r="K245" s="18">
        <f t="shared" si="75"/>
        <v>20.74781842832834</v>
      </c>
      <c r="L245" s="18">
        <f t="shared" si="76"/>
        <v>8.9320099444416154</v>
      </c>
      <c r="M245" s="18">
        <f t="shared" si="97"/>
        <v>3.8979704319050277</v>
      </c>
      <c r="N245" s="18">
        <f t="shared" si="77"/>
        <v>33.578080821250175</v>
      </c>
      <c r="O245" s="20">
        <v>7148516</v>
      </c>
      <c r="P245" s="21">
        <v>240033448</v>
      </c>
      <c r="Q245" s="21">
        <v>148316112</v>
      </c>
      <c r="R245" s="21">
        <v>63850616</v>
      </c>
      <c r="S245" s="21">
        <v>27864704</v>
      </c>
      <c r="T245" s="38">
        <v>53.363500000000002</v>
      </c>
      <c r="U245" s="38">
        <v>55.131300000000003</v>
      </c>
      <c r="V245" s="38">
        <v>55.027099999999997</v>
      </c>
      <c r="W245" s="38"/>
      <c r="X245" s="38">
        <v>48.130800000000001</v>
      </c>
      <c r="Y245" s="38">
        <v>48.130800000000001</v>
      </c>
      <c r="Z245" s="38">
        <v>48.130800000000001</v>
      </c>
      <c r="AA245" s="38"/>
      <c r="AB245" s="49">
        <v>19.670999999999999</v>
      </c>
      <c r="AC245" s="49">
        <v>15.593</v>
      </c>
      <c r="AE245" s="17" t="str">
        <f t="shared" si="78"/>
        <v>·</v>
      </c>
      <c r="AF245" s="18">
        <f t="shared" si="79"/>
        <v>33.676892938338533</v>
      </c>
      <c r="AG245" s="18">
        <f t="shared" si="80"/>
        <v>20.74781842832834</v>
      </c>
      <c r="AH245" s="18">
        <f t="shared" si="81"/>
        <v>8.9949130700693676</v>
      </c>
      <c r="AI245" s="18">
        <f t="shared" si="98"/>
        <v>3.9338794233656329</v>
      </c>
      <c r="AJ245" s="18">
        <f t="shared" si="82"/>
        <v>33.676892938338533</v>
      </c>
      <c r="AK245" s="20">
        <v>7148516</v>
      </c>
      <c r="AL245" s="21">
        <v>240739808</v>
      </c>
      <c r="AM245" s="21">
        <v>148316112</v>
      </c>
      <c r="AN245" s="21">
        <v>64300280</v>
      </c>
      <c r="AO245" s="21">
        <v>28121400</v>
      </c>
      <c r="AP245" s="38">
        <v>53.3675</v>
      </c>
      <c r="AQ245" s="38">
        <v>55.136299999999999</v>
      </c>
      <c r="AR245" s="38">
        <v>55.037199999999999</v>
      </c>
      <c r="AS245" s="38"/>
      <c r="AT245" s="38">
        <v>48.130800000000001</v>
      </c>
      <c r="AU245" s="38">
        <v>48.130800000000001</v>
      </c>
      <c r="AV245" s="38">
        <v>48.130800000000001</v>
      </c>
      <c r="AW245" s="38"/>
      <c r="AX245" s="49">
        <v>20.077999999999999</v>
      </c>
      <c r="AY245" s="49">
        <v>15.468</v>
      </c>
      <c r="BA245" s="53">
        <f t="shared" si="83"/>
        <v>-1.8129872781249556E-3</v>
      </c>
      <c r="BB245" s="53">
        <f t="array" ref="BB245">AVERAGE(AM245:AM249/AL245:AL249)-AVERAGE(Q245:Q249/P245:P249)</f>
        <v>-3.4400903593369003E-3</v>
      </c>
      <c r="BD245" s="54">
        <f>IF(OR(ISBLANK(R245:R249),ISBLANK(AN245:AN249),ISBLANK(T245:T249),ISBLANK(AP245:AP249)),"·",bdRateExtend(R245:R249,T245:T249,AN245:AN249,AP245:AP249))</f>
        <v>2.1395026083696145E-2</v>
      </c>
      <c r="BE245" s="54">
        <f>IF(OR(ISBLANK(R245:R249),ISBLANK(AN245:AN249),ISBLANK(U245:U249),ISBLANK(AQ245:AQ249)),"·",bdRateExtend(R245:R249,U245:U249,AN245:AN249,AQ245:AQ249))</f>
        <v>1.8992193532570756E-2</v>
      </c>
      <c r="BF245" s="54">
        <f>IF(OR(ISBLANK(R245:R249),ISBLANK(AN245:AN249),ISBLANK(V245:V249),ISBLANK(AR245:AR249)),"·",bdRateExtend(R245:R249,V245:V249,AN245:AN249,AR245:AR249))</f>
        <v>2.162102918657749E-2</v>
      </c>
      <c r="BG245" s="54" t="str">
        <f>IF(OR(ISBLANK(S245:S249),ISBLANK(AO245:AO249),ISBLANK(W245:W249),ISBLANK(AS245:AS249)),"·",bdRateExtend(S245:S249,W245:W249,AO245:AO249,AS245:AS249))</f>
        <v>·</v>
      </c>
      <c r="BI245" s="54">
        <f>IF(OR(ISBLANK(R245:R249),ISBLANK(AN245:AN249),ISBLANK(X245:X249),ISBLANK(AT245:AT249)),"·",bdRateExtend(R245:R249,X245:X249,AN245:AN249,AT245:AT249))</f>
        <v>2.4488036324246787E-2</v>
      </c>
      <c r="BJ245" s="54">
        <f>IF(OR(ISBLANK(R245:R249),ISBLANK(AN245:AN249),ISBLANK(Y245:Y249),ISBLANK(AU245:AU249)),"·",bdRateExtend(R245:R249,Y245:Y249,AN245:AN249,AU245:AU249))</f>
        <v>2.4488036324246787E-2</v>
      </c>
      <c r="BK245" s="54">
        <f>IF(OR(ISBLANK(R245:R249),ISBLANK(AN245:AN249),ISBLANK(Z245:Z249),ISBLANK(AV245:AV249)),"·",bdRateExtend(R245:R249,Z245:Z249,AN245:AN249,AV245:AV249))</f>
        <v>2.4488036324246787E-2</v>
      </c>
      <c r="BL245" s="54" t="str">
        <f>IF(OR(ISBLANK(S245:S249),ISBLANK(AO245:AO249),ISBLANK(AA245:AA249),ISBLANK(AW245:AW249)),"·",bdRateExtend(S245:S249,AA245:AA249,AO245:AO249,AW245:AW249))</f>
        <v>·</v>
      </c>
      <c r="BN245" s="54">
        <f>IF(OR(ISBLANK(P245:P249),ISBLANK(AL245:AL249),ISBLANK(T245:T249),ISBLANK(AP245:AP249)),"·",bdRateExtend(P245:P249,T245:T249,AL245:AL249,AP245:AP249))</f>
        <v>4.0487777828628335E-3</v>
      </c>
      <c r="BO245" s="54">
        <f>IF(OR(ISBLANK(P245:P249),ISBLANK(AL245:AL249),ISBLANK(U245:U249),ISBLANK(AQ245:AQ249)),"·",bdRateExtend(P245:P249,U245:U249,AL245:AL249,AQ245:AQ249))</f>
        <v>3.8185702755793027E-3</v>
      </c>
      <c r="BP245" s="54">
        <f>IF(OR(ISBLANK(P245:P249),ISBLANK(AL245:AL249),ISBLANK(V245:V249),ISBLANK(AR245:AR249)),"·",bdRateExtend(P245:P249,V245:V249,AL245:AL249,AR245:AR249))</f>
        <v>3.9974970387541831E-3</v>
      </c>
      <c r="BQ245" s="54" t="str">
        <f>IF(OR(ISBLANK(P245:P249),ISBLANK(AL245:AL249),ISBLANK(W245:W249),ISBLANK(AS245:AS249)),"·",bdRateExtend(P245:P249,W245:W249,AL245:AL249,AS245:AS249))</f>
        <v>·</v>
      </c>
      <c r="BS245" s="54">
        <f>IF(OR(ISBLANK(P245:P249),ISBLANK(AL245:AL249),ISBLANK(X245:X249),ISBLANK(AT245:AT249)),"·",bdRateExtend(P245:P249,X245:X249,AL245:AL249,AT245:AT249))</f>
        <v>4.4603279605777146E-3</v>
      </c>
      <c r="BT245" s="54">
        <f>IF(OR(ISBLANK(P245:P249),ISBLANK(AL245:AL249),ISBLANK(Y245:Y249),ISBLANK(AU245:AU249)),"·",bdRateExtend(P245:P249,Y245:Y249,AL245:AL249,AU245:AU249))</f>
        <v>4.4603279605777146E-3</v>
      </c>
      <c r="BU245" s="54">
        <f>IF(OR(ISBLANK(P245:P249),ISBLANK(AL245:AL249),ISBLANK(Z245:Z249),ISBLANK(AV245:AV249)),"·",bdRateExtend(P245:P249,Z245:Z249,AL245:AL249,AV245:AV249))</f>
        <v>4.4603279605777146E-3</v>
      </c>
      <c r="BV245" s="54" t="str">
        <f>IF(OR(ISBLANK(P245:P249),ISBLANK(AL245:AL249),ISBLANK(AA245:AA249),ISBLANK(AW245:AW249)),"·",bdRateExtend(P245:P249,AA245:AA249,AL245:AL249,AW245:AW249))</f>
        <v>·</v>
      </c>
      <c r="BX245">
        <f t="shared" si="84"/>
        <v>0</v>
      </c>
      <c r="BY245">
        <f t="shared" si="85"/>
        <v>706360</v>
      </c>
      <c r="BZ245">
        <f t="shared" si="86"/>
        <v>0</v>
      </c>
      <c r="CA245">
        <f t="shared" si="87"/>
        <v>449664</v>
      </c>
      <c r="CB245">
        <f t="shared" si="88"/>
        <v>256696</v>
      </c>
      <c r="CC245">
        <f t="shared" si="89"/>
        <v>3.9999999999977831E-3</v>
      </c>
      <c r="CD245">
        <f t="shared" si="90"/>
        <v>4.9999999999954525E-3</v>
      </c>
      <c r="CE245">
        <f t="shared" si="91"/>
        <v>1.010000000000133E-2</v>
      </c>
      <c r="CF245">
        <f t="shared" si="92"/>
        <v>0</v>
      </c>
      <c r="CG245">
        <f t="shared" si="93"/>
        <v>0</v>
      </c>
      <c r="CH245">
        <f t="shared" si="94"/>
        <v>0</v>
      </c>
      <c r="CI245">
        <f t="shared" si="95"/>
        <v>0</v>
      </c>
      <c r="CJ245">
        <f t="shared" si="96"/>
        <v>0</v>
      </c>
    </row>
    <row r="246" spans="1:88" outlineLevel="1" x14ac:dyDescent="0.15">
      <c r="A246" s="8"/>
      <c r="B246" s="8" t="s">
        <v>176</v>
      </c>
      <c r="C246" s="9" t="s">
        <v>255</v>
      </c>
      <c r="D246" s="8">
        <v>7148516</v>
      </c>
      <c r="E246" s="10">
        <v>21</v>
      </c>
      <c r="F246" s="9">
        <v>1</v>
      </c>
      <c r="G246" s="9"/>
      <c r="I246" s="22" t="str">
        <f t="shared" si="73"/>
        <v>·</v>
      </c>
      <c r="J246" s="23">
        <f t="shared" si="74"/>
        <v>30.176471871924186</v>
      </c>
      <c r="K246" s="23">
        <f t="shared" si="75"/>
        <v>20.74781842832834</v>
      </c>
      <c r="L246" s="23">
        <f t="shared" si="76"/>
        <v>6.4814078894136911</v>
      </c>
      <c r="M246" s="23">
        <f t="shared" si="97"/>
        <v>2.9469624184935728</v>
      </c>
      <c r="N246" s="23">
        <f t="shared" si="77"/>
        <v>30.176471871924186</v>
      </c>
      <c r="O246" s="25">
        <v>7148516</v>
      </c>
      <c r="P246" s="26">
        <v>215716992</v>
      </c>
      <c r="Q246" s="26">
        <v>148316112</v>
      </c>
      <c r="R246" s="26">
        <v>46332448</v>
      </c>
      <c r="S246" s="26">
        <v>21066408</v>
      </c>
      <c r="T246" s="41">
        <v>48.6402</v>
      </c>
      <c r="U246" s="41">
        <v>50.680199999999999</v>
      </c>
      <c r="V246" s="41">
        <v>50.400799999999997</v>
      </c>
      <c r="W246" s="41"/>
      <c r="X246" s="41">
        <v>42.110199999999999</v>
      </c>
      <c r="Y246" s="41">
        <v>42.110199999999999</v>
      </c>
      <c r="Z246" s="41">
        <v>42.110199999999999</v>
      </c>
      <c r="AA246" s="41"/>
      <c r="AB246" s="50">
        <v>19.545999999999999</v>
      </c>
      <c r="AC246" s="50">
        <v>15.265000000000001</v>
      </c>
      <c r="AE246" s="22" t="str">
        <f t="shared" si="78"/>
        <v>·</v>
      </c>
      <c r="AF246" s="23">
        <f t="shared" si="79"/>
        <v>30.294885260101537</v>
      </c>
      <c r="AG246" s="23">
        <f t="shared" si="80"/>
        <v>20.74781842832834</v>
      </c>
      <c r="AH246" s="23">
        <f t="shared" si="81"/>
        <v>6.5585662814491847</v>
      </c>
      <c r="AI246" s="23">
        <f t="shared" si="98"/>
        <v>2.9882174146354292</v>
      </c>
      <c r="AJ246" s="23">
        <f t="shared" si="82"/>
        <v>30.294885260101537</v>
      </c>
      <c r="AK246" s="25">
        <v>7148516</v>
      </c>
      <c r="AL246" s="26">
        <v>216563472</v>
      </c>
      <c r="AM246" s="26">
        <v>148316112</v>
      </c>
      <c r="AN246" s="26">
        <v>46884016</v>
      </c>
      <c r="AO246" s="26">
        <v>21361320</v>
      </c>
      <c r="AP246" s="41">
        <v>48.645899999999997</v>
      </c>
      <c r="AQ246" s="41">
        <v>50.6875</v>
      </c>
      <c r="AR246" s="41">
        <v>50.413800000000002</v>
      </c>
      <c r="AS246" s="41"/>
      <c r="AT246" s="41">
        <v>42.110199999999999</v>
      </c>
      <c r="AU246" s="41">
        <v>42.110199999999999</v>
      </c>
      <c r="AV246" s="41">
        <v>42.110199999999999</v>
      </c>
      <c r="AW246" s="41"/>
      <c r="AX246" s="50">
        <v>19.780999999999999</v>
      </c>
      <c r="AY246" s="50">
        <v>15.311999999999999</v>
      </c>
      <c r="BA246" s="55">
        <f t="shared" si="83"/>
        <v>-2.6874195508048704E-3</v>
      </c>
      <c r="BB246" s="55"/>
      <c r="BD246" s="56"/>
      <c r="BE246" s="56"/>
      <c r="BF246" s="56"/>
      <c r="BG246" s="56"/>
      <c r="BI246" s="56"/>
      <c r="BJ246" s="56"/>
      <c r="BK246" s="56"/>
      <c r="BL246" s="56"/>
      <c r="BN246" s="56"/>
      <c r="BO246" s="56"/>
      <c r="BP246" s="56"/>
      <c r="BQ246" s="56"/>
      <c r="BS246" s="56"/>
      <c r="BT246" s="56"/>
      <c r="BU246" s="56"/>
      <c r="BV246" s="56"/>
      <c r="BX246">
        <f t="shared" si="84"/>
        <v>0</v>
      </c>
      <c r="BY246">
        <f t="shared" si="85"/>
        <v>846480</v>
      </c>
      <c r="BZ246">
        <f t="shared" si="86"/>
        <v>0</v>
      </c>
      <c r="CA246">
        <f t="shared" si="87"/>
        <v>551568</v>
      </c>
      <c r="CB246">
        <f t="shared" si="88"/>
        <v>294912</v>
      </c>
      <c r="CC246">
        <f t="shared" si="89"/>
        <v>5.6999999999973738E-3</v>
      </c>
      <c r="CD246">
        <f t="shared" si="90"/>
        <v>7.3000000000007503E-3</v>
      </c>
      <c r="CE246">
        <f t="shared" si="91"/>
        <v>1.300000000000523E-2</v>
      </c>
      <c r="CF246">
        <f t="shared" si="92"/>
        <v>0</v>
      </c>
      <c r="CG246">
        <f t="shared" si="93"/>
        <v>0</v>
      </c>
      <c r="CH246">
        <f t="shared" si="94"/>
        <v>0</v>
      </c>
      <c r="CI246">
        <f t="shared" si="95"/>
        <v>0</v>
      </c>
      <c r="CJ246">
        <f t="shared" si="96"/>
        <v>0</v>
      </c>
    </row>
    <row r="247" spans="1:88" outlineLevel="1" x14ac:dyDescent="0.15">
      <c r="A247" s="5"/>
      <c r="B247" s="5" t="s">
        <v>176</v>
      </c>
      <c r="C247" s="6" t="s">
        <v>256</v>
      </c>
      <c r="D247" s="5">
        <v>7148516</v>
      </c>
      <c r="E247" s="7">
        <v>21</v>
      </c>
      <c r="F247" s="6">
        <v>1</v>
      </c>
      <c r="G247" s="6"/>
      <c r="I247" s="17" t="str">
        <f t="shared" si="73"/>
        <v>·</v>
      </c>
      <c r="J247" s="18">
        <f t="shared" si="74"/>
        <v>26.428520828658705</v>
      </c>
      <c r="K247" s="18">
        <f t="shared" si="75"/>
        <v>20.74781842832834</v>
      </c>
      <c r="L247" s="18">
        <f t="shared" si="76"/>
        <v>3.8056995326022913</v>
      </c>
      <c r="M247" s="18">
        <f t="shared" si="97"/>
        <v>1.8747197320394891</v>
      </c>
      <c r="N247" s="18">
        <f t="shared" si="77"/>
        <v>26.428520828658705</v>
      </c>
      <c r="O247" s="20">
        <v>7148516</v>
      </c>
      <c r="P247" s="21">
        <v>188924704</v>
      </c>
      <c r="Q247" s="21">
        <v>148316112</v>
      </c>
      <c r="R247" s="21">
        <v>27205104</v>
      </c>
      <c r="S247" s="21">
        <v>13401464</v>
      </c>
      <c r="T247" s="38">
        <v>41.628300000000003</v>
      </c>
      <c r="U247" s="38">
        <v>45.064799999999998</v>
      </c>
      <c r="V247" s="38">
        <v>44.784199999999998</v>
      </c>
      <c r="W247" s="38"/>
      <c r="X247" s="38">
        <v>34.151400000000002</v>
      </c>
      <c r="Y247" s="38">
        <v>34.151400000000002</v>
      </c>
      <c r="Z247" s="38">
        <v>34.151400000000002</v>
      </c>
      <c r="AA247" s="38"/>
      <c r="AB247" s="49">
        <v>18.937000000000001</v>
      </c>
      <c r="AC247" s="49">
        <v>15.045999999999999</v>
      </c>
      <c r="AE247" s="17" t="str">
        <f t="shared" si="78"/>
        <v>·</v>
      </c>
      <c r="AF247" s="18">
        <f t="shared" si="79"/>
        <v>26.548076831610924</v>
      </c>
      <c r="AG247" s="18">
        <f t="shared" si="80"/>
        <v>20.74781842832834</v>
      </c>
      <c r="AH247" s="18">
        <f t="shared" si="81"/>
        <v>3.8841225227725586</v>
      </c>
      <c r="AI247" s="18">
        <f t="shared" si="98"/>
        <v>1.9158527448214426</v>
      </c>
      <c r="AJ247" s="18">
        <f t="shared" si="82"/>
        <v>26.548076831610924</v>
      </c>
      <c r="AK247" s="20">
        <v>7148516</v>
      </c>
      <c r="AL247" s="21">
        <v>189779352</v>
      </c>
      <c r="AM247" s="21">
        <v>148316112</v>
      </c>
      <c r="AN247" s="21">
        <v>27765712</v>
      </c>
      <c r="AO247" s="21">
        <v>13695504</v>
      </c>
      <c r="AP247" s="38">
        <v>41.639200000000002</v>
      </c>
      <c r="AQ247" s="38">
        <v>45.090699999999998</v>
      </c>
      <c r="AR247" s="38">
        <v>44.809199999999997</v>
      </c>
      <c r="AS247" s="38"/>
      <c r="AT247" s="38">
        <v>34.151400000000002</v>
      </c>
      <c r="AU247" s="38">
        <v>34.151400000000002</v>
      </c>
      <c r="AV247" s="38">
        <v>34.151400000000002</v>
      </c>
      <c r="AW247" s="38"/>
      <c r="AX247" s="49">
        <v>19.265000000000001</v>
      </c>
      <c r="AY247" s="49">
        <v>14.718</v>
      </c>
      <c r="BA247" s="53">
        <f t="shared" si="83"/>
        <v>-3.5353946715066531E-3</v>
      </c>
      <c r="BB247" s="53"/>
      <c r="BD247" s="54"/>
      <c r="BE247" s="54"/>
      <c r="BF247" s="54"/>
      <c r="BG247" s="54"/>
      <c r="BI247" s="54"/>
      <c r="BJ247" s="54"/>
      <c r="BK247" s="54"/>
      <c r="BL247" s="54"/>
      <c r="BN247" s="54"/>
      <c r="BO247" s="54"/>
      <c r="BP247" s="54"/>
      <c r="BQ247" s="54"/>
      <c r="BS247" s="54"/>
      <c r="BT247" s="54"/>
      <c r="BU247" s="54"/>
      <c r="BV247" s="54"/>
      <c r="BX247">
        <f t="shared" si="84"/>
        <v>0</v>
      </c>
      <c r="BY247">
        <f t="shared" si="85"/>
        <v>854648</v>
      </c>
      <c r="BZ247">
        <f t="shared" si="86"/>
        <v>0</v>
      </c>
      <c r="CA247">
        <f t="shared" si="87"/>
        <v>560608</v>
      </c>
      <c r="CB247">
        <f t="shared" si="88"/>
        <v>294040</v>
      </c>
      <c r="CC247">
        <f t="shared" si="89"/>
        <v>1.0899999999999466E-2</v>
      </c>
      <c r="CD247">
        <f t="shared" si="90"/>
        <v>2.5900000000000034E-2</v>
      </c>
      <c r="CE247">
        <f t="shared" si="91"/>
        <v>2.4999999999998579E-2</v>
      </c>
      <c r="CF247">
        <f t="shared" si="92"/>
        <v>0</v>
      </c>
      <c r="CG247">
        <f t="shared" si="93"/>
        <v>0</v>
      </c>
      <c r="CH247">
        <f t="shared" si="94"/>
        <v>0</v>
      </c>
      <c r="CI247">
        <f t="shared" si="95"/>
        <v>0</v>
      </c>
      <c r="CJ247">
        <f t="shared" si="96"/>
        <v>0</v>
      </c>
    </row>
    <row r="248" spans="1:88" outlineLevel="1" x14ac:dyDescent="0.15">
      <c r="A248" s="8"/>
      <c r="B248" s="8" t="s">
        <v>176</v>
      </c>
      <c r="C248" s="9" t="s">
        <v>257</v>
      </c>
      <c r="D248" s="8">
        <v>7148516</v>
      </c>
      <c r="E248" s="10">
        <v>21</v>
      </c>
      <c r="F248" s="9">
        <v>1</v>
      </c>
      <c r="G248" s="9"/>
      <c r="I248" s="22" t="str">
        <f t="shared" si="73"/>
        <v>·</v>
      </c>
      <c r="J248" s="23">
        <f t="shared" si="74"/>
        <v>24.126993630566119</v>
      </c>
      <c r="K248" s="23">
        <f t="shared" si="75"/>
        <v>20.74781842832834</v>
      </c>
      <c r="L248" s="23">
        <f t="shared" si="76"/>
        <v>2.2515621424082983</v>
      </c>
      <c r="M248" s="23">
        <f t="shared" si="97"/>
        <v>1.1273299241408987</v>
      </c>
      <c r="N248" s="23">
        <f t="shared" si="77"/>
        <v>24.126993630566119</v>
      </c>
      <c r="O248" s="25">
        <v>7148516</v>
      </c>
      <c r="P248" s="26">
        <v>172472200</v>
      </c>
      <c r="Q248" s="26">
        <v>148316112</v>
      </c>
      <c r="R248" s="26">
        <v>16095328</v>
      </c>
      <c r="S248" s="26">
        <v>8058736</v>
      </c>
      <c r="T248" s="41">
        <v>35.9377</v>
      </c>
      <c r="U248" s="41">
        <v>40.737299999999998</v>
      </c>
      <c r="V248" s="41">
        <v>40.2027</v>
      </c>
      <c r="W248" s="41"/>
      <c r="X248" s="41">
        <v>28.130800000000001</v>
      </c>
      <c r="Y248" s="41">
        <v>28.130800000000001</v>
      </c>
      <c r="Z248" s="41">
        <v>28.130800000000001</v>
      </c>
      <c r="AA248" s="41"/>
      <c r="AB248" s="50">
        <v>18.577999999999999</v>
      </c>
      <c r="AC248" s="50">
        <v>14.718</v>
      </c>
      <c r="AE248" s="22" t="str">
        <f t="shared" si="78"/>
        <v>·</v>
      </c>
      <c r="AF248" s="23">
        <f t="shared" si="79"/>
        <v>24.253217311117439</v>
      </c>
      <c r="AG248" s="23">
        <f t="shared" si="80"/>
        <v>20.74781842832834</v>
      </c>
      <c r="AH248" s="23">
        <f t="shared" si="81"/>
        <v>2.3322177637988082</v>
      </c>
      <c r="AI248" s="23">
        <f t="shared" si="98"/>
        <v>1.172897983301709</v>
      </c>
      <c r="AJ248" s="23">
        <f t="shared" si="82"/>
        <v>24.253217311117439</v>
      </c>
      <c r="AK248" s="25">
        <v>7148516</v>
      </c>
      <c r="AL248" s="26">
        <v>173374512</v>
      </c>
      <c r="AM248" s="26">
        <v>148316112</v>
      </c>
      <c r="AN248" s="26">
        <v>16671896</v>
      </c>
      <c r="AO248" s="26">
        <v>8384480</v>
      </c>
      <c r="AP248" s="41">
        <v>35.987699999999997</v>
      </c>
      <c r="AQ248" s="41">
        <v>40.775100000000002</v>
      </c>
      <c r="AR248" s="41">
        <v>40.236199999999997</v>
      </c>
      <c r="AS248" s="41"/>
      <c r="AT248" s="41">
        <v>28.130800000000001</v>
      </c>
      <c r="AU248" s="41">
        <v>28.130800000000001</v>
      </c>
      <c r="AV248" s="41">
        <v>28.130800000000001</v>
      </c>
      <c r="AW248" s="41"/>
      <c r="AX248" s="50">
        <v>19.170999999999999</v>
      </c>
      <c r="AY248" s="50">
        <v>14.577999999999999</v>
      </c>
      <c r="BA248" s="55">
        <f t="shared" si="83"/>
        <v>-4.4754912317183093E-3</v>
      </c>
      <c r="BB248" s="55"/>
      <c r="BD248" s="56"/>
      <c r="BE248" s="56"/>
      <c r="BF248" s="56"/>
      <c r="BG248" s="56"/>
      <c r="BI248" s="56"/>
      <c r="BJ248" s="56"/>
      <c r="BK248" s="56"/>
      <c r="BL248" s="56"/>
      <c r="BN248" s="56"/>
      <c r="BO248" s="56"/>
      <c r="BP248" s="56"/>
      <c r="BQ248" s="56"/>
      <c r="BS248" s="56"/>
      <c r="BT248" s="56"/>
      <c r="BU248" s="56"/>
      <c r="BV248" s="56"/>
      <c r="BX248">
        <f t="shared" si="84"/>
        <v>0</v>
      </c>
      <c r="BY248">
        <f t="shared" si="85"/>
        <v>902312</v>
      </c>
      <c r="BZ248">
        <f t="shared" si="86"/>
        <v>0</v>
      </c>
      <c r="CA248">
        <f t="shared" si="87"/>
        <v>576568</v>
      </c>
      <c r="CB248">
        <f t="shared" si="88"/>
        <v>325744</v>
      </c>
      <c r="CC248">
        <f t="shared" si="89"/>
        <v>4.9999999999997158E-2</v>
      </c>
      <c r="CD248">
        <f t="shared" si="90"/>
        <v>3.7800000000004275E-2</v>
      </c>
      <c r="CE248">
        <f t="shared" si="91"/>
        <v>3.3499999999996533E-2</v>
      </c>
      <c r="CF248">
        <f t="shared" si="92"/>
        <v>0</v>
      </c>
      <c r="CG248">
        <f t="shared" si="93"/>
        <v>0</v>
      </c>
      <c r="CH248">
        <f t="shared" si="94"/>
        <v>0</v>
      </c>
      <c r="CI248">
        <f t="shared" si="95"/>
        <v>0</v>
      </c>
      <c r="CJ248">
        <f t="shared" si="96"/>
        <v>0</v>
      </c>
    </row>
    <row r="249" spans="1:88" outlineLevel="1" x14ac:dyDescent="0.15">
      <c r="A249" s="11"/>
      <c r="B249" s="11" t="s">
        <v>176</v>
      </c>
      <c r="C249" s="12" t="s">
        <v>258</v>
      </c>
      <c r="D249" s="11">
        <v>7148516</v>
      </c>
      <c r="E249" s="13">
        <v>21</v>
      </c>
      <c r="F249" s="12">
        <v>1</v>
      </c>
      <c r="G249" s="12"/>
      <c r="I249" s="27" t="str">
        <f t="shared" si="73"/>
        <v>·</v>
      </c>
      <c r="J249" s="28">
        <f t="shared" si="74"/>
        <v>22.50929955252251</v>
      </c>
      <c r="K249" s="28">
        <f t="shared" si="75"/>
        <v>20.74781842832834</v>
      </c>
      <c r="L249" s="28">
        <f t="shared" si="76"/>
        <v>1.1648235801668487</v>
      </c>
      <c r="M249" s="28">
        <f t="shared" si="97"/>
        <v>0.59637440833873767</v>
      </c>
      <c r="N249" s="28">
        <f t="shared" si="77"/>
        <v>22.50929955252251</v>
      </c>
      <c r="O249" s="30">
        <v>7148516</v>
      </c>
      <c r="P249" s="31">
        <v>160908088</v>
      </c>
      <c r="Q249" s="31">
        <v>148316112</v>
      </c>
      <c r="R249" s="31">
        <v>8326760</v>
      </c>
      <c r="S249" s="31">
        <v>4263192</v>
      </c>
      <c r="T249" s="44">
        <v>29.489799999999999</v>
      </c>
      <c r="U249" s="44">
        <v>36.135300000000001</v>
      </c>
      <c r="V249" s="44">
        <v>35.448500000000003</v>
      </c>
      <c r="W249" s="44"/>
      <c r="X249" s="44">
        <v>21.686399999999999</v>
      </c>
      <c r="Y249" s="44">
        <v>21.686399999999999</v>
      </c>
      <c r="Z249" s="44">
        <v>21.686399999999999</v>
      </c>
      <c r="AA249" s="44"/>
      <c r="AB249" s="51">
        <v>18.39</v>
      </c>
      <c r="AC249" s="51">
        <v>14.75</v>
      </c>
      <c r="AE249" s="27" t="str">
        <f t="shared" si="78"/>
        <v>·</v>
      </c>
      <c r="AF249" s="28">
        <f t="shared" si="79"/>
        <v>22.624395888601214</v>
      </c>
      <c r="AG249" s="28">
        <f t="shared" si="80"/>
        <v>20.74781842832834</v>
      </c>
      <c r="AH249" s="28">
        <f t="shared" si="81"/>
        <v>1.2341839900757023</v>
      </c>
      <c r="AI249" s="28">
        <f t="shared" si="98"/>
        <v>0.6421103345085889</v>
      </c>
      <c r="AJ249" s="28">
        <f t="shared" si="82"/>
        <v>22.624395888601214</v>
      </c>
      <c r="AK249" s="30">
        <v>7148516</v>
      </c>
      <c r="AL249" s="31">
        <v>161730856</v>
      </c>
      <c r="AM249" s="31">
        <v>148316112</v>
      </c>
      <c r="AN249" s="31">
        <v>8822584</v>
      </c>
      <c r="AO249" s="31">
        <v>4590136</v>
      </c>
      <c r="AP249" s="44">
        <v>29.6982</v>
      </c>
      <c r="AQ249" s="44">
        <v>36.342599999999997</v>
      </c>
      <c r="AR249" s="44">
        <v>35.492199999999997</v>
      </c>
      <c r="AS249" s="44"/>
      <c r="AT249" s="44">
        <v>21.686399999999999</v>
      </c>
      <c r="AU249" s="44">
        <v>21.686399999999999</v>
      </c>
      <c r="AV249" s="44">
        <v>21.686399999999999</v>
      </c>
      <c r="AW249" s="44"/>
      <c r="AX249" s="51">
        <v>18.843</v>
      </c>
      <c r="AY249" s="51">
        <v>14.577999999999999</v>
      </c>
      <c r="BA249" s="57">
        <f t="shared" si="83"/>
        <v>-4.6891590645303793E-3</v>
      </c>
      <c r="BB249" s="57"/>
      <c r="BD249" s="58"/>
      <c r="BE249" s="58"/>
      <c r="BF249" s="58"/>
      <c r="BG249" s="58"/>
      <c r="BI249" s="58"/>
      <c r="BJ249" s="58"/>
      <c r="BK249" s="58"/>
      <c r="BL249" s="58"/>
      <c r="BN249" s="58"/>
      <c r="BO249" s="58"/>
      <c r="BP249" s="58"/>
      <c r="BQ249" s="58"/>
      <c r="BS249" s="58"/>
      <c r="BT249" s="58"/>
      <c r="BU249" s="58"/>
      <c r="BV249" s="58"/>
      <c r="BX249">
        <f t="shared" si="84"/>
        <v>0</v>
      </c>
      <c r="BY249">
        <f t="shared" si="85"/>
        <v>822768</v>
      </c>
      <c r="BZ249">
        <f t="shared" si="86"/>
        <v>0</v>
      </c>
      <c r="CA249">
        <f t="shared" si="87"/>
        <v>495824</v>
      </c>
      <c r="CB249">
        <f t="shared" si="88"/>
        <v>326944</v>
      </c>
      <c r="CC249">
        <f t="shared" si="89"/>
        <v>0.20840000000000103</v>
      </c>
      <c r="CD249">
        <f t="shared" si="90"/>
        <v>0.20729999999999649</v>
      </c>
      <c r="CE249">
        <f t="shared" si="91"/>
        <v>4.3699999999994077E-2</v>
      </c>
      <c r="CF249">
        <f t="shared" si="92"/>
        <v>0</v>
      </c>
      <c r="CG249">
        <f t="shared" si="93"/>
        <v>0</v>
      </c>
      <c r="CH249">
        <f t="shared" si="94"/>
        <v>0</v>
      </c>
      <c r="CI249">
        <f t="shared" si="95"/>
        <v>0</v>
      </c>
      <c r="CJ249">
        <f t="shared" si="96"/>
        <v>0</v>
      </c>
    </row>
    <row r="250" spans="1:88" x14ac:dyDescent="0.15">
      <c r="A250" s="8" t="s">
        <v>262</v>
      </c>
      <c r="B250" s="8" t="s">
        <v>177</v>
      </c>
      <c r="C250" s="9" t="s">
        <v>254</v>
      </c>
      <c r="D250" s="8">
        <v>123940658</v>
      </c>
      <c r="E250" s="10">
        <v>18</v>
      </c>
      <c r="F250" s="9">
        <v>1500</v>
      </c>
      <c r="G250" s="9">
        <v>10</v>
      </c>
      <c r="I250" s="22" t="str">
        <f t="shared" si="73"/>
        <v>·</v>
      </c>
      <c r="J250" s="23" t="str">
        <f t="shared" si="74"/>
        <v>·</v>
      </c>
      <c r="K250" s="23" t="str">
        <f t="shared" si="75"/>
        <v>·</v>
      </c>
      <c r="L250" s="24"/>
      <c r="M250" s="23" t="str">
        <f t="shared" si="97"/>
        <v>·</v>
      </c>
      <c r="N250" s="23" t="str">
        <f t="shared" si="77"/>
        <v>·</v>
      </c>
      <c r="O250" s="25"/>
      <c r="P250" s="26"/>
      <c r="Q250" s="26"/>
      <c r="R250" s="40"/>
      <c r="S250" s="26"/>
      <c r="T250" s="42"/>
      <c r="U250" s="42"/>
      <c r="V250" s="42"/>
      <c r="W250" s="41"/>
      <c r="X250" s="42"/>
      <c r="Y250" s="42"/>
      <c r="Z250" s="42"/>
      <c r="AA250" s="41"/>
      <c r="AB250" s="50"/>
      <c r="AC250" s="50"/>
      <c r="AE250" s="22" t="str">
        <f t="shared" si="78"/>
        <v>·</v>
      </c>
      <c r="AF250" s="23" t="str">
        <f t="shared" si="79"/>
        <v>·</v>
      </c>
      <c r="AG250" s="23" t="str">
        <f t="shared" si="80"/>
        <v>·</v>
      </c>
      <c r="AH250" s="24"/>
      <c r="AI250" s="23" t="str">
        <f t="shared" si="98"/>
        <v>·</v>
      </c>
      <c r="AJ250" s="23" t="str">
        <f t="shared" si="82"/>
        <v>·</v>
      </c>
      <c r="AK250" s="25"/>
      <c r="AL250" s="26"/>
      <c r="AM250" s="26"/>
      <c r="AN250" s="40"/>
      <c r="AO250" s="26"/>
      <c r="AP250" s="42"/>
      <c r="AQ250" s="42"/>
      <c r="AR250" s="42"/>
      <c r="AS250" s="41"/>
      <c r="AT250" s="42"/>
      <c r="AU250" s="42"/>
      <c r="AV250" s="42"/>
      <c r="AW250" s="41"/>
      <c r="AX250" s="50"/>
      <c r="AY250" s="50"/>
      <c r="BA250" s="55" t="e">
        <f t="shared" si="83"/>
        <v>#DIV/0!</v>
      </c>
      <c r="BB250" s="55" t="e">
        <f t="array" ref="BB250">AVERAGE(AM250:AM254/AL250:AL254)-AVERAGE(Q250:Q254/P250:P254)</f>
        <v>#DIV/0!</v>
      </c>
      <c r="BD250" s="62"/>
      <c r="BE250" s="62"/>
      <c r="BF250" s="62"/>
      <c r="BG250" s="56" t="str">
        <f>IF(OR(ISBLANK(S250:S254),ISBLANK(AO250:AO254),ISBLANK(W250:W254),ISBLANK(AS250:AS254)),"·",bdRateExtend(S250:S254,W250:W254,AO250:AO254,AS250:AS254))</f>
        <v>·</v>
      </c>
      <c r="BI250" s="62"/>
      <c r="BJ250" s="62"/>
      <c r="BK250" s="62"/>
      <c r="BL250" s="56" t="str">
        <f>IF(OR(ISBLANK(S250:S254),ISBLANK(AO250:AO254),ISBLANK(AA250:AA254),ISBLANK(AW250:AW254)),"·",bdRateExtend(S250:S254,AA250:AA254,AO250:AO254,AW250:AW254))</f>
        <v>·</v>
      </c>
      <c r="BN250" s="62"/>
      <c r="BO250" s="62"/>
      <c r="BP250" s="62"/>
      <c r="BQ250" s="56" t="str">
        <f>IF(OR(ISBLANK(P250:P254),ISBLANK(AL250:AL254),ISBLANK(W250:W254),ISBLANK(AS250:AS254)),"·",bdRateExtend(P250:P254,W250:W254,AL250:AL254,AS250:AS254))</f>
        <v>·</v>
      </c>
      <c r="BS250" s="62"/>
      <c r="BT250" s="62"/>
      <c r="BU250" s="62"/>
      <c r="BV250" s="56" t="str">
        <f>IF(OR(ISBLANK(P250:P254),ISBLANK(AL250:AL254),ISBLANK(AA250:AA254),ISBLANK(AW250:AW254)),"·",bdRateExtend(P250:P254,AA250:AA254,AL250:AL254,AW250:AW254))</f>
        <v>·</v>
      </c>
      <c r="BX250">
        <f t="shared" si="84"/>
        <v>0</v>
      </c>
      <c r="BY250">
        <f t="shared" si="85"/>
        <v>0</v>
      </c>
      <c r="BZ250">
        <f t="shared" si="86"/>
        <v>0</v>
      </c>
      <c r="CA250">
        <f t="shared" si="87"/>
        <v>0</v>
      </c>
      <c r="CB250">
        <f t="shared" si="88"/>
        <v>0</v>
      </c>
      <c r="CC250">
        <f t="shared" si="89"/>
        <v>0</v>
      </c>
      <c r="CD250">
        <f t="shared" si="90"/>
        <v>0</v>
      </c>
      <c r="CE250">
        <f t="shared" si="91"/>
        <v>0</v>
      </c>
      <c r="CF250">
        <f t="shared" si="92"/>
        <v>0</v>
      </c>
      <c r="CG250">
        <f t="shared" si="93"/>
        <v>0</v>
      </c>
      <c r="CH250">
        <f t="shared" si="94"/>
        <v>0</v>
      </c>
      <c r="CI250">
        <f t="shared" si="95"/>
        <v>0</v>
      </c>
      <c r="CJ250">
        <f t="shared" si="96"/>
        <v>0</v>
      </c>
    </row>
    <row r="251" spans="1:88" outlineLevel="1" x14ac:dyDescent="0.15">
      <c r="A251" s="5"/>
      <c r="B251" s="5" t="s">
        <v>177</v>
      </c>
      <c r="C251" s="6" t="s">
        <v>255</v>
      </c>
      <c r="D251" s="5">
        <v>123940658</v>
      </c>
      <c r="E251" s="7">
        <v>18</v>
      </c>
      <c r="F251" s="6">
        <v>1500</v>
      </c>
      <c r="G251" s="6">
        <v>10</v>
      </c>
      <c r="I251" s="17" t="str">
        <f t="shared" si="73"/>
        <v>·</v>
      </c>
      <c r="J251" s="18" t="str">
        <f t="shared" si="74"/>
        <v>·</v>
      </c>
      <c r="K251" s="18" t="str">
        <f t="shared" si="75"/>
        <v>·</v>
      </c>
      <c r="L251" s="19"/>
      <c r="M251" s="18" t="str">
        <f t="shared" si="97"/>
        <v>·</v>
      </c>
      <c r="N251" s="18" t="str">
        <f t="shared" si="77"/>
        <v>·</v>
      </c>
      <c r="O251" s="20"/>
      <c r="P251" s="21"/>
      <c r="Q251" s="21"/>
      <c r="R251" s="37"/>
      <c r="S251" s="21"/>
      <c r="T251" s="39"/>
      <c r="U251" s="39"/>
      <c r="V251" s="39"/>
      <c r="W251" s="38"/>
      <c r="X251" s="39"/>
      <c r="Y251" s="39"/>
      <c r="Z251" s="39"/>
      <c r="AA251" s="38"/>
      <c r="AB251" s="49"/>
      <c r="AC251" s="49"/>
      <c r="AE251" s="17" t="str">
        <f t="shared" si="78"/>
        <v>·</v>
      </c>
      <c r="AF251" s="18" t="str">
        <f t="shared" si="79"/>
        <v>·</v>
      </c>
      <c r="AG251" s="18" t="str">
        <f t="shared" si="80"/>
        <v>·</v>
      </c>
      <c r="AH251" s="19"/>
      <c r="AI251" s="18" t="str">
        <f t="shared" si="98"/>
        <v>·</v>
      </c>
      <c r="AJ251" s="18" t="str">
        <f t="shared" si="82"/>
        <v>·</v>
      </c>
      <c r="AK251" s="20"/>
      <c r="AL251" s="21"/>
      <c r="AM251" s="21"/>
      <c r="AN251" s="37"/>
      <c r="AO251" s="21"/>
      <c r="AP251" s="39"/>
      <c r="AQ251" s="39"/>
      <c r="AR251" s="39"/>
      <c r="AS251" s="38"/>
      <c r="AT251" s="39"/>
      <c r="AU251" s="39"/>
      <c r="AV251" s="39"/>
      <c r="AW251" s="38"/>
      <c r="AX251" s="49"/>
      <c r="AY251" s="49"/>
      <c r="BA251" s="53" t="e">
        <f t="shared" si="83"/>
        <v>#DIV/0!</v>
      </c>
      <c r="BB251" s="53"/>
      <c r="BD251" s="61"/>
      <c r="BE251" s="61"/>
      <c r="BF251" s="61"/>
      <c r="BG251" s="54"/>
      <c r="BI251" s="61"/>
      <c r="BJ251" s="61"/>
      <c r="BK251" s="61"/>
      <c r="BL251" s="54"/>
      <c r="BN251" s="61"/>
      <c r="BO251" s="61"/>
      <c r="BP251" s="61"/>
      <c r="BQ251" s="54"/>
      <c r="BS251" s="61"/>
      <c r="BT251" s="61"/>
      <c r="BU251" s="61"/>
      <c r="BV251" s="54"/>
      <c r="BX251">
        <f t="shared" si="84"/>
        <v>0</v>
      </c>
      <c r="BY251">
        <f t="shared" si="85"/>
        <v>0</v>
      </c>
      <c r="BZ251">
        <f t="shared" si="86"/>
        <v>0</v>
      </c>
      <c r="CA251">
        <f t="shared" si="87"/>
        <v>0</v>
      </c>
      <c r="CB251">
        <f t="shared" si="88"/>
        <v>0</v>
      </c>
      <c r="CC251">
        <f t="shared" si="89"/>
        <v>0</v>
      </c>
      <c r="CD251">
        <f t="shared" si="90"/>
        <v>0</v>
      </c>
      <c r="CE251">
        <f t="shared" si="91"/>
        <v>0</v>
      </c>
      <c r="CF251">
        <f t="shared" si="92"/>
        <v>0</v>
      </c>
      <c r="CG251">
        <f t="shared" si="93"/>
        <v>0</v>
      </c>
      <c r="CH251">
        <f t="shared" si="94"/>
        <v>0</v>
      </c>
      <c r="CI251">
        <f t="shared" si="95"/>
        <v>0</v>
      </c>
      <c r="CJ251">
        <f t="shared" si="96"/>
        <v>0</v>
      </c>
    </row>
    <row r="252" spans="1:88" outlineLevel="1" x14ac:dyDescent="0.15">
      <c r="A252" s="8"/>
      <c r="B252" s="8" t="s">
        <v>177</v>
      </c>
      <c r="C252" s="9" t="s">
        <v>256</v>
      </c>
      <c r="D252" s="8">
        <v>123940658</v>
      </c>
      <c r="E252" s="10">
        <v>18</v>
      </c>
      <c r="F252" s="9">
        <v>1500</v>
      </c>
      <c r="G252" s="9">
        <v>10</v>
      </c>
      <c r="I252" s="22" t="str">
        <f t="shared" si="73"/>
        <v>·</v>
      </c>
      <c r="J252" s="23" t="str">
        <f t="shared" si="74"/>
        <v>·</v>
      </c>
      <c r="K252" s="23" t="str">
        <f t="shared" si="75"/>
        <v>·</v>
      </c>
      <c r="L252" s="24"/>
      <c r="M252" s="23" t="str">
        <f t="shared" si="97"/>
        <v>·</v>
      </c>
      <c r="N252" s="23" t="str">
        <f t="shared" si="77"/>
        <v>·</v>
      </c>
      <c r="O252" s="25"/>
      <c r="P252" s="26"/>
      <c r="Q252" s="26"/>
      <c r="R252" s="40"/>
      <c r="S252" s="26"/>
      <c r="T252" s="42"/>
      <c r="U252" s="42"/>
      <c r="V252" s="42"/>
      <c r="W252" s="41"/>
      <c r="X252" s="42"/>
      <c r="Y252" s="42"/>
      <c r="Z252" s="42"/>
      <c r="AA252" s="41"/>
      <c r="AB252" s="50"/>
      <c r="AC252" s="50"/>
      <c r="AE252" s="22" t="str">
        <f t="shared" si="78"/>
        <v>·</v>
      </c>
      <c r="AF252" s="23" t="str">
        <f t="shared" si="79"/>
        <v>·</v>
      </c>
      <c r="AG252" s="23" t="str">
        <f t="shared" si="80"/>
        <v>·</v>
      </c>
      <c r="AH252" s="24"/>
      <c r="AI252" s="23" t="str">
        <f t="shared" si="98"/>
        <v>·</v>
      </c>
      <c r="AJ252" s="23" t="str">
        <f t="shared" si="82"/>
        <v>·</v>
      </c>
      <c r="AK252" s="25"/>
      <c r="AL252" s="26"/>
      <c r="AM252" s="26"/>
      <c r="AN252" s="40"/>
      <c r="AO252" s="26"/>
      <c r="AP252" s="42"/>
      <c r="AQ252" s="42"/>
      <c r="AR252" s="42"/>
      <c r="AS252" s="41"/>
      <c r="AT252" s="42"/>
      <c r="AU252" s="42"/>
      <c r="AV252" s="42"/>
      <c r="AW252" s="41"/>
      <c r="AX252" s="50"/>
      <c r="AY252" s="50"/>
      <c r="BA252" s="55" t="e">
        <f t="shared" si="83"/>
        <v>#DIV/0!</v>
      </c>
      <c r="BB252" s="55"/>
      <c r="BD252" s="62"/>
      <c r="BE252" s="62"/>
      <c r="BF252" s="62"/>
      <c r="BG252" s="56"/>
      <c r="BI252" s="62"/>
      <c r="BJ252" s="62"/>
      <c r="BK252" s="62"/>
      <c r="BL252" s="56"/>
      <c r="BN252" s="62"/>
      <c r="BO252" s="62"/>
      <c r="BP252" s="62"/>
      <c r="BQ252" s="56"/>
      <c r="BS252" s="62"/>
      <c r="BT252" s="62"/>
      <c r="BU252" s="62"/>
      <c r="BV252" s="56"/>
      <c r="BX252">
        <f t="shared" si="84"/>
        <v>0</v>
      </c>
      <c r="BY252">
        <f t="shared" si="85"/>
        <v>0</v>
      </c>
      <c r="BZ252">
        <f t="shared" si="86"/>
        <v>0</v>
      </c>
      <c r="CA252">
        <f t="shared" si="87"/>
        <v>0</v>
      </c>
      <c r="CB252">
        <f t="shared" si="88"/>
        <v>0</v>
      </c>
      <c r="CC252">
        <f t="shared" si="89"/>
        <v>0</v>
      </c>
      <c r="CD252">
        <f t="shared" si="90"/>
        <v>0</v>
      </c>
      <c r="CE252">
        <f t="shared" si="91"/>
        <v>0</v>
      </c>
      <c r="CF252">
        <f t="shared" si="92"/>
        <v>0</v>
      </c>
      <c r="CG252">
        <f t="shared" si="93"/>
        <v>0</v>
      </c>
      <c r="CH252">
        <f t="shared" si="94"/>
        <v>0</v>
      </c>
      <c r="CI252">
        <f t="shared" si="95"/>
        <v>0</v>
      </c>
      <c r="CJ252">
        <f t="shared" si="96"/>
        <v>0</v>
      </c>
    </row>
    <row r="253" spans="1:88" outlineLevel="1" x14ac:dyDescent="0.15">
      <c r="A253" s="5"/>
      <c r="B253" s="5" t="s">
        <v>177</v>
      </c>
      <c r="C253" s="6" t="s">
        <v>257</v>
      </c>
      <c r="D253" s="5">
        <v>123940658</v>
      </c>
      <c r="E253" s="7">
        <v>18</v>
      </c>
      <c r="F253" s="6">
        <v>1500</v>
      </c>
      <c r="G253" s="6">
        <v>10</v>
      </c>
      <c r="I253" s="17" t="str">
        <f t="shared" si="73"/>
        <v>·</v>
      </c>
      <c r="J253" s="18" t="str">
        <f t="shared" si="74"/>
        <v>·</v>
      </c>
      <c r="K253" s="18" t="str">
        <f t="shared" si="75"/>
        <v>·</v>
      </c>
      <c r="L253" s="19"/>
      <c r="M253" s="18" t="str">
        <f t="shared" si="97"/>
        <v>·</v>
      </c>
      <c r="N253" s="18" t="str">
        <f t="shared" si="77"/>
        <v>·</v>
      </c>
      <c r="O253" s="20"/>
      <c r="P253" s="21"/>
      <c r="Q253" s="21"/>
      <c r="R253" s="37"/>
      <c r="S253" s="21"/>
      <c r="T253" s="39"/>
      <c r="U253" s="39"/>
      <c r="V253" s="39"/>
      <c r="W253" s="38"/>
      <c r="X253" s="39"/>
      <c r="Y253" s="39"/>
      <c r="Z253" s="39"/>
      <c r="AA253" s="38"/>
      <c r="AB253" s="49"/>
      <c r="AC253" s="49"/>
      <c r="AE253" s="17" t="str">
        <f t="shared" si="78"/>
        <v>·</v>
      </c>
      <c r="AF253" s="18" t="str">
        <f t="shared" si="79"/>
        <v>·</v>
      </c>
      <c r="AG253" s="18" t="str">
        <f t="shared" si="80"/>
        <v>·</v>
      </c>
      <c r="AH253" s="19"/>
      <c r="AI253" s="18" t="str">
        <f t="shared" si="98"/>
        <v>·</v>
      </c>
      <c r="AJ253" s="18" t="str">
        <f t="shared" si="82"/>
        <v>·</v>
      </c>
      <c r="AK253" s="20"/>
      <c r="AL253" s="21"/>
      <c r="AM253" s="21"/>
      <c r="AN253" s="37"/>
      <c r="AO253" s="21"/>
      <c r="AP253" s="39"/>
      <c r="AQ253" s="39"/>
      <c r="AR253" s="39"/>
      <c r="AS253" s="38"/>
      <c r="AT253" s="39"/>
      <c r="AU253" s="39"/>
      <c r="AV253" s="39"/>
      <c r="AW253" s="38"/>
      <c r="AX253" s="49"/>
      <c r="AY253" s="49"/>
      <c r="BA253" s="53" t="e">
        <f t="shared" si="83"/>
        <v>#DIV/0!</v>
      </c>
      <c r="BB253" s="53"/>
      <c r="BD253" s="61"/>
      <c r="BE253" s="61"/>
      <c r="BF253" s="61"/>
      <c r="BG253" s="54"/>
      <c r="BI253" s="61"/>
      <c r="BJ253" s="61"/>
      <c r="BK253" s="61"/>
      <c r="BL253" s="54"/>
      <c r="BN253" s="61"/>
      <c r="BO253" s="61"/>
      <c r="BP253" s="61"/>
      <c r="BQ253" s="54"/>
      <c r="BS253" s="61"/>
      <c r="BT253" s="61"/>
      <c r="BU253" s="61"/>
      <c r="BV253" s="54"/>
      <c r="BX253">
        <f t="shared" si="84"/>
        <v>0</v>
      </c>
      <c r="BY253">
        <f t="shared" si="85"/>
        <v>0</v>
      </c>
      <c r="BZ253">
        <f t="shared" si="86"/>
        <v>0</v>
      </c>
      <c r="CA253">
        <f t="shared" si="87"/>
        <v>0</v>
      </c>
      <c r="CB253">
        <f t="shared" si="88"/>
        <v>0</v>
      </c>
      <c r="CC253">
        <f t="shared" si="89"/>
        <v>0</v>
      </c>
      <c r="CD253">
        <f t="shared" si="90"/>
        <v>0</v>
      </c>
      <c r="CE253">
        <f t="shared" si="91"/>
        <v>0</v>
      </c>
      <c r="CF253">
        <f t="shared" si="92"/>
        <v>0</v>
      </c>
      <c r="CG253">
        <f t="shared" si="93"/>
        <v>0</v>
      </c>
      <c r="CH253">
        <f t="shared" si="94"/>
        <v>0</v>
      </c>
      <c r="CI253">
        <f t="shared" si="95"/>
        <v>0</v>
      </c>
      <c r="CJ253">
        <f t="shared" si="96"/>
        <v>0</v>
      </c>
    </row>
    <row r="254" spans="1:88" outlineLevel="1" x14ac:dyDescent="0.15">
      <c r="A254" s="8"/>
      <c r="B254" s="14" t="s">
        <v>177</v>
      </c>
      <c r="C254" s="15" t="s">
        <v>258</v>
      </c>
      <c r="D254" s="14">
        <v>123940658</v>
      </c>
      <c r="E254" s="16">
        <v>18</v>
      </c>
      <c r="F254" s="15">
        <v>1500</v>
      </c>
      <c r="G254" s="15">
        <v>10</v>
      </c>
      <c r="I254" s="32" t="str">
        <f t="shared" si="73"/>
        <v>·</v>
      </c>
      <c r="J254" s="33" t="str">
        <f t="shared" si="74"/>
        <v>·</v>
      </c>
      <c r="K254" s="33" t="str">
        <f t="shared" si="75"/>
        <v>·</v>
      </c>
      <c r="L254" s="34"/>
      <c r="M254" s="33" t="str">
        <f t="shared" si="97"/>
        <v>·</v>
      </c>
      <c r="N254" s="33" t="str">
        <f t="shared" si="77"/>
        <v>·</v>
      </c>
      <c r="O254" s="35"/>
      <c r="P254" s="36"/>
      <c r="Q254" s="36"/>
      <c r="R254" s="46"/>
      <c r="S254" s="36"/>
      <c r="T254" s="48"/>
      <c r="U254" s="48"/>
      <c r="V254" s="48"/>
      <c r="W254" s="47"/>
      <c r="X254" s="48"/>
      <c r="Y254" s="48"/>
      <c r="Z254" s="48"/>
      <c r="AA254" s="47"/>
      <c r="AB254" s="52"/>
      <c r="AC254" s="52"/>
      <c r="AE254" s="32" t="str">
        <f t="shared" si="78"/>
        <v>·</v>
      </c>
      <c r="AF254" s="33" t="str">
        <f t="shared" si="79"/>
        <v>·</v>
      </c>
      <c r="AG254" s="33" t="str">
        <f t="shared" si="80"/>
        <v>·</v>
      </c>
      <c r="AH254" s="34"/>
      <c r="AI254" s="33" t="str">
        <f t="shared" si="98"/>
        <v>·</v>
      </c>
      <c r="AJ254" s="33" t="str">
        <f t="shared" si="82"/>
        <v>·</v>
      </c>
      <c r="AK254" s="35"/>
      <c r="AL254" s="36"/>
      <c r="AM254" s="36"/>
      <c r="AN254" s="46"/>
      <c r="AO254" s="36"/>
      <c r="AP254" s="48"/>
      <c r="AQ254" s="48"/>
      <c r="AR254" s="48"/>
      <c r="AS254" s="47"/>
      <c r="AT254" s="48"/>
      <c r="AU254" s="48"/>
      <c r="AV254" s="48"/>
      <c r="AW254" s="47"/>
      <c r="AX254" s="52"/>
      <c r="AY254" s="52"/>
      <c r="BA254" s="59" t="e">
        <f t="shared" si="83"/>
        <v>#DIV/0!</v>
      </c>
      <c r="BB254" s="59"/>
      <c r="BD254" s="64"/>
      <c r="BE254" s="64"/>
      <c r="BF254" s="64"/>
      <c r="BG254" s="60"/>
      <c r="BI254" s="64"/>
      <c r="BJ254" s="64"/>
      <c r="BK254" s="64"/>
      <c r="BL254" s="60"/>
      <c r="BN254" s="64"/>
      <c r="BO254" s="64"/>
      <c r="BP254" s="64"/>
      <c r="BQ254" s="60"/>
      <c r="BS254" s="64"/>
      <c r="BT254" s="64"/>
      <c r="BU254" s="64"/>
      <c r="BV254" s="60"/>
      <c r="BX254">
        <f t="shared" si="84"/>
        <v>0</v>
      </c>
      <c r="BY254">
        <f t="shared" si="85"/>
        <v>0</v>
      </c>
      <c r="BZ254">
        <f t="shared" si="86"/>
        <v>0</v>
      </c>
      <c r="CA254">
        <f t="shared" si="87"/>
        <v>0</v>
      </c>
      <c r="CB254">
        <f t="shared" si="88"/>
        <v>0</v>
      </c>
      <c r="CC254">
        <f t="shared" si="89"/>
        <v>0</v>
      </c>
      <c r="CD254">
        <f t="shared" si="90"/>
        <v>0</v>
      </c>
      <c r="CE254">
        <f t="shared" si="91"/>
        <v>0</v>
      </c>
      <c r="CF254">
        <f t="shared" si="92"/>
        <v>0</v>
      </c>
      <c r="CG254">
        <f t="shared" si="93"/>
        <v>0</v>
      </c>
      <c r="CH254">
        <f t="shared" si="94"/>
        <v>0</v>
      </c>
      <c r="CI254">
        <f t="shared" si="95"/>
        <v>0</v>
      </c>
      <c r="CJ254">
        <f t="shared" si="96"/>
        <v>0</v>
      </c>
    </row>
    <row r="255" spans="1:88" x14ac:dyDescent="0.15">
      <c r="A255" s="5"/>
      <c r="B255" s="5" t="s">
        <v>178</v>
      </c>
      <c r="C255" s="6" t="s">
        <v>254</v>
      </c>
      <c r="D255" s="5">
        <v>125751705</v>
      </c>
      <c r="E255" s="7">
        <v>18</v>
      </c>
      <c r="F255" s="6">
        <v>1500</v>
      </c>
      <c r="G255" s="6">
        <v>10</v>
      </c>
      <c r="I255" s="17" t="str">
        <f t="shared" si="73"/>
        <v>·</v>
      </c>
      <c r="J255" s="18" t="str">
        <f t="shared" si="74"/>
        <v>·</v>
      </c>
      <c r="K255" s="18" t="str">
        <f t="shared" si="75"/>
        <v>·</v>
      </c>
      <c r="L255" s="19"/>
      <c r="M255" s="18" t="str">
        <f t="shared" si="97"/>
        <v>·</v>
      </c>
      <c r="N255" s="18" t="str">
        <f t="shared" si="77"/>
        <v>·</v>
      </c>
      <c r="O255" s="20"/>
      <c r="P255" s="21"/>
      <c r="Q255" s="21"/>
      <c r="R255" s="37"/>
      <c r="S255" s="21"/>
      <c r="T255" s="39"/>
      <c r="U255" s="39"/>
      <c r="V255" s="39"/>
      <c r="W255" s="38"/>
      <c r="X255" s="39"/>
      <c r="Y255" s="39"/>
      <c r="Z255" s="39"/>
      <c r="AA255" s="38"/>
      <c r="AB255" s="49"/>
      <c r="AC255" s="49"/>
      <c r="AE255" s="17" t="str">
        <f t="shared" si="78"/>
        <v>·</v>
      </c>
      <c r="AF255" s="18" t="str">
        <f t="shared" si="79"/>
        <v>·</v>
      </c>
      <c r="AG255" s="18" t="str">
        <f t="shared" si="80"/>
        <v>·</v>
      </c>
      <c r="AH255" s="19"/>
      <c r="AI255" s="18" t="str">
        <f t="shared" si="98"/>
        <v>·</v>
      </c>
      <c r="AJ255" s="18" t="str">
        <f t="shared" si="82"/>
        <v>·</v>
      </c>
      <c r="AK255" s="20"/>
      <c r="AL255" s="21"/>
      <c r="AM255" s="21"/>
      <c r="AN255" s="37"/>
      <c r="AO255" s="21"/>
      <c r="AP255" s="39"/>
      <c r="AQ255" s="39"/>
      <c r="AR255" s="39"/>
      <c r="AS255" s="38"/>
      <c r="AT255" s="39"/>
      <c r="AU255" s="39"/>
      <c r="AV255" s="39"/>
      <c r="AW255" s="38"/>
      <c r="AX255" s="49"/>
      <c r="AY255" s="49"/>
      <c r="BA255" s="53" t="e">
        <f t="shared" si="83"/>
        <v>#DIV/0!</v>
      </c>
      <c r="BB255" s="53" t="e">
        <f t="array" ref="BB255">AVERAGE(AM255:AM259/AL255:AL259)-AVERAGE(Q255:Q259/P255:P259)</f>
        <v>#DIV/0!</v>
      </c>
      <c r="BD255" s="61"/>
      <c r="BE255" s="61"/>
      <c r="BF255" s="61"/>
      <c r="BG255" s="54" t="str">
        <f>IF(OR(ISBLANK(S255:S259),ISBLANK(AO255:AO259),ISBLANK(W255:W259),ISBLANK(AS255:AS259)),"·",bdRateExtend(S255:S259,W255:W259,AO255:AO259,AS255:AS259))</f>
        <v>·</v>
      </c>
      <c r="BI255" s="61"/>
      <c r="BJ255" s="61"/>
      <c r="BK255" s="61"/>
      <c r="BL255" s="54" t="str">
        <f>IF(OR(ISBLANK(S255:S259),ISBLANK(AO255:AO259),ISBLANK(AA255:AA259),ISBLANK(AW255:AW259)),"·",bdRateExtend(S255:S259,AA255:AA259,AO255:AO259,AW255:AW259))</f>
        <v>·</v>
      </c>
      <c r="BN255" s="61"/>
      <c r="BO255" s="61"/>
      <c r="BP255" s="61"/>
      <c r="BQ255" s="54" t="str">
        <f>IF(OR(ISBLANK(P255:P259),ISBLANK(AL255:AL259),ISBLANK(W255:W259),ISBLANK(AS255:AS259)),"·",bdRateExtend(P255:P259,W255:W259,AL255:AL259,AS255:AS259))</f>
        <v>·</v>
      </c>
      <c r="BS255" s="61"/>
      <c r="BT255" s="61"/>
      <c r="BU255" s="61"/>
      <c r="BV255" s="54" t="str">
        <f>IF(OR(ISBLANK(P255:P259),ISBLANK(AL255:AL259),ISBLANK(AA255:AA259),ISBLANK(AW255:AW259)),"·",bdRateExtend(P255:P259,AA255:AA259,AL255:AL259,AW255:AW259))</f>
        <v>·</v>
      </c>
      <c r="BX255">
        <f t="shared" si="84"/>
        <v>0</v>
      </c>
      <c r="BY255">
        <f t="shared" si="85"/>
        <v>0</v>
      </c>
      <c r="BZ255">
        <f t="shared" si="86"/>
        <v>0</v>
      </c>
      <c r="CA255">
        <f t="shared" si="87"/>
        <v>0</v>
      </c>
      <c r="CB255">
        <f t="shared" si="88"/>
        <v>0</v>
      </c>
      <c r="CC255">
        <f t="shared" si="89"/>
        <v>0</v>
      </c>
      <c r="CD255">
        <f t="shared" si="90"/>
        <v>0</v>
      </c>
      <c r="CE255">
        <f t="shared" si="91"/>
        <v>0</v>
      </c>
      <c r="CF255">
        <f t="shared" si="92"/>
        <v>0</v>
      </c>
      <c r="CG255">
        <f t="shared" si="93"/>
        <v>0</v>
      </c>
      <c r="CH255">
        <f t="shared" si="94"/>
        <v>0</v>
      </c>
      <c r="CI255">
        <f t="shared" si="95"/>
        <v>0</v>
      </c>
      <c r="CJ255">
        <f t="shared" si="96"/>
        <v>0</v>
      </c>
    </row>
    <row r="256" spans="1:88" outlineLevel="1" x14ac:dyDescent="0.15">
      <c r="A256" s="8"/>
      <c r="B256" s="8" t="s">
        <v>178</v>
      </c>
      <c r="C256" s="9" t="s">
        <v>255</v>
      </c>
      <c r="D256" s="8">
        <v>125751705</v>
      </c>
      <c r="E256" s="10">
        <v>18</v>
      </c>
      <c r="F256" s="9">
        <v>1500</v>
      </c>
      <c r="G256" s="9">
        <v>10</v>
      </c>
      <c r="I256" s="22" t="str">
        <f t="shared" si="73"/>
        <v>·</v>
      </c>
      <c r="J256" s="23" t="str">
        <f t="shared" si="74"/>
        <v>·</v>
      </c>
      <c r="K256" s="23" t="str">
        <f t="shared" si="75"/>
        <v>·</v>
      </c>
      <c r="L256" s="24"/>
      <c r="M256" s="23" t="str">
        <f t="shared" si="97"/>
        <v>·</v>
      </c>
      <c r="N256" s="23" t="str">
        <f t="shared" si="77"/>
        <v>·</v>
      </c>
      <c r="O256" s="25"/>
      <c r="P256" s="26"/>
      <c r="Q256" s="26"/>
      <c r="R256" s="40"/>
      <c r="S256" s="26"/>
      <c r="T256" s="42"/>
      <c r="U256" s="42"/>
      <c r="V256" s="42"/>
      <c r="W256" s="41"/>
      <c r="X256" s="42"/>
      <c r="Y256" s="42"/>
      <c r="Z256" s="42"/>
      <c r="AA256" s="41"/>
      <c r="AB256" s="50"/>
      <c r="AC256" s="50"/>
      <c r="AE256" s="22" t="str">
        <f t="shared" si="78"/>
        <v>·</v>
      </c>
      <c r="AF256" s="23" t="str">
        <f t="shared" si="79"/>
        <v>·</v>
      </c>
      <c r="AG256" s="23" t="str">
        <f t="shared" si="80"/>
        <v>·</v>
      </c>
      <c r="AH256" s="24"/>
      <c r="AI256" s="23" t="str">
        <f t="shared" si="98"/>
        <v>·</v>
      </c>
      <c r="AJ256" s="23" t="str">
        <f t="shared" si="82"/>
        <v>·</v>
      </c>
      <c r="AK256" s="25"/>
      <c r="AL256" s="26"/>
      <c r="AM256" s="26"/>
      <c r="AN256" s="40"/>
      <c r="AO256" s="26"/>
      <c r="AP256" s="42"/>
      <c r="AQ256" s="42"/>
      <c r="AR256" s="42"/>
      <c r="AS256" s="41"/>
      <c r="AT256" s="42"/>
      <c r="AU256" s="42"/>
      <c r="AV256" s="42"/>
      <c r="AW256" s="41"/>
      <c r="AX256" s="50"/>
      <c r="AY256" s="50"/>
      <c r="BA256" s="55" t="e">
        <f t="shared" si="83"/>
        <v>#DIV/0!</v>
      </c>
      <c r="BB256" s="55"/>
      <c r="BD256" s="62"/>
      <c r="BE256" s="62"/>
      <c r="BF256" s="62"/>
      <c r="BG256" s="56"/>
      <c r="BI256" s="62"/>
      <c r="BJ256" s="62"/>
      <c r="BK256" s="62"/>
      <c r="BL256" s="56"/>
      <c r="BN256" s="62"/>
      <c r="BO256" s="62"/>
      <c r="BP256" s="62"/>
      <c r="BQ256" s="56"/>
      <c r="BS256" s="62"/>
      <c r="BT256" s="62"/>
      <c r="BU256" s="62"/>
      <c r="BV256" s="56"/>
      <c r="BX256">
        <f t="shared" si="84"/>
        <v>0</v>
      </c>
      <c r="BY256">
        <f t="shared" si="85"/>
        <v>0</v>
      </c>
      <c r="BZ256">
        <f t="shared" si="86"/>
        <v>0</v>
      </c>
      <c r="CA256">
        <f t="shared" si="87"/>
        <v>0</v>
      </c>
      <c r="CB256">
        <f t="shared" si="88"/>
        <v>0</v>
      </c>
      <c r="CC256">
        <f t="shared" si="89"/>
        <v>0</v>
      </c>
      <c r="CD256">
        <f t="shared" si="90"/>
        <v>0</v>
      </c>
      <c r="CE256">
        <f t="shared" si="91"/>
        <v>0</v>
      </c>
      <c r="CF256">
        <f t="shared" si="92"/>
        <v>0</v>
      </c>
      <c r="CG256">
        <f t="shared" si="93"/>
        <v>0</v>
      </c>
      <c r="CH256">
        <f t="shared" si="94"/>
        <v>0</v>
      </c>
      <c r="CI256">
        <f t="shared" si="95"/>
        <v>0</v>
      </c>
      <c r="CJ256">
        <f t="shared" si="96"/>
        <v>0</v>
      </c>
    </row>
    <row r="257" spans="1:88" outlineLevel="1" x14ac:dyDescent="0.15">
      <c r="A257" s="5"/>
      <c r="B257" s="5" t="s">
        <v>178</v>
      </c>
      <c r="C257" s="6" t="s">
        <v>256</v>
      </c>
      <c r="D257" s="5">
        <v>125751705</v>
      </c>
      <c r="E257" s="7">
        <v>18</v>
      </c>
      <c r="F257" s="6">
        <v>1500</v>
      </c>
      <c r="G257" s="6">
        <v>10</v>
      </c>
      <c r="I257" s="17" t="str">
        <f t="shared" si="73"/>
        <v>·</v>
      </c>
      <c r="J257" s="18" t="str">
        <f t="shared" si="74"/>
        <v>·</v>
      </c>
      <c r="K257" s="18" t="str">
        <f t="shared" si="75"/>
        <v>·</v>
      </c>
      <c r="L257" s="19"/>
      <c r="M257" s="18" t="str">
        <f t="shared" si="97"/>
        <v>·</v>
      </c>
      <c r="N257" s="18" t="str">
        <f t="shared" si="77"/>
        <v>·</v>
      </c>
      <c r="O257" s="20"/>
      <c r="P257" s="21"/>
      <c r="Q257" s="21"/>
      <c r="R257" s="37"/>
      <c r="S257" s="21"/>
      <c r="T257" s="39"/>
      <c r="U257" s="39"/>
      <c r="V257" s="39"/>
      <c r="W257" s="38"/>
      <c r="X257" s="39"/>
      <c r="Y257" s="39"/>
      <c r="Z257" s="39"/>
      <c r="AA257" s="38"/>
      <c r="AB257" s="49"/>
      <c r="AC257" s="49"/>
      <c r="AE257" s="17" t="str">
        <f t="shared" si="78"/>
        <v>·</v>
      </c>
      <c r="AF257" s="18" t="str">
        <f t="shared" si="79"/>
        <v>·</v>
      </c>
      <c r="AG257" s="18" t="str">
        <f t="shared" si="80"/>
        <v>·</v>
      </c>
      <c r="AH257" s="19"/>
      <c r="AI257" s="18" t="str">
        <f t="shared" si="98"/>
        <v>·</v>
      </c>
      <c r="AJ257" s="18" t="str">
        <f t="shared" si="82"/>
        <v>·</v>
      </c>
      <c r="AK257" s="20"/>
      <c r="AL257" s="21"/>
      <c r="AM257" s="21"/>
      <c r="AN257" s="37"/>
      <c r="AO257" s="21"/>
      <c r="AP257" s="39"/>
      <c r="AQ257" s="39"/>
      <c r="AR257" s="39"/>
      <c r="AS257" s="38"/>
      <c r="AT257" s="39"/>
      <c r="AU257" s="39"/>
      <c r="AV257" s="39"/>
      <c r="AW257" s="38"/>
      <c r="AX257" s="49"/>
      <c r="AY257" s="49"/>
      <c r="BA257" s="53" t="e">
        <f t="shared" si="83"/>
        <v>#DIV/0!</v>
      </c>
      <c r="BB257" s="53"/>
      <c r="BD257" s="61"/>
      <c r="BE257" s="61"/>
      <c r="BF257" s="61"/>
      <c r="BG257" s="54"/>
      <c r="BI257" s="61"/>
      <c r="BJ257" s="61"/>
      <c r="BK257" s="61"/>
      <c r="BL257" s="54"/>
      <c r="BN257" s="61"/>
      <c r="BO257" s="61"/>
      <c r="BP257" s="61"/>
      <c r="BQ257" s="54"/>
      <c r="BS257" s="61"/>
      <c r="BT257" s="61"/>
      <c r="BU257" s="61"/>
      <c r="BV257" s="54"/>
      <c r="BX257">
        <f t="shared" si="84"/>
        <v>0</v>
      </c>
      <c r="BY257">
        <f t="shared" si="85"/>
        <v>0</v>
      </c>
      <c r="BZ257">
        <f t="shared" si="86"/>
        <v>0</v>
      </c>
      <c r="CA257">
        <f t="shared" si="87"/>
        <v>0</v>
      </c>
      <c r="CB257">
        <f t="shared" si="88"/>
        <v>0</v>
      </c>
      <c r="CC257">
        <f t="shared" si="89"/>
        <v>0</v>
      </c>
      <c r="CD257">
        <f t="shared" si="90"/>
        <v>0</v>
      </c>
      <c r="CE257">
        <f t="shared" si="91"/>
        <v>0</v>
      </c>
      <c r="CF257">
        <f t="shared" si="92"/>
        <v>0</v>
      </c>
      <c r="CG257">
        <f t="shared" si="93"/>
        <v>0</v>
      </c>
      <c r="CH257">
        <f t="shared" si="94"/>
        <v>0</v>
      </c>
      <c r="CI257">
        <f t="shared" si="95"/>
        <v>0</v>
      </c>
      <c r="CJ257">
        <f t="shared" si="96"/>
        <v>0</v>
      </c>
    </row>
    <row r="258" spans="1:88" outlineLevel="1" x14ac:dyDescent="0.15">
      <c r="A258" s="8"/>
      <c r="B258" s="8" t="s">
        <v>178</v>
      </c>
      <c r="C258" s="9" t="s">
        <v>257</v>
      </c>
      <c r="D258" s="8">
        <v>125751705</v>
      </c>
      <c r="E258" s="10">
        <v>18</v>
      </c>
      <c r="F258" s="9">
        <v>1500</v>
      </c>
      <c r="G258" s="9">
        <v>10</v>
      </c>
      <c r="I258" s="22" t="str">
        <f t="shared" si="73"/>
        <v>·</v>
      </c>
      <c r="J258" s="23" t="str">
        <f t="shared" si="74"/>
        <v>·</v>
      </c>
      <c r="K258" s="23" t="str">
        <f t="shared" si="75"/>
        <v>·</v>
      </c>
      <c r="L258" s="24"/>
      <c r="M258" s="23" t="str">
        <f t="shared" si="97"/>
        <v>·</v>
      </c>
      <c r="N258" s="23" t="str">
        <f t="shared" si="77"/>
        <v>·</v>
      </c>
      <c r="O258" s="25"/>
      <c r="P258" s="26"/>
      <c r="Q258" s="26"/>
      <c r="R258" s="40"/>
      <c r="S258" s="26"/>
      <c r="T258" s="42"/>
      <c r="U258" s="42"/>
      <c r="V258" s="42"/>
      <c r="W258" s="41"/>
      <c r="X258" s="42"/>
      <c r="Y258" s="42"/>
      <c r="Z258" s="42"/>
      <c r="AA258" s="41"/>
      <c r="AB258" s="50"/>
      <c r="AC258" s="50"/>
      <c r="AE258" s="22" t="str">
        <f t="shared" si="78"/>
        <v>·</v>
      </c>
      <c r="AF258" s="23" t="str">
        <f t="shared" si="79"/>
        <v>·</v>
      </c>
      <c r="AG258" s="23" t="str">
        <f t="shared" si="80"/>
        <v>·</v>
      </c>
      <c r="AH258" s="24"/>
      <c r="AI258" s="23" t="str">
        <f t="shared" si="98"/>
        <v>·</v>
      </c>
      <c r="AJ258" s="23" t="str">
        <f t="shared" si="82"/>
        <v>·</v>
      </c>
      <c r="AK258" s="25"/>
      <c r="AL258" s="26"/>
      <c r="AM258" s="26"/>
      <c r="AN258" s="40"/>
      <c r="AO258" s="26"/>
      <c r="AP258" s="42"/>
      <c r="AQ258" s="42"/>
      <c r="AR258" s="42"/>
      <c r="AS258" s="41"/>
      <c r="AT258" s="42"/>
      <c r="AU258" s="42"/>
      <c r="AV258" s="42"/>
      <c r="AW258" s="41"/>
      <c r="AX258" s="50"/>
      <c r="AY258" s="50"/>
      <c r="BA258" s="55" t="e">
        <f t="shared" si="83"/>
        <v>#DIV/0!</v>
      </c>
      <c r="BB258" s="55"/>
      <c r="BD258" s="62"/>
      <c r="BE258" s="62"/>
      <c r="BF258" s="62"/>
      <c r="BG258" s="56"/>
      <c r="BI258" s="62"/>
      <c r="BJ258" s="62"/>
      <c r="BK258" s="62"/>
      <c r="BL258" s="56"/>
      <c r="BN258" s="62"/>
      <c r="BO258" s="62"/>
      <c r="BP258" s="62"/>
      <c r="BQ258" s="56"/>
      <c r="BS258" s="62"/>
      <c r="BT258" s="62"/>
      <c r="BU258" s="62"/>
      <c r="BV258" s="56"/>
      <c r="BX258">
        <f t="shared" si="84"/>
        <v>0</v>
      </c>
      <c r="BY258">
        <f t="shared" si="85"/>
        <v>0</v>
      </c>
      <c r="BZ258">
        <f t="shared" si="86"/>
        <v>0</v>
      </c>
      <c r="CA258">
        <f t="shared" si="87"/>
        <v>0</v>
      </c>
      <c r="CB258">
        <f t="shared" si="88"/>
        <v>0</v>
      </c>
      <c r="CC258">
        <f t="shared" si="89"/>
        <v>0</v>
      </c>
      <c r="CD258">
        <f t="shared" si="90"/>
        <v>0</v>
      </c>
      <c r="CE258">
        <f t="shared" si="91"/>
        <v>0</v>
      </c>
      <c r="CF258">
        <f t="shared" si="92"/>
        <v>0</v>
      </c>
      <c r="CG258">
        <f t="shared" si="93"/>
        <v>0</v>
      </c>
      <c r="CH258">
        <f t="shared" si="94"/>
        <v>0</v>
      </c>
      <c r="CI258">
        <f t="shared" si="95"/>
        <v>0</v>
      </c>
      <c r="CJ258">
        <f t="shared" si="96"/>
        <v>0</v>
      </c>
    </row>
    <row r="259" spans="1:88" outlineLevel="1" x14ac:dyDescent="0.15">
      <c r="A259" s="5"/>
      <c r="B259" s="11" t="s">
        <v>178</v>
      </c>
      <c r="C259" s="12" t="s">
        <v>258</v>
      </c>
      <c r="D259" s="11">
        <v>125751705</v>
      </c>
      <c r="E259" s="13">
        <v>18</v>
      </c>
      <c r="F259" s="12">
        <v>1500</v>
      </c>
      <c r="G259" s="12">
        <v>10</v>
      </c>
      <c r="I259" s="27" t="str">
        <f t="shared" si="73"/>
        <v>·</v>
      </c>
      <c r="J259" s="28" t="str">
        <f t="shared" si="74"/>
        <v>·</v>
      </c>
      <c r="K259" s="28" t="str">
        <f t="shared" si="75"/>
        <v>·</v>
      </c>
      <c r="L259" s="29"/>
      <c r="M259" s="28" t="str">
        <f t="shared" si="97"/>
        <v>·</v>
      </c>
      <c r="N259" s="28" t="str">
        <f t="shared" si="77"/>
        <v>·</v>
      </c>
      <c r="O259" s="30"/>
      <c r="P259" s="31"/>
      <c r="Q259" s="31"/>
      <c r="R259" s="43"/>
      <c r="S259" s="31"/>
      <c r="T259" s="45"/>
      <c r="U259" s="45"/>
      <c r="V259" s="45"/>
      <c r="W259" s="44"/>
      <c r="X259" s="45"/>
      <c r="Y259" s="45"/>
      <c r="Z259" s="45"/>
      <c r="AA259" s="44"/>
      <c r="AB259" s="51"/>
      <c r="AC259" s="51"/>
      <c r="AE259" s="27" t="str">
        <f t="shared" si="78"/>
        <v>·</v>
      </c>
      <c r="AF259" s="28" t="str">
        <f t="shared" si="79"/>
        <v>·</v>
      </c>
      <c r="AG259" s="28" t="str">
        <f t="shared" si="80"/>
        <v>·</v>
      </c>
      <c r="AH259" s="29"/>
      <c r="AI259" s="28" t="str">
        <f t="shared" si="98"/>
        <v>·</v>
      </c>
      <c r="AJ259" s="28" t="str">
        <f t="shared" si="82"/>
        <v>·</v>
      </c>
      <c r="AK259" s="30"/>
      <c r="AL259" s="31"/>
      <c r="AM259" s="31"/>
      <c r="AN259" s="43"/>
      <c r="AO259" s="31"/>
      <c r="AP259" s="45"/>
      <c r="AQ259" s="45"/>
      <c r="AR259" s="45"/>
      <c r="AS259" s="44"/>
      <c r="AT259" s="45"/>
      <c r="AU259" s="45"/>
      <c r="AV259" s="45"/>
      <c r="AW259" s="44"/>
      <c r="AX259" s="51"/>
      <c r="AY259" s="51"/>
      <c r="BA259" s="57" t="e">
        <f t="shared" si="83"/>
        <v>#DIV/0!</v>
      </c>
      <c r="BB259" s="57"/>
      <c r="BD259" s="63"/>
      <c r="BE259" s="63"/>
      <c r="BF259" s="63"/>
      <c r="BG259" s="58"/>
      <c r="BI259" s="63"/>
      <c r="BJ259" s="63"/>
      <c r="BK259" s="63"/>
      <c r="BL259" s="58"/>
      <c r="BN259" s="63"/>
      <c r="BO259" s="63"/>
      <c r="BP259" s="63"/>
      <c r="BQ259" s="58"/>
      <c r="BS259" s="63"/>
      <c r="BT259" s="63"/>
      <c r="BU259" s="63"/>
      <c r="BV259" s="58"/>
      <c r="BX259">
        <f t="shared" si="84"/>
        <v>0</v>
      </c>
      <c r="BY259">
        <f t="shared" si="85"/>
        <v>0</v>
      </c>
      <c r="BZ259">
        <f t="shared" si="86"/>
        <v>0</v>
      </c>
      <c r="CA259">
        <f t="shared" si="87"/>
        <v>0</v>
      </c>
      <c r="CB259">
        <f t="shared" si="88"/>
        <v>0</v>
      </c>
      <c r="CC259">
        <f t="shared" si="89"/>
        <v>0</v>
      </c>
      <c r="CD259">
        <f t="shared" si="90"/>
        <v>0</v>
      </c>
      <c r="CE259">
        <f t="shared" si="91"/>
        <v>0</v>
      </c>
      <c r="CF259">
        <f t="shared" si="92"/>
        <v>0</v>
      </c>
      <c r="CG259">
        <f t="shared" si="93"/>
        <v>0</v>
      </c>
      <c r="CH259">
        <f t="shared" si="94"/>
        <v>0</v>
      </c>
      <c r="CI259">
        <f t="shared" si="95"/>
        <v>0</v>
      </c>
      <c r="CJ259">
        <f t="shared" si="96"/>
        <v>0</v>
      </c>
    </row>
    <row r="260" spans="1:88" x14ac:dyDescent="0.15">
      <c r="A260" s="8"/>
      <c r="B260" s="8" t="s">
        <v>179</v>
      </c>
      <c r="C260" s="9" t="s">
        <v>254</v>
      </c>
      <c r="D260" s="8">
        <v>126093865</v>
      </c>
      <c r="E260" s="10">
        <v>18</v>
      </c>
      <c r="F260" s="9">
        <v>1500</v>
      </c>
      <c r="G260" s="9">
        <v>10</v>
      </c>
      <c r="I260" s="22" t="str">
        <f t="shared" si="73"/>
        <v>·</v>
      </c>
      <c r="J260" s="23" t="str">
        <f t="shared" si="74"/>
        <v>·</v>
      </c>
      <c r="K260" s="23" t="str">
        <f t="shared" si="75"/>
        <v>·</v>
      </c>
      <c r="L260" s="24"/>
      <c r="M260" s="23" t="str">
        <f t="shared" si="97"/>
        <v>·</v>
      </c>
      <c r="N260" s="23" t="str">
        <f t="shared" si="77"/>
        <v>·</v>
      </c>
      <c r="O260" s="25"/>
      <c r="P260" s="26"/>
      <c r="Q260" s="26"/>
      <c r="R260" s="40"/>
      <c r="S260" s="26"/>
      <c r="T260" s="42"/>
      <c r="U260" s="42"/>
      <c r="V260" s="42"/>
      <c r="W260" s="41"/>
      <c r="X260" s="42"/>
      <c r="Y260" s="42"/>
      <c r="Z260" s="42"/>
      <c r="AA260" s="41"/>
      <c r="AB260" s="50"/>
      <c r="AC260" s="50"/>
      <c r="AE260" s="22" t="str">
        <f t="shared" si="78"/>
        <v>·</v>
      </c>
      <c r="AF260" s="23" t="str">
        <f t="shared" si="79"/>
        <v>·</v>
      </c>
      <c r="AG260" s="23" t="str">
        <f t="shared" si="80"/>
        <v>·</v>
      </c>
      <c r="AH260" s="24"/>
      <c r="AI260" s="23" t="str">
        <f t="shared" si="98"/>
        <v>·</v>
      </c>
      <c r="AJ260" s="23" t="str">
        <f t="shared" si="82"/>
        <v>·</v>
      </c>
      <c r="AK260" s="25"/>
      <c r="AL260" s="26"/>
      <c r="AM260" s="26"/>
      <c r="AN260" s="40"/>
      <c r="AO260" s="26"/>
      <c r="AP260" s="42"/>
      <c r="AQ260" s="42"/>
      <c r="AR260" s="42"/>
      <c r="AS260" s="41"/>
      <c r="AT260" s="42"/>
      <c r="AU260" s="42"/>
      <c r="AV260" s="42"/>
      <c r="AW260" s="41"/>
      <c r="AX260" s="50"/>
      <c r="AY260" s="50"/>
      <c r="BA260" s="55" t="e">
        <f t="shared" si="83"/>
        <v>#DIV/0!</v>
      </c>
      <c r="BB260" s="55" t="e">
        <f t="array" ref="BB260">AVERAGE(AM260:AM264/AL260:AL264)-AVERAGE(Q260:Q264/P260:P264)</f>
        <v>#DIV/0!</v>
      </c>
      <c r="BD260" s="62"/>
      <c r="BE260" s="62"/>
      <c r="BF260" s="62"/>
      <c r="BG260" s="56" t="str">
        <f>IF(OR(ISBLANK(S260:S264),ISBLANK(AO260:AO264),ISBLANK(W260:W264),ISBLANK(AS260:AS264)),"·",bdRateExtend(S260:S264,W260:W264,AO260:AO264,AS260:AS264))</f>
        <v>·</v>
      </c>
      <c r="BI260" s="62"/>
      <c r="BJ260" s="62"/>
      <c r="BK260" s="62"/>
      <c r="BL260" s="56" t="str">
        <f>IF(OR(ISBLANK(S260:S264),ISBLANK(AO260:AO264),ISBLANK(AA260:AA264),ISBLANK(AW260:AW264)),"·",bdRateExtend(S260:S264,AA260:AA264,AO260:AO264,AW260:AW264))</f>
        <v>·</v>
      </c>
      <c r="BN260" s="62"/>
      <c r="BO260" s="62"/>
      <c r="BP260" s="62"/>
      <c r="BQ260" s="56" t="str">
        <f>IF(OR(ISBLANK(P260:P264),ISBLANK(AL260:AL264),ISBLANK(W260:W264),ISBLANK(AS260:AS264)),"·",bdRateExtend(P260:P264,W260:W264,AL260:AL264,AS260:AS264))</f>
        <v>·</v>
      </c>
      <c r="BS260" s="62"/>
      <c r="BT260" s="62"/>
      <c r="BU260" s="62"/>
      <c r="BV260" s="56" t="str">
        <f>IF(OR(ISBLANK(P260:P264),ISBLANK(AL260:AL264),ISBLANK(AA260:AA264),ISBLANK(AW260:AW264)),"·",bdRateExtend(P260:P264,AA260:AA264,AL260:AL264,AW260:AW264))</f>
        <v>·</v>
      </c>
      <c r="BX260">
        <f t="shared" si="84"/>
        <v>0</v>
      </c>
      <c r="BY260">
        <f t="shared" si="85"/>
        <v>0</v>
      </c>
      <c r="BZ260">
        <f t="shared" si="86"/>
        <v>0</v>
      </c>
      <c r="CA260">
        <f t="shared" si="87"/>
        <v>0</v>
      </c>
      <c r="CB260">
        <f t="shared" si="88"/>
        <v>0</v>
      </c>
      <c r="CC260">
        <f t="shared" si="89"/>
        <v>0</v>
      </c>
      <c r="CD260">
        <f t="shared" si="90"/>
        <v>0</v>
      </c>
      <c r="CE260">
        <f t="shared" si="91"/>
        <v>0</v>
      </c>
      <c r="CF260">
        <f t="shared" si="92"/>
        <v>0</v>
      </c>
      <c r="CG260">
        <f t="shared" si="93"/>
        <v>0</v>
      </c>
      <c r="CH260">
        <f t="shared" si="94"/>
        <v>0</v>
      </c>
      <c r="CI260">
        <f t="shared" si="95"/>
        <v>0</v>
      </c>
      <c r="CJ260">
        <f t="shared" si="96"/>
        <v>0</v>
      </c>
    </row>
    <row r="261" spans="1:88" outlineLevel="1" x14ac:dyDescent="0.15">
      <c r="A261" s="5"/>
      <c r="B261" s="5" t="s">
        <v>179</v>
      </c>
      <c r="C261" s="6" t="s">
        <v>255</v>
      </c>
      <c r="D261" s="5">
        <v>126093865</v>
      </c>
      <c r="E261" s="7">
        <v>18</v>
      </c>
      <c r="F261" s="6">
        <v>1500</v>
      </c>
      <c r="G261" s="6">
        <v>10</v>
      </c>
      <c r="I261" s="17" t="str">
        <f t="shared" ref="I261:I284" si="99">IF(OR(ISBLANK(P261),ISBLANK(G261)),"·",P261*G261/F261/1000000)</f>
        <v>·</v>
      </c>
      <c r="J261" s="18" t="str">
        <f t="shared" ref="J261:J284" si="100">IF(ISBLANK(P261),"·",P261/D261)</f>
        <v>·</v>
      </c>
      <c r="K261" s="18" t="str">
        <f t="shared" ref="K261:K284" si="101">IF(Q261="","·",Q261/D261)</f>
        <v>·</v>
      </c>
      <c r="L261" s="19"/>
      <c r="M261" s="18" t="str">
        <f t="shared" si="97"/>
        <v>·</v>
      </c>
      <c r="N261" s="18" t="str">
        <f t="shared" ref="N261:N284" si="102">IF(ISBLANK(P261),"·",P261/O261)</f>
        <v>·</v>
      </c>
      <c r="O261" s="20"/>
      <c r="P261" s="21"/>
      <c r="Q261" s="21"/>
      <c r="R261" s="37"/>
      <c r="S261" s="21"/>
      <c r="T261" s="39"/>
      <c r="U261" s="39"/>
      <c r="V261" s="39"/>
      <c r="W261" s="38"/>
      <c r="X261" s="39"/>
      <c r="Y261" s="39"/>
      <c r="Z261" s="39"/>
      <c r="AA261" s="38"/>
      <c r="AB261" s="49"/>
      <c r="AC261" s="49"/>
      <c r="AE261" s="17" t="str">
        <f t="shared" ref="AE261:AE284" si="103">IF(OR(ISBLANK(AL261),ISBLANK(G261)),"·",AL261*G261/F261/1000000)</f>
        <v>·</v>
      </c>
      <c r="AF261" s="18" t="str">
        <f t="shared" ref="AF261:AF284" si="104">IF(ISBLANK(AL261),"·",AL261/D261)</f>
        <v>·</v>
      </c>
      <c r="AG261" s="18" t="str">
        <f t="shared" ref="AG261:AG284" si="105">IF(AM261="","·",AM261/D261)</f>
        <v>·</v>
      </c>
      <c r="AH261" s="19"/>
      <c r="AI261" s="18" t="str">
        <f t="shared" si="98"/>
        <v>·</v>
      </c>
      <c r="AJ261" s="18" t="str">
        <f t="shared" ref="AJ261:AJ284" si="106">IF(ISBLANK(AL261),"·",AL261/AK261)</f>
        <v>·</v>
      </c>
      <c r="AK261" s="20"/>
      <c r="AL261" s="21"/>
      <c r="AM261" s="21"/>
      <c r="AN261" s="37"/>
      <c r="AO261" s="21"/>
      <c r="AP261" s="39"/>
      <c r="AQ261" s="39"/>
      <c r="AR261" s="39"/>
      <c r="AS261" s="38"/>
      <c r="AT261" s="39"/>
      <c r="AU261" s="39"/>
      <c r="AV261" s="39"/>
      <c r="AW261" s="38"/>
      <c r="AX261" s="49"/>
      <c r="AY261" s="49"/>
      <c r="BA261" s="53" t="e">
        <f t="shared" ref="BA261:BA284" si="107">(AM261/AL261)-(Q261/P261)</f>
        <v>#DIV/0!</v>
      </c>
      <c r="BB261" s="53"/>
      <c r="BD261" s="61"/>
      <c r="BE261" s="61"/>
      <c r="BF261" s="61"/>
      <c r="BG261" s="54"/>
      <c r="BI261" s="61"/>
      <c r="BJ261" s="61"/>
      <c r="BK261" s="61"/>
      <c r="BL261" s="54"/>
      <c r="BN261" s="61"/>
      <c r="BO261" s="61"/>
      <c r="BP261" s="61"/>
      <c r="BQ261" s="54"/>
      <c r="BS261" s="61"/>
      <c r="BT261" s="61"/>
      <c r="BU261" s="61"/>
      <c r="BV261" s="54"/>
      <c r="BX261">
        <f t="shared" si="84"/>
        <v>0</v>
      </c>
      <c r="BY261">
        <f t="shared" si="85"/>
        <v>0</v>
      </c>
      <c r="BZ261">
        <f t="shared" si="86"/>
        <v>0</v>
      </c>
      <c r="CA261">
        <f t="shared" si="87"/>
        <v>0</v>
      </c>
      <c r="CB261">
        <f t="shared" si="88"/>
        <v>0</v>
      </c>
      <c r="CC261">
        <f t="shared" si="89"/>
        <v>0</v>
      </c>
      <c r="CD261">
        <f t="shared" si="90"/>
        <v>0</v>
      </c>
      <c r="CE261">
        <f t="shared" si="91"/>
        <v>0</v>
      </c>
      <c r="CF261">
        <f t="shared" si="92"/>
        <v>0</v>
      </c>
      <c r="CG261">
        <f t="shared" si="93"/>
        <v>0</v>
      </c>
      <c r="CH261">
        <f t="shared" si="94"/>
        <v>0</v>
      </c>
      <c r="CI261">
        <f t="shared" si="95"/>
        <v>0</v>
      </c>
      <c r="CJ261">
        <f t="shared" si="96"/>
        <v>0</v>
      </c>
    </row>
    <row r="262" spans="1:88" outlineLevel="1" x14ac:dyDescent="0.15">
      <c r="A262" s="8"/>
      <c r="B262" s="8" t="s">
        <v>179</v>
      </c>
      <c r="C262" s="9" t="s">
        <v>256</v>
      </c>
      <c r="D262" s="8">
        <v>126093865</v>
      </c>
      <c r="E262" s="10">
        <v>18</v>
      </c>
      <c r="F262" s="9">
        <v>1500</v>
      </c>
      <c r="G262" s="9">
        <v>10</v>
      </c>
      <c r="I262" s="22" t="str">
        <f t="shared" si="99"/>
        <v>·</v>
      </c>
      <c r="J262" s="23" t="str">
        <f t="shared" si="100"/>
        <v>·</v>
      </c>
      <c r="K262" s="23" t="str">
        <f t="shared" si="101"/>
        <v>·</v>
      </c>
      <c r="L262" s="24"/>
      <c r="M262" s="23" t="str">
        <f t="shared" si="97"/>
        <v>·</v>
      </c>
      <c r="N262" s="23" t="str">
        <f t="shared" si="102"/>
        <v>·</v>
      </c>
      <c r="O262" s="25"/>
      <c r="P262" s="26"/>
      <c r="Q262" s="26"/>
      <c r="R262" s="40"/>
      <c r="S262" s="26"/>
      <c r="T262" s="42"/>
      <c r="U262" s="42"/>
      <c r="V262" s="42"/>
      <c r="W262" s="41"/>
      <c r="X262" s="42"/>
      <c r="Y262" s="42"/>
      <c r="Z262" s="42"/>
      <c r="AA262" s="41"/>
      <c r="AB262" s="50"/>
      <c r="AC262" s="50"/>
      <c r="AE262" s="22" t="str">
        <f t="shared" si="103"/>
        <v>·</v>
      </c>
      <c r="AF262" s="23" t="str">
        <f t="shared" si="104"/>
        <v>·</v>
      </c>
      <c r="AG262" s="23" t="str">
        <f t="shared" si="105"/>
        <v>·</v>
      </c>
      <c r="AH262" s="24"/>
      <c r="AI262" s="23" t="str">
        <f t="shared" si="98"/>
        <v>·</v>
      </c>
      <c r="AJ262" s="23" t="str">
        <f t="shared" si="106"/>
        <v>·</v>
      </c>
      <c r="AK262" s="25"/>
      <c r="AL262" s="26"/>
      <c r="AM262" s="26"/>
      <c r="AN262" s="40"/>
      <c r="AO262" s="26"/>
      <c r="AP262" s="42"/>
      <c r="AQ262" s="42"/>
      <c r="AR262" s="42"/>
      <c r="AS262" s="41"/>
      <c r="AT262" s="42"/>
      <c r="AU262" s="42"/>
      <c r="AV262" s="42"/>
      <c r="AW262" s="41"/>
      <c r="AX262" s="50"/>
      <c r="AY262" s="50"/>
      <c r="BA262" s="55" t="e">
        <f t="shared" si="107"/>
        <v>#DIV/0!</v>
      </c>
      <c r="BB262" s="55"/>
      <c r="BD262" s="62"/>
      <c r="BE262" s="62"/>
      <c r="BF262" s="62"/>
      <c r="BG262" s="56"/>
      <c r="BI262" s="62"/>
      <c r="BJ262" s="62"/>
      <c r="BK262" s="62"/>
      <c r="BL262" s="56"/>
      <c r="BN262" s="62"/>
      <c r="BO262" s="62"/>
      <c r="BP262" s="62"/>
      <c r="BQ262" s="56"/>
      <c r="BS262" s="62"/>
      <c r="BT262" s="62"/>
      <c r="BU262" s="62"/>
      <c r="BV262" s="56"/>
      <c r="BX262">
        <f t="shared" ref="BX262:BX284" si="108">AK262-O262</f>
        <v>0</v>
      </c>
      <c r="BY262">
        <f t="shared" ref="BY262:BY284" si="109">AL262-P262</f>
        <v>0</v>
      </c>
      <c r="BZ262">
        <f t="shared" ref="BZ262:BZ284" si="110">AM262-Q262</f>
        <v>0</v>
      </c>
      <c r="CA262">
        <f t="shared" ref="CA262:CA284" si="111">AN262-R262</f>
        <v>0</v>
      </c>
      <c r="CB262">
        <f t="shared" ref="CB262:CB284" si="112">AO262-S262</f>
        <v>0</v>
      </c>
      <c r="CC262">
        <f t="shared" ref="CC262:CC284" si="113">AP262-T262</f>
        <v>0</v>
      </c>
      <c r="CD262">
        <f t="shared" ref="CD262:CD284" si="114">AQ262-U262</f>
        <v>0</v>
      </c>
      <c r="CE262">
        <f t="shared" ref="CE262:CE284" si="115">AR262-V262</f>
        <v>0</v>
      </c>
      <c r="CF262">
        <f t="shared" ref="CF262:CF284" si="116">AS262-W262</f>
        <v>0</v>
      </c>
      <c r="CG262">
        <f t="shared" ref="CG262:CG284" si="117">AT262-X262</f>
        <v>0</v>
      </c>
      <c r="CH262">
        <f t="shared" ref="CH262:CH284" si="118">AU262-Y262</f>
        <v>0</v>
      </c>
      <c r="CI262">
        <f t="shared" ref="CI262:CI284" si="119">AV262-Z262</f>
        <v>0</v>
      </c>
      <c r="CJ262">
        <f t="shared" ref="CJ262:CJ284" si="120">AW262-AA262</f>
        <v>0</v>
      </c>
    </row>
    <row r="263" spans="1:88" outlineLevel="1" x14ac:dyDescent="0.15">
      <c r="A263" s="5"/>
      <c r="B263" s="5" t="s">
        <v>179</v>
      </c>
      <c r="C263" s="6" t="s">
        <v>257</v>
      </c>
      <c r="D263" s="5">
        <v>126093865</v>
      </c>
      <c r="E263" s="7">
        <v>18</v>
      </c>
      <c r="F263" s="6">
        <v>1500</v>
      </c>
      <c r="G263" s="6">
        <v>10</v>
      </c>
      <c r="I263" s="17" t="str">
        <f t="shared" si="99"/>
        <v>·</v>
      </c>
      <c r="J263" s="18" t="str">
        <f t="shared" si="100"/>
        <v>·</v>
      </c>
      <c r="K263" s="18" t="str">
        <f t="shared" si="101"/>
        <v>·</v>
      </c>
      <c r="L263" s="19"/>
      <c r="M263" s="18" t="str">
        <f t="shared" si="97"/>
        <v>·</v>
      </c>
      <c r="N263" s="18" t="str">
        <f t="shared" si="102"/>
        <v>·</v>
      </c>
      <c r="O263" s="20"/>
      <c r="P263" s="21"/>
      <c r="Q263" s="21"/>
      <c r="R263" s="37"/>
      <c r="S263" s="21"/>
      <c r="T263" s="39"/>
      <c r="U263" s="39"/>
      <c r="V263" s="39"/>
      <c r="W263" s="38"/>
      <c r="X263" s="39"/>
      <c r="Y263" s="39"/>
      <c r="Z263" s="39"/>
      <c r="AA263" s="38"/>
      <c r="AB263" s="49"/>
      <c r="AC263" s="49"/>
      <c r="AE263" s="17" t="str">
        <f t="shared" si="103"/>
        <v>·</v>
      </c>
      <c r="AF263" s="18" t="str">
        <f t="shared" si="104"/>
        <v>·</v>
      </c>
      <c r="AG263" s="18" t="str">
        <f t="shared" si="105"/>
        <v>·</v>
      </c>
      <c r="AH263" s="19"/>
      <c r="AI263" s="18" t="str">
        <f t="shared" si="98"/>
        <v>·</v>
      </c>
      <c r="AJ263" s="18" t="str">
        <f t="shared" si="106"/>
        <v>·</v>
      </c>
      <c r="AK263" s="20"/>
      <c r="AL263" s="21"/>
      <c r="AM263" s="21"/>
      <c r="AN263" s="37"/>
      <c r="AO263" s="21"/>
      <c r="AP263" s="39"/>
      <c r="AQ263" s="39"/>
      <c r="AR263" s="39"/>
      <c r="AS263" s="38"/>
      <c r="AT263" s="39"/>
      <c r="AU263" s="39"/>
      <c r="AV263" s="39"/>
      <c r="AW263" s="38"/>
      <c r="AX263" s="49"/>
      <c r="AY263" s="49"/>
      <c r="BA263" s="53" t="e">
        <f t="shared" si="107"/>
        <v>#DIV/0!</v>
      </c>
      <c r="BB263" s="53"/>
      <c r="BD263" s="61"/>
      <c r="BE263" s="61"/>
      <c r="BF263" s="61"/>
      <c r="BG263" s="54"/>
      <c r="BI263" s="61"/>
      <c r="BJ263" s="61"/>
      <c r="BK263" s="61"/>
      <c r="BL263" s="54"/>
      <c r="BN263" s="61"/>
      <c r="BO263" s="61"/>
      <c r="BP263" s="61"/>
      <c r="BQ263" s="54"/>
      <c r="BS263" s="61"/>
      <c r="BT263" s="61"/>
      <c r="BU263" s="61"/>
      <c r="BV263" s="54"/>
      <c r="BX263">
        <f t="shared" si="108"/>
        <v>0</v>
      </c>
      <c r="BY263">
        <f t="shared" si="109"/>
        <v>0</v>
      </c>
      <c r="BZ263">
        <f t="shared" si="110"/>
        <v>0</v>
      </c>
      <c r="CA263">
        <f t="shared" si="111"/>
        <v>0</v>
      </c>
      <c r="CB263">
        <f t="shared" si="112"/>
        <v>0</v>
      </c>
      <c r="CC263">
        <f t="shared" si="113"/>
        <v>0</v>
      </c>
      <c r="CD263">
        <f t="shared" si="114"/>
        <v>0</v>
      </c>
      <c r="CE263">
        <f t="shared" si="115"/>
        <v>0</v>
      </c>
      <c r="CF263">
        <f t="shared" si="116"/>
        <v>0</v>
      </c>
      <c r="CG263">
        <f t="shared" si="117"/>
        <v>0</v>
      </c>
      <c r="CH263">
        <f t="shared" si="118"/>
        <v>0</v>
      </c>
      <c r="CI263">
        <f t="shared" si="119"/>
        <v>0</v>
      </c>
      <c r="CJ263">
        <f t="shared" si="120"/>
        <v>0</v>
      </c>
    </row>
    <row r="264" spans="1:88" outlineLevel="1" x14ac:dyDescent="0.15">
      <c r="A264" s="8"/>
      <c r="B264" s="14" t="s">
        <v>179</v>
      </c>
      <c r="C264" s="15" t="s">
        <v>258</v>
      </c>
      <c r="D264" s="14">
        <v>126093865</v>
      </c>
      <c r="E264" s="16">
        <v>18</v>
      </c>
      <c r="F264" s="15">
        <v>1500</v>
      </c>
      <c r="G264" s="15">
        <v>10</v>
      </c>
      <c r="I264" s="32" t="str">
        <f t="shared" si="99"/>
        <v>·</v>
      </c>
      <c r="J264" s="33" t="str">
        <f t="shared" si="100"/>
        <v>·</v>
      </c>
      <c r="K264" s="33" t="str">
        <f t="shared" si="101"/>
        <v>·</v>
      </c>
      <c r="L264" s="34"/>
      <c r="M264" s="33" t="str">
        <f t="shared" si="97"/>
        <v>·</v>
      </c>
      <c r="N264" s="33" t="str">
        <f t="shared" si="102"/>
        <v>·</v>
      </c>
      <c r="O264" s="35"/>
      <c r="P264" s="36"/>
      <c r="Q264" s="36"/>
      <c r="R264" s="46"/>
      <c r="S264" s="36"/>
      <c r="T264" s="48"/>
      <c r="U264" s="48"/>
      <c r="V264" s="48"/>
      <c r="W264" s="47"/>
      <c r="X264" s="48"/>
      <c r="Y264" s="48"/>
      <c r="Z264" s="48"/>
      <c r="AA264" s="47"/>
      <c r="AB264" s="52"/>
      <c r="AC264" s="52"/>
      <c r="AE264" s="32" t="str">
        <f t="shared" si="103"/>
        <v>·</v>
      </c>
      <c r="AF264" s="33" t="str">
        <f t="shared" si="104"/>
        <v>·</v>
      </c>
      <c r="AG264" s="33" t="str">
        <f t="shared" si="105"/>
        <v>·</v>
      </c>
      <c r="AH264" s="34"/>
      <c r="AI264" s="33" t="str">
        <f t="shared" si="98"/>
        <v>·</v>
      </c>
      <c r="AJ264" s="33" t="str">
        <f t="shared" si="106"/>
        <v>·</v>
      </c>
      <c r="AK264" s="35"/>
      <c r="AL264" s="36"/>
      <c r="AM264" s="36"/>
      <c r="AN264" s="46"/>
      <c r="AO264" s="36"/>
      <c r="AP264" s="48"/>
      <c r="AQ264" s="48"/>
      <c r="AR264" s="48"/>
      <c r="AS264" s="47"/>
      <c r="AT264" s="48"/>
      <c r="AU264" s="48"/>
      <c r="AV264" s="48"/>
      <c r="AW264" s="47"/>
      <c r="AX264" s="52"/>
      <c r="AY264" s="52"/>
      <c r="BA264" s="59" t="e">
        <f t="shared" si="107"/>
        <v>#DIV/0!</v>
      </c>
      <c r="BB264" s="59"/>
      <c r="BD264" s="64"/>
      <c r="BE264" s="64"/>
      <c r="BF264" s="64"/>
      <c r="BG264" s="60"/>
      <c r="BI264" s="64"/>
      <c r="BJ264" s="64"/>
      <c r="BK264" s="64"/>
      <c r="BL264" s="60"/>
      <c r="BN264" s="64"/>
      <c r="BO264" s="64"/>
      <c r="BP264" s="64"/>
      <c r="BQ264" s="60"/>
      <c r="BS264" s="64"/>
      <c r="BT264" s="64"/>
      <c r="BU264" s="64"/>
      <c r="BV264" s="60"/>
      <c r="BX264">
        <f t="shared" si="108"/>
        <v>0</v>
      </c>
      <c r="BY264">
        <f t="shared" si="109"/>
        <v>0</v>
      </c>
      <c r="BZ264">
        <f t="shared" si="110"/>
        <v>0</v>
      </c>
      <c r="CA264">
        <f t="shared" si="111"/>
        <v>0</v>
      </c>
      <c r="CB264">
        <f t="shared" si="112"/>
        <v>0</v>
      </c>
      <c r="CC264">
        <f t="shared" si="113"/>
        <v>0</v>
      </c>
      <c r="CD264">
        <f t="shared" si="114"/>
        <v>0</v>
      </c>
      <c r="CE264">
        <f t="shared" si="115"/>
        <v>0</v>
      </c>
      <c r="CF264">
        <f t="shared" si="116"/>
        <v>0</v>
      </c>
      <c r="CG264">
        <f t="shared" si="117"/>
        <v>0</v>
      </c>
      <c r="CH264">
        <f t="shared" si="118"/>
        <v>0</v>
      </c>
      <c r="CI264">
        <f t="shared" si="119"/>
        <v>0</v>
      </c>
      <c r="CJ264">
        <f t="shared" si="120"/>
        <v>0</v>
      </c>
    </row>
    <row r="265" spans="1:88" x14ac:dyDescent="0.15">
      <c r="A265" s="5"/>
      <c r="B265" s="5" t="s">
        <v>180</v>
      </c>
      <c r="C265" s="6" t="s">
        <v>254</v>
      </c>
      <c r="D265" s="5">
        <v>2233793</v>
      </c>
      <c r="E265" s="7">
        <v>18</v>
      </c>
      <c r="F265" s="6">
        <v>74</v>
      </c>
      <c r="G265" s="6">
        <v>5</v>
      </c>
      <c r="I265" s="17" t="str">
        <f t="shared" si="99"/>
        <v>·</v>
      </c>
      <c r="J265" s="18" t="str">
        <f t="shared" si="100"/>
        <v>·</v>
      </c>
      <c r="K265" s="18" t="str">
        <f t="shared" si="101"/>
        <v>·</v>
      </c>
      <c r="L265" s="19"/>
      <c r="M265" s="18" t="str">
        <f t="shared" si="97"/>
        <v>·</v>
      </c>
      <c r="N265" s="18" t="str">
        <f t="shared" si="102"/>
        <v>·</v>
      </c>
      <c r="O265" s="20"/>
      <c r="P265" s="21"/>
      <c r="Q265" s="21"/>
      <c r="R265" s="37"/>
      <c r="S265" s="21"/>
      <c r="T265" s="39"/>
      <c r="U265" s="39"/>
      <c r="V265" s="39"/>
      <c r="W265" s="38"/>
      <c r="X265" s="39"/>
      <c r="Y265" s="39"/>
      <c r="Z265" s="39"/>
      <c r="AA265" s="38"/>
      <c r="AB265" s="49"/>
      <c r="AC265" s="49"/>
      <c r="AE265" s="17" t="str">
        <f t="shared" si="103"/>
        <v>·</v>
      </c>
      <c r="AF265" s="18" t="str">
        <f t="shared" si="104"/>
        <v>·</v>
      </c>
      <c r="AG265" s="18" t="str">
        <f t="shared" si="105"/>
        <v>·</v>
      </c>
      <c r="AH265" s="19"/>
      <c r="AI265" s="18" t="str">
        <f t="shared" si="98"/>
        <v>·</v>
      </c>
      <c r="AJ265" s="18" t="str">
        <f t="shared" si="106"/>
        <v>·</v>
      </c>
      <c r="AK265" s="20"/>
      <c r="AL265" s="21"/>
      <c r="AM265" s="21"/>
      <c r="AN265" s="37"/>
      <c r="AO265" s="21"/>
      <c r="AP265" s="39"/>
      <c r="AQ265" s="39"/>
      <c r="AR265" s="39"/>
      <c r="AS265" s="38"/>
      <c r="AT265" s="39"/>
      <c r="AU265" s="39"/>
      <c r="AV265" s="39"/>
      <c r="AW265" s="38"/>
      <c r="AX265" s="49"/>
      <c r="AY265" s="49"/>
      <c r="BA265" s="53" t="e">
        <f t="shared" si="107"/>
        <v>#DIV/0!</v>
      </c>
      <c r="BB265" s="53" t="e">
        <f t="array" ref="BB265">AVERAGE(AM265:AM269/AL265:AL269)-AVERAGE(Q265:Q269/P265:P269)</f>
        <v>#DIV/0!</v>
      </c>
      <c r="BD265" s="61"/>
      <c r="BE265" s="61"/>
      <c r="BF265" s="61"/>
      <c r="BG265" s="54" t="str">
        <f>IF(OR(ISBLANK(S265:S269),ISBLANK(AO265:AO269),ISBLANK(W265:W269),ISBLANK(AS265:AS269)),"·",bdRateExtend(S265:S269,W265:W269,AO265:AO269,AS265:AS269))</f>
        <v>·</v>
      </c>
      <c r="BI265" s="61"/>
      <c r="BJ265" s="61"/>
      <c r="BK265" s="61"/>
      <c r="BL265" s="54" t="str">
        <f>IF(OR(ISBLANK(S265:S269),ISBLANK(AO265:AO269),ISBLANK(AA265:AA269),ISBLANK(AW265:AW269)),"·",bdRateExtend(S265:S269,AA265:AA269,AO265:AO269,AW265:AW269))</f>
        <v>·</v>
      </c>
      <c r="BN265" s="61"/>
      <c r="BO265" s="61"/>
      <c r="BP265" s="61"/>
      <c r="BQ265" s="54" t="str">
        <f>IF(OR(ISBLANK(P265:P269),ISBLANK(AL265:AL269),ISBLANK(W265:W269),ISBLANK(AS265:AS269)),"·",bdRateExtend(P265:P269,W265:W269,AL265:AL269,AS265:AS269))</f>
        <v>·</v>
      </c>
      <c r="BS265" s="61"/>
      <c r="BT265" s="61"/>
      <c r="BU265" s="61"/>
      <c r="BV265" s="54" t="str">
        <f>IF(OR(ISBLANK(P265:P269),ISBLANK(AL265:AL269),ISBLANK(AA265:AA269),ISBLANK(AW265:AW269)),"·",bdRateExtend(P265:P269,AA265:AA269,AL265:AL269,AW265:AW269))</f>
        <v>·</v>
      </c>
      <c r="BX265">
        <f t="shared" si="108"/>
        <v>0</v>
      </c>
      <c r="BY265">
        <f t="shared" si="109"/>
        <v>0</v>
      </c>
      <c r="BZ265">
        <f t="shared" si="110"/>
        <v>0</v>
      </c>
      <c r="CA265">
        <f t="shared" si="111"/>
        <v>0</v>
      </c>
      <c r="CB265">
        <f t="shared" si="112"/>
        <v>0</v>
      </c>
      <c r="CC265">
        <f t="shared" si="113"/>
        <v>0</v>
      </c>
      <c r="CD265">
        <f t="shared" si="114"/>
        <v>0</v>
      </c>
      <c r="CE265">
        <f t="shared" si="115"/>
        <v>0</v>
      </c>
      <c r="CF265">
        <f t="shared" si="116"/>
        <v>0</v>
      </c>
      <c r="CG265">
        <f t="shared" si="117"/>
        <v>0</v>
      </c>
      <c r="CH265">
        <f t="shared" si="118"/>
        <v>0</v>
      </c>
      <c r="CI265">
        <f t="shared" si="119"/>
        <v>0</v>
      </c>
      <c r="CJ265">
        <f t="shared" si="120"/>
        <v>0</v>
      </c>
    </row>
    <row r="266" spans="1:88" outlineLevel="1" x14ac:dyDescent="0.15">
      <c r="A266" s="8"/>
      <c r="B266" s="8" t="s">
        <v>180</v>
      </c>
      <c r="C266" s="9" t="s">
        <v>255</v>
      </c>
      <c r="D266" s="8">
        <v>2233793</v>
      </c>
      <c r="E266" s="10">
        <v>18</v>
      </c>
      <c r="F266" s="9">
        <v>74</v>
      </c>
      <c r="G266" s="9">
        <v>5</v>
      </c>
      <c r="I266" s="22" t="str">
        <f t="shared" si="99"/>
        <v>·</v>
      </c>
      <c r="J266" s="23" t="str">
        <f t="shared" si="100"/>
        <v>·</v>
      </c>
      <c r="K266" s="23" t="str">
        <f t="shared" si="101"/>
        <v>·</v>
      </c>
      <c r="L266" s="24"/>
      <c r="M266" s="23" t="str">
        <f t="shared" si="97"/>
        <v>·</v>
      </c>
      <c r="N266" s="23" t="str">
        <f t="shared" si="102"/>
        <v>·</v>
      </c>
      <c r="O266" s="25"/>
      <c r="P266" s="26"/>
      <c r="Q266" s="26"/>
      <c r="R266" s="40"/>
      <c r="S266" s="26"/>
      <c r="T266" s="42"/>
      <c r="U266" s="42"/>
      <c r="V266" s="42"/>
      <c r="W266" s="41"/>
      <c r="X266" s="42"/>
      <c r="Y266" s="42"/>
      <c r="Z266" s="42"/>
      <c r="AA266" s="41"/>
      <c r="AB266" s="50"/>
      <c r="AC266" s="50"/>
      <c r="AE266" s="22" t="str">
        <f t="shared" si="103"/>
        <v>·</v>
      </c>
      <c r="AF266" s="23" t="str">
        <f t="shared" si="104"/>
        <v>·</v>
      </c>
      <c r="AG266" s="23" t="str">
        <f t="shared" si="105"/>
        <v>·</v>
      </c>
      <c r="AH266" s="24"/>
      <c r="AI266" s="23" t="str">
        <f t="shared" si="98"/>
        <v>·</v>
      </c>
      <c r="AJ266" s="23" t="str">
        <f t="shared" si="106"/>
        <v>·</v>
      </c>
      <c r="AK266" s="25"/>
      <c r="AL266" s="26"/>
      <c r="AM266" s="26"/>
      <c r="AN266" s="40"/>
      <c r="AO266" s="26"/>
      <c r="AP266" s="42"/>
      <c r="AQ266" s="42"/>
      <c r="AR266" s="42"/>
      <c r="AS266" s="41"/>
      <c r="AT266" s="42"/>
      <c r="AU266" s="42"/>
      <c r="AV266" s="42"/>
      <c r="AW266" s="41"/>
      <c r="AX266" s="50"/>
      <c r="AY266" s="50"/>
      <c r="BA266" s="55" t="e">
        <f t="shared" si="107"/>
        <v>#DIV/0!</v>
      </c>
      <c r="BB266" s="55"/>
      <c r="BD266" s="62"/>
      <c r="BE266" s="62"/>
      <c r="BF266" s="62"/>
      <c r="BG266" s="56"/>
      <c r="BI266" s="62"/>
      <c r="BJ266" s="62"/>
      <c r="BK266" s="62"/>
      <c r="BL266" s="56"/>
      <c r="BN266" s="62"/>
      <c r="BO266" s="62"/>
      <c r="BP266" s="62"/>
      <c r="BQ266" s="56"/>
      <c r="BS266" s="62"/>
      <c r="BT266" s="62"/>
      <c r="BU266" s="62"/>
      <c r="BV266" s="56"/>
      <c r="BX266">
        <f t="shared" si="108"/>
        <v>0</v>
      </c>
      <c r="BY266">
        <f t="shared" si="109"/>
        <v>0</v>
      </c>
      <c r="BZ266">
        <f t="shared" si="110"/>
        <v>0</v>
      </c>
      <c r="CA266">
        <f t="shared" si="111"/>
        <v>0</v>
      </c>
      <c r="CB266">
        <f t="shared" si="112"/>
        <v>0</v>
      </c>
      <c r="CC266">
        <f t="shared" si="113"/>
        <v>0</v>
      </c>
      <c r="CD266">
        <f t="shared" si="114"/>
        <v>0</v>
      </c>
      <c r="CE266">
        <f t="shared" si="115"/>
        <v>0</v>
      </c>
      <c r="CF266">
        <f t="shared" si="116"/>
        <v>0</v>
      </c>
      <c r="CG266">
        <f t="shared" si="117"/>
        <v>0</v>
      </c>
      <c r="CH266">
        <f t="shared" si="118"/>
        <v>0</v>
      </c>
      <c r="CI266">
        <f t="shared" si="119"/>
        <v>0</v>
      </c>
      <c r="CJ266">
        <f t="shared" si="120"/>
        <v>0</v>
      </c>
    </row>
    <row r="267" spans="1:88" outlineLevel="1" x14ac:dyDescent="0.15">
      <c r="A267" s="5"/>
      <c r="B267" s="5" t="s">
        <v>180</v>
      </c>
      <c r="C267" s="6" t="s">
        <v>256</v>
      </c>
      <c r="D267" s="5">
        <v>2233793</v>
      </c>
      <c r="E267" s="7">
        <v>18</v>
      </c>
      <c r="F267" s="6">
        <v>74</v>
      </c>
      <c r="G267" s="6">
        <v>5</v>
      </c>
      <c r="I267" s="17" t="str">
        <f t="shared" si="99"/>
        <v>·</v>
      </c>
      <c r="J267" s="18" t="str">
        <f t="shared" si="100"/>
        <v>·</v>
      </c>
      <c r="K267" s="18" t="str">
        <f t="shared" si="101"/>
        <v>·</v>
      </c>
      <c r="L267" s="19"/>
      <c r="M267" s="18" t="str">
        <f t="shared" ref="M267:M284" si="121">IF(ISBLANK(Q267),"·",S267/D267)</f>
        <v>·</v>
      </c>
      <c r="N267" s="18" t="str">
        <f t="shared" si="102"/>
        <v>·</v>
      </c>
      <c r="O267" s="20"/>
      <c r="P267" s="21"/>
      <c r="Q267" s="21"/>
      <c r="R267" s="37"/>
      <c r="S267" s="21"/>
      <c r="T267" s="39"/>
      <c r="U267" s="39"/>
      <c r="V267" s="39"/>
      <c r="W267" s="38"/>
      <c r="X267" s="39"/>
      <c r="Y267" s="39"/>
      <c r="Z267" s="39"/>
      <c r="AA267" s="38"/>
      <c r="AB267" s="49"/>
      <c r="AC267" s="49"/>
      <c r="AE267" s="17" t="str">
        <f t="shared" si="103"/>
        <v>·</v>
      </c>
      <c r="AF267" s="18" t="str">
        <f t="shared" si="104"/>
        <v>·</v>
      </c>
      <c r="AG267" s="18" t="str">
        <f t="shared" si="105"/>
        <v>·</v>
      </c>
      <c r="AH267" s="19"/>
      <c r="AI267" s="18" t="str">
        <f t="shared" ref="AI267:AI284" si="122">IF(ISBLANK(AM267),"·",AO267/D267)</f>
        <v>·</v>
      </c>
      <c r="AJ267" s="18" t="str">
        <f t="shared" si="106"/>
        <v>·</v>
      </c>
      <c r="AK267" s="20"/>
      <c r="AL267" s="21"/>
      <c r="AM267" s="21"/>
      <c r="AN267" s="37"/>
      <c r="AO267" s="21"/>
      <c r="AP267" s="39"/>
      <c r="AQ267" s="39"/>
      <c r="AR267" s="39"/>
      <c r="AS267" s="38"/>
      <c r="AT267" s="39"/>
      <c r="AU267" s="39"/>
      <c r="AV267" s="39"/>
      <c r="AW267" s="38"/>
      <c r="AX267" s="49"/>
      <c r="AY267" s="49"/>
      <c r="BA267" s="53" t="e">
        <f t="shared" si="107"/>
        <v>#DIV/0!</v>
      </c>
      <c r="BB267" s="53"/>
      <c r="BD267" s="61"/>
      <c r="BE267" s="61"/>
      <c r="BF267" s="61"/>
      <c r="BG267" s="54"/>
      <c r="BI267" s="61"/>
      <c r="BJ267" s="61"/>
      <c r="BK267" s="61"/>
      <c r="BL267" s="54"/>
      <c r="BN267" s="61"/>
      <c r="BO267" s="61"/>
      <c r="BP267" s="61"/>
      <c r="BQ267" s="54"/>
      <c r="BS267" s="61"/>
      <c r="BT267" s="61"/>
      <c r="BU267" s="61"/>
      <c r="BV267" s="54"/>
      <c r="BX267">
        <f t="shared" si="108"/>
        <v>0</v>
      </c>
      <c r="BY267">
        <f t="shared" si="109"/>
        <v>0</v>
      </c>
      <c r="BZ267">
        <f t="shared" si="110"/>
        <v>0</v>
      </c>
      <c r="CA267">
        <f t="shared" si="111"/>
        <v>0</v>
      </c>
      <c r="CB267">
        <f t="shared" si="112"/>
        <v>0</v>
      </c>
      <c r="CC267">
        <f t="shared" si="113"/>
        <v>0</v>
      </c>
      <c r="CD267">
        <f t="shared" si="114"/>
        <v>0</v>
      </c>
      <c r="CE267">
        <f t="shared" si="115"/>
        <v>0</v>
      </c>
      <c r="CF267">
        <f t="shared" si="116"/>
        <v>0</v>
      </c>
      <c r="CG267">
        <f t="shared" si="117"/>
        <v>0</v>
      </c>
      <c r="CH267">
        <f t="shared" si="118"/>
        <v>0</v>
      </c>
      <c r="CI267">
        <f t="shared" si="119"/>
        <v>0</v>
      </c>
      <c r="CJ267">
        <f t="shared" si="120"/>
        <v>0</v>
      </c>
    </row>
    <row r="268" spans="1:88" outlineLevel="1" x14ac:dyDescent="0.15">
      <c r="A268" s="8"/>
      <c r="B268" s="8" t="s">
        <v>180</v>
      </c>
      <c r="C268" s="9" t="s">
        <v>257</v>
      </c>
      <c r="D268" s="8">
        <v>2233793</v>
      </c>
      <c r="E268" s="10">
        <v>18</v>
      </c>
      <c r="F268" s="9">
        <v>74</v>
      </c>
      <c r="G268" s="9">
        <v>5</v>
      </c>
      <c r="I268" s="22" t="str">
        <f t="shared" si="99"/>
        <v>·</v>
      </c>
      <c r="J268" s="23" t="str">
        <f t="shared" si="100"/>
        <v>·</v>
      </c>
      <c r="K268" s="23" t="str">
        <f t="shared" si="101"/>
        <v>·</v>
      </c>
      <c r="L268" s="24"/>
      <c r="M268" s="23" t="str">
        <f t="shared" si="121"/>
        <v>·</v>
      </c>
      <c r="N268" s="23" t="str">
        <f t="shared" si="102"/>
        <v>·</v>
      </c>
      <c r="O268" s="25"/>
      <c r="P268" s="26"/>
      <c r="Q268" s="26"/>
      <c r="R268" s="40"/>
      <c r="S268" s="26"/>
      <c r="T268" s="42"/>
      <c r="U268" s="42"/>
      <c r="V268" s="42"/>
      <c r="W268" s="41"/>
      <c r="X268" s="42"/>
      <c r="Y268" s="42"/>
      <c r="Z268" s="42"/>
      <c r="AA268" s="41"/>
      <c r="AB268" s="50"/>
      <c r="AC268" s="50"/>
      <c r="AE268" s="22" t="str">
        <f t="shared" si="103"/>
        <v>·</v>
      </c>
      <c r="AF268" s="23" t="str">
        <f t="shared" si="104"/>
        <v>·</v>
      </c>
      <c r="AG268" s="23" t="str">
        <f t="shared" si="105"/>
        <v>·</v>
      </c>
      <c r="AH268" s="24"/>
      <c r="AI268" s="23" t="str">
        <f t="shared" si="122"/>
        <v>·</v>
      </c>
      <c r="AJ268" s="23" t="str">
        <f t="shared" si="106"/>
        <v>·</v>
      </c>
      <c r="AK268" s="25"/>
      <c r="AL268" s="26"/>
      <c r="AM268" s="26"/>
      <c r="AN268" s="40"/>
      <c r="AO268" s="26"/>
      <c r="AP268" s="42"/>
      <c r="AQ268" s="42"/>
      <c r="AR268" s="42"/>
      <c r="AS268" s="41"/>
      <c r="AT268" s="42"/>
      <c r="AU268" s="42"/>
      <c r="AV268" s="42"/>
      <c r="AW268" s="41"/>
      <c r="AX268" s="50"/>
      <c r="AY268" s="50"/>
      <c r="BA268" s="55" t="e">
        <f t="shared" si="107"/>
        <v>#DIV/0!</v>
      </c>
      <c r="BB268" s="55"/>
      <c r="BD268" s="62"/>
      <c r="BE268" s="62"/>
      <c r="BF268" s="62"/>
      <c r="BG268" s="56"/>
      <c r="BI268" s="62"/>
      <c r="BJ268" s="62"/>
      <c r="BK268" s="62"/>
      <c r="BL268" s="56"/>
      <c r="BN268" s="62"/>
      <c r="BO268" s="62"/>
      <c r="BP268" s="62"/>
      <c r="BQ268" s="56"/>
      <c r="BS268" s="62"/>
      <c r="BT268" s="62"/>
      <c r="BU268" s="62"/>
      <c r="BV268" s="56"/>
      <c r="BX268">
        <f t="shared" si="108"/>
        <v>0</v>
      </c>
      <c r="BY268">
        <f t="shared" si="109"/>
        <v>0</v>
      </c>
      <c r="BZ268">
        <f t="shared" si="110"/>
        <v>0</v>
      </c>
      <c r="CA268">
        <f t="shared" si="111"/>
        <v>0</v>
      </c>
      <c r="CB268">
        <f t="shared" si="112"/>
        <v>0</v>
      </c>
      <c r="CC268">
        <f t="shared" si="113"/>
        <v>0</v>
      </c>
      <c r="CD268">
        <f t="shared" si="114"/>
        <v>0</v>
      </c>
      <c r="CE268">
        <f t="shared" si="115"/>
        <v>0</v>
      </c>
      <c r="CF268">
        <f t="shared" si="116"/>
        <v>0</v>
      </c>
      <c r="CG268">
        <f t="shared" si="117"/>
        <v>0</v>
      </c>
      <c r="CH268">
        <f t="shared" si="118"/>
        <v>0</v>
      </c>
      <c r="CI268">
        <f t="shared" si="119"/>
        <v>0</v>
      </c>
      <c r="CJ268">
        <f t="shared" si="120"/>
        <v>0</v>
      </c>
    </row>
    <row r="269" spans="1:88" outlineLevel="1" x14ac:dyDescent="0.15">
      <c r="A269" s="5"/>
      <c r="B269" s="11" t="s">
        <v>180</v>
      </c>
      <c r="C269" s="12" t="s">
        <v>258</v>
      </c>
      <c r="D269" s="11">
        <v>2233793</v>
      </c>
      <c r="E269" s="13">
        <v>18</v>
      </c>
      <c r="F269" s="12">
        <v>74</v>
      </c>
      <c r="G269" s="12">
        <v>5</v>
      </c>
      <c r="I269" s="27" t="str">
        <f t="shared" si="99"/>
        <v>·</v>
      </c>
      <c r="J269" s="28" t="str">
        <f t="shared" si="100"/>
        <v>·</v>
      </c>
      <c r="K269" s="28" t="str">
        <f t="shared" si="101"/>
        <v>·</v>
      </c>
      <c r="L269" s="29"/>
      <c r="M269" s="28" t="str">
        <f t="shared" si="121"/>
        <v>·</v>
      </c>
      <c r="N269" s="28" t="str">
        <f t="shared" si="102"/>
        <v>·</v>
      </c>
      <c r="O269" s="30"/>
      <c r="P269" s="31"/>
      <c r="Q269" s="31"/>
      <c r="R269" s="43"/>
      <c r="S269" s="31"/>
      <c r="T269" s="45"/>
      <c r="U269" s="45"/>
      <c r="V269" s="45"/>
      <c r="W269" s="44"/>
      <c r="X269" s="45"/>
      <c r="Y269" s="45"/>
      <c r="Z269" s="45"/>
      <c r="AA269" s="44"/>
      <c r="AB269" s="51"/>
      <c r="AC269" s="51"/>
      <c r="AE269" s="27" t="str">
        <f t="shared" si="103"/>
        <v>·</v>
      </c>
      <c r="AF269" s="28" t="str">
        <f t="shared" si="104"/>
        <v>·</v>
      </c>
      <c r="AG269" s="28" t="str">
        <f t="shared" si="105"/>
        <v>·</v>
      </c>
      <c r="AH269" s="29"/>
      <c r="AI269" s="28" t="str">
        <f t="shared" si="122"/>
        <v>·</v>
      </c>
      <c r="AJ269" s="28" t="str">
        <f t="shared" si="106"/>
        <v>·</v>
      </c>
      <c r="AK269" s="30"/>
      <c r="AL269" s="31"/>
      <c r="AM269" s="31"/>
      <c r="AN269" s="43"/>
      <c r="AO269" s="31"/>
      <c r="AP269" s="45"/>
      <c r="AQ269" s="45"/>
      <c r="AR269" s="45"/>
      <c r="AS269" s="44"/>
      <c r="AT269" s="45"/>
      <c r="AU269" s="45"/>
      <c r="AV269" s="45"/>
      <c r="AW269" s="44"/>
      <c r="AX269" s="51"/>
      <c r="AY269" s="51"/>
      <c r="BA269" s="57" t="e">
        <f t="shared" si="107"/>
        <v>#DIV/0!</v>
      </c>
      <c r="BB269" s="57"/>
      <c r="BD269" s="63"/>
      <c r="BE269" s="63"/>
      <c r="BF269" s="63"/>
      <c r="BG269" s="58"/>
      <c r="BI269" s="63"/>
      <c r="BJ269" s="63"/>
      <c r="BK269" s="63"/>
      <c r="BL269" s="58"/>
      <c r="BN269" s="63"/>
      <c r="BO269" s="63"/>
      <c r="BP269" s="63"/>
      <c r="BQ269" s="58"/>
      <c r="BS269" s="63"/>
      <c r="BT269" s="63"/>
      <c r="BU269" s="63"/>
      <c r="BV269" s="58"/>
      <c r="BX269">
        <f t="shared" si="108"/>
        <v>0</v>
      </c>
      <c r="BY269">
        <f t="shared" si="109"/>
        <v>0</v>
      </c>
      <c r="BZ269">
        <f t="shared" si="110"/>
        <v>0</v>
      </c>
      <c r="CA269">
        <f t="shared" si="111"/>
        <v>0</v>
      </c>
      <c r="CB269">
        <f t="shared" si="112"/>
        <v>0</v>
      </c>
      <c r="CC269">
        <f t="shared" si="113"/>
        <v>0</v>
      </c>
      <c r="CD269">
        <f t="shared" si="114"/>
        <v>0</v>
      </c>
      <c r="CE269">
        <f t="shared" si="115"/>
        <v>0</v>
      </c>
      <c r="CF269">
        <f t="shared" si="116"/>
        <v>0</v>
      </c>
      <c r="CG269">
        <f t="shared" si="117"/>
        <v>0</v>
      </c>
      <c r="CH269">
        <f t="shared" si="118"/>
        <v>0</v>
      </c>
      <c r="CI269">
        <f t="shared" si="119"/>
        <v>0</v>
      </c>
      <c r="CJ269">
        <f t="shared" si="120"/>
        <v>0</v>
      </c>
    </row>
    <row r="270" spans="1:88" x14ac:dyDescent="0.15">
      <c r="A270" s="8"/>
      <c r="B270" s="8" t="s">
        <v>181</v>
      </c>
      <c r="C270" s="9" t="s">
        <v>254</v>
      </c>
      <c r="D270" s="8">
        <v>2016190</v>
      </c>
      <c r="E270" s="10">
        <v>18</v>
      </c>
      <c r="F270" s="9">
        <v>74</v>
      </c>
      <c r="G270" s="9">
        <v>5</v>
      </c>
      <c r="I270" s="22" t="str">
        <f t="shared" si="99"/>
        <v>·</v>
      </c>
      <c r="J270" s="23" t="str">
        <f t="shared" si="100"/>
        <v>·</v>
      </c>
      <c r="K270" s="23" t="str">
        <f t="shared" si="101"/>
        <v>·</v>
      </c>
      <c r="L270" s="24"/>
      <c r="M270" s="23" t="str">
        <f t="shared" si="121"/>
        <v>·</v>
      </c>
      <c r="N270" s="23" t="str">
        <f t="shared" si="102"/>
        <v>·</v>
      </c>
      <c r="O270" s="25"/>
      <c r="P270" s="26"/>
      <c r="Q270" s="26"/>
      <c r="R270" s="40"/>
      <c r="S270" s="26"/>
      <c r="T270" s="42"/>
      <c r="U270" s="42"/>
      <c r="V270" s="42"/>
      <c r="W270" s="41"/>
      <c r="X270" s="42"/>
      <c r="Y270" s="42"/>
      <c r="Z270" s="42"/>
      <c r="AA270" s="41"/>
      <c r="AB270" s="50"/>
      <c r="AC270" s="50"/>
      <c r="AE270" s="22" t="str">
        <f t="shared" si="103"/>
        <v>·</v>
      </c>
      <c r="AF270" s="23" t="str">
        <f t="shared" si="104"/>
        <v>·</v>
      </c>
      <c r="AG270" s="23" t="str">
        <f t="shared" si="105"/>
        <v>·</v>
      </c>
      <c r="AH270" s="24"/>
      <c r="AI270" s="23" t="str">
        <f t="shared" si="122"/>
        <v>·</v>
      </c>
      <c r="AJ270" s="23" t="str">
        <f t="shared" si="106"/>
        <v>·</v>
      </c>
      <c r="AK270" s="25"/>
      <c r="AL270" s="26"/>
      <c r="AM270" s="26"/>
      <c r="AN270" s="40"/>
      <c r="AO270" s="26"/>
      <c r="AP270" s="42"/>
      <c r="AQ270" s="42"/>
      <c r="AR270" s="42"/>
      <c r="AS270" s="41"/>
      <c r="AT270" s="42"/>
      <c r="AU270" s="42"/>
      <c r="AV270" s="42"/>
      <c r="AW270" s="41"/>
      <c r="AX270" s="50"/>
      <c r="AY270" s="50"/>
      <c r="BA270" s="55" t="e">
        <f t="shared" si="107"/>
        <v>#DIV/0!</v>
      </c>
      <c r="BB270" s="55" t="e">
        <f t="array" ref="BB270">AVERAGE(AM270:AM274/AL270:AL274)-AVERAGE(Q270:Q274/P270:P274)</f>
        <v>#DIV/0!</v>
      </c>
      <c r="BD270" s="62"/>
      <c r="BE270" s="62"/>
      <c r="BF270" s="62"/>
      <c r="BG270" s="56" t="str">
        <f>IF(OR(ISBLANK(S270:S274),ISBLANK(AO270:AO274),ISBLANK(W270:W274),ISBLANK(AS270:AS274)),"·",bdRateExtend(S270:S274,W270:W274,AO270:AO274,AS270:AS274))</f>
        <v>·</v>
      </c>
      <c r="BI270" s="62"/>
      <c r="BJ270" s="62"/>
      <c r="BK270" s="62"/>
      <c r="BL270" s="56" t="str">
        <f>IF(OR(ISBLANK(S270:S274),ISBLANK(AO270:AO274),ISBLANK(AA270:AA274),ISBLANK(AW270:AW274)),"·",bdRateExtend(S270:S274,AA270:AA274,AO270:AO274,AW270:AW274))</f>
        <v>·</v>
      </c>
      <c r="BN270" s="62"/>
      <c r="BO270" s="62"/>
      <c r="BP270" s="62"/>
      <c r="BQ270" s="56" t="str">
        <f>IF(OR(ISBLANK(P270:P274),ISBLANK(AL270:AL274),ISBLANK(W270:W274),ISBLANK(AS270:AS274)),"·",bdRateExtend(P270:P274,W270:W274,AL270:AL274,AS270:AS274))</f>
        <v>·</v>
      </c>
      <c r="BS270" s="62"/>
      <c r="BT270" s="62"/>
      <c r="BU270" s="62"/>
      <c r="BV270" s="56" t="str">
        <f>IF(OR(ISBLANK(P270:P274),ISBLANK(AL270:AL274),ISBLANK(AA270:AA274),ISBLANK(AW270:AW274)),"·",bdRateExtend(P270:P274,AA270:AA274,AL270:AL274,AW270:AW274))</f>
        <v>·</v>
      </c>
      <c r="BX270">
        <f t="shared" si="108"/>
        <v>0</v>
      </c>
      <c r="BY270">
        <f t="shared" si="109"/>
        <v>0</v>
      </c>
      <c r="BZ270">
        <f t="shared" si="110"/>
        <v>0</v>
      </c>
      <c r="CA270">
        <f t="shared" si="111"/>
        <v>0</v>
      </c>
      <c r="CB270">
        <f t="shared" si="112"/>
        <v>0</v>
      </c>
      <c r="CC270">
        <f t="shared" si="113"/>
        <v>0</v>
      </c>
      <c r="CD270">
        <f t="shared" si="114"/>
        <v>0</v>
      </c>
      <c r="CE270">
        <f t="shared" si="115"/>
        <v>0</v>
      </c>
      <c r="CF270">
        <f t="shared" si="116"/>
        <v>0</v>
      </c>
      <c r="CG270">
        <f t="shared" si="117"/>
        <v>0</v>
      </c>
      <c r="CH270">
        <f t="shared" si="118"/>
        <v>0</v>
      </c>
      <c r="CI270">
        <f t="shared" si="119"/>
        <v>0</v>
      </c>
      <c r="CJ270">
        <f t="shared" si="120"/>
        <v>0</v>
      </c>
    </row>
    <row r="271" spans="1:88" outlineLevel="1" x14ac:dyDescent="0.15">
      <c r="A271" s="5"/>
      <c r="B271" s="5" t="s">
        <v>181</v>
      </c>
      <c r="C271" s="6" t="s">
        <v>255</v>
      </c>
      <c r="D271" s="5">
        <v>2016190</v>
      </c>
      <c r="E271" s="7">
        <v>18</v>
      </c>
      <c r="F271" s="6">
        <v>74</v>
      </c>
      <c r="G271" s="6">
        <v>5</v>
      </c>
      <c r="I271" s="17" t="str">
        <f t="shared" si="99"/>
        <v>·</v>
      </c>
      <c r="J271" s="18" t="str">
        <f t="shared" si="100"/>
        <v>·</v>
      </c>
      <c r="K271" s="18" t="str">
        <f t="shared" si="101"/>
        <v>·</v>
      </c>
      <c r="L271" s="19"/>
      <c r="M271" s="18" t="str">
        <f t="shared" si="121"/>
        <v>·</v>
      </c>
      <c r="N271" s="18" t="str">
        <f t="shared" si="102"/>
        <v>·</v>
      </c>
      <c r="O271" s="20"/>
      <c r="P271" s="21"/>
      <c r="Q271" s="21"/>
      <c r="R271" s="37"/>
      <c r="S271" s="21"/>
      <c r="T271" s="39"/>
      <c r="U271" s="39"/>
      <c r="V271" s="39"/>
      <c r="W271" s="38"/>
      <c r="X271" s="39"/>
      <c r="Y271" s="39"/>
      <c r="Z271" s="39"/>
      <c r="AA271" s="38"/>
      <c r="AB271" s="49"/>
      <c r="AC271" s="49"/>
      <c r="AE271" s="17" t="str">
        <f t="shared" si="103"/>
        <v>·</v>
      </c>
      <c r="AF271" s="18" t="str">
        <f t="shared" si="104"/>
        <v>·</v>
      </c>
      <c r="AG271" s="18" t="str">
        <f t="shared" si="105"/>
        <v>·</v>
      </c>
      <c r="AH271" s="19"/>
      <c r="AI271" s="18" t="str">
        <f t="shared" si="122"/>
        <v>·</v>
      </c>
      <c r="AJ271" s="18" t="str">
        <f t="shared" si="106"/>
        <v>·</v>
      </c>
      <c r="AK271" s="20"/>
      <c r="AL271" s="21"/>
      <c r="AM271" s="21"/>
      <c r="AN271" s="37"/>
      <c r="AO271" s="21"/>
      <c r="AP271" s="39"/>
      <c r="AQ271" s="39"/>
      <c r="AR271" s="39"/>
      <c r="AS271" s="38"/>
      <c r="AT271" s="39"/>
      <c r="AU271" s="39"/>
      <c r="AV271" s="39"/>
      <c r="AW271" s="38"/>
      <c r="AX271" s="49"/>
      <c r="AY271" s="49"/>
      <c r="BA271" s="53" t="e">
        <f t="shared" si="107"/>
        <v>#DIV/0!</v>
      </c>
      <c r="BB271" s="53"/>
      <c r="BD271" s="61"/>
      <c r="BE271" s="61"/>
      <c r="BF271" s="61"/>
      <c r="BG271" s="54"/>
      <c r="BI271" s="61"/>
      <c r="BJ271" s="61"/>
      <c r="BK271" s="61"/>
      <c r="BL271" s="54"/>
      <c r="BN271" s="61"/>
      <c r="BO271" s="61"/>
      <c r="BP271" s="61"/>
      <c r="BQ271" s="54"/>
      <c r="BS271" s="61"/>
      <c r="BT271" s="61"/>
      <c r="BU271" s="61"/>
      <c r="BV271" s="54"/>
      <c r="BX271">
        <f t="shared" si="108"/>
        <v>0</v>
      </c>
      <c r="BY271">
        <f t="shared" si="109"/>
        <v>0</v>
      </c>
      <c r="BZ271">
        <f t="shared" si="110"/>
        <v>0</v>
      </c>
      <c r="CA271">
        <f t="shared" si="111"/>
        <v>0</v>
      </c>
      <c r="CB271">
        <f t="shared" si="112"/>
        <v>0</v>
      </c>
      <c r="CC271">
        <f t="shared" si="113"/>
        <v>0</v>
      </c>
      <c r="CD271">
        <f t="shared" si="114"/>
        <v>0</v>
      </c>
      <c r="CE271">
        <f t="shared" si="115"/>
        <v>0</v>
      </c>
      <c r="CF271">
        <f t="shared" si="116"/>
        <v>0</v>
      </c>
      <c r="CG271">
        <f t="shared" si="117"/>
        <v>0</v>
      </c>
      <c r="CH271">
        <f t="shared" si="118"/>
        <v>0</v>
      </c>
      <c r="CI271">
        <f t="shared" si="119"/>
        <v>0</v>
      </c>
      <c r="CJ271">
        <f t="shared" si="120"/>
        <v>0</v>
      </c>
    </row>
    <row r="272" spans="1:88" outlineLevel="1" x14ac:dyDescent="0.15">
      <c r="A272" s="8"/>
      <c r="B272" s="8" t="s">
        <v>181</v>
      </c>
      <c r="C272" s="9" t="s">
        <v>256</v>
      </c>
      <c r="D272" s="8">
        <v>2016190</v>
      </c>
      <c r="E272" s="10">
        <v>18</v>
      </c>
      <c r="F272" s="9">
        <v>74</v>
      </c>
      <c r="G272" s="9">
        <v>5</v>
      </c>
      <c r="I272" s="22" t="str">
        <f t="shared" si="99"/>
        <v>·</v>
      </c>
      <c r="J272" s="23" t="str">
        <f t="shared" si="100"/>
        <v>·</v>
      </c>
      <c r="K272" s="23" t="str">
        <f t="shared" si="101"/>
        <v>·</v>
      </c>
      <c r="L272" s="24"/>
      <c r="M272" s="23" t="str">
        <f t="shared" si="121"/>
        <v>·</v>
      </c>
      <c r="N272" s="23" t="str">
        <f t="shared" si="102"/>
        <v>·</v>
      </c>
      <c r="O272" s="25"/>
      <c r="P272" s="26"/>
      <c r="Q272" s="26"/>
      <c r="R272" s="40"/>
      <c r="S272" s="26"/>
      <c r="T272" s="42"/>
      <c r="U272" s="42"/>
      <c r="V272" s="42"/>
      <c r="W272" s="41"/>
      <c r="X272" s="42"/>
      <c r="Y272" s="42"/>
      <c r="Z272" s="42"/>
      <c r="AA272" s="41"/>
      <c r="AB272" s="50"/>
      <c r="AC272" s="50"/>
      <c r="AE272" s="22" t="str">
        <f t="shared" si="103"/>
        <v>·</v>
      </c>
      <c r="AF272" s="23" t="str">
        <f t="shared" si="104"/>
        <v>·</v>
      </c>
      <c r="AG272" s="23" t="str">
        <f t="shared" si="105"/>
        <v>·</v>
      </c>
      <c r="AH272" s="24"/>
      <c r="AI272" s="23" t="str">
        <f t="shared" si="122"/>
        <v>·</v>
      </c>
      <c r="AJ272" s="23" t="str">
        <f t="shared" si="106"/>
        <v>·</v>
      </c>
      <c r="AK272" s="25"/>
      <c r="AL272" s="26"/>
      <c r="AM272" s="26"/>
      <c r="AN272" s="40"/>
      <c r="AO272" s="26"/>
      <c r="AP272" s="42"/>
      <c r="AQ272" s="42"/>
      <c r="AR272" s="42"/>
      <c r="AS272" s="41"/>
      <c r="AT272" s="42"/>
      <c r="AU272" s="42"/>
      <c r="AV272" s="42"/>
      <c r="AW272" s="41"/>
      <c r="AX272" s="50"/>
      <c r="AY272" s="50"/>
      <c r="BA272" s="55" t="e">
        <f t="shared" si="107"/>
        <v>#DIV/0!</v>
      </c>
      <c r="BB272" s="55"/>
      <c r="BD272" s="62"/>
      <c r="BE272" s="62"/>
      <c r="BF272" s="62"/>
      <c r="BG272" s="56"/>
      <c r="BI272" s="62"/>
      <c r="BJ272" s="62"/>
      <c r="BK272" s="62"/>
      <c r="BL272" s="56"/>
      <c r="BN272" s="62"/>
      <c r="BO272" s="62"/>
      <c r="BP272" s="62"/>
      <c r="BQ272" s="56"/>
      <c r="BS272" s="62"/>
      <c r="BT272" s="62"/>
      <c r="BU272" s="62"/>
      <c r="BV272" s="56"/>
      <c r="BX272">
        <f t="shared" si="108"/>
        <v>0</v>
      </c>
      <c r="BY272">
        <f t="shared" si="109"/>
        <v>0</v>
      </c>
      <c r="BZ272">
        <f t="shared" si="110"/>
        <v>0</v>
      </c>
      <c r="CA272">
        <f t="shared" si="111"/>
        <v>0</v>
      </c>
      <c r="CB272">
        <f t="shared" si="112"/>
        <v>0</v>
      </c>
      <c r="CC272">
        <f t="shared" si="113"/>
        <v>0</v>
      </c>
      <c r="CD272">
        <f t="shared" si="114"/>
        <v>0</v>
      </c>
      <c r="CE272">
        <f t="shared" si="115"/>
        <v>0</v>
      </c>
      <c r="CF272">
        <f t="shared" si="116"/>
        <v>0</v>
      </c>
      <c r="CG272">
        <f t="shared" si="117"/>
        <v>0</v>
      </c>
      <c r="CH272">
        <f t="shared" si="118"/>
        <v>0</v>
      </c>
      <c r="CI272">
        <f t="shared" si="119"/>
        <v>0</v>
      </c>
      <c r="CJ272">
        <f t="shared" si="120"/>
        <v>0</v>
      </c>
    </row>
    <row r="273" spans="1:88" outlineLevel="1" x14ac:dyDescent="0.15">
      <c r="A273" s="5"/>
      <c r="B273" s="5" t="s">
        <v>181</v>
      </c>
      <c r="C273" s="6" t="s">
        <v>257</v>
      </c>
      <c r="D273" s="5">
        <v>2016190</v>
      </c>
      <c r="E273" s="7">
        <v>18</v>
      </c>
      <c r="F273" s="6">
        <v>74</v>
      </c>
      <c r="G273" s="6">
        <v>5</v>
      </c>
      <c r="I273" s="17" t="str">
        <f t="shared" si="99"/>
        <v>·</v>
      </c>
      <c r="J273" s="18" t="str">
        <f t="shared" si="100"/>
        <v>·</v>
      </c>
      <c r="K273" s="18" t="str">
        <f t="shared" si="101"/>
        <v>·</v>
      </c>
      <c r="L273" s="19"/>
      <c r="M273" s="18" t="str">
        <f t="shared" si="121"/>
        <v>·</v>
      </c>
      <c r="N273" s="18" t="str">
        <f t="shared" si="102"/>
        <v>·</v>
      </c>
      <c r="O273" s="20"/>
      <c r="P273" s="21"/>
      <c r="Q273" s="21"/>
      <c r="R273" s="37"/>
      <c r="S273" s="21"/>
      <c r="T273" s="39"/>
      <c r="U273" s="39"/>
      <c r="V273" s="39"/>
      <c r="W273" s="38"/>
      <c r="X273" s="39"/>
      <c r="Y273" s="39"/>
      <c r="Z273" s="39"/>
      <c r="AA273" s="38"/>
      <c r="AB273" s="49"/>
      <c r="AC273" s="49"/>
      <c r="AE273" s="17" t="str">
        <f t="shared" si="103"/>
        <v>·</v>
      </c>
      <c r="AF273" s="18" t="str">
        <f t="shared" si="104"/>
        <v>·</v>
      </c>
      <c r="AG273" s="18" t="str">
        <f t="shared" si="105"/>
        <v>·</v>
      </c>
      <c r="AH273" s="19"/>
      <c r="AI273" s="18" t="str">
        <f t="shared" si="122"/>
        <v>·</v>
      </c>
      <c r="AJ273" s="18" t="str">
        <f t="shared" si="106"/>
        <v>·</v>
      </c>
      <c r="AK273" s="20"/>
      <c r="AL273" s="21"/>
      <c r="AM273" s="21"/>
      <c r="AN273" s="37"/>
      <c r="AO273" s="21"/>
      <c r="AP273" s="39"/>
      <c r="AQ273" s="39"/>
      <c r="AR273" s="39"/>
      <c r="AS273" s="38"/>
      <c r="AT273" s="39"/>
      <c r="AU273" s="39"/>
      <c r="AV273" s="39"/>
      <c r="AW273" s="38"/>
      <c r="AX273" s="49"/>
      <c r="AY273" s="49"/>
      <c r="BA273" s="53" t="e">
        <f t="shared" si="107"/>
        <v>#DIV/0!</v>
      </c>
      <c r="BB273" s="53"/>
      <c r="BD273" s="61"/>
      <c r="BE273" s="61"/>
      <c r="BF273" s="61"/>
      <c r="BG273" s="54"/>
      <c r="BI273" s="61"/>
      <c r="BJ273" s="61"/>
      <c r="BK273" s="61"/>
      <c r="BL273" s="54"/>
      <c r="BN273" s="61"/>
      <c r="BO273" s="61"/>
      <c r="BP273" s="61"/>
      <c r="BQ273" s="54"/>
      <c r="BS273" s="61"/>
      <c r="BT273" s="61"/>
      <c r="BU273" s="61"/>
      <c r="BV273" s="54"/>
      <c r="BX273">
        <f t="shared" si="108"/>
        <v>0</v>
      </c>
      <c r="BY273">
        <f t="shared" si="109"/>
        <v>0</v>
      </c>
      <c r="BZ273">
        <f t="shared" si="110"/>
        <v>0</v>
      </c>
      <c r="CA273">
        <f t="shared" si="111"/>
        <v>0</v>
      </c>
      <c r="CB273">
        <f t="shared" si="112"/>
        <v>0</v>
      </c>
      <c r="CC273">
        <f t="shared" si="113"/>
        <v>0</v>
      </c>
      <c r="CD273">
        <f t="shared" si="114"/>
        <v>0</v>
      </c>
      <c r="CE273">
        <f t="shared" si="115"/>
        <v>0</v>
      </c>
      <c r="CF273">
        <f t="shared" si="116"/>
        <v>0</v>
      </c>
      <c r="CG273">
        <f t="shared" si="117"/>
        <v>0</v>
      </c>
      <c r="CH273">
        <f t="shared" si="118"/>
        <v>0</v>
      </c>
      <c r="CI273">
        <f t="shared" si="119"/>
        <v>0</v>
      </c>
      <c r="CJ273">
        <f t="shared" si="120"/>
        <v>0</v>
      </c>
    </row>
    <row r="274" spans="1:88" outlineLevel="1" x14ac:dyDescent="0.15">
      <c r="A274" s="8"/>
      <c r="B274" s="14" t="s">
        <v>181</v>
      </c>
      <c r="C274" s="15" t="s">
        <v>258</v>
      </c>
      <c r="D274" s="14">
        <v>2016190</v>
      </c>
      <c r="E274" s="16">
        <v>18</v>
      </c>
      <c r="F274" s="15">
        <v>74</v>
      </c>
      <c r="G274" s="15">
        <v>5</v>
      </c>
      <c r="I274" s="32" t="str">
        <f t="shared" si="99"/>
        <v>·</v>
      </c>
      <c r="J274" s="33" t="str">
        <f t="shared" si="100"/>
        <v>·</v>
      </c>
      <c r="K274" s="33" t="str">
        <f t="shared" si="101"/>
        <v>·</v>
      </c>
      <c r="L274" s="34"/>
      <c r="M274" s="33" t="str">
        <f t="shared" si="121"/>
        <v>·</v>
      </c>
      <c r="N274" s="33" t="str">
        <f t="shared" si="102"/>
        <v>·</v>
      </c>
      <c r="O274" s="35"/>
      <c r="P274" s="36"/>
      <c r="Q274" s="36"/>
      <c r="R274" s="46"/>
      <c r="S274" s="36"/>
      <c r="T274" s="48"/>
      <c r="U274" s="48"/>
      <c r="V274" s="48"/>
      <c r="W274" s="47"/>
      <c r="X274" s="48"/>
      <c r="Y274" s="48"/>
      <c r="Z274" s="48"/>
      <c r="AA274" s="47"/>
      <c r="AB274" s="52"/>
      <c r="AC274" s="52"/>
      <c r="AE274" s="32" t="str">
        <f t="shared" si="103"/>
        <v>·</v>
      </c>
      <c r="AF274" s="33" t="str">
        <f t="shared" si="104"/>
        <v>·</v>
      </c>
      <c r="AG274" s="33" t="str">
        <f t="shared" si="105"/>
        <v>·</v>
      </c>
      <c r="AH274" s="34"/>
      <c r="AI274" s="33" t="str">
        <f t="shared" si="122"/>
        <v>·</v>
      </c>
      <c r="AJ274" s="33" t="str">
        <f t="shared" si="106"/>
        <v>·</v>
      </c>
      <c r="AK274" s="35"/>
      <c r="AL274" s="36"/>
      <c r="AM274" s="36"/>
      <c r="AN274" s="46"/>
      <c r="AO274" s="36"/>
      <c r="AP274" s="48"/>
      <c r="AQ274" s="48"/>
      <c r="AR274" s="48"/>
      <c r="AS274" s="47"/>
      <c r="AT274" s="48"/>
      <c r="AU274" s="48"/>
      <c r="AV274" s="48"/>
      <c r="AW274" s="47"/>
      <c r="AX274" s="52"/>
      <c r="AY274" s="52"/>
      <c r="BA274" s="59" t="e">
        <f t="shared" si="107"/>
        <v>#DIV/0!</v>
      </c>
      <c r="BB274" s="59"/>
      <c r="BD274" s="64"/>
      <c r="BE274" s="64"/>
      <c r="BF274" s="64"/>
      <c r="BG274" s="60"/>
      <c r="BI274" s="64"/>
      <c r="BJ274" s="64"/>
      <c r="BK274" s="64"/>
      <c r="BL274" s="60"/>
      <c r="BN274" s="64"/>
      <c r="BO274" s="64"/>
      <c r="BP274" s="64"/>
      <c r="BQ274" s="60"/>
      <c r="BS274" s="64"/>
      <c r="BT274" s="64"/>
      <c r="BU274" s="64"/>
      <c r="BV274" s="60"/>
      <c r="BX274">
        <f t="shared" si="108"/>
        <v>0</v>
      </c>
      <c r="BY274">
        <f t="shared" si="109"/>
        <v>0</v>
      </c>
      <c r="BZ274">
        <f t="shared" si="110"/>
        <v>0</v>
      </c>
      <c r="CA274">
        <f t="shared" si="111"/>
        <v>0</v>
      </c>
      <c r="CB274">
        <f t="shared" si="112"/>
        <v>0</v>
      </c>
      <c r="CC274">
        <f t="shared" si="113"/>
        <v>0</v>
      </c>
      <c r="CD274">
        <f t="shared" si="114"/>
        <v>0</v>
      </c>
      <c r="CE274">
        <f t="shared" si="115"/>
        <v>0</v>
      </c>
      <c r="CF274">
        <f t="shared" si="116"/>
        <v>0</v>
      </c>
      <c r="CG274">
        <f t="shared" si="117"/>
        <v>0</v>
      </c>
      <c r="CH274">
        <f t="shared" si="118"/>
        <v>0</v>
      </c>
      <c r="CI274">
        <f t="shared" si="119"/>
        <v>0</v>
      </c>
      <c r="CJ274">
        <f t="shared" si="120"/>
        <v>0</v>
      </c>
    </row>
    <row r="275" spans="1:88" x14ac:dyDescent="0.15">
      <c r="A275" s="5"/>
      <c r="B275" s="5" t="s">
        <v>182</v>
      </c>
      <c r="C275" s="6" t="s">
        <v>254</v>
      </c>
      <c r="D275" s="5">
        <v>14430189</v>
      </c>
      <c r="E275" s="7">
        <v>18</v>
      </c>
      <c r="F275" s="6">
        <v>500</v>
      </c>
      <c r="G275" s="6">
        <v>5</v>
      </c>
      <c r="I275" s="17" t="str">
        <f t="shared" si="99"/>
        <v>·</v>
      </c>
      <c r="J275" s="18" t="str">
        <f t="shared" si="100"/>
        <v>·</v>
      </c>
      <c r="K275" s="18" t="str">
        <f t="shared" si="101"/>
        <v>·</v>
      </c>
      <c r="L275" s="19"/>
      <c r="M275" s="18" t="str">
        <f t="shared" si="121"/>
        <v>·</v>
      </c>
      <c r="N275" s="18" t="str">
        <f t="shared" si="102"/>
        <v>·</v>
      </c>
      <c r="O275" s="20"/>
      <c r="P275" s="21"/>
      <c r="Q275" s="21"/>
      <c r="R275" s="37"/>
      <c r="S275" s="21"/>
      <c r="T275" s="39"/>
      <c r="U275" s="39"/>
      <c r="V275" s="39"/>
      <c r="W275" s="38"/>
      <c r="X275" s="39"/>
      <c r="Y275" s="39"/>
      <c r="Z275" s="39"/>
      <c r="AA275" s="38"/>
      <c r="AB275" s="49"/>
      <c r="AC275" s="49"/>
      <c r="AE275" s="17" t="str">
        <f t="shared" si="103"/>
        <v>·</v>
      </c>
      <c r="AF275" s="18" t="str">
        <f t="shared" si="104"/>
        <v>·</v>
      </c>
      <c r="AG275" s="18" t="str">
        <f t="shared" si="105"/>
        <v>·</v>
      </c>
      <c r="AH275" s="19"/>
      <c r="AI275" s="18" t="str">
        <f t="shared" si="122"/>
        <v>·</v>
      </c>
      <c r="AJ275" s="18" t="str">
        <f t="shared" si="106"/>
        <v>·</v>
      </c>
      <c r="AK275" s="20"/>
      <c r="AL275" s="21"/>
      <c r="AM275" s="21"/>
      <c r="AN275" s="37"/>
      <c r="AO275" s="21"/>
      <c r="AP275" s="39"/>
      <c r="AQ275" s="39"/>
      <c r="AR275" s="39"/>
      <c r="AS275" s="38"/>
      <c r="AT275" s="39"/>
      <c r="AU275" s="39"/>
      <c r="AV275" s="39"/>
      <c r="AW275" s="38"/>
      <c r="AX275" s="49"/>
      <c r="AY275" s="49"/>
      <c r="BA275" s="53" t="e">
        <f t="shared" si="107"/>
        <v>#DIV/0!</v>
      </c>
      <c r="BB275" s="53" t="e">
        <f t="array" ref="BB275">AVERAGE(AM275:AM279/AL275:AL279)-AVERAGE(Q275:Q279/P275:P279)</f>
        <v>#DIV/0!</v>
      </c>
      <c r="BD275" s="61"/>
      <c r="BE275" s="61"/>
      <c r="BF275" s="61"/>
      <c r="BG275" s="54" t="str">
        <f>IF(OR(ISBLANK(S275:S279),ISBLANK(AO275:AO279),ISBLANK(W275:W279),ISBLANK(AS275:AS279)),"·",bdRateExtend(S275:S279,W275:W279,AO275:AO279,AS275:AS279))</f>
        <v>·</v>
      </c>
      <c r="BI275" s="61"/>
      <c r="BJ275" s="61"/>
      <c r="BK275" s="61"/>
      <c r="BL275" s="54" t="str">
        <f>IF(OR(ISBLANK(S275:S279),ISBLANK(AO275:AO279),ISBLANK(AA275:AA279),ISBLANK(AW275:AW279)),"·",bdRateExtend(S275:S279,AA275:AA279,AO275:AO279,AW275:AW279))</f>
        <v>·</v>
      </c>
      <c r="BN275" s="61"/>
      <c r="BO275" s="61"/>
      <c r="BP275" s="61"/>
      <c r="BQ275" s="54" t="str">
        <f>IF(OR(ISBLANK(P275:P279),ISBLANK(AL275:AL279),ISBLANK(W275:W279),ISBLANK(AS275:AS279)),"·",bdRateExtend(P275:P279,W275:W279,AL275:AL279,AS275:AS279))</f>
        <v>·</v>
      </c>
      <c r="BS275" s="61"/>
      <c r="BT275" s="61"/>
      <c r="BU275" s="61"/>
      <c r="BV275" s="54" t="str">
        <f>IF(OR(ISBLANK(P275:P279),ISBLANK(AL275:AL279),ISBLANK(AA275:AA279),ISBLANK(AW275:AW279)),"·",bdRateExtend(P275:P279,AA275:AA279,AL275:AL279,AW275:AW279))</f>
        <v>·</v>
      </c>
      <c r="BX275">
        <f t="shared" si="108"/>
        <v>0</v>
      </c>
      <c r="BY275">
        <f t="shared" si="109"/>
        <v>0</v>
      </c>
      <c r="BZ275">
        <f t="shared" si="110"/>
        <v>0</v>
      </c>
      <c r="CA275">
        <f t="shared" si="111"/>
        <v>0</v>
      </c>
      <c r="CB275">
        <f t="shared" si="112"/>
        <v>0</v>
      </c>
      <c r="CC275">
        <f t="shared" si="113"/>
        <v>0</v>
      </c>
      <c r="CD275">
        <f t="shared" si="114"/>
        <v>0</v>
      </c>
      <c r="CE275">
        <f t="shared" si="115"/>
        <v>0</v>
      </c>
      <c r="CF275">
        <f t="shared" si="116"/>
        <v>0</v>
      </c>
      <c r="CG275">
        <f t="shared" si="117"/>
        <v>0</v>
      </c>
      <c r="CH275">
        <f t="shared" si="118"/>
        <v>0</v>
      </c>
      <c r="CI275">
        <f t="shared" si="119"/>
        <v>0</v>
      </c>
      <c r="CJ275">
        <f t="shared" si="120"/>
        <v>0</v>
      </c>
    </row>
    <row r="276" spans="1:88" outlineLevel="1" x14ac:dyDescent="0.15">
      <c r="A276" s="8"/>
      <c r="B276" s="8" t="s">
        <v>182</v>
      </c>
      <c r="C276" s="9" t="s">
        <v>255</v>
      </c>
      <c r="D276" s="8">
        <v>14430189</v>
      </c>
      <c r="E276" s="10">
        <v>18</v>
      </c>
      <c r="F276" s="9">
        <v>500</v>
      </c>
      <c r="G276" s="9">
        <v>5</v>
      </c>
      <c r="I276" s="22" t="str">
        <f t="shared" si="99"/>
        <v>·</v>
      </c>
      <c r="J276" s="23" t="str">
        <f t="shared" si="100"/>
        <v>·</v>
      </c>
      <c r="K276" s="23" t="str">
        <f t="shared" si="101"/>
        <v>·</v>
      </c>
      <c r="L276" s="24"/>
      <c r="M276" s="23" t="str">
        <f t="shared" si="121"/>
        <v>·</v>
      </c>
      <c r="N276" s="23" t="str">
        <f t="shared" si="102"/>
        <v>·</v>
      </c>
      <c r="O276" s="25"/>
      <c r="P276" s="26"/>
      <c r="Q276" s="26"/>
      <c r="R276" s="40"/>
      <c r="S276" s="26"/>
      <c r="T276" s="42"/>
      <c r="U276" s="42"/>
      <c r="V276" s="42"/>
      <c r="W276" s="41"/>
      <c r="X276" s="42"/>
      <c r="Y276" s="42"/>
      <c r="Z276" s="42"/>
      <c r="AA276" s="41"/>
      <c r="AB276" s="50"/>
      <c r="AC276" s="50"/>
      <c r="AE276" s="22" t="str">
        <f t="shared" si="103"/>
        <v>·</v>
      </c>
      <c r="AF276" s="23" t="str">
        <f t="shared" si="104"/>
        <v>·</v>
      </c>
      <c r="AG276" s="23" t="str">
        <f t="shared" si="105"/>
        <v>·</v>
      </c>
      <c r="AH276" s="24"/>
      <c r="AI276" s="23" t="str">
        <f t="shared" si="122"/>
        <v>·</v>
      </c>
      <c r="AJ276" s="23" t="str">
        <f t="shared" si="106"/>
        <v>·</v>
      </c>
      <c r="AK276" s="25"/>
      <c r="AL276" s="26"/>
      <c r="AM276" s="26"/>
      <c r="AN276" s="40"/>
      <c r="AO276" s="26"/>
      <c r="AP276" s="42"/>
      <c r="AQ276" s="42"/>
      <c r="AR276" s="42"/>
      <c r="AS276" s="41"/>
      <c r="AT276" s="42"/>
      <c r="AU276" s="42"/>
      <c r="AV276" s="42"/>
      <c r="AW276" s="41"/>
      <c r="AX276" s="50"/>
      <c r="AY276" s="50"/>
      <c r="BA276" s="55" t="e">
        <f t="shared" si="107"/>
        <v>#DIV/0!</v>
      </c>
      <c r="BB276" s="55"/>
      <c r="BD276" s="62"/>
      <c r="BE276" s="62"/>
      <c r="BF276" s="62"/>
      <c r="BG276" s="56"/>
      <c r="BI276" s="62"/>
      <c r="BJ276" s="62"/>
      <c r="BK276" s="62"/>
      <c r="BL276" s="56"/>
      <c r="BN276" s="62"/>
      <c r="BO276" s="62"/>
      <c r="BP276" s="62"/>
      <c r="BQ276" s="56"/>
      <c r="BS276" s="62"/>
      <c r="BT276" s="62"/>
      <c r="BU276" s="62"/>
      <c r="BV276" s="56"/>
      <c r="BX276">
        <f t="shared" si="108"/>
        <v>0</v>
      </c>
      <c r="BY276">
        <f t="shared" si="109"/>
        <v>0</v>
      </c>
      <c r="BZ276">
        <f t="shared" si="110"/>
        <v>0</v>
      </c>
      <c r="CA276">
        <f t="shared" si="111"/>
        <v>0</v>
      </c>
      <c r="CB276">
        <f t="shared" si="112"/>
        <v>0</v>
      </c>
      <c r="CC276">
        <f t="shared" si="113"/>
        <v>0</v>
      </c>
      <c r="CD276">
        <f t="shared" si="114"/>
        <v>0</v>
      </c>
      <c r="CE276">
        <f t="shared" si="115"/>
        <v>0</v>
      </c>
      <c r="CF276">
        <f t="shared" si="116"/>
        <v>0</v>
      </c>
      <c r="CG276">
        <f t="shared" si="117"/>
        <v>0</v>
      </c>
      <c r="CH276">
        <f t="shared" si="118"/>
        <v>0</v>
      </c>
      <c r="CI276">
        <f t="shared" si="119"/>
        <v>0</v>
      </c>
      <c r="CJ276">
        <f t="shared" si="120"/>
        <v>0</v>
      </c>
    </row>
    <row r="277" spans="1:88" outlineLevel="1" x14ac:dyDescent="0.15">
      <c r="A277" s="5"/>
      <c r="B277" s="5" t="s">
        <v>182</v>
      </c>
      <c r="C277" s="6" t="s">
        <v>256</v>
      </c>
      <c r="D277" s="5">
        <v>14430189</v>
      </c>
      <c r="E277" s="7">
        <v>18</v>
      </c>
      <c r="F277" s="6">
        <v>500</v>
      </c>
      <c r="G277" s="6">
        <v>5</v>
      </c>
      <c r="I277" s="17" t="str">
        <f t="shared" si="99"/>
        <v>·</v>
      </c>
      <c r="J277" s="18" t="str">
        <f t="shared" si="100"/>
        <v>·</v>
      </c>
      <c r="K277" s="18" t="str">
        <f t="shared" si="101"/>
        <v>·</v>
      </c>
      <c r="L277" s="19"/>
      <c r="M277" s="18" t="str">
        <f t="shared" si="121"/>
        <v>·</v>
      </c>
      <c r="N277" s="18" t="str">
        <f t="shared" si="102"/>
        <v>·</v>
      </c>
      <c r="O277" s="20"/>
      <c r="P277" s="21"/>
      <c r="Q277" s="21"/>
      <c r="R277" s="37"/>
      <c r="S277" s="21"/>
      <c r="T277" s="39"/>
      <c r="U277" s="39"/>
      <c r="V277" s="39"/>
      <c r="W277" s="38"/>
      <c r="X277" s="39"/>
      <c r="Y277" s="39"/>
      <c r="Z277" s="39"/>
      <c r="AA277" s="38"/>
      <c r="AB277" s="49"/>
      <c r="AC277" s="49"/>
      <c r="AE277" s="17" t="str">
        <f t="shared" si="103"/>
        <v>·</v>
      </c>
      <c r="AF277" s="18" t="str">
        <f t="shared" si="104"/>
        <v>·</v>
      </c>
      <c r="AG277" s="18" t="str">
        <f t="shared" si="105"/>
        <v>·</v>
      </c>
      <c r="AH277" s="19"/>
      <c r="AI277" s="18" t="str">
        <f t="shared" si="122"/>
        <v>·</v>
      </c>
      <c r="AJ277" s="18" t="str">
        <f t="shared" si="106"/>
        <v>·</v>
      </c>
      <c r="AK277" s="20"/>
      <c r="AL277" s="21"/>
      <c r="AM277" s="21"/>
      <c r="AN277" s="37"/>
      <c r="AO277" s="21"/>
      <c r="AP277" s="39"/>
      <c r="AQ277" s="39"/>
      <c r="AR277" s="39"/>
      <c r="AS277" s="38"/>
      <c r="AT277" s="39"/>
      <c r="AU277" s="39"/>
      <c r="AV277" s="39"/>
      <c r="AW277" s="38"/>
      <c r="AX277" s="49"/>
      <c r="AY277" s="49"/>
      <c r="BA277" s="53" t="e">
        <f t="shared" si="107"/>
        <v>#DIV/0!</v>
      </c>
      <c r="BB277" s="53"/>
      <c r="BD277" s="61"/>
      <c r="BE277" s="61"/>
      <c r="BF277" s="61"/>
      <c r="BG277" s="54"/>
      <c r="BI277" s="61"/>
      <c r="BJ277" s="61"/>
      <c r="BK277" s="61"/>
      <c r="BL277" s="54"/>
      <c r="BN277" s="61"/>
      <c r="BO277" s="61"/>
      <c r="BP277" s="61"/>
      <c r="BQ277" s="54"/>
      <c r="BS277" s="61"/>
      <c r="BT277" s="61"/>
      <c r="BU277" s="61"/>
      <c r="BV277" s="54"/>
      <c r="BX277">
        <f t="shared" si="108"/>
        <v>0</v>
      </c>
      <c r="BY277">
        <f t="shared" si="109"/>
        <v>0</v>
      </c>
      <c r="BZ277">
        <f t="shared" si="110"/>
        <v>0</v>
      </c>
      <c r="CA277">
        <f t="shared" si="111"/>
        <v>0</v>
      </c>
      <c r="CB277">
        <f t="shared" si="112"/>
        <v>0</v>
      </c>
      <c r="CC277">
        <f t="shared" si="113"/>
        <v>0</v>
      </c>
      <c r="CD277">
        <f t="shared" si="114"/>
        <v>0</v>
      </c>
      <c r="CE277">
        <f t="shared" si="115"/>
        <v>0</v>
      </c>
      <c r="CF277">
        <f t="shared" si="116"/>
        <v>0</v>
      </c>
      <c r="CG277">
        <f t="shared" si="117"/>
        <v>0</v>
      </c>
      <c r="CH277">
        <f t="shared" si="118"/>
        <v>0</v>
      </c>
      <c r="CI277">
        <f t="shared" si="119"/>
        <v>0</v>
      </c>
      <c r="CJ277">
        <f t="shared" si="120"/>
        <v>0</v>
      </c>
    </row>
    <row r="278" spans="1:88" outlineLevel="1" x14ac:dyDescent="0.15">
      <c r="A278" s="8"/>
      <c r="B278" s="8" t="s">
        <v>182</v>
      </c>
      <c r="C278" s="9" t="s">
        <v>257</v>
      </c>
      <c r="D278" s="8">
        <v>14430189</v>
      </c>
      <c r="E278" s="10">
        <v>18</v>
      </c>
      <c r="F278" s="9">
        <v>500</v>
      </c>
      <c r="G278" s="9">
        <v>5</v>
      </c>
      <c r="I278" s="22" t="str">
        <f t="shared" si="99"/>
        <v>·</v>
      </c>
      <c r="J278" s="23" t="str">
        <f t="shared" si="100"/>
        <v>·</v>
      </c>
      <c r="K278" s="23" t="str">
        <f t="shared" si="101"/>
        <v>·</v>
      </c>
      <c r="L278" s="24"/>
      <c r="M278" s="23" t="str">
        <f t="shared" si="121"/>
        <v>·</v>
      </c>
      <c r="N278" s="23" t="str">
        <f t="shared" si="102"/>
        <v>·</v>
      </c>
      <c r="O278" s="25"/>
      <c r="P278" s="26"/>
      <c r="Q278" s="26"/>
      <c r="R278" s="40"/>
      <c r="S278" s="26"/>
      <c r="T278" s="42"/>
      <c r="U278" s="42"/>
      <c r="V278" s="42"/>
      <c r="W278" s="41"/>
      <c r="X278" s="42"/>
      <c r="Y278" s="42"/>
      <c r="Z278" s="42"/>
      <c r="AA278" s="41"/>
      <c r="AB278" s="50"/>
      <c r="AC278" s="50"/>
      <c r="AE278" s="22" t="str">
        <f t="shared" si="103"/>
        <v>·</v>
      </c>
      <c r="AF278" s="23" t="str">
        <f t="shared" si="104"/>
        <v>·</v>
      </c>
      <c r="AG278" s="23" t="str">
        <f t="shared" si="105"/>
        <v>·</v>
      </c>
      <c r="AH278" s="24"/>
      <c r="AI278" s="23" t="str">
        <f t="shared" si="122"/>
        <v>·</v>
      </c>
      <c r="AJ278" s="23" t="str">
        <f t="shared" si="106"/>
        <v>·</v>
      </c>
      <c r="AK278" s="25"/>
      <c r="AL278" s="26"/>
      <c r="AM278" s="26"/>
      <c r="AN278" s="40"/>
      <c r="AO278" s="26"/>
      <c r="AP278" s="42"/>
      <c r="AQ278" s="42"/>
      <c r="AR278" s="42"/>
      <c r="AS278" s="41"/>
      <c r="AT278" s="42"/>
      <c r="AU278" s="42"/>
      <c r="AV278" s="42"/>
      <c r="AW278" s="41"/>
      <c r="AX278" s="50"/>
      <c r="AY278" s="50"/>
      <c r="BA278" s="55" t="e">
        <f t="shared" si="107"/>
        <v>#DIV/0!</v>
      </c>
      <c r="BB278" s="55"/>
      <c r="BD278" s="62"/>
      <c r="BE278" s="62"/>
      <c r="BF278" s="62"/>
      <c r="BG278" s="56"/>
      <c r="BI278" s="62"/>
      <c r="BJ278" s="62"/>
      <c r="BK278" s="62"/>
      <c r="BL278" s="56"/>
      <c r="BN278" s="62"/>
      <c r="BO278" s="62"/>
      <c r="BP278" s="62"/>
      <c r="BQ278" s="56"/>
      <c r="BS278" s="62"/>
      <c r="BT278" s="62"/>
      <c r="BU278" s="62"/>
      <c r="BV278" s="56"/>
      <c r="BX278">
        <f t="shared" si="108"/>
        <v>0</v>
      </c>
      <c r="BY278">
        <f t="shared" si="109"/>
        <v>0</v>
      </c>
      <c r="BZ278">
        <f t="shared" si="110"/>
        <v>0</v>
      </c>
      <c r="CA278">
        <f t="shared" si="111"/>
        <v>0</v>
      </c>
      <c r="CB278">
        <f t="shared" si="112"/>
        <v>0</v>
      </c>
      <c r="CC278">
        <f t="shared" si="113"/>
        <v>0</v>
      </c>
      <c r="CD278">
        <f t="shared" si="114"/>
        <v>0</v>
      </c>
      <c r="CE278">
        <f t="shared" si="115"/>
        <v>0</v>
      </c>
      <c r="CF278">
        <f t="shared" si="116"/>
        <v>0</v>
      </c>
      <c r="CG278">
        <f t="shared" si="117"/>
        <v>0</v>
      </c>
      <c r="CH278">
        <f t="shared" si="118"/>
        <v>0</v>
      </c>
      <c r="CI278">
        <f t="shared" si="119"/>
        <v>0</v>
      </c>
      <c r="CJ278">
        <f t="shared" si="120"/>
        <v>0</v>
      </c>
    </row>
    <row r="279" spans="1:88" outlineLevel="1" x14ac:dyDescent="0.15">
      <c r="A279" s="5"/>
      <c r="B279" s="11" t="s">
        <v>182</v>
      </c>
      <c r="C279" s="12" t="s">
        <v>258</v>
      </c>
      <c r="D279" s="11">
        <v>14430189</v>
      </c>
      <c r="E279" s="13">
        <v>18</v>
      </c>
      <c r="F279" s="12">
        <v>500</v>
      </c>
      <c r="G279" s="12">
        <v>5</v>
      </c>
      <c r="I279" s="27" t="str">
        <f t="shared" si="99"/>
        <v>·</v>
      </c>
      <c r="J279" s="28" t="str">
        <f t="shared" si="100"/>
        <v>·</v>
      </c>
      <c r="K279" s="28" t="str">
        <f t="shared" si="101"/>
        <v>·</v>
      </c>
      <c r="L279" s="29"/>
      <c r="M279" s="28" t="str">
        <f t="shared" si="121"/>
        <v>·</v>
      </c>
      <c r="N279" s="28" t="str">
        <f t="shared" si="102"/>
        <v>·</v>
      </c>
      <c r="O279" s="30"/>
      <c r="P279" s="31"/>
      <c r="Q279" s="31"/>
      <c r="R279" s="43"/>
      <c r="S279" s="31"/>
      <c r="T279" s="45"/>
      <c r="U279" s="45"/>
      <c r="V279" s="45"/>
      <c r="W279" s="44"/>
      <c r="X279" s="45"/>
      <c r="Y279" s="45"/>
      <c r="Z279" s="45"/>
      <c r="AA279" s="44"/>
      <c r="AB279" s="51"/>
      <c r="AC279" s="51"/>
      <c r="AE279" s="27" t="str">
        <f t="shared" si="103"/>
        <v>·</v>
      </c>
      <c r="AF279" s="28" t="str">
        <f t="shared" si="104"/>
        <v>·</v>
      </c>
      <c r="AG279" s="28" t="str">
        <f t="shared" si="105"/>
        <v>·</v>
      </c>
      <c r="AH279" s="29"/>
      <c r="AI279" s="28" t="str">
        <f t="shared" si="122"/>
        <v>·</v>
      </c>
      <c r="AJ279" s="28" t="str">
        <f t="shared" si="106"/>
        <v>·</v>
      </c>
      <c r="AK279" s="30"/>
      <c r="AL279" s="31"/>
      <c r="AM279" s="31"/>
      <c r="AN279" s="43"/>
      <c r="AO279" s="31"/>
      <c r="AP279" s="45"/>
      <c r="AQ279" s="45"/>
      <c r="AR279" s="45"/>
      <c r="AS279" s="44"/>
      <c r="AT279" s="45"/>
      <c r="AU279" s="45"/>
      <c r="AV279" s="45"/>
      <c r="AW279" s="44"/>
      <c r="AX279" s="51"/>
      <c r="AY279" s="51"/>
      <c r="BA279" s="57" t="e">
        <f t="shared" si="107"/>
        <v>#DIV/0!</v>
      </c>
      <c r="BB279" s="57"/>
      <c r="BD279" s="63"/>
      <c r="BE279" s="63"/>
      <c r="BF279" s="63"/>
      <c r="BG279" s="58"/>
      <c r="BI279" s="63"/>
      <c r="BJ279" s="63"/>
      <c r="BK279" s="63"/>
      <c r="BL279" s="58"/>
      <c r="BN279" s="63"/>
      <c r="BO279" s="63"/>
      <c r="BP279" s="63"/>
      <c r="BQ279" s="58"/>
      <c r="BS279" s="63"/>
      <c r="BT279" s="63"/>
      <c r="BU279" s="63"/>
      <c r="BV279" s="58"/>
      <c r="BX279">
        <f t="shared" si="108"/>
        <v>0</v>
      </c>
      <c r="BY279">
        <f t="shared" si="109"/>
        <v>0</v>
      </c>
      <c r="BZ279">
        <f t="shared" si="110"/>
        <v>0</v>
      </c>
      <c r="CA279">
        <f t="shared" si="111"/>
        <v>0</v>
      </c>
      <c r="CB279">
        <f t="shared" si="112"/>
        <v>0</v>
      </c>
      <c r="CC279">
        <f t="shared" si="113"/>
        <v>0</v>
      </c>
      <c r="CD279">
        <f t="shared" si="114"/>
        <v>0</v>
      </c>
      <c r="CE279">
        <f t="shared" si="115"/>
        <v>0</v>
      </c>
      <c r="CF279">
        <f t="shared" si="116"/>
        <v>0</v>
      </c>
      <c r="CG279">
        <f t="shared" si="117"/>
        <v>0</v>
      </c>
      <c r="CH279">
        <f t="shared" si="118"/>
        <v>0</v>
      </c>
      <c r="CI279">
        <f t="shared" si="119"/>
        <v>0</v>
      </c>
      <c r="CJ279">
        <f t="shared" si="120"/>
        <v>0</v>
      </c>
    </row>
    <row r="280" spans="1:88" x14ac:dyDescent="0.15">
      <c r="A280" s="8"/>
      <c r="B280" s="8" t="s">
        <v>183</v>
      </c>
      <c r="C280" s="9" t="s">
        <v>254</v>
      </c>
      <c r="D280" s="8">
        <v>8167066</v>
      </c>
      <c r="E280" s="10">
        <v>18</v>
      </c>
      <c r="F280" s="9">
        <v>300</v>
      </c>
      <c r="G280" s="9">
        <v>5</v>
      </c>
      <c r="I280" s="22" t="str">
        <f t="shared" si="99"/>
        <v>·</v>
      </c>
      <c r="J280" s="23" t="str">
        <f t="shared" si="100"/>
        <v>·</v>
      </c>
      <c r="K280" s="23" t="str">
        <f t="shared" si="101"/>
        <v>·</v>
      </c>
      <c r="L280" s="24"/>
      <c r="M280" s="23" t="str">
        <f t="shared" si="121"/>
        <v>·</v>
      </c>
      <c r="N280" s="23" t="str">
        <f t="shared" si="102"/>
        <v>·</v>
      </c>
      <c r="O280" s="25"/>
      <c r="P280" s="26"/>
      <c r="Q280" s="26"/>
      <c r="R280" s="40"/>
      <c r="S280" s="26"/>
      <c r="T280" s="42"/>
      <c r="U280" s="42"/>
      <c r="V280" s="42"/>
      <c r="W280" s="41"/>
      <c r="X280" s="42"/>
      <c r="Y280" s="42"/>
      <c r="Z280" s="42"/>
      <c r="AA280" s="41"/>
      <c r="AB280" s="50"/>
      <c r="AC280" s="50"/>
      <c r="AE280" s="22" t="str">
        <f t="shared" si="103"/>
        <v>·</v>
      </c>
      <c r="AF280" s="23" t="str">
        <f t="shared" si="104"/>
        <v>·</v>
      </c>
      <c r="AG280" s="23" t="str">
        <f t="shared" si="105"/>
        <v>·</v>
      </c>
      <c r="AH280" s="24"/>
      <c r="AI280" s="23" t="str">
        <f t="shared" si="122"/>
        <v>·</v>
      </c>
      <c r="AJ280" s="23" t="str">
        <f t="shared" si="106"/>
        <v>·</v>
      </c>
      <c r="AK280" s="25"/>
      <c r="AL280" s="26"/>
      <c r="AM280" s="26"/>
      <c r="AN280" s="40"/>
      <c r="AO280" s="26"/>
      <c r="AP280" s="42"/>
      <c r="AQ280" s="42"/>
      <c r="AR280" s="42"/>
      <c r="AS280" s="41"/>
      <c r="AT280" s="42"/>
      <c r="AU280" s="42"/>
      <c r="AV280" s="42"/>
      <c r="AW280" s="41"/>
      <c r="AX280" s="50"/>
      <c r="AY280" s="50"/>
      <c r="BA280" s="55" t="e">
        <f t="shared" si="107"/>
        <v>#DIV/0!</v>
      </c>
      <c r="BB280" s="55" t="e">
        <f t="array" ref="BB280">AVERAGE(AM280:AM284/AL280:AL284)-AVERAGE(Q280:Q284/P280:P284)</f>
        <v>#DIV/0!</v>
      </c>
      <c r="BD280" s="62"/>
      <c r="BE280" s="62"/>
      <c r="BF280" s="62"/>
      <c r="BG280" s="56" t="str">
        <f>IF(OR(ISBLANK(S280:S284),ISBLANK(AO280:AO284),ISBLANK(W280:W284),ISBLANK(AS280:AS284)),"·",bdRateExtend(S280:S284,W280:W284,AO280:AO284,AS280:AS284))</f>
        <v>·</v>
      </c>
      <c r="BI280" s="62"/>
      <c r="BJ280" s="62"/>
      <c r="BK280" s="62"/>
      <c r="BL280" s="56" t="str">
        <f>IF(OR(ISBLANK(S280:S284),ISBLANK(AO280:AO284),ISBLANK(AA280:AA284),ISBLANK(AW280:AW284)),"·",bdRateExtend(S280:S284,AA280:AA284,AO280:AO284,AW280:AW284))</f>
        <v>·</v>
      </c>
      <c r="BN280" s="62"/>
      <c r="BO280" s="62"/>
      <c r="BP280" s="62"/>
      <c r="BQ280" s="56" t="str">
        <f>IF(OR(ISBLANK(P280:P284),ISBLANK(AL280:AL284),ISBLANK(W280:W284),ISBLANK(AS280:AS284)),"·",bdRateExtend(P280:P284,W280:W284,AL280:AL284,AS280:AS284))</f>
        <v>·</v>
      </c>
      <c r="BS280" s="62"/>
      <c r="BT280" s="62"/>
      <c r="BU280" s="62"/>
      <c r="BV280" s="56" t="str">
        <f>IF(OR(ISBLANK(P280:P284),ISBLANK(AL280:AL284),ISBLANK(AA280:AA284),ISBLANK(AW280:AW284)),"·",bdRateExtend(P280:P284,AA280:AA284,AL280:AL284,AW280:AW284))</f>
        <v>·</v>
      </c>
      <c r="BX280">
        <f t="shared" si="108"/>
        <v>0</v>
      </c>
      <c r="BY280">
        <f t="shared" si="109"/>
        <v>0</v>
      </c>
      <c r="BZ280">
        <f t="shared" si="110"/>
        <v>0</v>
      </c>
      <c r="CA280">
        <f t="shared" si="111"/>
        <v>0</v>
      </c>
      <c r="CB280">
        <f t="shared" si="112"/>
        <v>0</v>
      </c>
      <c r="CC280">
        <f t="shared" si="113"/>
        <v>0</v>
      </c>
      <c r="CD280">
        <f t="shared" si="114"/>
        <v>0</v>
      </c>
      <c r="CE280">
        <f t="shared" si="115"/>
        <v>0</v>
      </c>
      <c r="CF280">
        <f t="shared" si="116"/>
        <v>0</v>
      </c>
      <c r="CG280">
        <f t="shared" si="117"/>
        <v>0</v>
      </c>
      <c r="CH280">
        <f t="shared" si="118"/>
        <v>0</v>
      </c>
      <c r="CI280">
        <f t="shared" si="119"/>
        <v>0</v>
      </c>
      <c r="CJ280">
        <f t="shared" si="120"/>
        <v>0</v>
      </c>
    </row>
    <row r="281" spans="1:88" outlineLevel="1" x14ac:dyDescent="0.15">
      <c r="A281" s="5"/>
      <c r="B281" s="5" t="s">
        <v>183</v>
      </c>
      <c r="C281" s="6" t="s">
        <v>255</v>
      </c>
      <c r="D281" s="5">
        <v>8167066</v>
      </c>
      <c r="E281" s="7">
        <v>18</v>
      </c>
      <c r="F281" s="6">
        <v>300</v>
      </c>
      <c r="G281" s="6">
        <v>5</v>
      </c>
      <c r="I281" s="17" t="str">
        <f t="shared" si="99"/>
        <v>·</v>
      </c>
      <c r="J281" s="18" t="str">
        <f t="shared" si="100"/>
        <v>·</v>
      </c>
      <c r="K281" s="18" t="str">
        <f t="shared" si="101"/>
        <v>·</v>
      </c>
      <c r="L281" s="19"/>
      <c r="M281" s="18" t="str">
        <f t="shared" si="121"/>
        <v>·</v>
      </c>
      <c r="N281" s="18" t="str">
        <f t="shared" si="102"/>
        <v>·</v>
      </c>
      <c r="O281" s="20"/>
      <c r="P281" s="21"/>
      <c r="Q281" s="21"/>
      <c r="R281" s="37"/>
      <c r="S281" s="21"/>
      <c r="T281" s="39"/>
      <c r="U281" s="39"/>
      <c r="V281" s="39"/>
      <c r="W281" s="38"/>
      <c r="X281" s="39"/>
      <c r="Y281" s="39"/>
      <c r="Z281" s="39"/>
      <c r="AA281" s="38"/>
      <c r="AB281" s="49"/>
      <c r="AC281" s="49"/>
      <c r="AE281" s="17" t="str">
        <f t="shared" si="103"/>
        <v>·</v>
      </c>
      <c r="AF281" s="18" t="str">
        <f t="shared" si="104"/>
        <v>·</v>
      </c>
      <c r="AG281" s="18" t="str">
        <f t="shared" si="105"/>
        <v>·</v>
      </c>
      <c r="AH281" s="19"/>
      <c r="AI281" s="18" t="str">
        <f t="shared" si="122"/>
        <v>·</v>
      </c>
      <c r="AJ281" s="18" t="str">
        <f t="shared" si="106"/>
        <v>·</v>
      </c>
      <c r="AK281" s="20"/>
      <c r="AL281" s="21"/>
      <c r="AM281" s="21"/>
      <c r="AN281" s="37"/>
      <c r="AO281" s="21"/>
      <c r="AP281" s="39"/>
      <c r="AQ281" s="39"/>
      <c r="AR281" s="39"/>
      <c r="AS281" s="38"/>
      <c r="AT281" s="39"/>
      <c r="AU281" s="39"/>
      <c r="AV281" s="39"/>
      <c r="AW281" s="38"/>
      <c r="AX281" s="49"/>
      <c r="AY281" s="49"/>
      <c r="BA281" s="53" t="e">
        <f t="shared" si="107"/>
        <v>#DIV/0!</v>
      </c>
      <c r="BB281" s="53"/>
      <c r="BD281" s="61"/>
      <c r="BE281" s="61"/>
      <c r="BF281" s="61"/>
      <c r="BG281" s="54"/>
      <c r="BI281" s="61"/>
      <c r="BJ281" s="61"/>
      <c r="BK281" s="61"/>
      <c r="BL281" s="54"/>
      <c r="BN281" s="61"/>
      <c r="BO281" s="61"/>
      <c r="BP281" s="61"/>
      <c r="BQ281" s="54"/>
      <c r="BS281" s="61"/>
      <c r="BT281" s="61"/>
      <c r="BU281" s="61"/>
      <c r="BV281" s="54"/>
      <c r="BX281">
        <f t="shared" si="108"/>
        <v>0</v>
      </c>
      <c r="BY281">
        <f t="shared" si="109"/>
        <v>0</v>
      </c>
      <c r="BZ281">
        <f t="shared" si="110"/>
        <v>0</v>
      </c>
      <c r="CA281">
        <f t="shared" si="111"/>
        <v>0</v>
      </c>
      <c r="CB281">
        <f t="shared" si="112"/>
        <v>0</v>
      </c>
      <c r="CC281">
        <f t="shared" si="113"/>
        <v>0</v>
      </c>
      <c r="CD281">
        <f t="shared" si="114"/>
        <v>0</v>
      </c>
      <c r="CE281">
        <f t="shared" si="115"/>
        <v>0</v>
      </c>
      <c r="CF281">
        <f t="shared" si="116"/>
        <v>0</v>
      </c>
      <c r="CG281">
        <f t="shared" si="117"/>
        <v>0</v>
      </c>
      <c r="CH281">
        <f t="shared" si="118"/>
        <v>0</v>
      </c>
      <c r="CI281">
        <f t="shared" si="119"/>
        <v>0</v>
      </c>
      <c r="CJ281">
        <f t="shared" si="120"/>
        <v>0</v>
      </c>
    </row>
    <row r="282" spans="1:88" outlineLevel="1" x14ac:dyDescent="0.15">
      <c r="A282" s="8"/>
      <c r="B282" s="8" t="s">
        <v>183</v>
      </c>
      <c r="C282" s="9" t="s">
        <v>256</v>
      </c>
      <c r="D282" s="8">
        <v>8167066</v>
      </c>
      <c r="E282" s="10">
        <v>18</v>
      </c>
      <c r="F282" s="9">
        <v>300</v>
      </c>
      <c r="G282" s="9">
        <v>5</v>
      </c>
      <c r="I282" s="22" t="str">
        <f t="shared" si="99"/>
        <v>·</v>
      </c>
      <c r="J282" s="23" t="str">
        <f t="shared" si="100"/>
        <v>·</v>
      </c>
      <c r="K282" s="23" t="str">
        <f t="shared" si="101"/>
        <v>·</v>
      </c>
      <c r="L282" s="24"/>
      <c r="M282" s="23" t="str">
        <f t="shared" si="121"/>
        <v>·</v>
      </c>
      <c r="N282" s="23" t="str">
        <f t="shared" si="102"/>
        <v>·</v>
      </c>
      <c r="O282" s="25"/>
      <c r="P282" s="26"/>
      <c r="Q282" s="26"/>
      <c r="R282" s="40"/>
      <c r="S282" s="26"/>
      <c r="T282" s="42"/>
      <c r="U282" s="42"/>
      <c r="V282" s="42"/>
      <c r="W282" s="41"/>
      <c r="X282" s="42"/>
      <c r="Y282" s="42"/>
      <c r="Z282" s="42"/>
      <c r="AA282" s="41"/>
      <c r="AB282" s="50"/>
      <c r="AC282" s="50"/>
      <c r="AE282" s="22" t="str">
        <f t="shared" si="103"/>
        <v>·</v>
      </c>
      <c r="AF282" s="23" t="str">
        <f t="shared" si="104"/>
        <v>·</v>
      </c>
      <c r="AG282" s="23" t="str">
        <f t="shared" si="105"/>
        <v>·</v>
      </c>
      <c r="AH282" s="24"/>
      <c r="AI282" s="23" t="str">
        <f t="shared" si="122"/>
        <v>·</v>
      </c>
      <c r="AJ282" s="23" t="str">
        <f t="shared" si="106"/>
        <v>·</v>
      </c>
      <c r="AK282" s="25"/>
      <c r="AL282" s="26"/>
      <c r="AM282" s="26"/>
      <c r="AN282" s="40"/>
      <c r="AO282" s="26"/>
      <c r="AP282" s="42"/>
      <c r="AQ282" s="42"/>
      <c r="AR282" s="42"/>
      <c r="AS282" s="41"/>
      <c r="AT282" s="42"/>
      <c r="AU282" s="42"/>
      <c r="AV282" s="42"/>
      <c r="AW282" s="41"/>
      <c r="AX282" s="50"/>
      <c r="AY282" s="50"/>
      <c r="BA282" s="55" t="e">
        <f t="shared" si="107"/>
        <v>#DIV/0!</v>
      </c>
      <c r="BB282" s="55"/>
      <c r="BD282" s="62"/>
      <c r="BE282" s="62"/>
      <c r="BF282" s="62"/>
      <c r="BG282" s="56"/>
      <c r="BI282" s="62"/>
      <c r="BJ282" s="62"/>
      <c r="BK282" s="62"/>
      <c r="BL282" s="56"/>
      <c r="BN282" s="62"/>
      <c r="BO282" s="62"/>
      <c r="BP282" s="62"/>
      <c r="BQ282" s="56"/>
      <c r="BS282" s="62"/>
      <c r="BT282" s="62"/>
      <c r="BU282" s="62"/>
      <c r="BV282" s="56"/>
      <c r="BX282">
        <f t="shared" si="108"/>
        <v>0</v>
      </c>
      <c r="BY282">
        <f t="shared" si="109"/>
        <v>0</v>
      </c>
      <c r="BZ282">
        <f t="shared" si="110"/>
        <v>0</v>
      </c>
      <c r="CA282">
        <f t="shared" si="111"/>
        <v>0</v>
      </c>
      <c r="CB282">
        <f t="shared" si="112"/>
        <v>0</v>
      </c>
      <c r="CC282">
        <f t="shared" si="113"/>
        <v>0</v>
      </c>
      <c r="CD282">
        <f t="shared" si="114"/>
        <v>0</v>
      </c>
      <c r="CE282">
        <f t="shared" si="115"/>
        <v>0</v>
      </c>
      <c r="CF282">
        <f t="shared" si="116"/>
        <v>0</v>
      </c>
      <c r="CG282">
        <f t="shared" si="117"/>
        <v>0</v>
      </c>
      <c r="CH282">
        <f t="shared" si="118"/>
        <v>0</v>
      </c>
      <c r="CI282">
        <f t="shared" si="119"/>
        <v>0</v>
      </c>
      <c r="CJ282">
        <f t="shared" si="120"/>
        <v>0</v>
      </c>
    </row>
    <row r="283" spans="1:88" outlineLevel="1" x14ac:dyDescent="0.15">
      <c r="A283" s="5"/>
      <c r="B283" s="5" t="s">
        <v>183</v>
      </c>
      <c r="C283" s="6" t="s">
        <v>257</v>
      </c>
      <c r="D283" s="5">
        <v>8167066</v>
      </c>
      <c r="E283" s="7">
        <v>18</v>
      </c>
      <c r="F283" s="6">
        <v>300</v>
      </c>
      <c r="G283" s="6">
        <v>5</v>
      </c>
      <c r="I283" s="17" t="str">
        <f t="shared" si="99"/>
        <v>·</v>
      </c>
      <c r="J283" s="18" t="str">
        <f t="shared" si="100"/>
        <v>·</v>
      </c>
      <c r="K283" s="18" t="str">
        <f t="shared" si="101"/>
        <v>·</v>
      </c>
      <c r="L283" s="19"/>
      <c r="M283" s="18" t="str">
        <f t="shared" si="121"/>
        <v>·</v>
      </c>
      <c r="N283" s="18" t="str">
        <f t="shared" si="102"/>
        <v>·</v>
      </c>
      <c r="O283" s="20"/>
      <c r="P283" s="21"/>
      <c r="Q283" s="21"/>
      <c r="R283" s="37"/>
      <c r="S283" s="21"/>
      <c r="T283" s="39"/>
      <c r="U283" s="39"/>
      <c r="V283" s="39"/>
      <c r="W283" s="38"/>
      <c r="X283" s="39"/>
      <c r="Y283" s="39"/>
      <c r="Z283" s="39"/>
      <c r="AA283" s="38"/>
      <c r="AB283" s="49"/>
      <c r="AC283" s="49"/>
      <c r="AE283" s="17" t="str">
        <f t="shared" si="103"/>
        <v>·</v>
      </c>
      <c r="AF283" s="18" t="str">
        <f t="shared" si="104"/>
        <v>·</v>
      </c>
      <c r="AG283" s="18" t="str">
        <f t="shared" si="105"/>
        <v>·</v>
      </c>
      <c r="AH283" s="19"/>
      <c r="AI283" s="18" t="str">
        <f t="shared" si="122"/>
        <v>·</v>
      </c>
      <c r="AJ283" s="18" t="str">
        <f t="shared" si="106"/>
        <v>·</v>
      </c>
      <c r="AK283" s="20"/>
      <c r="AL283" s="21"/>
      <c r="AM283" s="21"/>
      <c r="AN283" s="37"/>
      <c r="AO283" s="21"/>
      <c r="AP283" s="39"/>
      <c r="AQ283" s="39"/>
      <c r="AR283" s="39"/>
      <c r="AS283" s="38"/>
      <c r="AT283" s="39"/>
      <c r="AU283" s="39"/>
      <c r="AV283" s="39"/>
      <c r="AW283" s="38"/>
      <c r="AX283" s="49"/>
      <c r="AY283" s="49"/>
      <c r="BA283" s="53" t="e">
        <f t="shared" si="107"/>
        <v>#DIV/0!</v>
      </c>
      <c r="BB283" s="53"/>
      <c r="BD283" s="61"/>
      <c r="BE283" s="61"/>
      <c r="BF283" s="61"/>
      <c r="BG283" s="54"/>
      <c r="BI283" s="61"/>
      <c r="BJ283" s="61"/>
      <c r="BK283" s="61"/>
      <c r="BL283" s="54"/>
      <c r="BN283" s="61"/>
      <c r="BO283" s="61"/>
      <c r="BP283" s="61"/>
      <c r="BQ283" s="54"/>
      <c r="BS283" s="61"/>
      <c r="BT283" s="61"/>
      <c r="BU283" s="61"/>
      <c r="BV283" s="54"/>
      <c r="BX283">
        <f t="shared" si="108"/>
        <v>0</v>
      </c>
      <c r="BY283">
        <f t="shared" si="109"/>
        <v>0</v>
      </c>
      <c r="BZ283">
        <f t="shared" si="110"/>
        <v>0</v>
      </c>
      <c r="CA283">
        <f t="shared" si="111"/>
        <v>0</v>
      </c>
      <c r="CB283">
        <f t="shared" si="112"/>
        <v>0</v>
      </c>
      <c r="CC283">
        <f t="shared" si="113"/>
        <v>0</v>
      </c>
      <c r="CD283">
        <f t="shared" si="114"/>
        <v>0</v>
      </c>
      <c r="CE283">
        <f t="shared" si="115"/>
        <v>0</v>
      </c>
      <c r="CF283">
        <f t="shared" si="116"/>
        <v>0</v>
      </c>
      <c r="CG283">
        <f t="shared" si="117"/>
        <v>0</v>
      </c>
      <c r="CH283">
        <f t="shared" si="118"/>
        <v>0</v>
      </c>
      <c r="CI283">
        <f t="shared" si="119"/>
        <v>0</v>
      </c>
      <c r="CJ283">
        <f t="shared" si="120"/>
        <v>0</v>
      </c>
    </row>
    <row r="284" spans="1:88" outlineLevel="1" x14ac:dyDescent="0.15">
      <c r="A284" s="14"/>
      <c r="B284" s="14" t="s">
        <v>183</v>
      </c>
      <c r="C284" s="15" t="s">
        <v>258</v>
      </c>
      <c r="D284" s="14">
        <v>8167066</v>
      </c>
      <c r="E284" s="16">
        <v>18</v>
      </c>
      <c r="F284" s="15">
        <v>300</v>
      </c>
      <c r="G284" s="15">
        <v>5</v>
      </c>
      <c r="I284" s="32" t="str">
        <f t="shared" si="99"/>
        <v>·</v>
      </c>
      <c r="J284" s="33" t="str">
        <f t="shared" si="100"/>
        <v>·</v>
      </c>
      <c r="K284" s="33" t="str">
        <f t="shared" si="101"/>
        <v>·</v>
      </c>
      <c r="L284" s="34"/>
      <c r="M284" s="33" t="str">
        <f t="shared" si="121"/>
        <v>·</v>
      </c>
      <c r="N284" s="33" t="str">
        <f t="shared" si="102"/>
        <v>·</v>
      </c>
      <c r="O284" s="35"/>
      <c r="P284" s="36"/>
      <c r="Q284" s="36"/>
      <c r="R284" s="46"/>
      <c r="S284" s="36"/>
      <c r="T284" s="48"/>
      <c r="U284" s="48"/>
      <c r="V284" s="48"/>
      <c r="W284" s="47"/>
      <c r="X284" s="48"/>
      <c r="Y284" s="48"/>
      <c r="Z284" s="48"/>
      <c r="AA284" s="47"/>
      <c r="AB284" s="52"/>
      <c r="AC284" s="52"/>
      <c r="AE284" s="32" t="str">
        <f t="shared" si="103"/>
        <v>·</v>
      </c>
      <c r="AF284" s="33" t="str">
        <f t="shared" si="104"/>
        <v>·</v>
      </c>
      <c r="AG284" s="33" t="str">
        <f t="shared" si="105"/>
        <v>·</v>
      </c>
      <c r="AH284" s="34"/>
      <c r="AI284" s="33" t="str">
        <f t="shared" si="122"/>
        <v>·</v>
      </c>
      <c r="AJ284" s="33" t="str">
        <f t="shared" si="106"/>
        <v>·</v>
      </c>
      <c r="AK284" s="35"/>
      <c r="AL284" s="36"/>
      <c r="AM284" s="36"/>
      <c r="AN284" s="46"/>
      <c r="AO284" s="36"/>
      <c r="AP284" s="48"/>
      <c r="AQ284" s="48"/>
      <c r="AR284" s="48"/>
      <c r="AS284" s="47"/>
      <c r="AT284" s="48"/>
      <c r="AU284" s="48"/>
      <c r="AV284" s="48"/>
      <c r="AW284" s="47"/>
      <c r="AX284" s="52"/>
      <c r="AY284" s="52"/>
      <c r="BA284" s="59" t="e">
        <f t="shared" si="107"/>
        <v>#DIV/0!</v>
      </c>
      <c r="BB284" s="59"/>
      <c r="BD284" s="64"/>
      <c r="BE284" s="64"/>
      <c r="BF284" s="64"/>
      <c r="BG284" s="60"/>
      <c r="BI284" s="64"/>
      <c r="BJ284" s="64"/>
      <c r="BK284" s="64"/>
      <c r="BL284" s="60"/>
      <c r="BN284" s="64"/>
      <c r="BO284" s="64"/>
      <c r="BP284" s="64"/>
      <c r="BQ284" s="60"/>
      <c r="BS284" s="64"/>
      <c r="BT284" s="64"/>
      <c r="BU284" s="64"/>
      <c r="BV284" s="60"/>
      <c r="BX284">
        <f t="shared" si="108"/>
        <v>0</v>
      </c>
      <c r="BY284">
        <f t="shared" si="109"/>
        <v>0</v>
      </c>
      <c r="BZ284">
        <f t="shared" si="110"/>
        <v>0</v>
      </c>
      <c r="CA284">
        <f t="shared" si="111"/>
        <v>0</v>
      </c>
      <c r="CB284">
        <f t="shared" si="112"/>
        <v>0</v>
      </c>
      <c r="CC284">
        <f t="shared" si="113"/>
        <v>0</v>
      </c>
      <c r="CD284">
        <f t="shared" si="114"/>
        <v>0</v>
      </c>
      <c r="CE284">
        <f t="shared" si="115"/>
        <v>0</v>
      </c>
      <c r="CF284">
        <f t="shared" si="116"/>
        <v>0</v>
      </c>
      <c r="CG284">
        <f t="shared" si="117"/>
        <v>0</v>
      </c>
      <c r="CH284">
        <f t="shared" si="118"/>
        <v>0</v>
      </c>
      <c r="CI284">
        <f t="shared" si="119"/>
        <v>0</v>
      </c>
      <c r="CJ284">
        <f t="shared" si="120"/>
        <v>0</v>
      </c>
    </row>
    <row r="285" spans="1:88" x14ac:dyDescent="0.15">
      <c r="B285" s="65" t="s">
        <v>10</v>
      </c>
      <c r="J285" s="66">
        <f>AVERAGE(J5:J114)</f>
        <v>6.8212642447098819</v>
      </c>
      <c r="K285" s="66">
        <f>AVERAGE(K5:K114)</f>
        <v>4.2144656323827707</v>
      </c>
      <c r="L285" s="66">
        <f>AVERAGE(L5:L114)</f>
        <v>2.6063752275392491</v>
      </c>
      <c r="M285" s="67"/>
      <c r="AF285" s="66">
        <f>AVERAGE(AF5:AF114)</f>
        <v>6.8500264176078893</v>
      </c>
      <c r="AG285" s="66">
        <f>AVERAGE(AG5:AG114)</f>
        <v>4.2144656323827707</v>
      </c>
      <c r="AH285" s="66">
        <f>AVERAGE(AH5:AH114)</f>
        <v>2.6351374004372543</v>
      </c>
      <c r="AI285" s="67"/>
      <c r="BB285" s="69">
        <f>AVERAGE(BB5:BB114)</f>
        <v>-2.4030001614689152E-3</v>
      </c>
      <c r="BD285" s="70">
        <f>AVERAGE(BD5:BD114)</f>
        <v>1.4008053325694133E-2</v>
      </c>
      <c r="BE285" s="70">
        <f>AVERAGE(BE5:BE114)</f>
        <v>1.867992234825799E-2</v>
      </c>
      <c r="BF285" s="70">
        <f>AVERAGE(BF5:BF114)</f>
        <v>1.3246959446571322E-2</v>
      </c>
      <c r="BG285" s="71"/>
      <c r="BI285" s="70">
        <f>AVERAGE(BI5:BI114)</f>
        <v>1.4935767727695747E-2</v>
      </c>
      <c r="BJ285" s="70">
        <f>AVERAGE(BJ5:BJ114)</f>
        <v>1.4935767727695747E-2</v>
      </c>
      <c r="BK285" s="70">
        <f>AVERAGE(BK5:BK114)</f>
        <v>1.4935767727695747E-2</v>
      </c>
      <c r="BL285" s="71"/>
      <c r="BN285" s="70">
        <f>AVERAGE(BN5:BN114)</f>
        <v>4.2015516896289603E-3</v>
      </c>
      <c r="BO285" s="70">
        <f>AVERAGE(BO5:BO114)</f>
        <v>5.7853939342650366E-3</v>
      </c>
      <c r="BP285" s="70">
        <f>AVERAGE(BP5:BP114)</f>
        <v>4.7947162424985985E-3</v>
      </c>
      <c r="BQ285" s="71"/>
      <c r="BS285" s="70">
        <f>AVERAGE(BS5:BS114)</f>
        <v>4.5774784475876426E-3</v>
      </c>
      <c r="BT285" s="70">
        <f>AVERAGE(BT5:BT114)</f>
        <v>4.5774784475876426E-3</v>
      </c>
      <c r="BU285" s="70">
        <f>AVERAGE(BU5:BU114)</f>
        <v>4.5774784475876426E-3</v>
      </c>
      <c r="BV285" s="71"/>
    </row>
    <row r="286" spans="1:88" x14ac:dyDescent="0.15">
      <c r="B286" s="65" t="s">
        <v>11</v>
      </c>
      <c r="J286" s="66">
        <f>AVERAGE(J115:J234)</f>
        <v>24.902805500449407</v>
      </c>
      <c r="K286" s="66">
        <f>AVERAGE(K115:K234)</f>
        <v>20.911408881280256</v>
      </c>
      <c r="L286" s="66">
        <f>AVERAGE(L115:L234)</f>
        <v>3.9910395939793708</v>
      </c>
      <c r="M286" s="67"/>
      <c r="AF286" s="66">
        <f>AVERAGE(AF115:AF234)</f>
        <v>24.958155877460971</v>
      </c>
      <c r="AG286" s="66">
        <f>AVERAGE(AG115:AG234)</f>
        <v>20.911408881280256</v>
      </c>
      <c r="AH286" s="66">
        <f>AVERAGE(AH115:AH234)</f>
        <v>4.0463899709909388</v>
      </c>
      <c r="AI286" s="67"/>
      <c r="BB286" s="69">
        <f>AVERAGE(BB115:BB234)</f>
        <v>-1.9087088758808907E-3</v>
      </c>
      <c r="BD286" s="70">
        <f>AVERAGE(BD115:BD234)</f>
        <v>1.8325686778835351E-2</v>
      </c>
      <c r="BE286" s="70">
        <f>AVERAGE(BE115:BE234)</f>
        <v>2.1167771281393469E-2</v>
      </c>
      <c r="BF286" s="70">
        <f>AVERAGE(BF115:BF234)</f>
        <v>1.7890551477430724E-2</v>
      </c>
      <c r="BG286" s="71"/>
      <c r="BI286" s="70">
        <f>AVERAGE(BI115:BI234)</f>
        <v>2.0067463413030839E-2</v>
      </c>
      <c r="BJ286" s="70">
        <f>AVERAGE(BJ115:BJ234)</f>
        <v>2.0067463413030839E-2</v>
      </c>
      <c r="BK286" s="70">
        <f>AVERAGE(BK115:BK234)</f>
        <v>2.0067463413030839E-2</v>
      </c>
      <c r="BL286" s="71"/>
      <c r="BN286" s="70">
        <f>AVERAGE(BN115:BN234)</f>
        <v>2.4148016416887241E-3</v>
      </c>
      <c r="BO286" s="70">
        <f>AVERAGE(BO115:BO234)</f>
        <v>2.8384267885714263E-3</v>
      </c>
      <c r="BP286" s="70">
        <f>AVERAGE(BP115:BP234)</f>
        <v>2.587123405954711E-3</v>
      </c>
      <c r="BQ286" s="71"/>
      <c r="BS286" s="70">
        <f>AVERAGE(BS115:BS234)</f>
        <v>2.7325933711229988E-3</v>
      </c>
      <c r="BT286" s="70">
        <f>AVERAGE(BT115:BT234)</f>
        <v>2.7325933711229988E-3</v>
      </c>
      <c r="BU286" s="70">
        <f>AVERAGE(BU115:BU234)</f>
        <v>2.7325933711229988E-3</v>
      </c>
      <c r="BV286" s="71"/>
    </row>
    <row r="287" spans="1:88" x14ac:dyDescent="0.15">
      <c r="B287" s="65" t="s">
        <v>12</v>
      </c>
      <c r="J287" s="66">
        <f>AVERAGE(J235:J249)</f>
        <v>27.001565873760111</v>
      </c>
      <c r="K287" s="66">
        <f>AVERAGE(K235:K249)</f>
        <v>19.697263571956878</v>
      </c>
      <c r="L287" s="66">
        <f>AVERAGE(L235:L249)</f>
        <v>5.2416640305430571</v>
      </c>
      <c r="M287" s="66">
        <f>AVERAGE(M235:M249)</f>
        <v>2.0623802698999358</v>
      </c>
      <c r="AF287" s="66">
        <f>AVERAGE(AF235:AF249)</f>
        <v>27.118112955314597</v>
      </c>
      <c r="AG287" s="66">
        <f>AVERAGE(AG235:AG249)</f>
        <v>19.697263571956878</v>
      </c>
      <c r="AH287" s="66">
        <f>AVERAGE(AH235:AH249)</f>
        <v>5.327010364353189</v>
      </c>
      <c r="AI287" s="66">
        <f>AVERAGE(AI235:AI249)</f>
        <v>2.0935810176442922</v>
      </c>
      <c r="BB287" s="69">
        <f>AVERAGE(BB235:BB249)</f>
        <v>-3.4029066230090166E-3</v>
      </c>
      <c r="BD287" s="70">
        <f>AVERAGE(BD235:BD249)</f>
        <v>2.010827939920105E-2</v>
      </c>
      <c r="BE287" s="70">
        <f>AVERAGE(BE235:BE249)</f>
        <v>1.9296533929893684E-2</v>
      </c>
      <c r="BF287" s="70">
        <f>AVERAGE(BF235:BF249)</f>
        <v>1.9733465150939173E-2</v>
      </c>
      <c r="BG287" s="70" t="e">
        <f>AVERAGE(BG235:BG249)</f>
        <v>#DIV/0!</v>
      </c>
      <c r="BI287" s="70">
        <f>AVERAGE(BI235:BI249)</f>
        <v>2.3127303589826214E-2</v>
      </c>
      <c r="BJ287" s="70">
        <f>AVERAGE(BJ235:BJ249)</f>
        <v>2.3127303589826214E-2</v>
      </c>
      <c r="BK287" s="70">
        <f>AVERAGE(BK235:BK249)</f>
        <v>2.3127303589826214E-2</v>
      </c>
      <c r="BL287" s="70" t="e">
        <f>AVERAGE(BL235:BL249)</f>
        <v>#DIV/0!</v>
      </c>
      <c r="BN287" s="70">
        <f>AVERAGE(BN235:BN249)</f>
        <v>4.0141694141441571E-3</v>
      </c>
      <c r="BO287" s="70">
        <f>AVERAGE(BO235:BO249)</f>
        <v>3.9739762667251695E-3</v>
      </c>
      <c r="BP287" s="70">
        <f>AVERAGE(BP235:BP249)</f>
        <v>3.9175442094863859E-3</v>
      </c>
      <c r="BQ287" s="70" t="e">
        <f>AVERAGE(BQ235:BQ249)</f>
        <v>#DIV/0!</v>
      </c>
      <c r="BS287" s="70">
        <f>AVERAGE(BS235:BS249)</f>
        <v>4.541376072543013E-3</v>
      </c>
      <c r="BT287" s="70">
        <f>AVERAGE(BT235:BT249)</f>
        <v>4.541376072543013E-3</v>
      </c>
      <c r="BU287" s="70">
        <f>AVERAGE(BU235:BU249)</f>
        <v>4.541376072543013E-3</v>
      </c>
      <c r="BV287" s="70" t="e">
        <f>AVERAGE(BV235:BV249)</f>
        <v>#DIV/0!</v>
      </c>
    </row>
    <row r="288" spans="1:88" x14ac:dyDescent="0.15">
      <c r="B288" s="65" t="s">
        <v>13</v>
      </c>
      <c r="J288" s="66" t="e">
        <f>AVERAGE(J250:J284)</f>
        <v>#DIV/0!</v>
      </c>
      <c r="K288" s="66" t="e">
        <f>AVERAGE(K250:K284)</f>
        <v>#DIV/0!</v>
      </c>
      <c r="L288" s="67"/>
      <c r="M288" s="66" t="e">
        <f>AVERAGE(M250:M284)</f>
        <v>#DIV/0!</v>
      </c>
      <c r="AF288" s="66" t="e">
        <f>AVERAGE(AF250:AF284)</f>
        <v>#DIV/0!</v>
      </c>
      <c r="AG288" s="66" t="e">
        <f>AVERAGE(AG250:AG284)</f>
        <v>#DIV/0!</v>
      </c>
      <c r="AH288" s="67"/>
      <c r="AI288" s="66" t="e">
        <f>AVERAGE(AI250:AI284)</f>
        <v>#DIV/0!</v>
      </c>
      <c r="BB288" s="69" t="e">
        <f>AVERAGE(BB250:BB284)</f>
        <v>#DIV/0!</v>
      </c>
      <c r="BD288" s="71"/>
      <c r="BE288" s="71"/>
      <c r="BF288" s="71"/>
      <c r="BG288" s="70" t="e">
        <f>AVERAGE(BG250:BG284)</f>
        <v>#DIV/0!</v>
      </c>
      <c r="BI288" s="71"/>
      <c r="BJ288" s="71"/>
      <c r="BK288" s="71"/>
      <c r="BL288" s="70" t="e">
        <f>AVERAGE(BL250:BL284)</f>
        <v>#DIV/0!</v>
      </c>
      <c r="BN288" s="71"/>
      <c r="BO288" s="71"/>
      <c r="BP288" s="71"/>
      <c r="BQ288" s="70" t="e">
        <f>AVERAGE(BQ250:BQ284)</f>
        <v>#DIV/0!</v>
      </c>
      <c r="BS288" s="71"/>
      <c r="BT288" s="71"/>
      <c r="BU288" s="71"/>
      <c r="BV288" s="70" t="e">
        <f>AVERAGE(BV250:BV284)</f>
        <v>#DIV/0!</v>
      </c>
    </row>
    <row r="289" spans="1:74" x14ac:dyDescent="0.15">
      <c r="B289" s="65" t="s">
        <v>14</v>
      </c>
      <c r="J289" s="66">
        <f>AVERAGE(J5:J284)</f>
        <v>16.913058020728236</v>
      </c>
      <c r="K289" s="66">
        <f>AVERAGE(K5:K284)</f>
        <v>13.34048668936771</v>
      </c>
      <c r="L289" s="66">
        <f>AVERAGE(L5:L249)</f>
        <v>3.4459223949591342</v>
      </c>
      <c r="M289" s="66">
        <f>AVERAGE(M235:M284)</f>
        <v>2.0623802698999358</v>
      </c>
      <c r="AF289" s="66">
        <f>AVERAGE(AF5:AF284)</f>
        <v>16.960217573722055</v>
      </c>
      <c r="AG289" s="66">
        <f>AVERAGE(AG5:AG284)</f>
        <v>13.34048668936771</v>
      </c>
      <c r="AH289" s="66">
        <f>AVERAGE(AH5:AH249)</f>
        <v>3.4911716980910534</v>
      </c>
      <c r="AI289" s="66">
        <f>AVERAGE(AI235:AI284)</f>
        <v>2.0935810176442922</v>
      </c>
      <c r="BB289" s="69" t="e">
        <f>AVERAGE(BB5:BB284)</f>
        <v>#DIV/0!</v>
      </c>
      <c r="BD289" s="70">
        <f>AVERAGE(BD5:BD249)</f>
        <v>1.6496295797039234E-2</v>
      </c>
      <c r="BE289" s="70">
        <f>AVERAGE(BE5:BE249)</f>
        <v>1.9936212330710208E-2</v>
      </c>
      <c r="BF289" s="70">
        <f>AVERAGE(BF5:BF249)</f>
        <v>1.5918504872157634E-2</v>
      </c>
      <c r="BG289" s="70" t="e">
        <f>AVERAGE(BG235:BG284)</f>
        <v>#DIV/0!</v>
      </c>
      <c r="BI289" s="70">
        <f>AVERAGE(BI5:BI249)</f>
        <v>1.7950773932480107E-2</v>
      </c>
      <c r="BJ289" s="70">
        <f>AVERAGE(BJ5:BJ249)</f>
        <v>1.7950773932480107E-2</v>
      </c>
      <c r="BK289" s="70">
        <f>AVERAGE(BK5:BK249)</f>
        <v>1.7950773932480107E-2</v>
      </c>
      <c r="BL289" s="70" t="e">
        <f>AVERAGE(BL235:BL284)</f>
        <v>#DIV/0!</v>
      </c>
      <c r="BN289" s="70">
        <f>AVERAGE(BN5:BN249)</f>
        <v>3.314936424791816E-3</v>
      </c>
      <c r="BO289" s="70">
        <f>AVERAGE(BO5:BO249)</f>
        <v>4.2310783322391946E-3</v>
      </c>
      <c r="BP289" s="70">
        <f>AVERAGE(BP5:BP249)</f>
        <v>3.6597418715579879E-3</v>
      </c>
      <c r="BQ289" s="70" t="e">
        <f>AVERAGE(BQ235:BQ284)</f>
        <v>#DIV/0!</v>
      </c>
      <c r="BS289" s="70">
        <f>AVERAGE(BS5:BS249)</f>
        <v>3.6716509177859009E-3</v>
      </c>
      <c r="BT289" s="70">
        <f>AVERAGE(BT5:BT249)</f>
        <v>3.6716509177859009E-3</v>
      </c>
      <c r="BU289" s="70">
        <f>AVERAGE(BU5:BU249)</f>
        <v>3.6716509177859009E-3</v>
      </c>
      <c r="BV289" s="70" t="e">
        <f>AVERAGE(BV235:BV284)</f>
        <v>#DIV/0!</v>
      </c>
    </row>
    <row r="290" spans="1:74" hidden="1" outlineLevel="2" x14ac:dyDescent="0.15">
      <c r="A290" s="65" t="s">
        <v>263</v>
      </c>
      <c r="B290" s="65" t="s">
        <v>264</v>
      </c>
      <c r="AB290" s="68">
        <f>SUM(AB5:AB114,AB115:AB234,AB235:AB249,AB250:AB284)</f>
        <v>8315.6190000000006</v>
      </c>
      <c r="AC290" s="68">
        <f>SUM(AC5:AC114,AC115:AC234,AC235:AC249,AC250:AC284)</f>
        <v>7160.9870000000028</v>
      </c>
      <c r="AX290" s="68">
        <f>SUM(AX5:AX114,AX115:AX234,AX235:AX249,AX250:AX284)</f>
        <v>8375.501000000002</v>
      </c>
      <c r="AY290" s="68">
        <f>SUM(AY5:AY114,AY115:AY234,AY235:AY249,AY250:AY284)</f>
        <v>7157.7860000000046</v>
      </c>
    </row>
    <row r="291" spans="1:74" hidden="1" outlineLevel="2" x14ac:dyDescent="0.15">
      <c r="B291" s="65" t="s">
        <v>265</v>
      </c>
      <c r="AX291" s="69">
        <f>AX290/AB290</f>
        <v>1.0072011476235265</v>
      </c>
      <c r="AY291" s="69">
        <f>AY290/AC290</f>
        <v>0.99955299458021662</v>
      </c>
    </row>
    <row r="292" spans="1:74" ht="27" hidden="1" outlineLevel="2" x14ac:dyDescent="0.15">
      <c r="B292" s="65" t="s">
        <v>266</v>
      </c>
      <c r="AB292" s="68">
        <f>GEOMEAN(AB5:AB114,AB115:AB234,AB235:AB249,AB250:AB284)</f>
        <v>9.7519462734261531</v>
      </c>
      <c r="AC292" s="68">
        <f>GEOMEAN(AC5:AC114,AC115:AC234,AC235:AC249,AC250:AC284)</f>
        <v>8.1300397571208407</v>
      </c>
      <c r="AX292" s="68">
        <f>GEOMEAN(AX5:AX114,AX115:AX234,AX235:AX249,AX250:AX284)</f>
        <v>9.8401652849004861</v>
      </c>
      <c r="AY292" s="68">
        <f>GEOMEAN(AY5:AY114,AY115:AY234,AY235:AY249,AY250:AY284)</f>
        <v>8.1270726247285427</v>
      </c>
    </row>
    <row r="293" spans="1:74" ht="27" outlineLevel="2" collapsed="1" x14ac:dyDescent="0.15">
      <c r="B293" s="65" t="s">
        <v>267</v>
      </c>
      <c r="AX293" s="69">
        <f>AX292/AB292</f>
        <v>1.0090462979389794</v>
      </c>
      <c r="AY293" s="69">
        <f>AY292/AC292</f>
        <v>0.99963504085085209</v>
      </c>
    </row>
  </sheetData>
  <mergeCells count="38">
    <mergeCell ref="CC2:CF2"/>
    <mergeCell ref="CG2:CJ2"/>
    <mergeCell ref="A1:G1"/>
    <mergeCell ref="I1:AC1"/>
    <mergeCell ref="AE1:AY1"/>
    <mergeCell ref="J2:M2"/>
    <mergeCell ref="P2:S2"/>
    <mergeCell ref="T2:W2"/>
    <mergeCell ref="X2:AA2"/>
    <mergeCell ref="AF2:AI2"/>
    <mergeCell ref="AL2:AO2"/>
    <mergeCell ref="AP2:AS2"/>
    <mergeCell ref="AT2:AW2"/>
    <mergeCell ref="AE2:AE3"/>
    <mergeCell ref="BS2:BV2"/>
    <mergeCell ref="BI2:BL2"/>
    <mergeCell ref="BN2:BQ2"/>
    <mergeCell ref="BX2:BX3"/>
    <mergeCell ref="BY2:CB2"/>
    <mergeCell ref="A2:A3"/>
    <mergeCell ref="B2:B3"/>
    <mergeCell ref="C2:C3"/>
    <mergeCell ref="D2:D3"/>
    <mergeCell ref="E2:E3"/>
    <mergeCell ref="F2:F3"/>
    <mergeCell ref="G2:G3"/>
    <mergeCell ref="I2:I3"/>
    <mergeCell ref="N2:N3"/>
    <mergeCell ref="O2:O3"/>
    <mergeCell ref="AB2:AB3"/>
    <mergeCell ref="AC2:AC3"/>
    <mergeCell ref="BA2:BA3"/>
    <mergeCell ref="BB2:BB3"/>
    <mergeCell ref="BD2:BG2"/>
    <mergeCell ref="AJ2:AJ3"/>
    <mergeCell ref="AK2:AK3"/>
    <mergeCell ref="AX2:AX3"/>
    <mergeCell ref="AY2:AY3"/>
  </mergeCells>
  <phoneticPr fontId="3" type="noConversion"/>
  <conditionalFormatting sqref="BD5 BD6 BD7 BD8 BD9 BD10 BD11 BD12 BD13 BD14 BD15 BD16 BD17 BD18 BD19 BD20 BD21 BD22 BD23 BD24 BD25 BD26 BD27 BD28 BD29 BD30 BD31 BD32 BD33 BD34 BD35 BD36 BD37 BD38 BD39 BD40 BD41 BD42 BD43 BD44 BD45 BD46 BD47 BD48 BD49 BD50 BD51 BD52 BD53 BD54 BD55 BD56 BD57 BD58 BD59 BD60 BD61 BD62 BD63 BD64 BD65 BD66 BD67 BD68 BD69 BD70 BD71 BD72 BD73 BD74 BD75 BD76 BD77 BD78 BD79 BD80 BD81 BD82 BD83 BD84 BD85 BD86 BD87 BD88 BD89 BD90 BD91 BD92 BD93 BD94 BD95 BD96 BD97 BD98 BD99 BD100 BD101 BD102 BD103 BD104 BD105 BD106 BD107 BD108 BD109 BD110 BD111 BD112 BD113 BD114 BD115 BD116 BD117 BD118 BD119 BD120 BD121 BD122 BD123 BD124 BD125 BD126 BD127 BD128 BD129 BD130 BD131 BD132 BD133 BD134 BD135 BD136 BD137 BD138 BD139 BD140 BD141 BD142 BD143 BD144 BD145 BD146 BD147 BD148 BD149 BD150 BD151 BD152 BD153 BD154 BD155 BD156 BD157 BD158 BD159 BD160 BD161 BD162 BD163 BD164 BD165 BD166 BD167 BD168 BD169 BD170 BD171 BD172 BD173 BD174 BD175 BD176 BD177 BD178 BD179 BD180 BD181 BD182 BD183 BD184 BD185 BD186 BD187 BD188 BD189 BD190 BD191 BD192 BD193 BD194 BD195 BD196 BD197 BD198 BD199 BD200 BD201 BD202 BD203 BD204 BD205 BD206 BD207 BD208 BD209 BD210 BD211 BD212 BD213 BD214 BD215 BD216 BD217 BD218 BD219 BD220 BD221 BD222 BD223 BD224 BD225 BD226 BD227 BD228 BD229 BD230 BD231 BD232 BD233 BD234 BD235 BD236 BD237 BD238 BD239 BD240 BD241 BD242 BD243 BD244 BD245 BD246 BD247 BD248 BD249 BD250 BD251 BD252 BD253 BD254 BD255 BD256 BD257 BD258 BD259 BD260 BD261 BD262 BD263 BD264 BD265 BD266 BD267 BD268 BD269 BD270 BD271 BD272 BD273 BD274 BD275 BD276 BD277 BD278 BD279 BD280 BD281 BD282 BD283 BD284 BD285 BD286 BD287 BD289">
    <cfRule type="cellIs" dxfId="31" priority="25" operator="greaterThanOrEqual">
      <formula>0.03</formula>
    </cfRule>
    <cfRule type="cellIs" dxfId="30" priority="26" operator="lessThanOrEqual">
      <formula>-0.03</formula>
    </cfRule>
  </conditionalFormatting>
  <conditionalFormatting sqref="BE5 BE6 BE7 BE8 BE9 BE10 BE11 BE12 BE13 BE14 BE15 BE16 BE17 BE18 BE19 BE20 BE21 BE22 BE23 BE24 BE25 BE26 BE27 BE28 BE29 BE30 BE31 BE32 BE33 BE34 BE35 BE36 BE37 BE38 BE39 BE40 BE41 BE42 BE43 BE44 BE45 BE46 BE47 BE48 BE49 BE50 BE51 BE52 BE53 BE54 BE55 BE56 BE57 BE58 BE59 BE60 BE61 BE62 BE63 BE64 BE65 BE66 BE67 BE68 BE69 BE70 BE71 BE72 BE73 BE74 BE75 BE76 BE77 BE78 BE79 BE80 BE81 BE82 BE83 BE84 BE85 BE86 BE87 BE88 BE89 BE90 BE91 BE92 BE93 BE94 BE95 BE96 BE97 BE98 BE99 BE100 BE101 BE102 BE103 BE104 BE105 BE106 BE107 BE108 BE109 BE110 BE111 BE112 BE113 BE114 BE115 BE116 BE117 BE118 BE119 BE120 BE121 BE122 BE123 BE124 BE125 BE126 BE127 BE128 BE129 BE130 BE131 BE132 BE133 BE134 BE135 BE136 BE137 BE138 BE139 BE140 BE141 BE142 BE143 BE144 BE145 BE146 BE147 BE148 BE149 BE150 BE151 BE152 BE153 BE154 BE155 BE156 BE157 BE158 BE159 BE160 BE161 BE162 BE163 BE164 BE165 BE166 BE167 BE168 BE169 BE170 BE171 BE172 BE173 BE174 BE175 BE176 BE177 BE178 BE179 BE180 BE181 BE182 BE183 BE184 BE185 BE186 BE187 BE188 BE189 BE190 BE191 BE192 BE193 BE194 BE195 BE196 BE197 BE198 BE199 BE200 BE201 BE202 BE203 BE204 BE205 BE206 BE207 BE208 BE209 BE210 BE211 BE212 BE213 BE214 BE215 BE216 BE217 BE218 BE219 BE220 BE221 BE222 BE223 BE224 BE225 BE226 BE227 BE228 BE229 BE230 BE231 BE232 BE233 BE234 BE235 BE236 BE237 BE238 BE239 BE240 BE241 BE242 BE243 BE244 BE245 BE246 BE247 BE248 BE249 BE250 BE251 BE252 BE253 BE254 BE255 BE256 BE257 BE258 BE259 BE260 BE261 BE262 BE263 BE264 BE265 BE266 BE267 BE268 BE269 BE270 BE271 BE272 BE273 BE274 BE275 BE276 BE277 BE278 BE279 BE280 BE281 BE282 BE283 BE284 BE285 BE286 BE287 BE289">
    <cfRule type="cellIs" dxfId="29" priority="29" operator="greaterThanOrEqual">
      <formula>0.03</formula>
    </cfRule>
    <cfRule type="cellIs" dxfId="28" priority="30" operator="lessThanOrEqual">
      <formula>-0.03</formula>
    </cfRule>
  </conditionalFormatting>
  <conditionalFormatting sqref="BF5 BF6 BF7 BF8 BF9 BF10 BF11 BF12 BF13 BF14 BF15 BF16 BF17 BF18 BF19 BF20 BF21 BF22 BF23 BF24 BF25 BF26 BF27 BF28 BF29 BF30 BF31 BF32 BF33 BF34 BF35 BF36 BF37 BF38 BF39 BF40 BF41 BF42 BF43 BF44 BF45 BF46 BF47 BF48 BF49 BF50 BF51 BF52 BF53 BF54 BF55 BF56 BF57 BF58 BF59 BF60 BF61 BF62 BF63 BF64 BF65 BF66 BF67 BF68 BF69 BF70 BF71 BF72 BF73 BF74 BF75 BF76 BF77 BF78 BF79 BF80 BF81 BF82 BF83 BF84 BF85 BF86 BF87 BF88 BF89 BF90 BF91 BF92 BF93 BF94 BF95 BF96 BF97 BF98 BF99 BF100 BF101 BF102 BF103 BF104 BF105 BF106 BF107 BF108 BF109 BF110 BF111 BF112 BF113 BF114 BF115 BF116 BF117 BF118 BF119 BF120 BF121 BF122 BF123 BF124 BF125 BF126 BF127 BF128 BF129 BF130 BF131 BF132 BF133 BF134 BF135 BF136 BF137 BF138 BF139 BF140 BF141 BF142 BF143 BF144 BF145 BF146 BF147 BF148 BF149 BF150 BF151 BF152 BF153 BF154 BF155 BF156 BF157 BF158 BF159 BF160 BF161 BF162 BF163 BF164 BF165 BF166 BF167 BF168 BF169 BF170 BF171 BF172 BF173 BF174 BF175 BF176 BF177 BF178 BF179 BF180 BF181 BF182 BF183 BF184 BF185 BF186 BF187 BF188 BF189 BF190 BF191 BF192 BF193 BF194 BF195 BF196 BF197 BF198 BF199 BF200 BF201 BF202 BF203 BF204 BF205 BF206 BF207 BF208 BF209 BF210 BF211 BF212 BF213 BF214 BF215 BF216 BF217 BF218 BF219 BF220 BF221 BF222 BF223 BF224 BF225 BF226 BF227 BF228 BF229 BF230 BF231 BF232 BF233 BF234 BF235 BF236 BF237 BF238 BF239 BF240 BF241 BF242 BF243 BF244 BF245 BF246 BF247 BF248 BF249 BF250 BF251 BF252 BF253 BF254 BF255 BF256 BF257 BF258 BF259 BF260 BF261 BF262 BF263 BF264 BF265 BF266 BF267 BF268 BF269 BF270 BF271 BF272 BF273 BF274 BF275 BF276 BF277 BF278 BF279 BF280 BF281 BF282 BF283 BF284 BF285 BF286 BF287 BF289">
    <cfRule type="cellIs" dxfId="27" priority="13" operator="greaterThanOrEqual">
      <formula>0.03</formula>
    </cfRule>
    <cfRule type="cellIs" dxfId="26" priority="14" operator="lessThanOrEqual">
      <formula>-0.03</formula>
    </cfRule>
  </conditionalFormatting>
  <conditionalFormatting sqref="BG5 BG6 BG7 BG8 BG9 BG10 BG11 BG12 BG13 BG14 BG15 BG16 BG17 BG18 BG19 BG20 BG21 BG22 BG23 BG24 BG25 BG26 BG27 BG28 BG29 BG30 BG31 BG32 BG33 BG34 BG35 BG36 BG37 BG38 BG39 BG40 BG41 BG42 BG43 BG44 BG45 BG46 BG47 BG48 BG49 BG50 BG51 BG52 BG53 BG54 BG55 BG56 BG57 BG58 BG59 BG60 BG61 BG62 BG63 BG64 BG65 BG66 BG67 BG68 BG69 BG70 BG71 BG72 BG73 BG74 BG75 BG76 BG77 BG78 BG79 BG80 BG81 BG82 BG83 BG84 BG85 BG86 BG87 BG88 BG89 BG90 BG91 BG92 BG93 BG94 BG95 BG96 BG97 BG98 BG99 BG100 BG101 BG102 BG103 BG104 BG105 BG106 BG107 BG108 BG109 BG110 BG111 BG112 BG113 BG114 BG115 BG116 BG117 BG118 BG119 BG120 BG121 BG122 BG123 BG124 BG125 BG126 BG127 BG128 BG129 BG130 BG131 BG132 BG133 BG134 BG135 BG136 BG137 BG138 BG139 BG140 BG141 BG142 BG143 BG144 BG145 BG146 BG147 BG148 BG149 BG150 BG151 BG152 BG153 BG154 BG155 BG156 BG157 BG158 BG159 BG160 BG161 BG162 BG163 BG164 BG165 BG166 BG167 BG168 BG169 BG170 BG171 BG172 BG173 BG174 BG175 BG176 BG177 BG178 BG179 BG180 BG181 BG182 BG183 BG184 BG185 BG186 BG187 BG188 BG189 BG190 BG191 BG192 BG193 BG194 BG195 BG196 BG197 BG198 BG199 BG200 BG201 BG202 BG203 BG204 BG205 BG206 BG207 BG208 BG209 BG210 BG211 BG212 BG213 BG214 BG215 BG216 BG217 BG218 BG219 BG220 BG221 BG222 BG223 BG224 BG225 BG226 BG227 BG228 BG229 BG230 BG231 BG232 BG233 BG234 BG235 BG236 BG237 BG238 BG239 BG240 BG241 BG242 BG243 BG244 BG245 BG246 BG247 BG248 BG249 BG250 BG251 BG252 BG253 BG254 BG255 BG256 BG257 BG258 BG259 BG260 BG261 BG262 BG263 BG264 BG265 BG266 BG267 BG268 BG269 BG270 BG271 BG272 BG273 BG274 BG275 BG276 BG277 BG278 BG279 BG280 BG281 BG282 BG283 BG284 BG287 BG288 BG289">
    <cfRule type="cellIs" dxfId="25" priority="21" operator="greaterThanOrEqual">
      <formula>0.03</formula>
    </cfRule>
    <cfRule type="cellIs" dxfId="24" priority="22" operator="lessThanOrEqual">
      <formula>-0.03</formula>
    </cfRule>
  </conditionalFormatting>
  <conditionalFormatting sqref="BI5 BI6 BI7 BI8 BI9 BI10 BI11 BI12 BI13 BI14 BI15 BI16 BI17 BI18 BI19 BI20 BI21 BI22 BI23 BI24 BI25 BI26 BI27 BI28 BI29 BI30 BI31 BI32 BI33 BI34 BI35 BI36 BI37 BI38 BI39 BI40 BI41 BI42 BI43 BI44 BI45 BI46 BI47 BI48 BI49 BI50 BI51 BI52 BI53 BI54 BI55 BI56 BI57 BI58 BI59 BI60 BI61 BI62 BI63 BI64 BI65 BI66 BI67 BI68 BI69 BI70 BI71 BI72 BI73 BI74 BI75 BI76 BI77 BI78 BI79 BI80 BI81 BI82 BI83 BI84 BI85 BI86 BI87 BI88 BI89 BI90 BI91 BI92 BI93 BI94 BI95 BI96 BI97 BI98 BI99 BI100 BI101 BI102 BI103 BI104 BI105 BI106 BI107 BI108 BI109 BI110 BI111 BI112 BI113 BI114 BI115 BI116 BI117 BI118 BI119 BI120 BI121 BI122 BI123 BI124 BI125 BI126 BI127 BI128 BI129 BI130 BI131 BI132 BI133 BI134 BI135 BI136 BI137 BI138 BI139 BI140 BI141 BI142 BI143 BI144 BI145 BI146 BI147 BI148 BI149 BI150 BI151 BI152 BI153 BI154 BI155 BI156 BI157 BI158 BI159 BI160 BI161 BI162 BI163 BI164 BI165 BI166 BI167 BI168 BI169 BI170 BI171 BI172 BI173 BI174 BI175 BI176 BI177 BI178 BI179 BI180 BI181 BI182 BI183 BI184 BI185 BI186 BI187 BI188 BI189 BI190 BI191 BI192 BI193 BI194 BI195 BI196 BI197 BI198 BI199 BI200 BI201 BI202 BI203 BI204 BI205 BI206 BI207 BI208 BI209 BI210 BI211 BI212 BI213 BI214 BI215 BI216 BI217 BI218 BI219 BI220 BI221 BI222 BI223 BI224 BI225 BI226 BI227 BI228 BI229 BI230 BI231 BI232 BI233 BI234 BI235 BI236 BI237 BI238 BI239 BI240 BI241 BI242 BI243 BI244 BI245 BI246 BI247 BI248 BI249 BI250 BI251 BI252 BI253 BI254 BI255 BI256 BI257 BI258 BI259 BI260 BI261 BI262 BI263 BI264 BI265 BI266 BI267 BI268 BI269 BI270 BI271 BI272 BI273 BI274 BI275 BI276 BI277 BI278 BI279 BI280 BI281 BI282 BI283 BI284 BI285 BI286 BI287 BI289">
    <cfRule type="cellIs" dxfId="23" priority="1" operator="greaterThanOrEqual">
      <formula>0.03</formula>
    </cfRule>
    <cfRule type="cellIs" dxfId="22" priority="2" operator="lessThanOrEqual">
      <formula>-0.03</formula>
    </cfRule>
  </conditionalFormatting>
  <conditionalFormatting sqref="BJ5 BJ6 BJ7 BJ8 BJ9 BJ10 BJ11 BJ12 BJ13 BJ14 BJ15 BJ16 BJ17 BJ18 BJ19 BJ20 BJ21 BJ22 BJ23 BJ24 BJ25 BJ26 BJ27 BJ28 BJ29 BJ30 BJ31 BJ32 BJ33 BJ34 BJ35 BJ36 BJ37 BJ38 BJ39 BJ40 BJ41 BJ42 BJ43 BJ44 BJ45 BJ46 BJ47 BJ48 BJ49 BJ50 BJ51 BJ52 BJ53 BJ54 BJ55 BJ56 BJ57 BJ58 BJ59 BJ60 BJ61 BJ62 BJ63 BJ64 BJ65 BJ66 BJ67 BJ68 BJ69 BJ70 BJ71 BJ72 BJ73 BJ74 BJ75 BJ76 BJ77 BJ78 BJ79 BJ80 BJ81 BJ82 BJ83 BJ84 BJ85 BJ86 BJ87 BJ88 BJ89 BJ90 BJ91 BJ92 BJ93 BJ94 BJ95 BJ96 BJ97 BJ98 BJ99 BJ100 BJ101 BJ102 BJ103 BJ104 BJ105 BJ106 BJ107 BJ108 BJ109 BJ110 BJ111 BJ112 BJ113 BJ114 BJ115 BJ116 BJ117 BJ118 BJ119 BJ120 BJ121 BJ122 BJ123 BJ124 BJ125 BJ126 BJ127 BJ128 BJ129 BJ130 BJ131 BJ132 BJ133 BJ134 BJ135 BJ136 BJ137 BJ138 BJ139 BJ140 BJ141 BJ142 BJ143 BJ144 BJ145 BJ146 BJ147 BJ148 BJ149 BJ150 BJ151 BJ152 BJ153 BJ154 BJ155 BJ156 BJ157 BJ158 BJ159 BJ160 BJ161 BJ162 BJ163 BJ164 BJ165 BJ166 BJ167 BJ168 BJ169 BJ170 BJ171 BJ172 BJ173 BJ174 BJ175 BJ176 BJ177 BJ178 BJ179 BJ180 BJ181 BJ182 BJ183 BJ184 BJ185 BJ186 BJ187 BJ188 BJ189 BJ190 BJ191 BJ192 BJ193 BJ194 BJ195 BJ196 BJ197 BJ198 BJ199 BJ200 BJ201 BJ202 BJ203 BJ204 BJ205 BJ206 BJ207 BJ208 BJ209 BJ210 BJ211 BJ212 BJ213 BJ214 BJ215 BJ216 BJ217 BJ218 BJ219 BJ220 BJ221 BJ222 BJ223 BJ224 BJ225 BJ226 BJ227 BJ228 BJ229 BJ230 BJ231 BJ232 BJ233 BJ234 BJ235 BJ236 BJ237 BJ238 BJ239 BJ240 BJ241 BJ242 BJ243 BJ244 BJ245 BJ246 BJ247 BJ248 BJ249 BJ250 BJ251 BJ252 BJ253 BJ254 BJ255 BJ256 BJ257 BJ258 BJ259 BJ260 BJ261 BJ262 BJ263 BJ264 BJ265 BJ266 BJ267 BJ268 BJ269 BJ270 BJ271 BJ272 BJ273 BJ274 BJ275 BJ276 BJ277 BJ278 BJ279 BJ280 BJ281 BJ282 BJ283 BJ284 BJ285 BJ286 BJ287 BJ289">
    <cfRule type="cellIs" dxfId="21" priority="9" operator="greaterThanOrEqual">
      <formula>0.03</formula>
    </cfRule>
    <cfRule type="cellIs" dxfId="20" priority="10"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BK44 BK45 BK46 BK47 BK48 BK49 BK50 BK51 BK52 BK53 BK54 BK55 BK56 BK57 BK58 BK59 BK60 BK61 BK62 BK63 BK64 BK65 BK66 BK67 BK68 BK69 BK70 BK71 BK72 BK73 BK74 BK75 BK76 BK77 BK78 BK79 BK80 BK81 BK82 BK83 BK84 BK85 BK86 BK87 BK88 BK89 BK90 BK91 BK92 BK93 BK94 BK95 BK96 BK97 BK98 BK99 BK100 BK101 BK102 BK103 BK104 BK105 BK106 BK107 BK108 BK109 BK110 BK111 BK112 BK113 BK114 BK115 BK116 BK117 BK118 BK119 BK120 BK121 BK122 BK123 BK124 BK125 BK126 BK127 BK128 BK129 BK130 BK131 BK132 BK133 BK134 BK135 BK136 BK137 BK138 BK139 BK140 BK141 BK142 BK143 BK144 BK145 BK146 BK147 BK148 BK149 BK150 BK151 BK152 BK153 BK154 BK155 BK156 BK157 BK158 BK159 BK160 BK161 BK162 BK163 BK164 BK165 BK166 BK167 BK168 BK169 BK170 BK171 BK172 BK173 BK174 BK175 BK176 BK177 BK178 BK179 BK180 BK181 BK182 BK183 BK184 BK185 BK186 BK187 BK188 BK189 BK190 BK191 BK192 BK193 BK194 BK195 BK196 BK197 BK198 BK199 BK200 BK201 BK202 BK203 BK204 BK205 BK206 BK207 BK208 BK209 BK210 BK211 BK212 BK213 BK214 BK215 BK216 BK217 BK218 BK219 BK220 BK221 BK222 BK223 BK224 BK225 BK226 BK227 BK228 BK229 BK230 BK231 BK232 BK233 BK234 BK235 BK236 BK237 BK238 BK239 BK240 BK241 BK242 BK243 BK244 BK245 BK246 BK247 BK248 BK249 BK250 BK251 BK252 BK253 BK254 BK255 BK256 BK257 BK258 BK259 BK260 BK261 BK262 BK263 BK264 BK265 BK266 BK267 BK268 BK269 BK270 BK271 BK272 BK273 BK274 BK275 BK276 BK277 BK278 BK279 BK280 BK281 BK282 BK283 BK284 BK285 BK286 BK287 BK289">
    <cfRule type="cellIs" dxfId="19" priority="27" operator="greaterThanOrEqual">
      <formula>0.03</formula>
    </cfRule>
    <cfRule type="cellIs" dxfId="18" priority="28"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BL44 BL45 BL46 BL47 BL48 BL49 BL50 BL51 BL52 BL53 BL54 BL55 BL56 BL57 BL58 BL59 BL60 BL61 BL62 BL63 BL64 BL65 BL66 BL67 BL68 BL69 BL70 BL71 BL72 BL73 BL74 BL75 BL76 BL77 BL78 BL79 BL80 BL81 BL82 BL83 BL84 BL85 BL86 BL87 BL88 BL89 BL90 BL91 BL92 BL93 BL94 BL95 BL96 BL97 BL98 BL99 BL100 BL101 BL102 BL103 BL104 BL105 BL106 BL107 BL108 BL109 BL110 BL111 BL112 BL113 BL114 BL115 BL116 BL117 BL118 BL119 BL120 BL121 BL122 BL123 BL124 BL125 BL126 BL127 BL128 BL129 BL130 BL131 BL132 BL133 BL134 BL135 BL136 BL137 BL138 BL139 BL140 BL141 BL142 BL143 BL144 BL145 BL146 BL147 BL148 BL149 BL150 BL151 BL152 BL153 BL154 BL155 BL156 BL157 BL158 BL159 BL160 BL161 BL162 BL163 BL164 BL165 BL166 BL167 BL168 BL169 BL170 BL171 BL172 BL173 BL174 BL175 BL176 BL177 BL178 BL179 BL180 BL181 BL182 BL183 BL184 BL185 BL186 BL187 BL188 BL189 BL190 BL191 BL192 BL193 BL194 BL195 BL196 BL197 BL198 BL199 BL200 BL201 BL202 BL203 BL204 BL205 BL206 BL207 BL208 BL209 BL210 BL211 BL212 BL213 BL214 BL215 BL216 BL217 BL218 BL219 BL220 BL221 BL222 BL223 BL224 BL225 BL226 BL227 BL228 BL229 BL230 BL231 BL232 BL233 BL234 BL235 BL236 BL237 BL238 BL239 BL240 BL241 BL242 BL243 BL244 BL245 BL246 BL247 BL248 BL249 BL250 BL251 BL252 BL253 BL254 BL255 BL256 BL257 BL258 BL259 BL260 BL261 BL262 BL263 BL264 BL265 BL266 BL267 BL268 BL269 BL270 BL271 BL272 BL273 BL274 BL275 BL276 BL277 BL278 BL279 BL280 BL281 BL282 BL283 BL284 BL287 BL288 BL289">
    <cfRule type="cellIs" dxfId="17" priority="11" operator="greaterThanOrEqual">
      <formula>0.03</formula>
    </cfRule>
    <cfRule type="cellIs" dxfId="16" priority="12"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BN44 BN45 BN46 BN47 BN48 BN49 BN50 BN51 BN52 BN53 BN54 BN55 BN56 BN57 BN58 BN59 BN60 BN61 BN62 BN63 BN64 BN65 BN66 BN67 BN68 BN69 BN70 BN71 BN72 BN73 BN74 BN75 BN76 BN77 BN78 BN79 BN80 BN81 BN82 BN83 BN84 BN85 BN86 BN87 BN88 BN89 BN90 BN91 BN92 BN93 BN94 BN95 BN96 BN97 BN98 BN99 BN100 BN101 BN102 BN103 BN104 BN105 BN106 BN107 BN108 BN109 BN110 BN111 BN112 BN113 BN114 BN115 BN116 BN117 BN118 BN119 BN120 BN121 BN122 BN123 BN124 BN125 BN126 BN127 BN128 BN129 BN130 BN131 BN132 BN133 BN134 BN135 BN136 BN137 BN138 BN139 BN140 BN141 BN142 BN143 BN144 BN145 BN146 BN147 BN148 BN149 BN150 BN151 BN152 BN153 BN154 BN155 BN156 BN157 BN158 BN159 BN160 BN161 BN162 BN163 BN164 BN165 BN166 BN167 BN168 BN169 BN170 BN171 BN172 BN173 BN174 BN175 BN176 BN177 BN178 BN179 BN180 BN181 BN182 BN183 BN184 BN185 BN186 BN187 BN188 BN189 BN190 BN191 BN192 BN193 BN194 BN195 BN196 BN197 BN198 BN199 BN200 BN201 BN202 BN203 BN204 BN205 BN206 BN207 BN208 BN209 BN210 BN211 BN212 BN213 BN214 BN215 BN216 BN217 BN218 BN219 BN220 BN221 BN222 BN223 BN224 BN225 BN226 BN227 BN228 BN229 BN230 BN231 BN232 BN233 BN234 BN235 BN236 BN237 BN238 BN239 BN240 BN241 BN242 BN243 BN244 BN245 BN246 BN247 BN248 BN249 BN250 BN251 BN252 BN253 BN254 BN255 BN256 BN257 BN258 BN259 BN260 BN261 BN262 BN263 BN264 BN265 BN266 BN267 BN268 BN269 BN270 BN271 BN272 BN273 BN274 BN275 BN276 BN277 BN278 BN279 BN280 BN281 BN282 BN283 BN284 BN285 BN286 BN287 BN289">
    <cfRule type="cellIs" dxfId="15" priority="7" operator="greaterThanOrEqual">
      <formula>0.03</formula>
    </cfRule>
    <cfRule type="cellIs" dxfId="14" priority="8" operator="lessThanOrEqual">
      <formula>-0.03</formula>
    </cfRule>
  </conditionalFormatting>
  <conditionalFormatting sqref="BO5 BO6 BO7 BO8 BO9 BO10 BO11 BO12 BO13 BO14 BO15 BO16 BO17 BO18 BO19 BO20 BO21 BO22 BO23 BO24 BO25 BO26 BO27 BO28 BO29 BO30 BO31 BO32 BO33 BO34 BO35 BO36 BO37 BO38 BO39 BO40 BO41 BO42 BO43 BO44 BO45 BO46 BO47 BO48 BO49 BO50 BO51 BO52 BO53 BO54 BO55 BO56 BO57 BO58 BO59 BO60 BO61 BO62 BO63 BO64 BO65 BO66 BO67 BO68 BO69 BO70 BO71 BO72 BO73 BO74 BO75 BO76 BO77 BO78 BO79 BO80 BO81 BO82 BO83 BO84 BO85 BO86 BO87 BO88 BO89 BO90 BO91 BO92 BO93 BO94 BO95 BO96 BO97 BO98 BO99 BO100 BO101 BO102 BO103 BO104 BO105 BO106 BO107 BO108 BO109 BO110 BO111 BO112 BO113 BO114 BO115 BO116 BO117 BO118 BO119 BO120 BO121 BO122 BO123 BO124 BO125 BO126 BO127 BO128 BO129 BO130 BO131 BO132 BO133 BO134 BO135 BO136 BO137 BO138 BO139 BO140 BO141 BO142 BO143 BO144 BO145 BO146 BO147 BO148 BO149 BO150 BO151 BO152 BO153 BO154 BO155 BO156 BO157 BO158 BO159 BO160 BO161 BO162 BO163 BO164 BO165 BO166 BO167 BO168 BO169 BO170 BO171 BO172 BO173 BO174 BO175 BO176 BO177 BO178 BO179 BO180 BO181 BO182 BO183 BO184 BO185 BO186 BO187 BO188 BO189 BO190 BO191 BO192 BO193 BO194 BO195 BO196 BO197 BO198 BO199 BO200 BO201 BO202 BO203 BO204 BO205 BO206 BO207 BO208 BO209 BO210 BO211 BO212 BO213 BO214 BO215 BO216 BO217 BO218 BO219 BO220 BO221 BO222 BO223 BO224 BO225 BO226 BO227 BO228 BO229 BO230 BO231 BO232 BO233 BO234 BO235 BO236 BO237 BO238 BO239 BO240 BO241 BO242 BO243 BO244 BO245 BO246 BO247 BO248 BO249 BO250 BO251 BO252 BO253 BO254 BO255 BO256 BO257 BO258 BO259 BO260 BO261 BO262 BO263 BO264 BO265 BO266 BO267 BO268 BO269 BO270 BO271 BO272 BO273 BO274 BO275 BO276 BO277 BO278 BO279 BO280 BO281 BO282 BO283 BO284 BO285 BO286 BO287 BO289">
    <cfRule type="cellIs" dxfId="13" priority="19" operator="greaterThanOrEqual">
      <formula>0.03</formula>
    </cfRule>
    <cfRule type="cellIs" dxfId="12" priority="20"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BP44 BP45 BP46 BP47 BP48 BP49 BP50 BP51 BP52 BP53 BP54 BP55 BP56 BP57 BP58 BP59 BP60 BP61 BP62 BP63 BP64 BP65 BP66 BP67 BP68 BP69 BP70 BP71 BP72 BP73 BP74 BP75 BP76 BP77 BP78 BP79 BP80 BP81 BP82 BP83 BP84 BP85 BP86 BP87 BP88 BP89 BP90 BP91 BP92 BP93 BP94 BP95 BP96 BP97 BP98 BP99 BP100 BP101 BP102 BP103 BP104 BP105 BP106 BP107 BP108 BP109 BP110 BP111 BP112 BP113 BP114 BP115 BP116 BP117 BP118 BP119 BP120 BP121 BP122 BP123 BP124 BP125 BP126 BP127 BP128 BP129 BP130 BP131 BP132 BP133 BP134 BP135 BP136 BP137 BP138 BP139 BP140 BP141 BP142 BP143 BP144 BP145 BP146 BP147 BP148 BP149 BP150 BP151 BP152 BP153 BP154 BP155 BP156 BP157 BP158 BP159 BP160 BP161 BP162 BP163 BP164 BP165 BP166 BP167 BP168 BP169 BP170 BP171 BP172 BP173 BP174 BP175 BP176 BP177 BP178 BP179 BP180 BP181 BP182 BP183 BP184 BP185 BP186 BP187 BP188 BP189 BP190 BP191 BP192 BP193 BP194 BP195 BP196 BP197 BP198 BP199 BP200 BP201 BP202 BP203 BP204 BP205 BP206 BP207 BP208 BP209 BP210 BP211 BP212 BP213 BP214 BP215 BP216 BP217 BP218 BP219 BP220 BP221 BP222 BP223 BP224 BP225 BP226 BP227 BP228 BP229 BP230 BP231 BP232 BP233 BP234 BP235 BP236 BP237 BP238 BP239 BP240 BP241 BP242 BP243 BP244 BP245 BP246 BP247 BP248 BP249 BP250 BP251 BP252 BP253 BP254 BP255 BP256 BP257 BP258 BP259 BP260 BP261 BP262 BP263 BP264 BP265 BP266 BP267 BP268 BP269 BP270 BP271 BP272 BP273 BP274 BP275 BP276 BP277 BP278 BP279 BP280 BP281 BP282 BP283 BP284 BP285 BP286 BP287 BP289">
    <cfRule type="cellIs" dxfId="11" priority="5" operator="greaterThanOrEqual">
      <formula>0.03</formula>
    </cfRule>
    <cfRule type="cellIs" dxfId="10" priority="6"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BQ44 BQ45 BQ46 BQ47 BQ48 BQ49 BQ50 BQ51 BQ52 BQ53 BQ54 BQ55 BQ56 BQ57 BQ58 BQ59 BQ60 BQ61 BQ62 BQ63 BQ64 BQ65 BQ66 BQ67 BQ68 BQ69 BQ70 BQ71 BQ72 BQ73 BQ74 BQ75 BQ76 BQ77 BQ78 BQ79 BQ80 BQ81 BQ82 BQ83 BQ84 BQ85 BQ86 BQ87 BQ88 BQ89 BQ90 BQ91 BQ92 BQ93 BQ94 BQ95 BQ96 BQ97 BQ98 BQ99 BQ100 BQ101 BQ102 BQ103 BQ104 BQ105 BQ106 BQ107 BQ108 BQ109 BQ110 BQ111 BQ112 BQ113 BQ114 BQ115 BQ116 BQ117 BQ118 BQ119 BQ120 BQ121 BQ122 BQ123 BQ124 BQ125 BQ126 BQ127 BQ128 BQ129 BQ130 BQ131 BQ132 BQ133 BQ134 BQ135 BQ136 BQ137 BQ138 BQ139 BQ140 BQ141 BQ142 BQ143 BQ144 BQ145 BQ146 BQ147 BQ148 BQ149 BQ150 BQ151 BQ152 BQ153 BQ154 BQ155 BQ156 BQ157 BQ158 BQ159 BQ160 BQ161 BQ162 BQ163 BQ164 BQ165 BQ166 BQ167 BQ168 BQ169 BQ170 BQ171 BQ172 BQ173 BQ174 BQ175 BQ176 BQ177 BQ178 BQ179 BQ180 BQ181 BQ182 BQ183 BQ184 BQ185 BQ186 BQ187 BQ188 BQ189 BQ190 BQ191 BQ192 BQ193 BQ194 BQ195 BQ196 BQ197 BQ198 BQ199 BQ200 BQ201 BQ202 BQ203 BQ204 BQ205 BQ206 BQ207 BQ208 BQ209 BQ210 BQ211 BQ212 BQ213 BQ214 BQ215 BQ216 BQ217 BQ218 BQ219 BQ220 BQ221 BQ222 BQ223 BQ224 BQ225 BQ226 BQ227 BQ228 BQ229 BQ230 BQ231 BQ232 BQ233 BQ234 BQ235 BQ236 BQ237 BQ238 BQ239 BQ240 BQ241 BQ242 BQ243 BQ244 BQ245 BQ246 BQ247 BQ248 BQ249 BQ250 BQ251 BQ252 BQ253 BQ254 BQ255 BQ256 BQ257 BQ258 BQ259 BQ260 BQ261 BQ262 BQ263 BQ264 BQ265 BQ266 BQ267 BQ268 BQ269 BQ270 BQ271 BQ272 BQ273 BQ274 BQ275 BQ276 BQ277 BQ278 BQ279 BQ280 BQ281 BQ282 BQ283 BQ284 BQ287 BQ288 BQ289">
    <cfRule type="cellIs" dxfId="9" priority="23" operator="greaterThanOrEqual">
      <formula>0.03</formula>
    </cfRule>
    <cfRule type="cellIs" dxfId="8" priority="24"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BS44 BS45 BS46 BS47 BS48 BS49 BS50 BS51 BS52 BS53 BS54 BS55 BS56 BS57 BS58 BS59 BS60 BS61 BS62 BS63 BS64 BS65 BS66 BS67 BS68 BS69 BS70 BS71 BS72 BS73 BS74 BS75 BS76 BS77 BS78 BS79 BS80 BS81 BS82 BS83 BS84 BS85 BS86 BS87 BS88 BS89 BS90 BS91 BS92 BS93 BS94 BS95 BS96 BS97 BS98 BS99 BS100 BS101 BS102 BS103 BS104 BS105 BS106 BS107 BS108 BS109 BS110 BS111 BS112 BS113 BS114 BS115 BS116 BS117 BS118 BS119 BS120 BS121 BS122 BS123 BS124 BS125 BS126 BS127 BS128 BS129 BS130 BS131 BS132 BS133 BS134 BS135 BS136 BS137 BS138 BS139 BS140 BS141 BS142 BS143 BS144 BS145 BS146 BS147 BS148 BS149 BS150 BS151 BS152 BS153 BS154 BS155 BS156 BS157 BS158 BS159 BS160 BS161 BS162 BS163 BS164 BS165 BS166 BS167 BS168 BS169 BS170 BS171 BS172 BS173 BS174 BS175 BS176 BS177 BS178 BS179 BS180 BS181 BS182 BS183 BS184 BS185 BS186 BS187 BS188 BS189 BS190 BS191 BS192 BS193 BS194 BS195 BS196 BS197 BS198 BS199 BS200 BS201 BS202 BS203 BS204 BS205 BS206 BS207 BS208 BS209 BS210 BS211 BS212 BS213 BS214 BS215 BS216 BS217 BS218 BS219 BS220 BS221 BS222 BS223 BS224 BS225 BS226 BS227 BS228 BS229 BS230 BS231 BS232 BS233 BS234 BS235 BS236 BS237 BS238 BS239 BS240 BS241 BS242 BS243 BS244 BS245 BS246 BS247 BS248 BS249 BS250 BS251 BS252 BS253 BS254 BS255 BS256 BS257 BS258 BS259 BS260 BS261 BS262 BS263 BS264 BS265 BS266 BS267 BS268 BS269 BS270 BS271 BS272 BS273 BS274 BS275 BS276 BS277 BS278 BS279 BS280 BS281 BS282 BS283 BS284 BS285 BS286 BS287 BS289">
    <cfRule type="cellIs" dxfId="7" priority="31" operator="greaterThanOrEqual">
      <formula>0.03</formula>
    </cfRule>
    <cfRule type="cellIs" dxfId="6" priority="32"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BT44 BT45 BT46 BT47 BT48 BT49 BT50 BT51 BT52 BT53 BT54 BT55 BT56 BT57 BT58 BT59 BT60 BT61 BT62 BT63 BT64 BT65 BT66 BT67 BT68 BT69 BT70 BT71 BT72 BT73 BT74 BT75 BT76 BT77 BT78 BT79 BT80 BT81 BT82 BT83 BT84 BT85 BT86 BT87 BT88 BT89 BT90 BT91 BT92 BT93 BT94 BT95 BT96 BT97 BT98 BT99 BT100 BT101 BT102 BT103 BT104 BT105 BT106 BT107 BT108 BT109 BT110 BT111 BT112 BT113 BT114 BT115 BT116 BT117 BT118 BT119 BT120 BT121 BT122 BT123 BT124 BT125 BT126 BT127 BT128 BT129 BT130 BT131 BT132 BT133 BT134 BT135 BT136 BT137 BT138 BT139 BT140 BT141 BT142 BT143 BT144 BT145 BT146 BT147 BT148 BT149 BT150 BT151 BT152 BT153 BT154 BT155 BT156 BT157 BT158 BT159 BT160 BT161 BT162 BT163 BT164 BT165 BT166 BT167 BT168 BT169 BT170 BT171 BT172 BT173 BT174 BT175 BT176 BT177 BT178 BT179 BT180 BT181 BT182 BT183 BT184 BT185 BT186 BT187 BT188 BT189 BT190 BT191 BT192 BT193 BT194 BT195 BT196 BT197 BT198 BT199 BT200 BT201 BT202 BT203 BT204 BT205 BT206 BT207 BT208 BT209 BT210 BT211 BT212 BT213 BT214 BT215 BT216 BT217 BT218 BT219 BT220 BT221 BT222 BT223 BT224 BT225 BT226 BT227 BT228 BT229 BT230 BT231 BT232 BT233 BT234 BT235 BT236 BT237 BT238 BT239 BT240 BT241 BT242 BT243 BT244 BT245 BT246 BT247 BT248 BT249 BT250 BT251 BT252 BT253 BT254 BT255 BT256 BT257 BT258 BT259 BT260 BT261 BT262 BT263 BT264 BT265 BT266 BT267 BT268 BT269 BT270 BT271 BT272 BT273 BT274 BT275 BT276 BT277 BT278 BT279 BT280 BT281 BT282 BT283 BT284 BT285 BT286 BT287 BT289">
    <cfRule type="cellIs" dxfId="5" priority="3" operator="greaterThanOrEqual">
      <formula>0.03</formula>
    </cfRule>
    <cfRule type="cellIs" dxfId="4" priority="4" operator="lessThanOrEqual">
      <formula>-0.03</formula>
    </cfRule>
  </conditionalFormatting>
  <conditionalFormatting sqref="BU5 BU6 BU7 BU8 BU9 BU10 BU11 BU12 BU13 BU14 BU15 BU16 BU17 BU18 BU19 BU20 BU21 BU22 BU23 BU24 BU25 BU26 BU27 BU28 BU29 BU30 BU31 BU32 BU33 BU34 BU35 BU36 BU37 BU38 BU39 BU40 BU41 BU42 BU43 BU44 BU45 BU46 BU47 BU48 BU49 BU50 BU51 BU52 BU53 BU54 BU55 BU56 BU57 BU58 BU59 BU60 BU61 BU62 BU63 BU64 BU65 BU66 BU67 BU68 BU69 BU70 BU71 BU72 BU73 BU74 BU75 BU76 BU77 BU78 BU79 BU80 BU81 BU82 BU83 BU84 BU85 BU86 BU87 BU88 BU89 BU90 BU91 BU92 BU93 BU94 BU95 BU96 BU97 BU98 BU99 BU100 BU101 BU102 BU103 BU104 BU105 BU106 BU107 BU108 BU109 BU110 BU111 BU112 BU113 BU114 BU115 BU116 BU117 BU118 BU119 BU120 BU121 BU122 BU123 BU124 BU125 BU126 BU127 BU128 BU129 BU130 BU131 BU132 BU133 BU134 BU135 BU136 BU137 BU138 BU139 BU140 BU141 BU142 BU143 BU144 BU145 BU146 BU147 BU148 BU149 BU150 BU151 BU152 BU153 BU154 BU155 BU156 BU157 BU158 BU159 BU160 BU161 BU162 BU163 BU164 BU165 BU166 BU167 BU168 BU169 BU170 BU171 BU172 BU173 BU174 BU175 BU176 BU177 BU178 BU179 BU180 BU181 BU182 BU183 BU184 BU185 BU186 BU187 BU188 BU189 BU190 BU191 BU192 BU193 BU194 BU195 BU196 BU197 BU198 BU199 BU200 BU201 BU202 BU203 BU204 BU205 BU206 BU207 BU208 BU209 BU210 BU211 BU212 BU213 BU214 BU215 BU216 BU217 BU218 BU219 BU220 BU221 BU222 BU223 BU224 BU225 BU226 BU227 BU228 BU229 BU230 BU231 BU232 BU233 BU234 BU235 BU236 BU237 BU238 BU239 BU240 BU241 BU242 BU243 BU244 BU245 BU246 BU247 BU248 BU249 BU250 BU251 BU252 BU253 BU254 BU255 BU256 BU257 BU258 BU259 BU260 BU261 BU262 BU263 BU264 BU265 BU266 BU267 BU268 BU269 BU270 BU271 BU272 BU273 BU274 BU275 BU276 BU277 BU278 BU279 BU280 BU281 BU282 BU283 BU284 BU285 BU286 BU287 BU289">
    <cfRule type="cellIs" dxfId="3" priority="15" operator="greaterThanOrEqual">
      <formula>0.03</formula>
    </cfRule>
    <cfRule type="cellIs" dxfId="2" priority="16" operator="lessThanOrEqual">
      <formula>-0.03</formula>
    </cfRule>
  </conditionalFormatting>
  <conditionalFormatting sqref="BV5 BV6 BV7 BV8 BV9 BV10 BV11 BV12 BV13 BV14 BV15 BV16 BV17 BV18 BV19 BV20 BV21 BV22 BV23 BV24 BV25 BV26 BV27 BV28 BV29 BV30 BV31 BV32 BV33 BV34 BV35 BV36 BV37 BV38 BV39 BV40 BV41 BV42 BV43 BV44 BV45 BV46 BV47 BV48 BV49 BV50 BV51 BV52 BV53 BV54 BV55 BV56 BV57 BV58 BV59 BV60 BV61 BV62 BV63 BV64 BV65 BV66 BV67 BV68 BV69 BV70 BV71 BV72 BV73 BV74 BV75 BV76 BV77 BV78 BV79 BV80 BV81 BV82 BV83 BV84 BV85 BV86 BV87 BV88 BV89 BV90 BV91 BV92 BV93 BV94 BV95 BV96 BV97 BV98 BV99 BV100 BV101 BV102 BV103 BV104 BV105 BV106 BV107 BV108 BV109 BV110 BV111 BV112 BV113 BV114 BV115 BV116 BV117 BV118 BV119 BV120 BV121 BV122 BV123 BV124 BV125 BV126 BV127 BV128 BV129 BV130 BV131 BV132 BV133 BV134 BV135 BV136 BV137 BV138 BV139 BV140 BV141 BV142 BV143 BV144 BV145 BV146 BV147 BV148 BV149 BV150 BV151 BV152 BV153 BV154 BV155 BV156 BV157 BV158 BV159 BV160 BV161 BV162 BV163 BV164 BV165 BV166 BV167 BV168 BV169 BV170 BV171 BV172 BV173 BV174 BV175 BV176 BV177 BV178 BV179 BV180 BV181 BV182 BV183 BV184 BV185 BV186 BV187 BV188 BV189 BV190 BV191 BV192 BV193 BV194 BV195 BV196 BV197 BV198 BV199 BV200 BV201 BV202 BV203 BV204 BV205 BV206 BV207 BV208 BV209 BV210 BV211 BV212 BV213 BV214 BV215 BV216 BV217 BV218 BV219 BV220 BV221 BV222 BV223 BV224 BV225 BV226 BV227 BV228 BV229 BV230 BV231 BV232 BV233 BV234 BV235 BV236 BV237 BV238 BV239 BV240 BV241 BV242 BV243 BV244 BV245 BV246 BV247 BV248 BV249 BV250 BV251 BV252 BV253 BV254 BV255 BV256 BV257 BV258 BV259 BV260 BV261 BV262 BV263 BV264 BV265 BV266 BV267 BV268 BV269 BV270 BV271 BV272 BV273 BV274 BV275 BV276 BV277 BV278 BV279 BV280 BV281 BV282 BV283 BV284 BV287 BV288 BV289">
    <cfRule type="cellIs" dxfId="1" priority="17" operator="greaterThanOrEqual">
      <formula>0.03</formula>
    </cfRule>
    <cfRule type="cellIs" dxfId="0" priority="18" operator="lessThanOrEqual">
      <formula>-0.03</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7</vt:i4>
      </vt:variant>
      <vt:variant>
        <vt:lpstr>命名范围</vt:lpstr>
      </vt:variant>
      <vt:variant>
        <vt:i4>1</vt:i4>
      </vt:variant>
    </vt:vector>
  </HeadingPairs>
  <TitlesOfParts>
    <vt:vector size="8" baseType="lpstr">
      <vt:lpstr>Summary</vt:lpstr>
      <vt:lpstr>Graphs</vt:lpstr>
      <vt:lpstr>C1 losslG,lossyA,intra</vt:lpstr>
      <vt:lpstr>names</vt:lpstr>
      <vt:lpstr>C2 lossyG,lossyA,intra</vt:lpstr>
      <vt:lpstr>CW losslG,losslA,intra</vt:lpstr>
      <vt:lpstr>CY losslG,nearllA,intra</vt:lpstr>
      <vt:lpstr>Graphs!all_cols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N18883</dc:title>
  <cp:lastModifiedBy>Wang Xiaohui</cp:lastModifiedBy>
  <dcterms:created xsi:type="dcterms:W3CDTF">2019-11-21T08:32:00Z</dcterms:created>
  <dcterms:modified xsi:type="dcterms:W3CDTF">2020-10-26T01:20:34Z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Generated by">
    <vt:lpwstr>David Flynn &lt;davidflynn@apple.com&gt;</vt:lpwstr>
  </property>
  <property fmtid="{D5CDD505-2E9C-101B-9397-08002B2CF9AE}" pid="3" name="Generated from">
    <vt:lpwstr>ctc-mpeg127-1-g7570c8c_x000d__x000d__x000d__x000d__x000d__x000d__x000d__x000d__x000d__x000d__x000d__x000d__x000d__x000d__x000d__x000d_
</vt:lpwstr>
  </property>
  <property fmtid="{D5CDD505-2E9C-101B-9397-08002B2CF9AE}" pid="4" name="Generated on">
    <vt:filetime>2019-11-21T08:32:50Z</vt:filetime>
  </property>
  <property fmtid="{D5CDD505-2E9C-101B-9397-08002B2CF9AE}" pid="5" name="KSOProductBuildVer">
    <vt:lpwstr>2052-11.1.0.9513</vt:lpwstr>
  </property>
</Properties>
</file>