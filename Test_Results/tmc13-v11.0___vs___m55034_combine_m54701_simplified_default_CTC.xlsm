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esktop\TMC13_11\"/>
    </mc:Choice>
  </mc:AlternateContent>
  <xr:revisionPtr revIDLastSave="0" documentId="13_ncr:1_{3D94D7C5-CCD9-4851-ADA4-B6408F7C4A86}"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J25" i="7"/>
  <c r="BO175" i="7"/>
  <c r="BS200" i="7"/>
  <c r="BN165" i="7"/>
  <c r="BI220" i="7"/>
  <c r="BS195" i="7"/>
  <c r="BU25" i="7"/>
  <c r="BE115" i="7"/>
  <c r="BU20" i="7"/>
  <c r="BO245" i="7"/>
  <c r="BS125" i="7"/>
  <c r="BT175" i="7"/>
  <c r="BP85" i="7"/>
  <c r="BS110" i="7"/>
  <c r="BP200" i="7"/>
  <c r="BO185" i="7"/>
  <c r="BK170" i="7"/>
  <c r="BS130" i="7"/>
  <c r="BP75" i="7"/>
  <c r="BI35" i="7"/>
  <c r="BD60" i="7"/>
  <c r="BU230" i="7"/>
  <c r="BI20" i="7"/>
  <c r="BI60" i="7"/>
  <c r="BD30" i="7"/>
  <c r="BD65" i="7"/>
  <c r="BF5" i="7"/>
  <c r="BN205" i="7"/>
  <c r="BP40" i="7"/>
  <c r="BP60" i="7"/>
  <c r="BS90" i="7"/>
  <c r="BF195" i="7"/>
  <c r="BK180" i="7"/>
  <c r="BT70" i="7"/>
  <c r="BI65" i="7"/>
  <c r="BP205" i="7"/>
  <c r="BO60" i="7"/>
  <c r="BP160" i="7"/>
  <c r="BN200" i="7"/>
  <c r="BT205" i="7"/>
  <c r="BD10" i="7"/>
  <c r="BT135" i="7"/>
  <c r="BO200" i="7"/>
  <c r="BT235" i="7"/>
  <c r="BS30" i="7"/>
  <c r="BT5" i="7"/>
  <c r="BN110" i="7"/>
  <c r="BN70" i="7"/>
  <c r="BU95" i="7"/>
  <c r="BU90" i="7"/>
  <c r="BD45" i="7"/>
  <c r="BT150" i="7"/>
  <c r="BP235" i="7"/>
  <c r="BK35" i="7"/>
  <c r="BT50" i="7"/>
  <c r="BS230" i="7"/>
  <c r="BJ55" i="7"/>
  <c r="BN190" i="7"/>
  <c r="BT160" i="7"/>
  <c r="BS105" i="7"/>
  <c r="BE15" i="7"/>
  <c r="BI115" i="7"/>
  <c r="BN215" i="7"/>
  <c r="BF120" i="7"/>
  <c r="BS170" i="7"/>
  <c r="BF110" i="7"/>
  <c r="BO140" i="7"/>
  <c r="BF50" i="7"/>
  <c r="BS75" i="7"/>
  <c r="BN115" i="7"/>
  <c r="BP20" i="7"/>
  <c r="BP150" i="7"/>
  <c r="BN25" i="7"/>
  <c r="BO95" i="7"/>
  <c r="BP110" i="7"/>
  <c r="BP155" i="7"/>
  <c r="BJ85" i="7"/>
  <c r="BN30" i="7"/>
  <c r="BF215" i="7"/>
  <c r="BD225" i="7"/>
  <c r="BP70" i="7"/>
  <c r="BP65" i="7"/>
  <c r="BE75" i="7"/>
  <c r="BS40" i="7"/>
  <c r="BO105" i="7"/>
  <c r="BJ215" i="7"/>
  <c r="BF135" i="7"/>
  <c r="BP90" i="7"/>
  <c r="BF240" i="7"/>
  <c r="BI130" i="7"/>
  <c r="BO15" i="7"/>
  <c r="BK185" i="7"/>
  <c r="BI75" i="7"/>
  <c r="BO195" i="7"/>
  <c r="BI195" i="7"/>
  <c r="BO190" i="7"/>
  <c r="BK110" i="7"/>
  <c r="BI175" i="7"/>
  <c r="BT40" i="7"/>
  <c r="BU30" i="7"/>
  <c r="BO215" i="7"/>
  <c r="BU200" i="7"/>
  <c r="BD5" i="7"/>
  <c r="BD230" i="7"/>
  <c r="BD210" i="7"/>
  <c r="BJ40" i="7"/>
  <c r="BJ180" i="7"/>
  <c r="BK220" i="7"/>
  <c r="BN245" i="7"/>
  <c r="BN60" i="7"/>
  <c r="BK95" i="7"/>
  <c r="BS15" i="7"/>
  <c r="BJ115" i="7"/>
  <c r="BJ65" i="7"/>
  <c r="BF185" i="7"/>
  <c r="BT105" i="7"/>
  <c r="BS160" i="7"/>
  <c r="BO220" i="7"/>
  <c r="BN55" i="7"/>
  <c r="BK190" i="7"/>
  <c r="BK195" i="7"/>
  <c r="BD120" i="7"/>
  <c r="BE65" i="7"/>
  <c r="BF15" i="7"/>
  <c r="BE230" i="7"/>
  <c r="BN65" i="7"/>
  <c r="BE130" i="7"/>
  <c r="BD245" i="7"/>
  <c r="BD95" i="7"/>
  <c r="BK80" i="7"/>
  <c r="BO20" i="7"/>
  <c r="BI165" i="7"/>
  <c r="BI100" i="7"/>
  <c r="BE50" i="7"/>
  <c r="BE190" i="7"/>
  <c r="BD150" i="7"/>
  <c r="BO240" i="7"/>
  <c r="BP130" i="7"/>
  <c r="BS120" i="7"/>
  <c r="BU170" i="7"/>
  <c r="BJ170" i="7"/>
  <c r="BJ105" i="7"/>
  <c r="BD100" i="7"/>
  <c r="BU130" i="7"/>
  <c r="BS175" i="7"/>
  <c r="BF80" i="7"/>
  <c r="BE185" i="7"/>
  <c r="BK5" i="7"/>
  <c r="BN220" i="7"/>
  <c r="BE180" i="7"/>
  <c r="BK55" i="7"/>
  <c r="BJ100" i="7"/>
  <c r="BF180" i="7"/>
  <c r="BJ190" i="7"/>
  <c r="BN120" i="7"/>
  <c r="BJ140" i="7"/>
  <c r="BP165" i="7"/>
  <c r="BI140" i="7"/>
  <c r="BD170" i="7"/>
  <c r="BJ20" i="7"/>
  <c r="BF190" i="7"/>
  <c r="BI160" i="7"/>
  <c r="BT215" i="7"/>
  <c r="BT95" i="7"/>
  <c r="BO25" i="7"/>
  <c r="BS155" i="7"/>
  <c r="BE125" i="7"/>
  <c r="BT85" i="7"/>
  <c r="BD85" i="7"/>
  <c r="BD200" i="7"/>
  <c r="BS205" i="7"/>
  <c r="BE195" i="7"/>
  <c r="BS20" i="7"/>
  <c r="BN125" i="7"/>
  <c r="BF160" i="7"/>
  <c r="BT100" i="7"/>
  <c r="BT225" i="7"/>
  <c r="BK245" i="7"/>
  <c r="BI70" i="7"/>
  <c r="BO165" i="7"/>
  <c r="BO155" i="7"/>
  <c r="BE35" i="7"/>
  <c r="BD135" i="7"/>
  <c r="BJ10" i="7"/>
  <c r="BU215" i="7"/>
  <c r="BS135" i="7"/>
  <c r="BP215" i="7"/>
  <c r="BS85" i="7"/>
  <c r="BP245" i="7"/>
  <c r="BT140" i="7"/>
  <c r="BF35" i="7"/>
  <c r="BF115" i="7"/>
  <c r="BD15" i="7"/>
  <c r="BT220" i="7"/>
  <c r="BS210" i="7"/>
  <c r="BT230" i="7"/>
  <c r="BK240" i="7"/>
  <c r="BU5" i="7"/>
  <c r="BF65" i="7"/>
  <c r="BE155" i="7"/>
  <c r="BK150" i="7"/>
  <c r="BN150" i="7"/>
  <c r="BT155" i="7"/>
  <c r="BU165" i="7"/>
  <c r="BO45" i="7"/>
  <c r="BD155" i="7"/>
  <c r="BD110" i="7"/>
  <c r="BK175" i="7"/>
  <c r="BO230" i="7"/>
  <c r="BE210" i="7"/>
  <c r="BD180" i="7"/>
  <c r="BF40" i="7"/>
  <c r="BI240" i="7"/>
  <c r="BI90" i="7"/>
  <c r="BO130" i="7"/>
  <c r="BS190" i="7"/>
  <c r="BU245" i="7"/>
  <c r="BI145" i="7"/>
  <c r="BN80" i="7"/>
  <c r="BE220" i="7"/>
  <c r="BE205" i="7"/>
  <c r="BF45" i="7"/>
  <c r="BK205" i="7"/>
  <c r="BT30" i="7"/>
  <c r="BT35" i="7"/>
  <c r="BI105" i="7"/>
  <c r="BE145" i="7"/>
  <c r="BS145" i="7"/>
  <c r="BP115" i="7"/>
  <c r="BD160" i="7"/>
  <c r="BP120" i="7"/>
  <c r="BU220" i="7"/>
  <c r="BT145" i="7"/>
  <c r="BS65" i="7"/>
  <c r="BP190" i="7"/>
  <c r="BU10" i="7"/>
  <c r="BJ130" i="7"/>
  <c r="BO70" i="7"/>
  <c r="BU150" i="7"/>
  <c r="BU125" i="7"/>
  <c r="BO50" i="7"/>
  <c r="BD130" i="7"/>
  <c r="BD50" i="7"/>
  <c r="BI120" i="7"/>
  <c r="BJ70" i="7"/>
  <c r="BN15" i="7"/>
  <c r="BJ95" i="7"/>
  <c r="BE80" i="7"/>
  <c r="BT125" i="7"/>
  <c r="BF200" i="7"/>
  <c r="BS60" i="7"/>
  <c r="BU145" i="7"/>
  <c r="BO150" i="7"/>
  <c r="BF20" i="7"/>
  <c r="BO90" i="7"/>
  <c r="BE85" i="7"/>
  <c r="BI135" i="7"/>
  <c r="BT20" i="7"/>
  <c r="BP145" i="7"/>
  <c r="BO145" i="7"/>
  <c r="BO135" i="7"/>
  <c r="BI125" i="7"/>
  <c r="BS10" i="7"/>
  <c r="BN140" i="7"/>
  <c r="BK100" i="7"/>
  <c r="BT245" i="7"/>
  <c r="BT185" i="7"/>
  <c r="BO205" i="7"/>
  <c r="BO120" i="7"/>
  <c r="BP170" i="7"/>
  <c r="BE120" i="7"/>
  <c r="BF125" i="7"/>
  <c r="BJ195" i="7"/>
  <c r="BK130" i="7"/>
  <c r="BJ205" i="7"/>
  <c r="BK25" i="7"/>
  <c r="BT165" i="7"/>
  <c r="BK75" i="7"/>
  <c r="BK135" i="7"/>
  <c r="BJ135" i="7"/>
  <c r="BJ110" i="7"/>
  <c r="BP220" i="7"/>
  <c r="BF55" i="7"/>
  <c r="BF100" i="7"/>
  <c r="BN45" i="7"/>
  <c r="BE110" i="7"/>
  <c r="BK85" i="7"/>
  <c r="BU140" i="7"/>
  <c r="BN170" i="7"/>
  <c r="BN105" i="7"/>
  <c r="BO180" i="7"/>
  <c r="BK65" i="7"/>
  <c r="BE70" i="7"/>
  <c r="BK230" i="7"/>
  <c r="BK120" i="7"/>
  <c r="BE215" i="7"/>
  <c r="BI245" i="7"/>
  <c r="BE25" i="7"/>
  <c r="BK20" i="7"/>
  <c r="BD220" i="7"/>
  <c r="BF205" i="7"/>
  <c r="BU115" i="7"/>
  <c r="BO55" i="7"/>
  <c r="BT90" i="7"/>
  <c r="BO30" i="7"/>
  <c r="BF130" i="7"/>
  <c r="BI190" i="7"/>
  <c r="BF230" i="7"/>
  <c r="BJ145" i="7"/>
  <c r="BU240" i="7"/>
  <c r="BP35" i="7"/>
  <c r="BJ15" i="7"/>
  <c r="BI10" i="7"/>
  <c r="BJ165" i="7"/>
  <c r="BS240" i="7"/>
  <c r="BP210" i="7"/>
  <c r="BI80" i="7"/>
  <c r="BN145" i="7"/>
  <c r="BK165" i="7"/>
  <c r="BF105" i="7"/>
  <c r="BS100" i="7"/>
  <c r="BK105" i="7"/>
  <c r="BU190" i="7"/>
  <c r="BU85" i="7"/>
  <c r="BP180" i="7"/>
  <c r="BT240" i="7"/>
  <c r="BF155" i="7"/>
  <c r="BK125" i="7"/>
  <c r="BN175" i="7"/>
  <c r="BJ120" i="7"/>
  <c r="BS5" i="7"/>
  <c r="BP25" i="7"/>
  <c r="BS180" i="7"/>
  <c r="BE225" i="7"/>
  <c r="BF150" i="7"/>
  <c r="BF235" i="7"/>
  <c r="BJ90" i="7"/>
  <c r="BT210" i="7"/>
  <c r="BP240" i="7"/>
  <c r="BE165" i="7"/>
  <c r="BE55" i="7"/>
  <c r="BN180" i="7"/>
  <c r="BJ240" i="7"/>
  <c r="BE105" i="7"/>
  <c r="BE200" i="7"/>
  <c r="BF85" i="7"/>
  <c r="BD75" i="7"/>
  <c r="BU40" i="7"/>
  <c r="BF90" i="7"/>
  <c r="BD195" i="7"/>
  <c r="BN185" i="7"/>
  <c r="BP230" i="7"/>
  <c r="BP30" i="7"/>
  <c r="BS245" i="7"/>
  <c r="BJ210" i="7"/>
  <c r="BN210" i="7"/>
  <c r="BS150" i="7"/>
  <c r="BJ245" i="7"/>
  <c r="BF220" i="7"/>
  <c r="BU205" i="7"/>
  <c r="BO80" i="7"/>
  <c r="BF140" i="7"/>
  <c r="BS185" i="7"/>
  <c r="BU65" i="7"/>
  <c r="BI25" i="7"/>
  <c r="BF60" i="7"/>
  <c r="BI45" i="7"/>
  <c r="BF145" i="7"/>
  <c r="BK235" i="7"/>
  <c r="BD190" i="7"/>
  <c r="BU180" i="7"/>
  <c r="BO100" i="7"/>
  <c r="BS165" i="7"/>
  <c r="BO235" i="7"/>
  <c r="BD105" i="7"/>
  <c r="BU185" i="7"/>
  <c r="BJ30" i="7"/>
  <c r="BI225" i="7"/>
  <c r="BT15" i="7"/>
  <c r="BO160" i="7"/>
  <c r="BI55" i="7"/>
  <c r="BE150" i="7"/>
  <c r="BI170" i="7"/>
  <c r="BI30" i="7"/>
  <c r="BJ235" i="7"/>
  <c r="BT75" i="7"/>
  <c r="BO35" i="7"/>
  <c r="BJ200" i="7"/>
  <c r="BS80" i="7"/>
  <c r="BS25" i="7"/>
  <c r="BU120" i="7"/>
  <c r="BE95" i="7"/>
  <c r="BJ35" i="7"/>
  <c r="BN75" i="7"/>
  <c r="BD80" i="7"/>
  <c r="BT180" i="7"/>
  <c r="BK10" i="7"/>
  <c r="BN240" i="7"/>
  <c r="BN155" i="7"/>
  <c r="BD125" i="7"/>
  <c r="BP140" i="7"/>
  <c r="BI95" i="7"/>
  <c r="BJ220" i="7"/>
  <c r="BI150" i="7"/>
  <c r="BE10" i="7"/>
  <c r="BN130" i="7"/>
  <c r="BU50" i="7"/>
  <c r="BK160" i="7"/>
  <c r="BP100" i="7"/>
  <c r="BO65" i="7"/>
  <c r="BK40" i="7"/>
  <c r="BN100" i="7"/>
  <c r="BE160" i="7"/>
  <c r="BP225" i="7"/>
  <c r="BN230" i="7"/>
  <c r="BK155" i="7"/>
  <c r="BF10" i="7"/>
  <c r="BT170" i="7"/>
  <c r="BP175" i="7"/>
  <c r="BO210" i="7"/>
  <c r="BK115" i="7"/>
  <c r="BJ160" i="7"/>
  <c r="BJ155" i="7"/>
  <c r="BU175" i="7"/>
  <c r="BF70" i="7"/>
  <c r="BI85" i="7"/>
  <c r="BF175" i="7"/>
  <c r="BO10" i="7"/>
  <c r="BU70" i="7"/>
  <c r="BD35" i="7"/>
  <c r="BK225" i="7"/>
  <c r="BJ5" i="7"/>
  <c r="BU55" i="7"/>
  <c r="BN195" i="7"/>
  <c r="BJ230" i="7"/>
  <c r="BO125" i="7"/>
  <c r="BT200" i="7"/>
  <c r="BJ80" i="7"/>
  <c r="BO85" i="7"/>
  <c r="BN10" i="7"/>
  <c r="BU235" i="7"/>
  <c r="BE90" i="7"/>
  <c r="BD145" i="7"/>
  <c r="BJ185" i="7"/>
  <c r="BF75" i="7"/>
  <c r="BI180" i="7"/>
  <c r="BS70" i="7"/>
  <c r="BF225" i="7"/>
  <c r="BD55" i="7"/>
  <c r="BU80" i="7"/>
  <c r="BE5" i="7"/>
  <c r="BU135" i="7"/>
  <c r="BE100" i="7"/>
  <c r="BI215" i="7"/>
  <c r="BI40" i="7"/>
  <c r="BF30" i="7"/>
  <c r="BU60" i="7"/>
  <c r="BO40" i="7"/>
  <c r="BD205" i="7"/>
  <c r="BD165" i="7"/>
  <c r="BE40" i="7"/>
  <c r="BU35" i="7"/>
  <c r="BU210" i="7"/>
  <c r="BU100" i="7"/>
  <c r="BI200" i="7"/>
  <c r="BN90" i="7"/>
  <c r="BS215" i="7"/>
  <c r="BP80" i="7"/>
  <c r="BO115" i="7"/>
  <c r="BU155" i="7"/>
  <c r="BS140" i="7"/>
  <c r="BJ60" i="7"/>
  <c r="BF245" i="7"/>
  <c r="BE140" i="7"/>
  <c r="BU45" i="7"/>
  <c r="BJ75" i="7"/>
  <c r="BP45" i="7"/>
  <c r="BU225" i="7"/>
  <c r="BP135" i="7"/>
  <c r="BD185" i="7"/>
  <c r="BT55" i="7"/>
  <c r="BS35" i="7"/>
  <c r="BN35" i="7"/>
  <c r="BF210" i="7"/>
  <c r="BD115" i="7"/>
  <c r="BU160" i="7"/>
  <c r="BK90" i="7"/>
  <c r="BU105" i="7"/>
  <c r="BK70" i="7"/>
  <c r="BI5" i="7"/>
  <c r="BO225" i="7"/>
  <c r="BN85" i="7"/>
  <c r="BT120" i="7"/>
  <c r="BP125" i="7"/>
  <c r="BE45" i="7"/>
  <c r="BK140" i="7"/>
  <c r="BN225" i="7"/>
  <c r="BT60" i="7"/>
  <c r="BE60" i="7"/>
  <c r="BS115" i="7"/>
  <c r="BT45" i="7"/>
  <c r="BF25" i="7"/>
  <c r="BJ175" i="7"/>
  <c r="BP95" i="7"/>
  <c r="BT65" i="7"/>
  <c r="BD90" i="7"/>
  <c r="BE135" i="7"/>
  <c r="BK50" i="7"/>
  <c r="BD140" i="7"/>
  <c r="BK200" i="7"/>
  <c r="BK15" i="7"/>
  <c r="BD240" i="7"/>
  <c r="BN235" i="7"/>
  <c r="BN5" i="7"/>
  <c r="BO5" i="7"/>
  <c r="BO75" i="7"/>
  <c r="BD40" i="7"/>
  <c r="BT195" i="7"/>
  <c r="BK60" i="7"/>
  <c r="BT110" i="7"/>
  <c r="BN95" i="7"/>
  <c r="BE170" i="7"/>
  <c r="BP5" i="7"/>
  <c r="BU110" i="7"/>
  <c r="BP195" i="7"/>
  <c r="BO110" i="7"/>
  <c r="BP185" i="7"/>
  <c r="BD215" i="7"/>
  <c r="BE245" i="7"/>
  <c r="BN50" i="7"/>
  <c r="BT115" i="7"/>
  <c r="BN40" i="7"/>
  <c r="BT130" i="7"/>
  <c r="BT10" i="7"/>
  <c r="BI230" i="7"/>
  <c r="BP50" i="7"/>
  <c r="BO170" i="7"/>
  <c r="BJ50" i="7"/>
  <c r="BU195" i="7"/>
  <c r="BK145" i="7"/>
  <c r="BU15" i="7"/>
  <c r="BS235" i="7"/>
  <c r="BS220" i="7"/>
  <c r="BE30" i="7"/>
  <c r="BD25" i="7"/>
  <c r="BK215" i="7"/>
  <c r="BT80" i="7"/>
  <c r="BI205" i="7"/>
  <c r="BI110" i="7"/>
  <c r="BJ125" i="7"/>
  <c r="BN20" i="7"/>
  <c r="BD70" i="7"/>
  <c r="BE175" i="7"/>
  <c r="BK30" i="7"/>
  <c r="BE240" i="7"/>
  <c r="BI185" i="7"/>
  <c r="BD235" i="7"/>
  <c r="BU75" i="7"/>
  <c r="BJ225" i="7"/>
  <c r="BS95" i="7"/>
  <c r="BE20" i="7"/>
  <c r="BP10" i="7"/>
  <c r="BS225" i="7"/>
  <c r="BP55" i="7"/>
  <c r="BI210" i="7"/>
  <c r="BN160" i="7"/>
  <c r="BF95" i="7"/>
  <c r="BD20" i="7"/>
  <c r="BS45" i="7"/>
  <c r="BK45" i="7"/>
  <c r="BS50" i="7"/>
  <c r="BP105" i="7"/>
  <c r="BI15" i="7"/>
  <c r="BP15" i="7"/>
  <c r="BI235" i="7"/>
  <c r="BD175" i="7"/>
  <c r="BK210" i="7"/>
  <c r="BJ150" i="7"/>
  <c r="BI155" i="7"/>
  <c r="BS55" i="7"/>
  <c r="BT25" i="7"/>
  <c r="BT190" i="7"/>
  <c r="BE235" i="7"/>
  <c r="BF165" i="7"/>
  <c r="BN135" i="7"/>
  <c r="BF170" i="7"/>
  <c r="BJ45" i="7"/>
  <c r="BI50"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<sst xmlns="http://schemas.openxmlformats.org/spreadsheetml/2006/main" count="3725" uniqueCount="1000">
  <si>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</si>
  <si>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</si>
  <si>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</si>
  <si>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</si>
  <si>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</si>
  <si>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</si>
  <si>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</si>
  <si>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</si>
  <si>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</si>
  <si>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</si>
  <si>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</si>
  <si>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</si>
  <si>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</si>
  <si>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</si>
  <si>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</si>
  <si>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</si>
  <si>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</si>
  <si>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</si>
  <si>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</si>
  <si>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</si>
  <si>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</si>
  <si>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</si>
  <si>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</si>
  <si>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</si>
  <si>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</si>
  <si>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</si>
  <si>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</si>
  <si>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</si>
  <si>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</si>
  <si>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</si>
  <si>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</si>
  <si>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</si>
  <si>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</si>
  <si>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</si>
  <si>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</si>
  <si>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</si>
  <si>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</si>
  <si>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</si>
  <si>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</si>
  <si>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</si>
  <si>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</si>
  <si>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</si>
  <si>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</si>
  <si>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</si>
  <si>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</si>
  <si>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</si>
  <si>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</si>
  <si>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</si>
  <si>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</si>
  <si>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</si>
  <si>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</si>
  <si>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</si>
  <si>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</si>
  <si>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</si>
  <si>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</si>
  <si>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</si>
  <si>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</si>
  <si>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</si>
  <si>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</si>
  <si>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</si>
  <si>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</si>
  <si>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</si>
  <si>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</si>
  <si>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</si>
  <si>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</si>
  <si>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</si>
  <si>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</si>
  <si>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</si>
  <si>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</si>
  <si>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</si>
  <si>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</si>
  <si>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</si>
  <si>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</si>
  <si>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</si>
  <si>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</si>
  <si>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</si>
  <si>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</si>
  <si>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</si>
  <si>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</si>
  <si>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</si>
  <si>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</si>
  <si>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</si>
  <si>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</si>
  <si>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</si>
  <si>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</si>
  <si>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</si>
  <si>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</si>
  <si>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</si>
  <si>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</si>
  <si>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</si>
  <si>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</si>
  <si>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</si>
  <si>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</si>
  <si>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</si>
  <si>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</si>
  <si>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</si>
  <si>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</si>
  <si>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</si>
  <si>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</si>
  <si>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</si>
  <si>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</si>
  <si>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</si>
  <si>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</si>
  <si>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</si>
  <si>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</si>
  <si>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</si>
  <si>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</si>
  <si>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</si>
  <si>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</si>
  <si>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</si>
  <si>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</si>
  <si>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</si>
  <si>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</si>
  <si>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</si>
  <si>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</si>
  <si>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</si>
  <si>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</si>
  <si>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</si>
  <si>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</si>
  <si>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</si>
  <si>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</si>
  <si>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</si>
  <si>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</si>
  <si>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</si>
  <si>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</si>
  <si>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</si>
  <si>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</si>
  <si>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</si>
  <si>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</si>
  <si>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</si>
  <si>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</si>
  <si>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</si>
  <si>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</si>
  <si>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</si>
  <si>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</si>
  <si>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</si>
  <si>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</si>
  <si>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</si>
  <si>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</si>
  <si>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</si>
  <si>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</si>
  <si>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</si>
  <si>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</si>
  <si>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</si>
  <si>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</si>
  <si>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</si>
  <si>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</si>
  <si>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</si>
  <si>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</si>
  <si>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</si>
  <si>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</si>
  <si>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</si>
  <si>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</si>
  <si>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</si>
  <si>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</si>
  <si>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</si>
  <si>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</si>
  <si>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</si>
  <si>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</si>
  <si>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</si>
  <si>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</si>
  <si>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</si>
  <si>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</si>
  <si>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</si>
  <si>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</si>
  <si>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</si>
  <si>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</si>
  <si>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</si>
  <si>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</si>
  <si>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</si>
  <si>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</si>
  <si>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</si>
  <si>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</si>
  <si>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</si>
  <si>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</si>
  <si>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</si>
  <si>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</si>
  <si>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</si>
  <si>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</si>
  <si>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</si>
  <si>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</si>
  <si>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</si>
  <si>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</si>
  <si>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</si>
  <si>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</si>
  <si>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</si>
  <si>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</si>
  <si>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</si>
  <si>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</si>
  <si>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</si>
  <si>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</si>
  <si>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</si>
  <si>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</si>
  <si>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</si>
  <si>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</si>
  <si>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</si>
  <si>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</si>
  <si>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</si>
  <si>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</si>
  <si>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</si>
  <si>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</si>
  <si>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</si>
  <si>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</si>
  <si>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</si>
  <si>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</si>
  <si>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</si>
  <si>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</si>
  <si>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</si>
  <si>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</si>
  <si>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</si>
  <si>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</si>
  <si>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</si>
  <si>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</si>
  <si>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</si>
  <si>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</si>
  <si>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</si>
  <si>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</si>
  <si>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</si>
  <si>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</si>
  <si>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</si>
  <si>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</si>
  <si>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</si>
  <si>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</si>
  <si>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</si>
  <si>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</si>
  <si>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</si>
  <si>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</si>
  <si>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</si>
  <si>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</si>
  <si>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</si>
  <si>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</si>
  <si>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</si>
  <si>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</si>
  <si>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</si>
  <si>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</si>
  <si>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</si>
  <si>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</si>
  <si>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</si>
  <si>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</si>
  <si>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</si>
  <si>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</si>
  <si>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</si>
  <si>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</si>
  <si>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</si>
  <si>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</si>
  <si>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</si>
  <si>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</si>
  <si>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</si>
  <si>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</si>
  <si>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</si>
  <si>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</si>
  <si>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</si>
  <si>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</si>
  <si>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</si>
  <si>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</si>
  <si>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</si>
  <si>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</si>
  <si>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</si>
  <si>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</si>
  <si>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</si>
  <si>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</si>
  <si>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</si>
  <si>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</si>
  <si>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</si>
  <si>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</si>
  <si>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</si>
  <si>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</si>
  <si>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</si>
  <si>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</si>
  <si>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</si>
  <si>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</si>
  <si>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</si>
  <si>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</si>
  <si>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</si>
  <si>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</si>
  <si>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</si>
  <si>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</si>
  <si>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</si>
  <si>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</si>
  <si>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</si>
  <si>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</si>
  <si>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</si>
  <si>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</si>
  <si>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</si>
  <si>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</si>
  <si>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</si>
  <si>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</si>
  <si>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</si>
  <si>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</si>
  <si>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</si>
  <si>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</si>
  <si>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</si>
  <si>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</si>
  <si>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</si>
  <si>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</si>
  <si>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</si>
  <si>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</si>
  <si>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</si>
  <si>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</si>
  <si>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</si>
  <si>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</si>
  <si>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</si>
  <si>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</si>
  <si>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</si>
  <si>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</si>
  <si>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</si>
  <si>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</si>
  <si>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</si>
  <si>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</si>
  <si>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</si>
  <si>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</si>
  <si>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</si>
  <si>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</si>
  <si>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</si>
  <si>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</si>
  <si>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</si>
  <si>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</si>
  <si>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</si>
  <si>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</si>
  <si>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</si>
  <si>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</si>
  <si>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</si>
  <si>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</si>
  <si>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</si>
  <si>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</si>
  <si>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</si>
  <si>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</si>
  <si>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</si>
  <si>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</si>
  <si>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</si>
  <si>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</si>
  <si>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</si>
  <si>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</si>
  <si>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</si>
  <si>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</si>
  <si>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</si>
  <si>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</si>
  <si>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</si>
  <si>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</si>
  <si>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</si>
  <si>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</si>
  <si>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</si>
  <si>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</si>
  <si>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</si>
  <si>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</si>
  <si>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</si>
  <si>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</si>
  <si>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</si>
  <si>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</si>
  <si>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</si>
  <si>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</si>
  <si>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</si>
  <si>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</si>
  <si>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</si>
  <si>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</si>
  <si>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</si>
  <si>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</si>
  <si>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</si>
  <si>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</si>
  <si>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</si>
  <si>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</si>
  <si>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</si>
  <si>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</si>
  <si>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</si>
  <si>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</si>
  <si>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</si>
  <si>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</si>
  <si>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</si>
  <si>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</si>
  <si>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</si>
  <si>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</si>
  <si>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</si>
  <si>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</si>
  <si>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</si>
  <si>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</si>
  <si>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</si>
  <si>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</si>
  <si>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</si>
  <si>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</si>
  <si>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</si>
  <si>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</si>
  <si>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</si>
  <si>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</si>
  <si>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</si>
  <si>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</si>
  <si>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</si>
  <si>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</si>
  <si>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</si>
  <si>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</si>
  <si>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</si>
  <si>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</si>
  <si>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</si>
  <si>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</si>
  <si>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</si>
  <si>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</si>
  <si>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</si>
  <si>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</si>
  <si>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</si>
  <si>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</si>
  <si>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</si>
  <si>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</si>
  <si>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</si>
  <si>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</si>
  <si>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</si>
  <si>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</si>
  <si>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</si>
  <si>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</si>
  <si>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</si>
  <si>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</si>
  <si>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</si>
  <si>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</si>
  <si>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</si>
  <si>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</si>
  <si>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</si>
  <si>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</si>
  <si>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</si>
  <si>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</si>
  <si>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</si>
  <si>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</si>
  <si>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</si>
  <si>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</si>
  <si>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</si>
  <si>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</si>
  <si>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</si>
  <si>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</si>
  <si>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</si>
  <si>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</si>
  <si>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</si>
  <si>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</si>
  <si>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</si>
  <si>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</si>
  <si>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</si>
  <si>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</si>
  <si>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</si>
  <si>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</si>
  <si>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</si>
  <si>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</si>
  <si>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</si>
  <si>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</si>
  <si>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</si>
  <si>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</si>
  <si>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</si>
  <si>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</si>
  <si>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</si>
  <si>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</si>
  <si>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</si>
  <si>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</si>
  <si>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</si>
  <si>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</si>
  <si>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</si>
  <si>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</si>
  <si>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</si>
  <si>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</si>
  <si>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</si>
  <si>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</si>
  <si>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</si>
  <si>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</si>
  <si>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</si>
  <si>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</si>
  <si>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</si>
  <si>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</si>
  <si>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</si>
  <si>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</si>
  <si>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</si>
  <si>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</si>
  <si>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</si>
  <si>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</si>
  <si>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</si>
  <si>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</si>
  <si>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</si>
  <si>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</si>
  <si>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</si>
  <si>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</si>
  <si>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</si>
  <si>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</si>
  <si>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</si>
  <si>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</si>
  <si>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</si>
  <si>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</si>
  <si>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</si>
  <si>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</si>
  <si>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</si>
  <si>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</si>
  <si>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</si>
  <si>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</si>
  <si>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</si>
  <si>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</si>
  <si>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</si>
  <si>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</si>
  <si>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</si>
  <si>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</si>
  <si>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</si>
  <si>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</si>
  <si>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</si>
  <si>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</si>
  <si>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</si>
  <si>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</si>
  <si>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</si>
  <si>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</si>
  <si>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</si>
  <si>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</si>
  <si>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</si>
  <si>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</si>
  <si>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</si>
  <si>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</si>
  <si>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</si>
  <si>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</si>
  <si>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</si>
  <si>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</si>
  <si>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</si>
  <si>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</si>
  <si>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</si>
  <si>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</si>
  <si>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</si>
  <si>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</si>
  <si>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</si>
  <si>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</si>
  <si>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</si>
  <si>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</si>
  <si>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</si>
  <si>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</si>
  <si>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</si>
  <si>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</si>
  <si>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</si>
  <si>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</si>
  <si>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</si>
  <si>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</si>
  <si>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</si>
  <si>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</si>
  <si>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</si>
  <si>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</si>
  <si>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</si>
  <si>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</si>
  <si>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</si>
  <si>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</si>
  <si>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</si>
  <si>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</si>
  <si>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</si>
  <si>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</si>
  <si>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</si>
  <si>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</si>
  <si>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</si>
  <si>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</si>
  <si>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</si>
  <si>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</si>
  <si>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</si>
  <si>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</si>
  <si>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</si>
  <si>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</si>
  <si>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</si>
  <si>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</si>
  <si>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</si>
  <si>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</si>
  <si>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</si>
  <si>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</si>
  <si>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</si>
  <si>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</si>
  <si>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</si>
  <si>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</si>
  <si>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</si>
  <si>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</si>
  <si>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</si>
  <si>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</si>
  <si>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</si>
  <si>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</si>
  <si>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</si>
  <si>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</si>
  <si>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</si>
  <si>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</si>
  <si>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</si>
  <si>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</si>
  <si>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</si>
  <si>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</si>
  <si>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</si>
  <si>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</si>
  <si>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</si>
  <si>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</si>
  <si>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</si>
  <si>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</si>
  <si>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</si>
  <si>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</si>
  <si>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</si>
  <si>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</si>
  <si>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</si>
  <si>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</si>
  <si>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</si>
  <si>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</si>
  <si>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</si>
  <si>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</si>
  <si>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</si>
  <si>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</si>
  <si>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</si>
  <si>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</si>
  <si>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</si>
  <si>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</si>
  <si>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</si>
  <si>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</si>
  <si>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</si>
  <si>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</si>
  <si>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</si>
  <si>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</si>
  <si>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</si>
  <si>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</si>
  <si>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</si>
  <si>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</si>
  <si>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</si>
  <si>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</si>
  <si>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</si>
  <si>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</si>
  <si>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</si>
  <si>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</si>
  <si>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</si>
  <si>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</si>
  <si>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</si>
  <si>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</si>
  <si>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</si>
  <si>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</si>
  <si>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</si>
  <si>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</si>
  <si>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</si>
  <si>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</si>
  <si>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</si>
  <si>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</si>
  <si>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</si>
  <si>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</si>
  <si>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</si>
  <si>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</si>
  <si>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</si>
  <si>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</si>
  <si>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</si>
  <si>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</si>
  <si>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</si>
  <si>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</si>
  <si>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</si>
  <si>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</si>
  <si>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</si>
  <si>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</si>
  <si>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</si>
  <si>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</si>
  <si>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</si>
  <si>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</si>
  <si>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</si>
  <si>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</si>
  <si>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</si>
  <si>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</si>
  <si>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</si>
  <si>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</si>
  <si>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</si>
  <si>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</si>
  <si>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</si>
  <si>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</si>
  <si>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</si>
  <si>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</si>
  <si>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</si>
  <si>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</si>
  <si>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</si>
  <si>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</si>
  <si>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</si>
  <si>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</si>
  <si>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</si>
  <si>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</si>
  <si>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</si>
  <si>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</si>
  <si>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</si>
  <si>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</si>
  <si>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</si>
  <si>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</si>
  <si>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</si>
  <si>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</si>
  <si>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</si>
  <si>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</si>
  <si>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</si>
  <si>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</si>
  <si>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</si>
  <si>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</si>
  <si>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</si>
  <si>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</si>
  <si>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</si>
  <si>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</si>
  <si>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</si>
  <si>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</si>
  <si>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</si>
  <si>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</si>
  <si>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</si>
  <si>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</si>
  <si>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</si>
  <si>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</si>
  <si>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</si>
  <si>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</si>
  <si>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</si>
  <si>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</si>
  <si>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</si>
  <si>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</si>
  <si>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</si>
  <si>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</si>
  <si>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</si>
  <si>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</si>
  <si>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</si>
  <si>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</si>
  <si>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</si>
  <si>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</si>
  <si>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</si>
  <si>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</si>
  <si>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</si>
  <si>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</si>
  <si>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</si>
  <si>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</si>
  <si>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</si>
  <si>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</si>
  <si>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</si>
  <si>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</si>
  <si>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</si>
  <si>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</si>
  <si>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</si>
  <si>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</si>
  <si>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</si>
  <si>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</si>
  <si>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</si>
  <si>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</si>
  <si>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</si>
  <si>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</si>
  <si>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</si>
  <si>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</si>
  <si>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</si>
  <si>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</si>
  <si>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</si>
  <si>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</si>
  <si>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</si>
  <si>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</si>
  <si>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</si>
  <si>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</si>
  <si>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</si>
  <si>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</si>
  <si>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</si>
  <si>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</si>
  <si>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</si>
  <si>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</si>
  <si>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</si>
  <si>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</si>
  <si>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</si>
  <si>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</si>
  <si>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</si>
  <si>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</si>
  <si>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</si>
  <si>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</si>
  <si>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</si>
  <si>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</si>
  <si>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</si>
  <si>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</si>
  <si>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</si>
  <si>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</si>
  <si>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</si>
  <si>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</si>
  <si>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</si>
  <si>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</si>
  <si>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</si>
  <si>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</si>
  <si>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</si>
  <si>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</si>
  <si>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</si>
  <si>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</si>
  <si>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</si>
  <si>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</si>
  <si>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</si>
  <si>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</si>
  <si>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</si>
  <si>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</si>
  <si>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</si>
  <si>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</si>
  <si>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</si>
  <si>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</si>
  <si>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</si>
  <si>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</si>
  <si>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</si>
  <si>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</si>
  <si>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</si>
  <si>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</si>
  <si>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</si>
  <si>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</si>
  <si>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</si>
  <si>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</si>
  <si>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</si>
  <si>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</si>
  <si>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</si>
  <si>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</si>
  <si>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</si>
  <si>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</si>
  <si>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</si>
  <si>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</si>
  <si>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</si>
  <si>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</si>
  <si>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</si>
  <si>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</si>
  <si>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</si>
  <si>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</si>
  <si>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</si>
  <si>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</si>
  <si>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</si>
  <si>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</si>
  <si>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</si>
  <si>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</si>
  <si>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</si>
  <si>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</si>
  <si>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</si>
  <si>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</si>
  <si>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</si>
  <si>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</si>
  <si>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</si>
  <si>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</si>
  <si>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</si>
  <si>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</si>
  <si>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</si>
  <si>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</si>
  <si>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</si>
  <si>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</si>
  <si>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</si>
  <si>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</si>
  <si>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</si>
  <si>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</si>
  <si>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</si>
  <si>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</si>
  <si>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</si>
  <si>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</si>
  <si>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</si>
  <si>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</si>
  <si>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</si>
  <si>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</si>
  <si>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</si>
  <si>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</si>
  <si>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</si>
  <si>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</si>
  <si>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</si>
  <si>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</si>
  <si>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</si>
  <si>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</si>
  <si>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</si>
  <si>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</si>
  <si>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</si>
  <si>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</si>
  <si>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</si>
  <si>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</si>
  <si>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</si>
  <si>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</si>
  <si>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</si>
  <si>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</si>
  <si>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</si>
  <si>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</si>
  <si>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</si>
  <si>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</si>
  <si>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</si>
  <si>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</si>
  <si>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</si>
  <si>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</si>
  <si>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</si>
  <si>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</si>
  <si>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</si>
  <si>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</si>
  <si>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</si>
  <si>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</si>
  <si>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</si>
  <si>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</si>
  <si>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</si>
  <si>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</si>
  <si>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</si>
  <si>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</si>
  <si>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</si>
  <si>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</si>
  <si>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</si>
  <si>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</si>
  <si>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</si>
  <si>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</si>
  <si>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</si>
  <si>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</si>
  <si>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</si>
  <si>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</si>
  <si>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</si>
  <si>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</si>
  <si>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</si>
  <si>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</si>
  <si>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</si>
  <si>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</si>
  <si>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</si>
  <si>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</si>
  <si>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</si>
  <si>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</si>
  <si>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</si>
  <si>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</si>
  <si>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</si>
  <si>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</si>
  <si>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</si>
  <si>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</si>
  <si>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</si>
  <si>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</si>
  <si>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</si>
  <si>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</si>
  <si>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</si>
  <si>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</si>
  <si>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</si>
  <si>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</si>
  <si>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</si>
  <si>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</si>
  <si>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</si>
  <si>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</si>
  <si>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</si>
  <si>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</si>
  <si>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</si>
  <si>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</si>
  <si>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</si>
  <si>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</si>
  <si>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</si>
  <si>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</si>
  <si>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</si>
  <si>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</si>
  <si>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</si>
  <si>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</si>
  <si>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</si>
  <si>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</si>
  <si>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</si>
  <si>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</si>
  <si>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</si>
  <si>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</si>
  <si>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</si>
  <si>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</si>
  <si>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</si>
  <si>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</si>
  <si>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</si>
  <si>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</si>
  <si>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</si>
  <si>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</si>
  <si>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</si>
  <si>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</si>
  <si>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</si>
  <si>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</si>
  <si>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</si>
  <si>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</si>
  <si>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</si>
  <si>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</si>
  <si>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</si>
  <si>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</si>
  <si>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</si>
  <si>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</si>
  <si>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</si>
  <si>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</si>
  <si>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</si>
  <si>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</si>
  <si>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</si>
  <si>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</si>
  <si>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</si>
  <si>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</si>
  <si>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</si>
  <si>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</si>
  <si>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</si>
  <si>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</si>
  <si>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</si>
  <si>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</si>
  <si>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</si>
  <si>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</si>
  <si>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</si>
  <si>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</si>
  <si>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</si>
  <si>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</si>
  <si>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</si>
  <si>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</si>
  <si>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</si>
  <si>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</si>
  <si>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</si>
  <si>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</si>
  <si>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</si>
  <si>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</si>
  <si>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</si>
  <si>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</si>
  <si>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</si>
  <si>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</si>
  <si>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</si>
  <si>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</si>
  <si>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</si>
  <si>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</si>
  <si>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</si>
  <si>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</si>
  <si>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</si>
  <si>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</si>
  <si>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</si>
  <si>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</si>
  <si>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</si>
  <si>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</si>
  <si>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</si>
  <si>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</si>
  <si>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</si>
  <si>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</si>
  <si>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</si>
  <si>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</si>
  <si>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</si>
  <si>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</si>
  <si>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</si>
  <si>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</si>
  <si>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</si>
  <si>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</si>
  <si>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r>
      <t>tmc13</t>
    </r>
    <r>
      <rPr>
        <b/>
        <sz val="11"/>
        <color theme="1"/>
        <rFont val="宋体"/>
        <family val="3"/>
        <charset val="129"/>
        <scheme val="minor"/>
      </rPr>
      <t>v11.0</t>
    </r>
    <phoneticPr fontId="3" type="noConversion"/>
  </si>
  <si>
    <t>End-to-End BD‑AttrRate [%]</t>
    <phoneticPr fontId="3" type="noConversion"/>
  </si>
  <si>
    <t>m55034_combine_m54701_simplified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</si>
</sst>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4" borderId="2" xfId="0" applyFont="1" applyFill="1" applyBorder="1" applyAlignment="1">
      <alignment horizontal="center" vertical="center" wrapText="1"/>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2" borderId="0" xfId="0" applyFont="1" applyFill="1" applyAlignment="1">
      <alignment horizontal="left" vertical="top"/>
    </xf>
    <xf numFmtId="0" fontId="1" fillId="3" borderId="0" xfId="0" applyFont="1" applyFill="1" applyAlignment="1">
      <alignment horizontal="center" wrapText="1"/>
    </xf>
    <xf numFmtId="0" fontId="1" fillId="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workbookViewId="0">
      <selection activeCell="C3" sqref="C3"/>
    </sheetView>
  </sheetViews>
  <sheetFormatPr defaultColWidth="9" defaultRowHeight="13.5" x14ac:dyDescent="0.15"/>
  <cols>
    <col min="2" max="2" width="16.75" customWidth="1"/>
    <col min="3" max="8" width="24.75" customWidth="1"/>
  </cols>
  <sheetData>
    <row r="1" spans="2:6" x14ac:dyDescent="0.15">
      <c r="B1" t="s">
        <v>0</v>
      </c>
      <c r="C1" s="91" t="s">
        <v>997</v>
      </c>
      <c r="D1" s="91"/>
      <c r="E1" s="91"/>
    </row>
    <row r="2" spans="2:6" x14ac:dyDescent="0.15">
      <c r="B2" t="s">
        <v>1</v>
      </c>
      <c r="C2" s="92" t="s">
        <v>999</v>
      </c>
      <c r="D2" s="92"/>
      <c r="E2" s="92"/>
    </row>
    <row r="4" spans="2:6" s="74" customFormat="1" x14ac:dyDescent="0.15">
      <c r="B4" s="74" t="s">
        <v>2</v>
      </c>
    </row>
    <row r="6" spans="2:6" x14ac:dyDescent="0.15">
      <c r="B6" s="89" t="s">
        <v>3</v>
      </c>
      <c r="C6" s="85" t="s">
        <v>4</v>
      </c>
      <c r="D6" s="85"/>
      <c r="E6" s="85"/>
      <c r="F6" s="85"/>
    </row>
    <row r="7" spans="2:6" x14ac:dyDescent="0.15">
      <c r="B7" s="89"/>
      <c r="C7" s="86" t="s">
        <v>5</v>
      </c>
      <c r="D7" s="86"/>
      <c r="E7" s="86"/>
      <c r="F7" s="86"/>
    </row>
    <row r="8" spans="2:6" x14ac:dyDescent="0.15">
      <c r="B8" s="89"/>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7" t="e">
        <f>'C1 losslG,lossyA,intra'!AP349</f>
        <v>#NUM!</v>
      </c>
      <c r="D14" s="87"/>
      <c r="E14" s="87"/>
      <c r="F14" s="87"/>
    </row>
    <row r="15" spans="2:6" x14ac:dyDescent="0.15">
      <c r="B15" s="78" t="s">
        <v>16</v>
      </c>
      <c r="C15" s="88" t="e">
        <f>'C1 losslG,lossyA,intra'!AQ349</f>
        <v>#NUM!</v>
      </c>
      <c r="D15" s="88"/>
      <c r="E15" s="88"/>
      <c r="F15" s="88"/>
    </row>
    <row r="17" spans="2:8" x14ac:dyDescent="0.15">
      <c r="B17" s="89" t="s">
        <v>17</v>
      </c>
      <c r="C17" s="85" t="s">
        <v>18</v>
      </c>
      <c r="D17" s="85"/>
      <c r="E17" s="85"/>
      <c r="F17" s="85"/>
      <c r="G17" s="85"/>
      <c r="H17" s="85"/>
    </row>
    <row r="18" spans="2:8" x14ac:dyDescent="0.15">
      <c r="B18" s="89"/>
      <c r="C18" s="86" t="s">
        <v>998</v>
      </c>
      <c r="D18" s="86"/>
      <c r="E18" s="86"/>
      <c r="F18" s="86"/>
      <c r="G18" s="90" t="s">
        <v>19</v>
      </c>
      <c r="H18" s="90"/>
    </row>
    <row r="19" spans="2:8" x14ac:dyDescent="0.15">
      <c r="B19" s="89"/>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7" t="e">
        <f>'C2 lossyG,lossyA,intra'!AT349</f>
        <v>#NUM!</v>
      </c>
      <c r="D25" s="87"/>
      <c r="E25" s="87"/>
      <c r="F25" s="87"/>
      <c r="G25" s="87"/>
      <c r="H25" s="87"/>
    </row>
    <row r="26" spans="2:8" x14ac:dyDescent="0.15">
      <c r="B26" s="78" t="s">
        <v>16</v>
      </c>
      <c r="C26" s="88" t="e">
        <f>'C2 lossyG,lossyA,intra'!AU349</f>
        <v>#NUM!</v>
      </c>
      <c r="D26" s="88"/>
      <c r="E26" s="88"/>
      <c r="F26" s="88"/>
      <c r="G26" s="88"/>
      <c r="H26" s="88"/>
    </row>
    <row r="28" spans="2:8" ht="19.899999999999999" customHeight="1" x14ac:dyDescent="0.15">
      <c r="B28" s="89" t="s">
        <v>22</v>
      </c>
      <c r="C28" s="85" t="s">
        <v>23</v>
      </c>
      <c r="D28" s="85"/>
      <c r="E28" s="85"/>
      <c r="F28" s="85"/>
    </row>
    <row r="29" spans="2:8" x14ac:dyDescent="0.15">
      <c r="B29" s="89"/>
      <c r="C29" s="86" t="s">
        <v>24</v>
      </c>
      <c r="D29" s="86"/>
      <c r="E29" s="86"/>
      <c r="F29" s="86"/>
    </row>
    <row r="30" spans="2:8" x14ac:dyDescent="0.15">
      <c r="B30" s="89"/>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7" t="e">
        <f>'CW losslG,losslA,intra'!AI69</f>
        <v>#NUM!</v>
      </c>
      <c r="D36" s="87"/>
      <c r="E36" s="87"/>
      <c r="F36" s="87"/>
    </row>
    <row r="37" spans="2:6" x14ac:dyDescent="0.15">
      <c r="B37" s="78" t="s">
        <v>16</v>
      </c>
      <c r="C37" s="88" t="e">
        <f>'CW losslG,losslA,intra'!AJ69</f>
        <v>#NUM!</v>
      </c>
      <c r="D37" s="88"/>
      <c r="E37" s="88"/>
      <c r="F37" s="88"/>
    </row>
    <row r="39" spans="2:6" x14ac:dyDescent="0.15">
      <c r="B39" s="89" t="s">
        <v>28</v>
      </c>
      <c r="C39" s="85" t="s">
        <v>29</v>
      </c>
      <c r="D39" s="85"/>
      <c r="E39" s="85"/>
      <c r="F39" s="85"/>
    </row>
    <row r="40" spans="2:6" x14ac:dyDescent="0.15">
      <c r="B40" s="89"/>
      <c r="C40" s="86" t="s">
        <v>30</v>
      </c>
      <c r="D40" s="86"/>
      <c r="E40" s="86"/>
      <c r="F40" s="86"/>
    </row>
    <row r="41" spans="2:6" x14ac:dyDescent="0.15">
      <c r="B41" s="89"/>
      <c r="C41" s="75" t="s">
        <v>6</v>
      </c>
      <c r="D41" s="75" t="s">
        <v>7</v>
      </c>
      <c r="E41" s="75" t="s">
        <v>8</v>
      </c>
      <c r="F41" s="75" t="s">
        <v>9</v>
      </c>
    </row>
    <row r="42" spans="2:6" x14ac:dyDescent="0.15">
      <c r="B42" t="s">
        <v>10</v>
      </c>
      <c r="C42" s="70">
        <f>'CY losslG,nearllA,intra'!$BI$285:$BI$285</f>
        <v>1.606409028340141E-2</v>
      </c>
      <c r="D42" s="70">
        <f>'CY losslG,nearllA,intra'!$BJ$285:$BJ$285</f>
        <v>1.606409028340141E-2</v>
      </c>
      <c r="E42" s="70">
        <f>'CY losslG,nearllA,intra'!$BK$285:$BK$285</f>
        <v>1.606409028340141E-2</v>
      </c>
      <c r="F42" s="71"/>
    </row>
    <row r="43" spans="2:6" x14ac:dyDescent="0.15">
      <c r="B43" t="s">
        <v>11</v>
      </c>
      <c r="C43" s="70">
        <f>'CY losslG,nearllA,intra'!$BI$286:$BI$286</f>
        <v>2.5314020625264392E-2</v>
      </c>
      <c r="D43" s="70">
        <f>'CY losslG,nearllA,intra'!$BJ$286:$BJ$286</f>
        <v>2.5314020625264392E-2</v>
      </c>
      <c r="E43" s="70">
        <f>'CY losslG,nearllA,intra'!$BK$286:$BK$286</f>
        <v>2.5314020625264392E-2</v>
      </c>
      <c r="F43" s="71"/>
    </row>
    <row r="44" spans="2:6" x14ac:dyDescent="0.15">
      <c r="B44" t="s">
        <v>12</v>
      </c>
      <c r="C44" s="70">
        <f>'CY losslG,nearllA,intra'!$BI$287:$BI$287</f>
        <v>5.5168657003293507E-2</v>
      </c>
      <c r="D44" s="70">
        <f>'CY losslG,nearllA,intra'!$BJ$287:$BJ$287</f>
        <v>5.5168657003293507E-2</v>
      </c>
      <c r="E44" s="70">
        <f>'CY losslG,nearllA,intra'!$BK$287:$BK$287</f>
        <v>5.5168657003293507E-2</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2.2988825556144021E-2</v>
      </c>
      <c r="D46" s="77">
        <f>'CY losslG,nearllA,intra'!$BJ$289:$BJ$289</f>
        <v>2.2988825556144021E-2</v>
      </c>
      <c r="E46" s="77">
        <f>'CY losslG,nearllA,intra'!$BK$289:$BK$289</f>
        <v>2.2988825556144021E-2</v>
      </c>
      <c r="F46" s="77" t="e">
        <f>'CY losslG,nearllA,intra'!$BL$289:$BL$289</f>
        <v>#DIV/0!</v>
      </c>
    </row>
    <row r="47" spans="2:6" x14ac:dyDescent="0.15">
      <c r="B47" t="s">
        <v>15</v>
      </c>
      <c r="C47" s="87">
        <f>'CY losslG,nearllA,intra'!AX293</f>
        <v>1.0120696090085226</v>
      </c>
      <c r="D47" s="87"/>
      <c r="E47" s="87"/>
      <c r="F47" s="87"/>
    </row>
    <row r="48" spans="2:6" x14ac:dyDescent="0.15">
      <c r="B48" s="78" t="s">
        <v>16</v>
      </c>
      <c r="C48" s="88">
        <f>'CY losslG,nearllA,intra'!AY293</f>
        <v>1.004633007540771</v>
      </c>
      <c r="D48" s="88"/>
      <c r="E48" s="88"/>
      <c r="F48" s="88"/>
    </row>
    <row r="49" spans="2:6" ht="14.25" thickBot="1" x14ac:dyDescent="0.2"/>
    <row r="50" spans="2:6" ht="14.25" thickBot="1" x14ac:dyDescent="0.2">
      <c r="B50" s="89" t="s">
        <v>28</v>
      </c>
      <c r="C50" s="85" t="s">
        <v>29</v>
      </c>
      <c r="D50" s="85"/>
      <c r="E50" s="85"/>
      <c r="F50" s="85"/>
    </row>
    <row r="51" spans="2:6" ht="14.25" thickBot="1" x14ac:dyDescent="0.2">
      <c r="B51" s="89"/>
      <c r="C51" s="86" t="s">
        <v>998</v>
      </c>
      <c r="D51" s="86"/>
      <c r="E51" s="86"/>
      <c r="F51" s="86"/>
    </row>
    <row r="52" spans="2:6" ht="14.25" thickBot="1" x14ac:dyDescent="0.2">
      <c r="B52" s="89"/>
      <c r="C52" s="75" t="s">
        <v>6</v>
      </c>
      <c r="D52" s="75" t="s">
        <v>7</v>
      </c>
      <c r="E52" s="75" t="s">
        <v>8</v>
      </c>
      <c r="F52" s="75" t="s">
        <v>9</v>
      </c>
    </row>
    <row r="53" spans="2:6" x14ac:dyDescent="0.15">
      <c r="B53" t="s">
        <v>10</v>
      </c>
      <c r="C53" s="70">
        <f>'CY losslG,nearllA,intra'!$BD$285:$BD$285</f>
        <v>1.0033674013242844E-2</v>
      </c>
      <c r="D53" s="70">
        <f>'CY losslG,nearllA,intra'!$BE$285:$BE$285</f>
        <v>8.4942648043026033E-3</v>
      </c>
      <c r="E53" s="70">
        <f>'CY losslG,nearllA,intra'!$BF$285:$BF$285</f>
        <v>5.1493248833044203E-3</v>
      </c>
      <c r="F53" s="71"/>
    </row>
    <row r="54" spans="2:6" x14ac:dyDescent="0.15">
      <c r="B54" t="s">
        <v>11</v>
      </c>
      <c r="C54" s="70">
        <f>'CY losslG,nearllA,intra'!$BD$286:$BD$286</f>
        <v>1.4280035118944065E-2</v>
      </c>
      <c r="D54" s="70">
        <f>'CY losslG,nearllA,intra'!$BE$286:$BE$286</f>
        <v>1.255712627672991E-2</v>
      </c>
      <c r="E54" s="70">
        <f>'CY losslG,nearllA,intra'!$BF$286:$BF$286</f>
        <v>1.0459340911785958E-2</v>
      </c>
      <c r="F54" s="71"/>
    </row>
    <row r="55" spans="2:6" x14ac:dyDescent="0.15">
      <c r="B55" t="s">
        <v>12</v>
      </c>
      <c r="C55" s="70">
        <f>'CY losslG,nearllA,intra'!$BD$287:$BD$287</f>
        <v>4.0066852621383285E-2</v>
      </c>
      <c r="D55" s="70">
        <f>'CY losslG,nearllA,intra'!$BE$287:$BE$287</f>
        <v>3.6108430302603946E-2</v>
      </c>
      <c r="E55" s="70">
        <f>'CY losslG,nearllA,intra'!$BF$287:$BF$287</f>
        <v>3.7132095059228577E-2</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1.3952290387962243E-2</v>
      </c>
      <c r="D57" s="77">
        <f>'CY losslG,nearllA,intra'!$BE$289:$BE$289</f>
        <v>1.2174900964162998E-2</v>
      </c>
      <c r="E57" s="77">
        <f>'CY losslG,nearllA,intra'!$BF$289:$BF$289</f>
        <v>9.7082778468009379E-3</v>
      </c>
      <c r="F57" s="77" t="e">
        <f>'CY losslG,nearllA,intra'!$BL$289:$BL$289</f>
        <v>#DIV/0!</v>
      </c>
    </row>
    <row r="58" spans="2:6" x14ac:dyDescent="0.15">
      <c r="B58" t="s">
        <v>15</v>
      </c>
      <c r="C58" s="87">
        <f>'CY losslG,nearllA,intra'!AX293</f>
        <v>1.0120696090085226</v>
      </c>
      <c r="D58" s="87"/>
      <c r="E58" s="87"/>
      <c r="F58" s="87"/>
    </row>
    <row r="59" spans="2:6" ht="14.25" thickBot="1" x14ac:dyDescent="0.2">
      <c r="B59" s="78" t="s">
        <v>16</v>
      </c>
      <c r="C59" s="88">
        <f>'CY losslG,nearllA,intra'!AY293</f>
        <v>1.004633007540771</v>
      </c>
      <c r="D59" s="88"/>
      <c r="E59" s="88"/>
      <c r="F59" s="88"/>
    </row>
  </sheetData>
  <mergeCells count="28">
    <mergeCell ref="B50:B52"/>
    <mergeCell ref="C50:F50"/>
    <mergeCell ref="C51:F51"/>
    <mergeCell ref="C58:F58"/>
    <mergeCell ref="C59:F59"/>
    <mergeCell ref="G18:H18"/>
    <mergeCell ref="C25:H25"/>
    <mergeCell ref="C1:E1"/>
    <mergeCell ref="C2:E2"/>
    <mergeCell ref="C6:F6"/>
    <mergeCell ref="C7:F7"/>
    <mergeCell ref="C14:F14"/>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5" t="s">
        <v>184</v>
      </c>
      <c r="B1" s="95"/>
      <c r="C1" s="95"/>
      <c r="D1" s="95"/>
      <c r="E1" s="95"/>
      <c r="F1" s="95"/>
      <c r="G1" s="95"/>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4" t="s">
        <v>197</v>
      </c>
      <c r="Y2" s="93" t="s">
        <v>198</v>
      </c>
      <c r="AA2" s="94" t="s">
        <v>192</v>
      </c>
      <c r="AB2" s="96" t="s">
        <v>193</v>
      </c>
      <c r="AC2" s="96"/>
      <c r="AD2" s="96"/>
      <c r="AE2" s="96"/>
      <c r="AF2" s="94" t="s">
        <v>194</v>
      </c>
      <c r="AG2" s="93" t="s">
        <v>84</v>
      </c>
      <c r="AH2" s="97" t="s">
        <v>195</v>
      </c>
      <c r="AI2" s="97"/>
      <c r="AJ2" s="97"/>
      <c r="AK2" s="97"/>
      <c r="AL2" s="96" t="s">
        <v>196</v>
      </c>
      <c r="AM2" s="96"/>
      <c r="AN2" s="96"/>
      <c r="AO2" s="96"/>
      <c r="AP2" s="94" t="s">
        <v>197</v>
      </c>
      <c r="AQ2" s="93" t="s">
        <v>198</v>
      </c>
      <c r="AS2" s="94" t="s">
        <v>199</v>
      </c>
      <c r="AT2" s="93" t="s">
        <v>199</v>
      </c>
      <c r="AV2" s="97" t="s">
        <v>5</v>
      </c>
      <c r="AW2" s="97"/>
      <c r="AX2" s="97"/>
      <c r="AY2" s="97"/>
      <c r="BA2" s="96" t="s">
        <v>200</v>
      </c>
      <c r="BB2" s="96"/>
      <c r="BC2" s="96"/>
      <c r="BD2" s="96"/>
      <c r="BF2" s="98" t="s">
        <v>84</v>
      </c>
      <c r="BG2" s="99" t="s">
        <v>195</v>
      </c>
      <c r="BH2" s="99"/>
      <c r="BI2" s="99"/>
      <c r="BJ2" s="99"/>
      <c r="BK2" s="99" t="s">
        <v>196</v>
      </c>
      <c r="BL2" s="99"/>
      <c r="BM2" s="99"/>
      <c r="BN2" s="99"/>
    </row>
    <row r="3" spans="1:6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94"/>
      <c r="Y3" s="93"/>
      <c r="AA3" s="94"/>
      <c r="AB3" s="1" t="s">
        <v>27</v>
      </c>
      <c r="AC3" s="1" t="s">
        <v>25</v>
      </c>
      <c r="AD3" s="1" t="s">
        <v>201</v>
      </c>
      <c r="AE3" s="1" t="s">
        <v>9</v>
      </c>
      <c r="AF3" s="94"/>
      <c r="AG3" s="93"/>
      <c r="AH3" s="2" t="s">
        <v>27</v>
      </c>
      <c r="AI3" s="2" t="s">
        <v>25</v>
      </c>
      <c r="AJ3" s="2" t="s">
        <v>26</v>
      </c>
      <c r="AK3" s="2" t="s">
        <v>9</v>
      </c>
      <c r="AL3" s="1" t="s">
        <v>6</v>
      </c>
      <c r="AM3" s="1" t="s">
        <v>7</v>
      </c>
      <c r="AN3" s="1" t="s">
        <v>8</v>
      </c>
      <c r="AO3" s="1" t="s">
        <v>9</v>
      </c>
      <c r="AP3" s="94"/>
      <c r="AQ3" s="93"/>
      <c r="AS3" s="94"/>
      <c r="AT3" s="93"/>
      <c r="AV3" s="2" t="s">
        <v>6</v>
      </c>
      <c r="AW3" s="2" t="s">
        <v>7</v>
      </c>
      <c r="AX3" s="2" t="s">
        <v>8</v>
      </c>
      <c r="AY3" s="2" t="s">
        <v>9</v>
      </c>
      <c r="BA3" s="1" t="s">
        <v>6</v>
      </c>
      <c r="BB3" s="1" t="s">
        <v>7</v>
      </c>
      <c r="BC3" s="1" t="s">
        <v>8</v>
      </c>
      <c r="BD3" s="1" t="s">
        <v>9</v>
      </c>
      <c r="BF3" s="98"/>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BF2:BF3"/>
    <mergeCell ref="BG2:BJ2"/>
    <mergeCell ref="BK2:BN2"/>
    <mergeCell ref="AA2:AA3"/>
    <mergeCell ref="AF2:AF3"/>
    <mergeCell ref="AS2:AS3"/>
    <mergeCell ref="AT2:AT3"/>
    <mergeCell ref="AV2:AY2"/>
    <mergeCell ref="BA2:BD2"/>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O2:O3"/>
    <mergeCell ref="X2:X3"/>
    <mergeCell ref="Y2:Y3"/>
    <mergeCell ref="E2:E3"/>
    <mergeCell ref="F2:F3"/>
    <mergeCell ref="G2:G3"/>
    <mergeCell ref="I2:I3"/>
    <mergeCell ref="N2:N3"/>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5" t="s">
        <v>953</v>
      </c>
      <c r="B1" s="95"/>
      <c r="C1" s="95"/>
      <c r="D1" s="95"/>
      <c r="E1" s="95"/>
      <c r="F1" s="95"/>
      <c r="G1" s="95"/>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954</v>
      </c>
      <c r="U2" s="96"/>
      <c r="V2" s="97" t="s">
        <v>196</v>
      </c>
      <c r="W2" s="97"/>
      <c r="X2" s="97"/>
      <c r="Y2" s="97"/>
      <c r="Z2" s="93" t="s">
        <v>197</v>
      </c>
      <c r="AA2" s="94" t="s">
        <v>198</v>
      </c>
      <c r="AC2" s="93" t="s">
        <v>192</v>
      </c>
      <c r="AD2" s="97" t="s">
        <v>193</v>
      </c>
      <c r="AE2" s="97"/>
      <c r="AF2" s="97"/>
      <c r="AG2" s="97"/>
      <c r="AH2" s="93" t="s">
        <v>194</v>
      </c>
      <c r="AI2" s="94" t="s">
        <v>84</v>
      </c>
      <c r="AJ2" s="96" t="s">
        <v>195</v>
      </c>
      <c r="AK2" s="96"/>
      <c r="AL2" s="96"/>
      <c r="AM2" s="96"/>
      <c r="AN2" s="97" t="s">
        <v>954</v>
      </c>
      <c r="AO2" s="97"/>
      <c r="AP2" s="96" t="s">
        <v>196</v>
      </c>
      <c r="AQ2" s="96"/>
      <c r="AR2" s="96"/>
      <c r="AS2" s="96"/>
      <c r="AT2" s="94" t="s">
        <v>197</v>
      </c>
      <c r="AU2" s="93" t="s">
        <v>198</v>
      </c>
      <c r="AW2" s="94" t="s">
        <v>199</v>
      </c>
      <c r="AX2" s="93" t="s">
        <v>199</v>
      </c>
      <c r="AZ2" s="97" t="s">
        <v>19</v>
      </c>
      <c r="BA2" s="97"/>
      <c r="BB2" s="96" t="s">
        <v>5</v>
      </c>
      <c r="BC2" s="96"/>
      <c r="BD2" s="96"/>
      <c r="BE2" s="96"/>
      <c r="BG2" s="97" t="s">
        <v>955</v>
      </c>
      <c r="BH2" s="97"/>
      <c r="BI2" s="96" t="s">
        <v>200</v>
      </c>
      <c r="BJ2" s="96"/>
      <c r="BK2" s="96"/>
      <c r="BL2" s="96"/>
      <c r="BN2" s="98" t="s">
        <v>993</v>
      </c>
      <c r="BO2" s="99" t="s">
        <v>195</v>
      </c>
      <c r="BP2" s="99"/>
      <c r="BQ2" s="99"/>
      <c r="BR2" s="99"/>
      <c r="BS2" s="99" t="s">
        <v>954</v>
      </c>
      <c r="BT2" s="99"/>
      <c r="BU2" s="99" t="s">
        <v>196</v>
      </c>
      <c r="BV2" s="99"/>
      <c r="BW2" s="99"/>
      <c r="BX2" s="99"/>
    </row>
    <row r="3" spans="1:7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20</v>
      </c>
      <c r="U3" s="1" t="s">
        <v>21</v>
      </c>
      <c r="V3" s="2" t="s">
        <v>6</v>
      </c>
      <c r="W3" s="2" t="s">
        <v>7</v>
      </c>
      <c r="X3" s="2" t="s">
        <v>8</v>
      </c>
      <c r="Y3" s="2" t="s">
        <v>9</v>
      </c>
      <c r="Z3" s="93"/>
      <c r="AA3" s="94"/>
      <c r="AC3" s="93"/>
      <c r="AD3" s="2" t="s">
        <v>27</v>
      </c>
      <c r="AE3" s="2" t="s">
        <v>25</v>
      </c>
      <c r="AF3" s="2" t="s">
        <v>201</v>
      </c>
      <c r="AG3" s="2" t="s">
        <v>9</v>
      </c>
      <c r="AH3" s="93"/>
      <c r="AI3" s="94"/>
      <c r="AJ3" s="1" t="s">
        <v>27</v>
      </c>
      <c r="AK3" s="1" t="s">
        <v>25</v>
      </c>
      <c r="AL3" s="1" t="s">
        <v>26</v>
      </c>
      <c r="AM3" s="1" t="s">
        <v>9</v>
      </c>
      <c r="AN3" s="2" t="s">
        <v>20</v>
      </c>
      <c r="AO3" s="2" t="s">
        <v>21</v>
      </c>
      <c r="AP3" s="1" t="s">
        <v>6</v>
      </c>
      <c r="AQ3" s="1" t="s">
        <v>7</v>
      </c>
      <c r="AR3" s="1" t="s">
        <v>8</v>
      </c>
      <c r="AS3" s="1" t="s">
        <v>9</v>
      </c>
      <c r="AT3" s="94"/>
      <c r="AU3" s="93"/>
      <c r="AW3" s="94"/>
      <c r="AX3" s="93"/>
      <c r="AZ3" s="2" t="s">
        <v>20</v>
      </c>
      <c r="BA3" s="2" t="s">
        <v>21</v>
      </c>
      <c r="BB3" s="1" t="s">
        <v>6</v>
      </c>
      <c r="BC3" s="1" t="s">
        <v>7</v>
      </c>
      <c r="BD3" s="1" t="s">
        <v>8</v>
      </c>
      <c r="BE3" s="1" t="s">
        <v>9</v>
      </c>
      <c r="BG3" s="2" t="s">
        <v>20</v>
      </c>
      <c r="BH3" s="2" t="s">
        <v>21</v>
      </c>
      <c r="BI3" s="1" t="s">
        <v>6</v>
      </c>
      <c r="BJ3" s="1" t="s">
        <v>7</v>
      </c>
      <c r="BK3" s="1" t="s">
        <v>8</v>
      </c>
      <c r="BL3" s="1" t="s">
        <v>9</v>
      </c>
      <c r="BN3" s="98"/>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AX2:AX3"/>
    <mergeCell ref="AZ2:BA2"/>
    <mergeCell ref="AH2:AH3"/>
    <mergeCell ref="AI2:AI3"/>
    <mergeCell ref="AT2:AT3"/>
    <mergeCell ref="AU2:AU3"/>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5" t="s">
        <v>964</v>
      </c>
      <c r="B1" s="95"/>
      <c r="C1" s="95"/>
      <c r="D1" s="95"/>
      <c r="E1" s="95"/>
      <c r="F1" s="95"/>
      <c r="H1" s="91" t="str">
        <f>Summary!C1</f>
        <v>tmc13v11.0</v>
      </c>
      <c r="I1" s="91"/>
      <c r="J1" s="91"/>
      <c r="K1" s="91"/>
      <c r="L1" s="91"/>
      <c r="M1" s="91"/>
      <c r="N1" s="91"/>
      <c r="O1" s="91"/>
      <c r="P1" s="91"/>
      <c r="Q1" s="91"/>
      <c r="R1" s="91"/>
      <c r="S1" s="91"/>
      <c r="T1" s="91"/>
      <c r="U1" s="91"/>
      <c r="W1" s="92" t="str">
        <f>Summary!C2</f>
        <v>m55034_combine_m54701_simplified</v>
      </c>
      <c r="X1" s="92"/>
      <c r="Y1" s="92"/>
      <c r="Z1" s="92"/>
      <c r="AA1" s="92"/>
      <c r="AB1" s="92"/>
      <c r="AC1" s="92"/>
      <c r="AD1" s="92"/>
      <c r="AE1" s="92"/>
      <c r="AF1" s="92"/>
      <c r="AG1" s="92"/>
      <c r="AH1" s="92"/>
      <c r="AI1" s="92"/>
      <c r="AJ1" s="92"/>
      <c r="AS1" s="80" t="s">
        <v>994</v>
      </c>
    </row>
    <row r="2" spans="1:49" ht="30" customHeight="1" thickBot="1" x14ac:dyDescent="0.2">
      <c r="A2" s="93" t="s">
        <v>185</v>
      </c>
      <c r="B2" s="94" t="s">
        <v>186</v>
      </c>
      <c r="C2" s="93" t="s">
        <v>188</v>
      </c>
      <c r="D2" s="94" t="s">
        <v>189</v>
      </c>
      <c r="E2" s="93" t="s">
        <v>190</v>
      </c>
      <c r="F2" s="94" t="s">
        <v>191</v>
      </c>
      <c r="H2" s="93" t="s">
        <v>965</v>
      </c>
      <c r="I2" s="94" t="s">
        <v>192</v>
      </c>
      <c r="J2" s="96" t="s">
        <v>193</v>
      </c>
      <c r="K2" s="96"/>
      <c r="L2" s="96"/>
      <c r="M2" s="96"/>
      <c r="N2" s="94" t="s">
        <v>194</v>
      </c>
      <c r="O2" s="93" t="s">
        <v>84</v>
      </c>
      <c r="P2" s="97" t="s">
        <v>195</v>
      </c>
      <c r="Q2" s="97"/>
      <c r="R2" s="97"/>
      <c r="S2" s="97"/>
      <c r="T2" s="93" t="s">
        <v>197</v>
      </c>
      <c r="U2" s="94" t="s">
        <v>198</v>
      </c>
      <c r="W2" s="93" t="s">
        <v>965</v>
      </c>
      <c r="X2" s="94" t="s">
        <v>192</v>
      </c>
      <c r="Y2" s="96" t="s">
        <v>193</v>
      </c>
      <c r="Z2" s="96"/>
      <c r="AA2" s="96"/>
      <c r="AB2" s="96"/>
      <c r="AC2" s="94" t="s">
        <v>194</v>
      </c>
      <c r="AD2" s="93" t="s">
        <v>84</v>
      </c>
      <c r="AE2" s="97" t="s">
        <v>195</v>
      </c>
      <c r="AF2" s="97"/>
      <c r="AG2" s="97"/>
      <c r="AH2" s="97"/>
      <c r="AI2" s="93" t="s">
        <v>197</v>
      </c>
      <c r="AJ2" s="94" t="s">
        <v>198</v>
      </c>
      <c r="AL2" s="96" t="s">
        <v>24</v>
      </c>
      <c r="AM2" s="96"/>
      <c r="AN2" s="96"/>
      <c r="AO2" s="96"/>
      <c r="AP2" s="94" t="s">
        <v>199</v>
      </c>
      <c r="AQ2" s="93" t="s">
        <v>199</v>
      </c>
      <c r="AS2" s="98" t="s">
        <v>84</v>
      </c>
      <c r="AT2" s="99" t="s">
        <v>195</v>
      </c>
      <c r="AU2" s="99"/>
      <c r="AV2" s="99"/>
      <c r="AW2" s="99"/>
    </row>
    <row r="3" spans="1:49" ht="27.75" thickBot="1" x14ac:dyDescent="0.2">
      <c r="A3" s="93"/>
      <c r="B3" s="94"/>
      <c r="C3" s="93"/>
      <c r="D3" s="94"/>
      <c r="E3" s="93"/>
      <c r="F3" s="94"/>
      <c r="H3" s="93"/>
      <c r="I3" s="94"/>
      <c r="J3" s="1" t="s">
        <v>27</v>
      </c>
      <c r="K3" s="1" t="s">
        <v>25</v>
      </c>
      <c r="L3" s="1" t="s">
        <v>201</v>
      </c>
      <c r="M3" s="1" t="s">
        <v>9</v>
      </c>
      <c r="N3" s="94"/>
      <c r="O3" s="93"/>
      <c r="P3" s="2" t="s">
        <v>27</v>
      </c>
      <c r="Q3" s="2" t="s">
        <v>25</v>
      </c>
      <c r="R3" s="2" t="s">
        <v>26</v>
      </c>
      <c r="S3" s="2" t="s">
        <v>9</v>
      </c>
      <c r="T3" s="93"/>
      <c r="U3" s="94"/>
      <c r="W3" s="93"/>
      <c r="X3" s="94"/>
      <c r="Y3" s="1" t="s">
        <v>27</v>
      </c>
      <c r="Z3" s="1" t="s">
        <v>25</v>
      </c>
      <c r="AA3" s="1" t="s">
        <v>201</v>
      </c>
      <c r="AB3" s="1" t="s">
        <v>9</v>
      </c>
      <c r="AC3" s="94"/>
      <c r="AD3" s="93"/>
      <c r="AE3" s="2" t="s">
        <v>27</v>
      </c>
      <c r="AF3" s="2" t="s">
        <v>25</v>
      </c>
      <c r="AG3" s="2" t="s">
        <v>26</v>
      </c>
      <c r="AH3" s="2" t="s">
        <v>9</v>
      </c>
      <c r="AI3" s="93"/>
      <c r="AJ3" s="94"/>
      <c r="AL3" s="1" t="s">
        <v>27</v>
      </c>
      <c r="AM3" s="1" t="s">
        <v>25</v>
      </c>
      <c r="AN3" s="1" t="s">
        <v>26</v>
      </c>
      <c r="AO3" s="1" t="s">
        <v>9</v>
      </c>
      <c r="AP3" s="94"/>
      <c r="AQ3" s="93"/>
      <c r="AS3" s="98"/>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 ref="AL2:AO2"/>
    <mergeCell ref="A2:A3"/>
    <mergeCell ref="B2:B3"/>
    <mergeCell ref="C2:C3"/>
    <mergeCell ref="D2:D3"/>
    <mergeCell ref="E2:E3"/>
    <mergeCell ref="F2:F3"/>
    <mergeCell ref="H2:H3"/>
    <mergeCell ref="I2:I3"/>
    <mergeCell ref="N2:N3"/>
    <mergeCell ref="O2:O3"/>
    <mergeCell ref="T2:T3"/>
    <mergeCell ref="U2:U3"/>
    <mergeCell ref="W2:W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Normal="100" workbookViewId="0">
      <pane xSplit="2" ySplit="4" topLeftCell="BP5" activePane="bottomRight" state="frozen"/>
      <selection pane="topRight"/>
      <selection pane="bottomLeft"/>
      <selection pane="bottomRight" activeCell="AK5" sqref="AK5:AY249"/>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5" t="s">
        <v>972</v>
      </c>
      <c r="B1" s="95"/>
      <c r="C1" s="95"/>
      <c r="D1" s="95"/>
      <c r="E1" s="95"/>
      <c r="F1" s="95"/>
      <c r="G1" s="95"/>
      <c r="I1" s="91" t="str">
        <f>Summary!C1</f>
        <v>tmc13v11.0</v>
      </c>
      <c r="J1" s="91"/>
      <c r="K1" s="91"/>
      <c r="L1" s="91"/>
      <c r="M1" s="91"/>
      <c r="N1" s="91"/>
      <c r="O1" s="91"/>
      <c r="P1" s="91"/>
      <c r="Q1" s="91"/>
      <c r="R1" s="91"/>
      <c r="S1" s="91"/>
      <c r="T1" s="91"/>
      <c r="U1" s="91"/>
      <c r="V1" s="91"/>
      <c r="W1" s="91"/>
      <c r="X1" s="91"/>
      <c r="Y1" s="91"/>
      <c r="Z1" s="91"/>
      <c r="AA1" s="91"/>
      <c r="AB1" s="91"/>
      <c r="AC1" s="91"/>
      <c r="AE1" s="92" t="str">
        <f>Summary!C2</f>
        <v>m55034_combine_m54701_simplified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7" t="s">
        <v>973</v>
      </c>
      <c r="Y2" s="97"/>
      <c r="Z2" s="97"/>
      <c r="AA2" s="97"/>
      <c r="AB2" s="93" t="s">
        <v>197</v>
      </c>
      <c r="AC2" s="94" t="s">
        <v>198</v>
      </c>
      <c r="AE2" s="93" t="s">
        <v>192</v>
      </c>
      <c r="AF2" s="97" t="s">
        <v>193</v>
      </c>
      <c r="AG2" s="97"/>
      <c r="AH2" s="97"/>
      <c r="AI2" s="97"/>
      <c r="AJ2" s="93" t="s">
        <v>194</v>
      </c>
      <c r="AK2" s="94" t="s">
        <v>84</v>
      </c>
      <c r="AL2" s="96" t="s">
        <v>195</v>
      </c>
      <c r="AM2" s="96"/>
      <c r="AN2" s="96"/>
      <c r="AO2" s="96"/>
      <c r="AP2" s="97" t="s">
        <v>196</v>
      </c>
      <c r="AQ2" s="97"/>
      <c r="AR2" s="97"/>
      <c r="AS2" s="97"/>
      <c r="AT2" s="96" t="s">
        <v>973</v>
      </c>
      <c r="AU2" s="96"/>
      <c r="AV2" s="96"/>
      <c r="AW2" s="96"/>
      <c r="AX2" s="94" t="s">
        <v>197</v>
      </c>
      <c r="AY2" s="93" t="s">
        <v>198</v>
      </c>
      <c r="BA2" s="94" t="s">
        <v>199</v>
      </c>
      <c r="BB2" s="93" t="s">
        <v>199</v>
      </c>
      <c r="BD2" s="97" t="s">
        <v>5</v>
      </c>
      <c r="BE2" s="97"/>
      <c r="BF2" s="97"/>
      <c r="BG2" s="97"/>
      <c r="BI2" s="96" t="s">
        <v>30</v>
      </c>
      <c r="BJ2" s="96"/>
      <c r="BK2" s="96"/>
      <c r="BL2" s="96"/>
      <c r="BN2" s="97" t="s">
        <v>200</v>
      </c>
      <c r="BO2" s="97"/>
      <c r="BP2" s="97"/>
      <c r="BQ2" s="97"/>
      <c r="BS2" s="96" t="s">
        <v>974</v>
      </c>
      <c r="BT2" s="96"/>
      <c r="BU2" s="96"/>
      <c r="BV2" s="96"/>
      <c r="BX2" s="98" t="s">
        <v>84</v>
      </c>
      <c r="BY2" s="99" t="s">
        <v>195</v>
      </c>
      <c r="BZ2" s="99"/>
      <c r="CA2" s="99"/>
      <c r="CB2" s="99"/>
      <c r="CC2" s="99" t="s">
        <v>196</v>
      </c>
      <c r="CD2" s="99"/>
      <c r="CE2" s="99"/>
      <c r="CF2" s="99"/>
      <c r="CG2" s="99" t="s">
        <v>973</v>
      </c>
      <c r="CH2" s="99"/>
      <c r="CI2" s="99"/>
      <c r="CJ2" s="99"/>
    </row>
    <row r="3" spans="1:88"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2" t="s">
        <v>6</v>
      </c>
      <c r="Y3" s="2" t="s">
        <v>7</v>
      </c>
      <c r="Z3" s="2" t="s">
        <v>8</v>
      </c>
      <c r="AA3" s="2" t="s">
        <v>9</v>
      </c>
      <c r="AB3" s="93"/>
      <c r="AC3" s="94"/>
      <c r="AE3" s="93"/>
      <c r="AF3" s="2" t="s">
        <v>27</v>
      </c>
      <c r="AG3" s="2" t="s">
        <v>25</v>
      </c>
      <c r="AH3" s="2" t="s">
        <v>201</v>
      </c>
      <c r="AI3" s="2" t="s">
        <v>9</v>
      </c>
      <c r="AJ3" s="93"/>
      <c r="AK3" s="94"/>
      <c r="AL3" s="1" t="s">
        <v>27</v>
      </c>
      <c r="AM3" s="1" t="s">
        <v>25</v>
      </c>
      <c r="AN3" s="1" t="s">
        <v>26</v>
      </c>
      <c r="AO3" s="1" t="s">
        <v>9</v>
      </c>
      <c r="AP3" s="2" t="s">
        <v>6</v>
      </c>
      <c r="AQ3" s="2" t="s">
        <v>7</v>
      </c>
      <c r="AR3" s="2" t="s">
        <v>8</v>
      </c>
      <c r="AS3" s="2" t="s">
        <v>9</v>
      </c>
      <c r="AT3" s="1" t="s">
        <v>6</v>
      </c>
      <c r="AU3" s="1" t="s">
        <v>7</v>
      </c>
      <c r="AV3" s="1" t="s">
        <v>8</v>
      </c>
      <c r="AW3" s="1" t="s">
        <v>9</v>
      </c>
      <c r="AX3" s="94"/>
      <c r="AY3" s="93"/>
      <c r="BA3" s="94"/>
      <c r="BB3" s="93"/>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8"/>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5.0693696902493031</v>
      </c>
      <c r="K5" s="18">
        <f t="shared" ref="K5:K68" si="2">IF(Q5="","·",Q5/D5)</f>
        <v>0.89312715645865992</v>
      </c>
      <c r="L5" s="18">
        <f t="shared" ref="L5:L68" si="3">IF(ISBLANK(R5),"·",R5/D5)</f>
        <v>4.1759198554510419</v>
      </c>
      <c r="M5" s="19"/>
      <c r="N5" s="18">
        <f t="shared" ref="N5:N68" si="4">IF(ISBLANK(P5),"·",P5/O5)</f>
        <v>5.0693696902493031</v>
      </c>
      <c r="O5" s="20">
        <v>2925514</v>
      </c>
      <c r="P5" s="21">
        <v>14830512</v>
      </c>
      <c r="Q5" s="21">
        <v>2612856</v>
      </c>
      <c r="R5" s="21">
        <v>12216712</v>
      </c>
      <c r="S5" s="37"/>
      <c r="T5" s="38">
        <v>52.663499999999999</v>
      </c>
      <c r="U5" s="38">
        <v>56.465400000000002</v>
      </c>
      <c r="V5" s="38">
        <v>56.251600000000003</v>
      </c>
      <c r="W5" s="39"/>
      <c r="X5" s="38">
        <v>48.130800000000001</v>
      </c>
      <c r="Y5" s="38">
        <v>48.130800000000001</v>
      </c>
      <c r="Z5" s="38">
        <v>48.130800000000001</v>
      </c>
      <c r="AA5" s="39"/>
      <c r="AB5" s="49">
        <v>3.7029999999999998</v>
      </c>
      <c r="AC5" s="49">
        <v>2.8119999999999998</v>
      </c>
      <c r="AE5" s="17" t="str">
        <f t="shared" ref="AE5:AE68" si="5">IF(OR(ISBLANK(AL5),ISBLANK(G5)),"·",AL5*G5/F5/1000000)</f>
        <v>·</v>
      </c>
      <c r="AF5" s="18">
        <f t="shared" ref="AF5:AF68" si="6">IF(ISBLANK(AL5),"·",AL5/D5)</f>
        <v>5.0755662081945259</v>
      </c>
      <c r="AG5" s="18">
        <f t="shared" ref="AG5:AG68" si="7">IF(AM5="","·",AM5/D5)</f>
        <v>0.89312715645865992</v>
      </c>
      <c r="AH5" s="18">
        <f t="shared" ref="AH5:AH68" si="8">IF(ISBLANK(AN5),"·",AN5/D5)</f>
        <v>4.1821163733962647</v>
      </c>
      <c r="AI5" s="19"/>
      <c r="AJ5" s="18">
        <f t="shared" ref="AJ5:AJ68" si="9">IF(ISBLANK(AL5),"·",AL5/AK5)</f>
        <v>5.0755662081945259</v>
      </c>
      <c r="AK5" s="20">
        <v>2925514</v>
      </c>
      <c r="AL5" s="21">
        <v>14848640</v>
      </c>
      <c r="AM5" s="21">
        <v>2612856</v>
      </c>
      <c r="AN5" s="21">
        <v>12234840</v>
      </c>
      <c r="AO5" s="37"/>
      <c r="AP5" s="38">
        <v>52.666800000000002</v>
      </c>
      <c r="AQ5" s="38">
        <v>56.476199999999999</v>
      </c>
      <c r="AR5" s="38">
        <v>56.2515</v>
      </c>
      <c r="AS5" s="39"/>
      <c r="AT5" s="38">
        <v>48.130800000000001</v>
      </c>
      <c r="AU5" s="38">
        <v>48.130800000000001</v>
      </c>
      <c r="AV5" s="38">
        <v>48.130800000000001</v>
      </c>
      <c r="AW5" s="39"/>
      <c r="AX5" s="49">
        <v>3.7029999999999998</v>
      </c>
      <c r="AY5" s="49">
        <v>2.7650000000000001</v>
      </c>
      <c r="BA5" s="53">
        <f t="shared" ref="BA5:BA68" si="10">(AM5/AL5)-(Q5/P5)</f>
        <v>-2.1509115187456906E-4</v>
      </c>
      <c r="BB5" s="53">
        <f t="array" ref="BB5">AVERAGE(AM5:AM9/AL5:AL9)-AVERAGE(Q5:Q9/P5:P9)</f>
        <v>-1.6684920555425919E-3</v>
      </c>
      <c r="BD5" s="54">
        <f>IF(OR(ISBLANK(R5:R9),ISBLANK(AN5:AN9),ISBLANK(T5:T9),ISBLANK(AP5:AP9)),"·",bdRateExtend(R5:R9,T5:T9,AN5:AN9,AP5:AP9))</f>
        <v>3.8410644835331631E-3</v>
      </c>
      <c r="BE5" s="54">
        <f>IF(OR(ISBLANK(R5:R9),ISBLANK(AN5:AN9),ISBLANK(U5:U9),ISBLANK(AQ5:AQ9)),"·",bdRateExtend(R5:R9,U5:U9,AN5:AN9,AQ5:AQ9))</f>
        <v>7.6774297864181662E-3</v>
      </c>
      <c r="BF5" s="54">
        <f>IF(OR(ISBLANK(R5:R9),ISBLANK(AN5:AN9),ISBLANK(V5:V9),ISBLANK(AR5:AR9)),"·",bdRateExtend(R5:R9,V5:V9,AN5:AN9,AR5:AR9))</f>
        <v>1.2701008378678935E-2</v>
      </c>
      <c r="BG5" s="61"/>
      <c r="BI5" s="54">
        <f>IF(OR(ISBLANK(R5:R9),ISBLANK(AN5:AN9),ISBLANK(X5:X9),ISBLANK(AT5:AT9)),"·",bdRateExtend(R5:R9,X5:X9,AN5:AN9,AT5:AT9))</f>
        <v>8.9892777663831414E-3</v>
      </c>
      <c r="BJ5" s="54">
        <f>IF(OR(ISBLANK(R5:R9),ISBLANK(AN5:AN9),ISBLANK(Y5:Y9),ISBLANK(AU5:AU9)),"·",bdRateExtend(R5:R9,Y5:Y9,AN5:AN9,AU5:AU9))</f>
        <v>8.9892777663831414E-3</v>
      </c>
      <c r="BK5" s="54">
        <f>IF(OR(ISBLANK(R5:R9),ISBLANK(AN5:AN9),ISBLANK(Z5:Z9),ISBLANK(AV5:AV9)),"·",bdRateExtend(R5:R9,Z5:Z9,AN5:AN9,AV5:AV9))</f>
        <v>8.9892777663831414E-3</v>
      </c>
      <c r="BL5" s="61"/>
      <c r="BN5" s="54">
        <f>IF(OR(ISBLANK(P5:P9),ISBLANK(AL5:AL9),ISBLANK(T5:T9),ISBLANK(AP5:AP9)),"·",bdRateExtend(P5:P9,T5:T9,AL5:AL9,AP5:AP9))</f>
        <v>2.1530950796435633E-3</v>
      </c>
      <c r="BO5" s="54">
        <f>IF(OR(ISBLANK(P5:P9),ISBLANK(AL5:AL9),ISBLANK(U5:U9),ISBLANK(AQ5:AQ9)),"·",bdRateExtend(P5:P9,U5:U9,AL5:AL9,AQ5:AQ9))</f>
        <v>1.8834949381953958E-3</v>
      </c>
      <c r="BP5" s="54">
        <f>IF(OR(ISBLANK(P5:P9),ISBLANK(AL5:AL9),ISBLANK(V5:V9),ISBLANK(AR5:AR9)),"·",bdRateExtend(P5:P9,V5:V9,AL5:AL9,AR5:AR9))</f>
        <v>1.5034573464411949E-3</v>
      </c>
      <c r="BQ5" s="61"/>
      <c r="BS5" s="54">
        <f>IF(OR(ISBLANK(P5:P9),ISBLANK(AL5:AL9),ISBLANK(X5:X9),ISBLANK(AT5:AT9)),"·",bdRateExtend(P5:P9,X5:X9,AL5:AL9,AT5:AT9))</f>
        <v>3.1459661582222687E-3</v>
      </c>
      <c r="BT5" s="54">
        <f>IF(OR(ISBLANK(P5:P9),ISBLANK(AL5:AL9),ISBLANK(Y5:Y9),ISBLANK(AU5:AU9)),"·",bdRateExtend(P5:P9,Y5:Y9,AL5:AL9,AU5:AU9))</f>
        <v>3.1459661582222687E-3</v>
      </c>
      <c r="BU5" s="54">
        <f>IF(OR(ISBLANK(P5:P9),ISBLANK(AL5:AL9),ISBLANK(Z5:Z9),ISBLANK(AV5:AV9)),"·",bdRateExtend(P5:P9,Z5:Z9,AL5:AL9,AV5:AV9))</f>
        <v>3.1459661582222687E-3</v>
      </c>
      <c r="BV5" s="61"/>
      <c r="BX5">
        <f>AK5-O5</f>
        <v>0</v>
      </c>
      <c r="BY5">
        <f t="shared" ref="BY5:CJ5" si="11">AL5-P5</f>
        <v>18128</v>
      </c>
      <c r="BZ5">
        <f t="shared" si="11"/>
        <v>0</v>
      </c>
      <c r="CA5">
        <f t="shared" si="11"/>
        <v>18128</v>
      </c>
      <c r="CB5">
        <f t="shared" si="11"/>
        <v>0</v>
      </c>
      <c r="CC5">
        <f t="shared" si="11"/>
        <v>3.3000000000029672E-3</v>
      </c>
      <c r="CD5">
        <f t="shared" si="11"/>
        <v>1.0799999999996146E-2</v>
      </c>
      <c r="CE5">
        <f t="shared" si="11"/>
        <v>-1.0000000000331966E-4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3.5273473311014749</v>
      </c>
      <c r="K6" s="23">
        <f t="shared" si="2"/>
        <v>0.89312715645865992</v>
      </c>
      <c r="L6" s="23">
        <f t="shared" si="3"/>
        <v>2.6338974963032138</v>
      </c>
      <c r="M6" s="24"/>
      <c r="N6" s="23">
        <f t="shared" si="4"/>
        <v>3.5273473311014749</v>
      </c>
      <c r="O6" s="25">
        <v>2925514</v>
      </c>
      <c r="P6" s="26">
        <v>10319304</v>
      </c>
      <c r="Q6" s="26">
        <v>2612856</v>
      </c>
      <c r="R6" s="26">
        <v>7705504</v>
      </c>
      <c r="S6" s="40"/>
      <c r="T6" s="41">
        <v>48.121099999999998</v>
      </c>
      <c r="U6" s="41">
        <v>51.726999999999997</v>
      </c>
      <c r="V6" s="41">
        <v>52.2605</v>
      </c>
      <c r="W6" s="42"/>
      <c r="X6" s="41">
        <v>42.110199999999999</v>
      </c>
      <c r="Y6" s="41">
        <v>42.110199999999999</v>
      </c>
      <c r="Z6" s="41">
        <v>42.110199999999999</v>
      </c>
      <c r="AA6" s="42"/>
      <c r="AB6" s="50">
        <v>3.7029999999999998</v>
      </c>
      <c r="AC6" s="50">
        <v>2.6869999999999998</v>
      </c>
      <c r="AE6" s="22" t="str">
        <f t="shared" si="5"/>
        <v>·</v>
      </c>
      <c r="AF6" s="23">
        <f t="shared" si="6"/>
        <v>3.5351572407447032</v>
      </c>
      <c r="AG6" s="23">
        <f t="shared" si="7"/>
        <v>0.89312715645865992</v>
      </c>
      <c r="AH6" s="23">
        <f t="shared" si="8"/>
        <v>2.641707405946442</v>
      </c>
      <c r="AI6" s="24"/>
      <c r="AJ6" s="23">
        <f t="shared" si="9"/>
        <v>3.5351572407447032</v>
      </c>
      <c r="AK6" s="25">
        <v>2925514</v>
      </c>
      <c r="AL6" s="26">
        <v>10342152</v>
      </c>
      <c r="AM6" s="26">
        <v>2612856</v>
      </c>
      <c r="AN6" s="26">
        <v>7728352</v>
      </c>
      <c r="AO6" s="40"/>
      <c r="AP6" s="41">
        <v>48.120899999999999</v>
      </c>
      <c r="AQ6" s="41">
        <v>51.728499999999997</v>
      </c>
      <c r="AR6" s="41">
        <v>52.267800000000001</v>
      </c>
      <c r="AS6" s="42"/>
      <c r="AT6" s="41">
        <v>42.110199999999999</v>
      </c>
      <c r="AU6" s="41">
        <v>42.110199999999999</v>
      </c>
      <c r="AV6" s="41">
        <v>42.110199999999999</v>
      </c>
      <c r="AW6" s="42"/>
      <c r="AX6" s="50">
        <v>3.718</v>
      </c>
      <c r="AY6" s="50">
        <v>2.6869999999999998</v>
      </c>
      <c r="BA6" s="55">
        <f t="shared" si="10"/>
        <v>-5.5937408538053734E-4</v>
      </c>
      <c r="BB6" s="55"/>
      <c r="BD6" s="56"/>
      <c r="BE6" s="56"/>
      <c r="BF6" s="56"/>
      <c r="BG6" s="62"/>
      <c r="BI6" s="56"/>
      <c r="BJ6" s="56"/>
      <c r="BK6" s="56"/>
      <c r="BL6" s="62"/>
      <c r="BN6" s="56"/>
      <c r="BO6" s="56"/>
      <c r="BP6" s="56"/>
      <c r="BQ6" s="62"/>
      <c r="BS6" s="56"/>
      <c r="BT6" s="56"/>
      <c r="BU6" s="56"/>
      <c r="BV6" s="62"/>
      <c r="BX6">
        <f t="shared" ref="BX6:BX69" si="12">AK6-O6</f>
        <v>0</v>
      </c>
      <c r="BY6">
        <f t="shared" ref="BY6:BY69" si="13">AL6-P6</f>
        <v>22848</v>
      </c>
      <c r="BZ6">
        <f t="shared" ref="BZ6:BZ69" si="14">AM6-Q6</f>
        <v>0</v>
      </c>
      <c r="CA6">
        <f t="shared" ref="CA6:CA69" si="15">AN6-R6</f>
        <v>22848</v>
      </c>
      <c r="CB6">
        <f t="shared" ref="CB6:CB69" si="16">AO6-S6</f>
        <v>0</v>
      </c>
      <c r="CC6">
        <f t="shared" ref="CC6:CC69" si="17">AP6-T6</f>
        <v>-1.9999999999953388E-4</v>
      </c>
      <c r="CD6">
        <f t="shared" ref="CD6:CD69" si="18">AQ6-U6</f>
        <v>1.5000000000000568E-3</v>
      </c>
      <c r="CE6">
        <f t="shared" ref="CE6:CE69" si="19">AR6-V6</f>
        <v>7.3000000000007503E-3</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1.9524746762449265</v>
      </c>
      <c r="K7" s="18">
        <f t="shared" si="2"/>
        <v>0.89312715645865992</v>
      </c>
      <c r="L7" s="18">
        <f t="shared" si="3"/>
        <v>1.0590248414466654</v>
      </c>
      <c r="M7" s="19"/>
      <c r="N7" s="18">
        <f t="shared" si="4"/>
        <v>1.9524746762449265</v>
      </c>
      <c r="O7" s="20">
        <v>2925514</v>
      </c>
      <c r="P7" s="21">
        <v>5711992</v>
      </c>
      <c r="Q7" s="21">
        <v>2612856</v>
      </c>
      <c r="R7" s="21">
        <v>3098192</v>
      </c>
      <c r="S7" s="37"/>
      <c r="T7" s="38">
        <v>41.509900000000002</v>
      </c>
      <c r="U7" s="38">
        <v>46.295299999999997</v>
      </c>
      <c r="V7" s="38">
        <v>47.761899999999997</v>
      </c>
      <c r="W7" s="39"/>
      <c r="X7" s="38">
        <v>34.151400000000002</v>
      </c>
      <c r="Y7" s="38">
        <v>34.151400000000002</v>
      </c>
      <c r="Z7" s="38">
        <v>34.151400000000002</v>
      </c>
      <c r="AA7" s="39"/>
      <c r="AB7" s="49">
        <v>3.6709999999999998</v>
      </c>
      <c r="AC7" s="49">
        <v>2.7029999999999998</v>
      </c>
      <c r="AE7" s="17" t="str">
        <f t="shared" si="5"/>
        <v>·</v>
      </c>
      <c r="AF7" s="18">
        <f t="shared" si="6"/>
        <v>1.9596064144625525</v>
      </c>
      <c r="AG7" s="18">
        <f t="shared" si="7"/>
        <v>0.89312715645865992</v>
      </c>
      <c r="AH7" s="18">
        <f t="shared" si="8"/>
        <v>1.0661565796642916</v>
      </c>
      <c r="AI7" s="19"/>
      <c r="AJ7" s="18">
        <f t="shared" si="9"/>
        <v>1.9596064144625525</v>
      </c>
      <c r="AK7" s="20">
        <v>2925514</v>
      </c>
      <c r="AL7" s="21">
        <v>5732856</v>
      </c>
      <c r="AM7" s="21">
        <v>2612856</v>
      </c>
      <c r="AN7" s="21">
        <v>3119056</v>
      </c>
      <c r="AO7" s="37"/>
      <c r="AP7" s="38">
        <v>41.516800000000003</v>
      </c>
      <c r="AQ7" s="38">
        <v>46.324199999999998</v>
      </c>
      <c r="AR7" s="38">
        <v>47.803600000000003</v>
      </c>
      <c r="AS7" s="39"/>
      <c r="AT7" s="38">
        <v>34.151400000000002</v>
      </c>
      <c r="AU7" s="38">
        <v>34.151400000000002</v>
      </c>
      <c r="AV7" s="38">
        <v>34.151400000000002</v>
      </c>
      <c r="AW7" s="39"/>
      <c r="AX7" s="49">
        <v>3.64</v>
      </c>
      <c r="AY7" s="49">
        <v>2.625</v>
      </c>
      <c r="BA7" s="53">
        <f t="shared" si="10"/>
        <v>-1.6647707085168384E-3</v>
      </c>
      <c r="BB7" s="53"/>
      <c r="BD7" s="54"/>
      <c r="BE7" s="54"/>
      <c r="BF7" s="54"/>
      <c r="BG7" s="61"/>
      <c r="BI7" s="54"/>
      <c r="BJ7" s="54"/>
      <c r="BK7" s="54"/>
      <c r="BL7" s="61"/>
      <c r="BN7" s="54"/>
      <c r="BO7" s="54"/>
      <c r="BP7" s="54"/>
      <c r="BQ7" s="61"/>
      <c r="BS7" s="54"/>
      <c r="BT7" s="54"/>
      <c r="BU7" s="54"/>
      <c r="BV7" s="61"/>
      <c r="BX7">
        <f t="shared" si="12"/>
        <v>0</v>
      </c>
      <c r="BY7">
        <f t="shared" si="13"/>
        <v>20864</v>
      </c>
      <c r="BZ7">
        <f t="shared" si="14"/>
        <v>0</v>
      </c>
      <c r="CA7">
        <f t="shared" si="15"/>
        <v>20864</v>
      </c>
      <c r="CB7">
        <f t="shared" si="16"/>
        <v>0</v>
      </c>
      <c r="CC7">
        <f t="shared" si="17"/>
        <v>6.9000000000016826E-3</v>
      </c>
      <c r="CD7">
        <f t="shared" si="18"/>
        <v>2.8900000000000148E-2</v>
      </c>
      <c r="CE7">
        <f t="shared" si="19"/>
        <v>4.1700000000005844E-2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1.2972216164407349</v>
      </c>
      <c r="K8" s="23">
        <f t="shared" si="2"/>
        <v>0.89312715645865992</v>
      </c>
      <c r="L8" s="23">
        <f t="shared" si="3"/>
        <v>0.40377178164247379</v>
      </c>
      <c r="M8" s="24"/>
      <c r="N8" s="23">
        <f t="shared" si="4"/>
        <v>1.2972216164407349</v>
      </c>
      <c r="O8" s="25">
        <v>2925514</v>
      </c>
      <c r="P8" s="26">
        <v>3795040</v>
      </c>
      <c r="Q8" s="26">
        <v>2612856</v>
      </c>
      <c r="R8" s="26">
        <v>1181240</v>
      </c>
      <c r="S8" s="40"/>
      <c r="T8" s="41">
        <v>36.183700000000002</v>
      </c>
      <c r="U8" s="41">
        <v>41.981900000000003</v>
      </c>
      <c r="V8" s="41">
        <v>43.149900000000002</v>
      </c>
      <c r="W8" s="42"/>
      <c r="X8" s="41">
        <v>28.130800000000001</v>
      </c>
      <c r="Y8" s="41">
        <v>28.130800000000001</v>
      </c>
      <c r="Z8" s="41">
        <v>28.130800000000001</v>
      </c>
      <c r="AA8" s="42"/>
      <c r="AB8" s="50">
        <v>3.64</v>
      </c>
      <c r="AC8" s="50">
        <v>2.609</v>
      </c>
      <c r="AE8" s="22" t="str">
        <f t="shared" si="5"/>
        <v>·</v>
      </c>
      <c r="AF8" s="23">
        <f t="shared" si="6"/>
        <v>1.3026469878455547</v>
      </c>
      <c r="AG8" s="23">
        <f t="shared" si="7"/>
        <v>0.89312715645865992</v>
      </c>
      <c r="AH8" s="23">
        <f t="shared" si="8"/>
        <v>0.40919715304729359</v>
      </c>
      <c r="AI8" s="24"/>
      <c r="AJ8" s="23">
        <f t="shared" si="9"/>
        <v>1.3026469878455547</v>
      </c>
      <c r="AK8" s="25">
        <v>2925514</v>
      </c>
      <c r="AL8" s="26">
        <v>3810912</v>
      </c>
      <c r="AM8" s="26">
        <v>2612856</v>
      </c>
      <c r="AN8" s="26">
        <v>1197112</v>
      </c>
      <c r="AO8" s="40"/>
      <c r="AP8" s="41">
        <v>36.207900000000002</v>
      </c>
      <c r="AQ8" s="41">
        <v>42.013800000000003</v>
      </c>
      <c r="AR8" s="41">
        <v>43.238599999999998</v>
      </c>
      <c r="AS8" s="42"/>
      <c r="AT8" s="41">
        <v>28.130800000000001</v>
      </c>
      <c r="AU8" s="41">
        <v>28.130800000000001</v>
      </c>
      <c r="AV8" s="41">
        <v>28.130800000000001</v>
      </c>
      <c r="AW8" s="42"/>
      <c r="AX8" s="50">
        <v>3.5779999999999998</v>
      </c>
      <c r="AY8" s="50">
        <v>2.6709999999999998</v>
      </c>
      <c r="BA8" s="55">
        <f t="shared" si="10"/>
        <v>-2.8674896051065213E-3</v>
      </c>
      <c r="BB8" s="55"/>
      <c r="BD8" s="56"/>
      <c r="BE8" s="56"/>
      <c r="BF8" s="56"/>
      <c r="BG8" s="62"/>
      <c r="BI8" s="56"/>
      <c r="BJ8" s="56"/>
      <c r="BK8" s="56"/>
      <c r="BL8" s="62"/>
      <c r="BN8" s="56"/>
      <c r="BO8" s="56"/>
      <c r="BP8" s="56"/>
      <c r="BQ8" s="62"/>
      <c r="BS8" s="56"/>
      <c r="BT8" s="56"/>
      <c r="BU8" s="56"/>
      <c r="BV8" s="62"/>
      <c r="BX8">
        <f t="shared" si="12"/>
        <v>0</v>
      </c>
      <c r="BY8">
        <f t="shared" si="13"/>
        <v>15872</v>
      </c>
      <c r="BZ8">
        <f t="shared" si="14"/>
        <v>0</v>
      </c>
      <c r="CA8">
        <f t="shared" si="15"/>
        <v>15872</v>
      </c>
      <c r="CB8">
        <f t="shared" si="16"/>
        <v>0</v>
      </c>
      <c r="CC8">
        <f t="shared" si="17"/>
        <v>2.4200000000000443E-2</v>
      </c>
      <c r="CD8">
        <f t="shared" si="18"/>
        <v>3.1900000000000261E-2</v>
      </c>
      <c r="CE8">
        <f t="shared" si="19"/>
        <v>8.8699999999995782E-2</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1.0157968821889076</v>
      </c>
      <c r="K9" s="28">
        <f t="shared" si="2"/>
        <v>0.89312715645865992</v>
      </c>
      <c r="L9" s="28">
        <f t="shared" si="3"/>
        <v>0.12234704739064657</v>
      </c>
      <c r="M9" s="29"/>
      <c r="N9" s="28">
        <f t="shared" si="4"/>
        <v>1.0157968821889076</v>
      </c>
      <c r="O9" s="30">
        <v>2925514</v>
      </c>
      <c r="P9" s="31">
        <v>2971728</v>
      </c>
      <c r="Q9" s="31">
        <v>2612856</v>
      </c>
      <c r="R9" s="31">
        <v>357928</v>
      </c>
      <c r="S9" s="43"/>
      <c r="T9" s="44">
        <v>29.854500000000002</v>
      </c>
      <c r="U9" s="44">
        <v>36.003100000000003</v>
      </c>
      <c r="V9" s="44">
        <v>38.9574</v>
      </c>
      <c r="W9" s="45"/>
      <c r="X9" s="44">
        <v>21.686399999999999</v>
      </c>
      <c r="Y9" s="44">
        <v>21.686399999999999</v>
      </c>
      <c r="Z9" s="44">
        <v>21.686399999999999</v>
      </c>
      <c r="AA9" s="45"/>
      <c r="AB9" s="51">
        <v>3.609</v>
      </c>
      <c r="AC9" s="51">
        <v>2.5779999999999998</v>
      </c>
      <c r="AE9" s="27" t="str">
        <f t="shared" si="5"/>
        <v>·</v>
      </c>
      <c r="AF9" s="28">
        <f t="shared" si="6"/>
        <v>1.0193162637403206</v>
      </c>
      <c r="AG9" s="28">
        <f t="shared" si="7"/>
        <v>0.89312715645865992</v>
      </c>
      <c r="AH9" s="28">
        <f t="shared" si="8"/>
        <v>0.12586642894205941</v>
      </c>
      <c r="AI9" s="29"/>
      <c r="AJ9" s="28">
        <f t="shared" si="9"/>
        <v>1.0193162637403206</v>
      </c>
      <c r="AK9" s="30">
        <v>2925514</v>
      </c>
      <c r="AL9" s="31">
        <v>2982024</v>
      </c>
      <c r="AM9" s="31">
        <v>2612856</v>
      </c>
      <c r="AN9" s="31">
        <v>368224</v>
      </c>
      <c r="AO9" s="43"/>
      <c r="AP9" s="44">
        <v>30.057400000000001</v>
      </c>
      <c r="AQ9" s="44">
        <v>35.936900000000001</v>
      </c>
      <c r="AR9" s="44">
        <v>38.453499999999998</v>
      </c>
      <c r="AS9" s="45"/>
      <c r="AT9" s="44">
        <v>21.686399999999999</v>
      </c>
      <c r="AU9" s="44">
        <v>21.686399999999999</v>
      </c>
      <c r="AV9" s="44">
        <v>21.686399999999999</v>
      </c>
      <c r="AW9" s="45"/>
      <c r="AX9" s="51">
        <v>3.5459999999999998</v>
      </c>
      <c r="AY9" s="51">
        <v>2.64</v>
      </c>
      <c r="BA9" s="57">
        <f t="shared" si="10"/>
        <v>-3.0357347268346047E-3</v>
      </c>
      <c r="BB9" s="57"/>
      <c r="BD9" s="58"/>
      <c r="BE9" s="58"/>
      <c r="BF9" s="58"/>
      <c r="BG9" s="63"/>
      <c r="BI9" s="58"/>
      <c r="BJ9" s="58"/>
      <c r="BK9" s="58"/>
      <c r="BL9" s="63"/>
      <c r="BN9" s="58"/>
      <c r="BO9" s="58"/>
      <c r="BP9" s="58"/>
      <c r="BQ9" s="63"/>
      <c r="BS9" s="58"/>
      <c r="BT9" s="58"/>
      <c r="BU9" s="58"/>
      <c r="BV9" s="63"/>
      <c r="BX9">
        <f t="shared" si="12"/>
        <v>0</v>
      </c>
      <c r="BY9">
        <f t="shared" si="13"/>
        <v>10296</v>
      </c>
      <c r="BZ9">
        <f t="shared" si="14"/>
        <v>0</v>
      </c>
      <c r="CA9">
        <f t="shared" si="15"/>
        <v>10296</v>
      </c>
      <c r="CB9">
        <f t="shared" si="16"/>
        <v>0</v>
      </c>
      <c r="CC9">
        <f t="shared" si="17"/>
        <v>0.20289999999999964</v>
      </c>
      <c r="CD9">
        <f t="shared" si="18"/>
        <v>-6.6200000000002035E-2</v>
      </c>
      <c r="CE9">
        <f t="shared" si="19"/>
        <v>-0.50390000000000157</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6.5095764918403072</v>
      </c>
      <c r="K10" s="23">
        <f t="shared" si="2"/>
        <v>3.5692277743026581</v>
      </c>
      <c r="L10" s="23">
        <f t="shared" si="3"/>
        <v>2.9401082424275389</v>
      </c>
      <c r="M10" s="24"/>
      <c r="N10" s="23">
        <f t="shared" si="4"/>
        <v>6.5095764918403072</v>
      </c>
      <c r="O10" s="25">
        <v>3493085</v>
      </c>
      <c r="P10" s="26">
        <v>22738504</v>
      </c>
      <c r="Q10" s="26">
        <v>12467616</v>
      </c>
      <c r="R10" s="26">
        <v>10270048</v>
      </c>
      <c r="S10" s="40"/>
      <c r="T10" s="41">
        <v>52.548099999999998</v>
      </c>
      <c r="U10" s="41">
        <v>56.719700000000003</v>
      </c>
      <c r="V10" s="41">
        <v>56.473799999999997</v>
      </c>
      <c r="W10" s="42"/>
      <c r="X10" s="41">
        <v>48.130800000000001</v>
      </c>
      <c r="Y10" s="41">
        <v>48.130800000000001</v>
      </c>
      <c r="Z10" s="41">
        <v>48.130800000000001</v>
      </c>
      <c r="AA10" s="42"/>
      <c r="AB10" s="50">
        <v>5.6559999999999997</v>
      </c>
      <c r="AC10" s="50">
        <v>4.609</v>
      </c>
      <c r="AE10" s="22" t="str">
        <f t="shared" si="5"/>
        <v>·</v>
      </c>
      <c r="AF10" s="23">
        <f t="shared" si="6"/>
        <v>6.5106803871076711</v>
      </c>
      <c r="AG10" s="23">
        <f t="shared" si="7"/>
        <v>3.5692277743026581</v>
      </c>
      <c r="AH10" s="23">
        <f t="shared" si="8"/>
        <v>2.9412121376949028</v>
      </c>
      <c r="AI10" s="24"/>
      <c r="AJ10" s="23">
        <f t="shared" si="9"/>
        <v>6.5106803871076711</v>
      </c>
      <c r="AK10" s="25">
        <v>3493085</v>
      </c>
      <c r="AL10" s="26">
        <v>22742360</v>
      </c>
      <c r="AM10" s="26">
        <v>12467616</v>
      </c>
      <c r="AN10" s="26">
        <v>10273904</v>
      </c>
      <c r="AO10" s="40"/>
      <c r="AP10" s="41">
        <v>52.547600000000003</v>
      </c>
      <c r="AQ10" s="41">
        <v>56.724200000000003</v>
      </c>
      <c r="AR10" s="41">
        <v>56.4758</v>
      </c>
      <c r="AS10" s="42"/>
      <c r="AT10" s="41">
        <v>48.130800000000001</v>
      </c>
      <c r="AU10" s="41">
        <v>48.130800000000001</v>
      </c>
      <c r="AV10" s="41">
        <v>48.130800000000001</v>
      </c>
      <c r="AW10" s="42"/>
      <c r="AX10" s="50">
        <v>5.6870000000000003</v>
      </c>
      <c r="AY10" s="50">
        <v>4.5</v>
      </c>
      <c r="BA10" s="55">
        <f t="shared" si="10"/>
        <v>-9.2965760109642304E-5</v>
      </c>
      <c r="BB10" s="55">
        <f t="array" ref="BB10">AVERAGE(AM10:AM14/AL10:AL14)-AVERAGE(Q10:Q14/P10:P14)</f>
        <v>-1.0385636414877997E-4</v>
      </c>
      <c r="BD10" s="56">
        <f>IF(OR(ISBLANK(R10:R14),ISBLANK(AN10:AN14),ISBLANK(T10:T14),ISBLANK(AP10:AP14)),"·",bdRateExtend(R10:R14,T10:T14,AN10:AN14,AP10:AP14))</f>
        <v>4.7326167403283215E-4</v>
      </c>
      <c r="BE10" s="56">
        <f>IF(OR(ISBLANK(R10:R14),ISBLANK(AN10:AN14),ISBLANK(U10:U14),ISBLANK(AQ10:AQ14)),"·",bdRateExtend(R10:R14,U10:U14,AN10:AN14,AQ10:AQ14))</f>
        <v>-3.2109376723183924E-3</v>
      </c>
      <c r="BF10" s="56">
        <f>IF(OR(ISBLANK(R10:R14),ISBLANK(AN10:AN14),ISBLANK(V10:V14),ISBLANK(AR10:AR14)),"·",bdRateExtend(R10:R14,V10:V14,AN10:AN14,AR10:AR14))</f>
        <v>-3.0434221526470684E-2</v>
      </c>
      <c r="BG10" s="62"/>
      <c r="BI10" s="56">
        <f>IF(OR(ISBLANK(R10:R14),ISBLANK(AN10:AN14),ISBLANK(X10:X14),ISBLANK(AT10:AT14)),"·",bdRateExtend(R10:R14,X10:X14,AN10:AN14,AT10:AT14))</f>
        <v>1.1984202651662557E-3</v>
      </c>
      <c r="BJ10" s="56">
        <f>IF(OR(ISBLANK(R10:R14),ISBLANK(AN10:AN14),ISBLANK(Y10:Y14),ISBLANK(AU10:AU14)),"·",bdRateExtend(R10:R14,Y10:Y14,AN10:AN14,AU10:AU14))</f>
        <v>1.1984202651662557E-3</v>
      </c>
      <c r="BK10" s="56">
        <f>IF(OR(ISBLANK(R10:R14),ISBLANK(AN10:AN14),ISBLANK(Z10:Z14),ISBLANK(AV10:AV14)),"·",bdRateExtend(R10:R14,Z10:Z14,AN10:AN14,AV10:AV14))</f>
        <v>1.1984202651662557E-3</v>
      </c>
      <c r="BL10" s="62"/>
      <c r="BN10" s="56">
        <f>IF(OR(ISBLANK(P10:P14),ISBLANK(AL10:AL14),ISBLANK(T10:T14),ISBLANK(AP10:AP14)),"·",bdRateExtend(P10:P14,T10:T14,AL10:AL14,AP10:AP14))</f>
        <v>1.6908764552114874E-4</v>
      </c>
      <c r="BO10" s="56">
        <f>IF(OR(ISBLANK(P10:P14),ISBLANK(AL10:AL14),ISBLANK(U10:U14),ISBLANK(AQ10:AQ14)),"·",bdRateExtend(P10:P14,U10:U14,AL10:AL14,AQ10:AQ14))</f>
        <v>8.7831506560887007E-5</v>
      </c>
      <c r="BP10" s="56">
        <f>IF(OR(ISBLANK(P10:P14),ISBLANK(AL10:AL14),ISBLANK(V10:V14),ISBLANK(AR10:AR14)),"·",bdRateExtend(P10:P14,V10:V14,AL10:AL14,AR10:AR14))</f>
        <v>-1.3653066603063202E-3</v>
      </c>
      <c r="BQ10" s="62"/>
      <c r="BS10" s="56">
        <f>IF(OR(ISBLANK(P10:P14),ISBLANK(AL10:AL14),ISBLANK(X10:X14),ISBLANK(AT10:AT14)),"·",bdRateExtend(P10:P14,X10:X14,AL10:AL14,AT10:AT14))</f>
        <v>2.0059403867533909E-4</v>
      </c>
      <c r="BT10" s="56">
        <f>IF(OR(ISBLANK(P10:P14),ISBLANK(AL10:AL14),ISBLANK(Y10:Y14),ISBLANK(AU10:AU14)),"·",bdRateExtend(P10:P14,Y10:Y14,AL10:AL14,AU10:AU14))</f>
        <v>2.0059403867533909E-4</v>
      </c>
      <c r="BU10" s="56">
        <f>IF(OR(ISBLANK(P10:P14),ISBLANK(AL10:AL14),ISBLANK(Z10:Z14),ISBLANK(AV10:AV14)),"·",bdRateExtend(P10:P14,Z10:Z14,AL10:AL14,AV10:AV14))</f>
        <v>2.0059403867533909E-4</v>
      </c>
      <c r="BV10" s="62"/>
      <c r="BX10">
        <f t="shared" si="12"/>
        <v>0</v>
      </c>
      <c r="BY10">
        <f t="shared" si="13"/>
        <v>3856</v>
      </c>
      <c r="BZ10">
        <f t="shared" si="14"/>
        <v>0</v>
      </c>
      <c r="CA10">
        <f t="shared" si="15"/>
        <v>3856</v>
      </c>
      <c r="CB10">
        <f t="shared" si="16"/>
        <v>0</v>
      </c>
      <c r="CC10">
        <f t="shared" si="17"/>
        <v>-4.99999999995282E-4</v>
      </c>
      <c r="CD10">
        <f t="shared" si="18"/>
        <v>4.5000000000001705E-3</v>
      </c>
      <c r="CE10">
        <f t="shared" si="19"/>
        <v>2.0000000000024443E-3</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5.3844827709603402</v>
      </c>
      <c r="K11" s="18">
        <f t="shared" si="2"/>
        <v>3.5692277743026581</v>
      </c>
      <c r="L11" s="18">
        <f t="shared" si="3"/>
        <v>1.8150145215475719</v>
      </c>
      <c r="M11" s="19"/>
      <c r="N11" s="18">
        <f t="shared" si="4"/>
        <v>5.3844827709603402</v>
      </c>
      <c r="O11" s="20">
        <v>3493085</v>
      </c>
      <c r="P11" s="21">
        <v>18808456</v>
      </c>
      <c r="Q11" s="21">
        <v>12467616</v>
      </c>
      <c r="R11" s="21">
        <v>6340000</v>
      </c>
      <c r="S11" s="37"/>
      <c r="T11" s="38">
        <v>47.896599999999999</v>
      </c>
      <c r="U11" s="38">
        <v>52.764400000000002</v>
      </c>
      <c r="V11" s="38">
        <v>52.598999999999997</v>
      </c>
      <c r="W11" s="39"/>
      <c r="X11" s="38">
        <v>42.110199999999999</v>
      </c>
      <c r="Y11" s="38">
        <v>42.110199999999999</v>
      </c>
      <c r="Z11" s="38">
        <v>42.110199999999999</v>
      </c>
      <c r="AA11" s="39"/>
      <c r="AB11" s="49">
        <v>5.64</v>
      </c>
      <c r="AC11" s="49">
        <v>4.5</v>
      </c>
      <c r="AE11" s="17" t="str">
        <f t="shared" si="5"/>
        <v>·</v>
      </c>
      <c r="AF11" s="18">
        <f t="shared" si="6"/>
        <v>5.3854011568570472</v>
      </c>
      <c r="AG11" s="18">
        <f t="shared" si="7"/>
        <v>3.5692277743026581</v>
      </c>
      <c r="AH11" s="18">
        <f t="shared" si="8"/>
        <v>1.8159329074442792</v>
      </c>
      <c r="AI11" s="19"/>
      <c r="AJ11" s="18">
        <f t="shared" si="9"/>
        <v>5.3854011568570472</v>
      </c>
      <c r="AK11" s="20">
        <v>3493085</v>
      </c>
      <c r="AL11" s="21">
        <v>18811664</v>
      </c>
      <c r="AM11" s="21">
        <v>12467616</v>
      </c>
      <c r="AN11" s="21">
        <v>6343208</v>
      </c>
      <c r="AO11" s="37"/>
      <c r="AP11" s="38">
        <v>47.8962</v>
      </c>
      <c r="AQ11" s="38">
        <v>52.768500000000003</v>
      </c>
      <c r="AR11" s="38">
        <v>52.5901</v>
      </c>
      <c r="AS11" s="39"/>
      <c r="AT11" s="38">
        <v>42.110199999999999</v>
      </c>
      <c r="AU11" s="38">
        <v>42.110199999999999</v>
      </c>
      <c r="AV11" s="38">
        <v>42.110199999999999</v>
      </c>
      <c r="AW11" s="39"/>
      <c r="AX11" s="49">
        <v>5.718</v>
      </c>
      <c r="AY11" s="49">
        <v>4.6399999999999997</v>
      </c>
      <c r="BA11" s="53">
        <f t="shared" si="10"/>
        <v>-1.1304137166578965E-4</v>
      </c>
      <c r="BB11" s="53"/>
      <c r="BD11" s="54"/>
      <c r="BE11" s="54"/>
      <c r="BF11" s="54"/>
      <c r="BG11" s="61"/>
      <c r="BI11" s="54"/>
      <c r="BJ11" s="54"/>
      <c r="BK11" s="54"/>
      <c r="BL11" s="61"/>
      <c r="BN11" s="54"/>
      <c r="BO11" s="54"/>
      <c r="BP11" s="54"/>
      <c r="BQ11" s="61"/>
      <c r="BS11" s="54"/>
      <c r="BT11" s="54"/>
      <c r="BU11" s="54"/>
      <c r="BV11" s="61"/>
      <c r="BX11">
        <f t="shared" si="12"/>
        <v>0</v>
      </c>
      <c r="BY11">
        <f t="shared" si="13"/>
        <v>3208</v>
      </c>
      <c r="BZ11">
        <f t="shared" si="14"/>
        <v>0</v>
      </c>
      <c r="CA11">
        <f t="shared" si="15"/>
        <v>3208</v>
      </c>
      <c r="CB11">
        <f t="shared" si="16"/>
        <v>0</v>
      </c>
      <c r="CC11">
        <f t="shared" si="17"/>
        <v>-3.9999999999906777E-4</v>
      </c>
      <c r="CD11">
        <f t="shared" si="18"/>
        <v>4.1000000000011028E-3</v>
      </c>
      <c r="CE11">
        <f t="shared" si="19"/>
        <v>-8.8999999999970214E-3</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4.2257843711218017</v>
      </c>
      <c r="K12" s="23">
        <f t="shared" si="2"/>
        <v>3.5692277743026581</v>
      </c>
      <c r="L12" s="23">
        <f t="shared" si="3"/>
        <v>0.65631612170903375</v>
      </c>
      <c r="M12" s="24"/>
      <c r="N12" s="23">
        <f t="shared" si="4"/>
        <v>4.2257843711218017</v>
      </c>
      <c r="O12" s="25">
        <v>3493085</v>
      </c>
      <c r="P12" s="26">
        <v>14761024</v>
      </c>
      <c r="Q12" s="26">
        <v>12467616</v>
      </c>
      <c r="R12" s="26">
        <v>2292568</v>
      </c>
      <c r="S12" s="40"/>
      <c r="T12" s="41">
        <v>41.229199999999999</v>
      </c>
      <c r="U12" s="41">
        <v>48.2926</v>
      </c>
      <c r="V12" s="41">
        <v>48.255000000000003</v>
      </c>
      <c r="W12" s="42"/>
      <c r="X12" s="41">
        <v>34.151400000000002</v>
      </c>
      <c r="Y12" s="41">
        <v>34.151400000000002</v>
      </c>
      <c r="Z12" s="41">
        <v>34.151400000000002</v>
      </c>
      <c r="AA12" s="42"/>
      <c r="AB12" s="50">
        <v>5.6710000000000003</v>
      </c>
      <c r="AC12" s="50">
        <v>4.5309999999999997</v>
      </c>
      <c r="AE12" s="22" t="str">
        <f t="shared" si="5"/>
        <v>·</v>
      </c>
      <c r="AF12" s="23">
        <f t="shared" si="6"/>
        <v>4.2263569309077793</v>
      </c>
      <c r="AG12" s="23">
        <f t="shared" si="7"/>
        <v>3.5692277743026581</v>
      </c>
      <c r="AH12" s="23">
        <f t="shared" si="8"/>
        <v>0.6568886814950109</v>
      </c>
      <c r="AI12" s="24"/>
      <c r="AJ12" s="23">
        <f t="shared" si="9"/>
        <v>4.2263569309077793</v>
      </c>
      <c r="AK12" s="25">
        <v>3493085</v>
      </c>
      <c r="AL12" s="26">
        <v>14763024</v>
      </c>
      <c r="AM12" s="26">
        <v>12467616</v>
      </c>
      <c r="AN12" s="26">
        <v>2294568</v>
      </c>
      <c r="AO12" s="40"/>
      <c r="AP12" s="41">
        <v>41.231999999999999</v>
      </c>
      <c r="AQ12" s="41">
        <v>48.26</v>
      </c>
      <c r="AR12" s="41">
        <v>48.303699999999999</v>
      </c>
      <c r="AS12" s="42"/>
      <c r="AT12" s="41">
        <v>34.151400000000002</v>
      </c>
      <c r="AU12" s="41">
        <v>34.151400000000002</v>
      </c>
      <c r="AV12" s="41">
        <v>34.151400000000002</v>
      </c>
      <c r="AW12" s="42"/>
      <c r="AX12" s="50">
        <v>5.718</v>
      </c>
      <c r="AY12" s="50">
        <v>4.5309999999999997</v>
      </c>
      <c r="BA12" s="55">
        <f t="shared" si="10"/>
        <v>-1.1442517917736872E-4</v>
      </c>
      <c r="BB12" s="55"/>
      <c r="BD12" s="56"/>
      <c r="BE12" s="56"/>
      <c r="BF12" s="56"/>
      <c r="BG12" s="62"/>
      <c r="BI12" s="56"/>
      <c r="BJ12" s="56"/>
      <c r="BK12" s="56"/>
      <c r="BL12" s="62"/>
      <c r="BN12" s="56"/>
      <c r="BO12" s="56"/>
      <c r="BP12" s="56"/>
      <c r="BQ12" s="62"/>
      <c r="BS12" s="56"/>
      <c r="BT12" s="56"/>
      <c r="BU12" s="56"/>
      <c r="BV12" s="62"/>
      <c r="BX12">
        <f t="shared" si="12"/>
        <v>0</v>
      </c>
      <c r="BY12">
        <f t="shared" si="13"/>
        <v>2000</v>
      </c>
      <c r="BZ12">
        <f t="shared" si="14"/>
        <v>0</v>
      </c>
      <c r="CA12">
        <f t="shared" si="15"/>
        <v>2000</v>
      </c>
      <c r="CB12">
        <f t="shared" si="16"/>
        <v>0</v>
      </c>
      <c r="CC12">
        <f t="shared" si="17"/>
        <v>2.8000000000005798E-3</v>
      </c>
      <c r="CD12">
        <f t="shared" si="18"/>
        <v>-3.2600000000002183E-2</v>
      </c>
      <c r="CE12">
        <f t="shared" si="19"/>
        <v>4.8699999999996635E-2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3.7966027165099048</v>
      </c>
      <c r="K13" s="18">
        <f t="shared" si="2"/>
        <v>3.5692277743026581</v>
      </c>
      <c r="L13" s="18">
        <f t="shared" si="3"/>
        <v>0.22713446709713619</v>
      </c>
      <c r="M13" s="19"/>
      <c r="N13" s="18">
        <f t="shared" si="4"/>
        <v>3.7966027165099048</v>
      </c>
      <c r="O13" s="20">
        <v>3493085</v>
      </c>
      <c r="P13" s="21">
        <v>13261856</v>
      </c>
      <c r="Q13" s="21">
        <v>12467616</v>
      </c>
      <c r="R13" s="21">
        <v>793400</v>
      </c>
      <c r="S13" s="37"/>
      <c r="T13" s="38">
        <v>35.9497</v>
      </c>
      <c r="U13" s="38">
        <v>43.976900000000001</v>
      </c>
      <c r="V13" s="38">
        <v>43.933799999999998</v>
      </c>
      <c r="W13" s="39"/>
      <c r="X13" s="38">
        <v>28.130800000000001</v>
      </c>
      <c r="Y13" s="38">
        <v>28.130800000000001</v>
      </c>
      <c r="Z13" s="38">
        <v>28.130800000000001</v>
      </c>
      <c r="AA13" s="39"/>
      <c r="AB13" s="49">
        <v>5.64</v>
      </c>
      <c r="AC13" s="49">
        <v>4.5149999999999997</v>
      </c>
      <c r="AE13" s="17" t="str">
        <f t="shared" si="5"/>
        <v>·</v>
      </c>
      <c r="AF13" s="18">
        <f t="shared" si="6"/>
        <v>3.7983730713681458</v>
      </c>
      <c r="AG13" s="18">
        <f t="shared" si="7"/>
        <v>3.5692277743026581</v>
      </c>
      <c r="AH13" s="18">
        <f t="shared" si="8"/>
        <v>0.22890482195537756</v>
      </c>
      <c r="AI13" s="19"/>
      <c r="AJ13" s="18">
        <f t="shared" si="9"/>
        <v>3.7983730713681458</v>
      </c>
      <c r="AK13" s="20">
        <v>3493085</v>
      </c>
      <c r="AL13" s="21">
        <v>13268040</v>
      </c>
      <c r="AM13" s="21">
        <v>12467616</v>
      </c>
      <c r="AN13" s="21">
        <v>799584</v>
      </c>
      <c r="AO13" s="37"/>
      <c r="AP13" s="38">
        <v>35.949399999999997</v>
      </c>
      <c r="AQ13" s="38">
        <v>44.067900000000002</v>
      </c>
      <c r="AR13" s="38">
        <v>44.138800000000003</v>
      </c>
      <c r="AS13" s="39"/>
      <c r="AT13" s="38">
        <v>28.130800000000001</v>
      </c>
      <c r="AU13" s="38">
        <v>28.130800000000001</v>
      </c>
      <c r="AV13" s="38">
        <v>28.130800000000001</v>
      </c>
      <c r="AW13" s="39"/>
      <c r="AX13" s="49">
        <v>5.5149999999999997</v>
      </c>
      <c r="AY13" s="49">
        <v>4.5309999999999997</v>
      </c>
      <c r="BA13" s="53">
        <f t="shared" si="10"/>
        <v>-4.3816917154193558E-4</v>
      </c>
      <c r="BB13" s="53"/>
      <c r="BD13" s="54"/>
      <c r="BE13" s="54"/>
      <c r="BF13" s="54"/>
      <c r="BG13" s="61"/>
      <c r="BI13" s="54"/>
      <c r="BJ13" s="54"/>
      <c r="BK13" s="54"/>
      <c r="BL13" s="61"/>
      <c r="BN13" s="54"/>
      <c r="BO13" s="54"/>
      <c r="BP13" s="54"/>
      <c r="BQ13" s="61"/>
      <c r="BS13" s="54"/>
      <c r="BT13" s="54"/>
      <c r="BU13" s="54"/>
      <c r="BV13" s="61"/>
      <c r="BX13">
        <f t="shared" si="12"/>
        <v>0</v>
      </c>
      <c r="BY13">
        <f t="shared" si="13"/>
        <v>6184</v>
      </c>
      <c r="BZ13">
        <f t="shared" si="14"/>
        <v>0</v>
      </c>
      <c r="CA13">
        <f t="shared" si="15"/>
        <v>6184</v>
      </c>
      <c r="CB13">
        <f t="shared" si="16"/>
        <v>0</v>
      </c>
      <c r="CC13">
        <f t="shared" si="17"/>
        <v>-3.0000000000285354E-4</v>
      </c>
      <c r="CD13">
        <f t="shared" si="18"/>
        <v>9.100000000000108E-2</v>
      </c>
      <c r="CE13">
        <f t="shared" si="19"/>
        <v>0.2050000000000054</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3.6314902156689572</v>
      </c>
      <c r="K14" s="33">
        <f t="shared" si="2"/>
        <v>3.5692277743026581</v>
      </c>
      <c r="L14" s="33">
        <f t="shared" si="3"/>
        <v>6.2021966256189012E-2</v>
      </c>
      <c r="M14" s="34"/>
      <c r="N14" s="33">
        <f t="shared" si="4"/>
        <v>3.6314902156689572</v>
      </c>
      <c r="O14" s="35">
        <v>3493085</v>
      </c>
      <c r="P14" s="36">
        <v>12685104</v>
      </c>
      <c r="Q14" s="36">
        <v>12467616</v>
      </c>
      <c r="R14" s="36">
        <v>216648</v>
      </c>
      <c r="S14" s="46"/>
      <c r="T14" s="47">
        <v>29.672000000000001</v>
      </c>
      <c r="U14" s="47">
        <v>38.167000000000002</v>
      </c>
      <c r="V14" s="47">
        <v>38.459400000000002</v>
      </c>
      <c r="W14" s="48"/>
      <c r="X14" s="47">
        <v>21.686399999999999</v>
      </c>
      <c r="Y14" s="47">
        <v>21.686399999999999</v>
      </c>
      <c r="Z14" s="47">
        <v>21.686399999999999</v>
      </c>
      <c r="AA14" s="48"/>
      <c r="AB14" s="52">
        <v>5.5620000000000003</v>
      </c>
      <c r="AC14" s="52">
        <v>4.625</v>
      </c>
      <c r="AE14" s="32" t="str">
        <f t="shared" si="5"/>
        <v>·</v>
      </c>
      <c r="AF14" s="33">
        <f t="shared" si="6"/>
        <v>3.6306061833594088</v>
      </c>
      <c r="AG14" s="33">
        <f t="shared" si="7"/>
        <v>3.5692277743026581</v>
      </c>
      <c r="AH14" s="33">
        <f t="shared" si="8"/>
        <v>6.1137933946640292E-2</v>
      </c>
      <c r="AI14" s="34"/>
      <c r="AJ14" s="33">
        <f t="shared" si="9"/>
        <v>3.6306061833594088</v>
      </c>
      <c r="AK14" s="35">
        <v>3493085</v>
      </c>
      <c r="AL14" s="36">
        <v>12682016</v>
      </c>
      <c r="AM14" s="36">
        <v>12467616</v>
      </c>
      <c r="AN14" s="36">
        <v>213560</v>
      </c>
      <c r="AO14" s="46"/>
      <c r="AP14" s="47">
        <v>29.7012</v>
      </c>
      <c r="AQ14" s="47">
        <v>38.107799999999997</v>
      </c>
      <c r="AR14" s="47">
        <v>38.985900000000001</v>
      </c>
      <c r="AS14" s="48"/>
      <c r="AT14" s="47">
        <v>21.686399999999999</v>
      </c>
      <c r="AU14" s="47">
        <v>21.686399999999999</v>
      </c>
      <c r="AV14" s="47">
        <v>21.686399999999999</v>
      </c>
      <c r="AW14" s="48"/>
      <c r="AX14" s="52">
        <v>5.718</v>
      </c>
      <c r="AY14" s="52">
        <v>4.5</v>
      </c>
      <c r="BA14" s="59">
        <f t="shared" si="10"/>
        <v>2.3931966175105845E-4</v>
      </c>
      <c r="BB14" s="59"/>
      <c r="BD14" s="60"/>
      <c r="BE14" s="60"/>
      <c r="BF14" s="60"/>
      <c r="BG14" s="64"/>
      <c r="BI14" s="60"/>
      <c r="BJ14" s="60"/>
      <c r="BK14" s="60"/>
      <c r="BL14" s="64"/>
      <c r="BN14" s="60"/>
      <c r="BO14" s="60"/>
      <c r="BP14" s="60"/>
      <c r="BQ14" s="64"/>
      <c r="BS14" s="60"/>
      <c r="BT14" s="60"/>
      <c r="BU14" s="60"/>
      <c r="BV14" s="64"/>
      <c r="BX14">
        <f t="shared" si="12"/>
        <v>0</v>
      </c>
      <c r="BY14">
        <f t="shared" si="13"/>
        <v>-3088</v>
      </c>
      <c r="BZ14">
        <f t="shared" si="14"/>
        <v>0</v>
      </c>
      <c r="CA14">
        <f t="shared" si="15"/>
        <v>-3088</v>
      </c>
      <c r="CB14">
        <f t="shared" si="16"/>
        <v>0</v>
      </c>
      <c r="CC14">
        <f t="shared" si="17"/>
        <v>2.9199999999999449E-2</v>
      </c>
      <c r="CD14">
        <f t="shared" si="18"/>
        <v>-5.9200000000004138E-2</v>
      </c>
      <c r="CE14">
        <f t="shared" si="19"/>
        <v>0.52649999999999864</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5.1899328822821102</v>
      </c>
      <c r="K15" s="18">
        <f t="shared" si="2"/>
        <v>0.87847149637567412</v>
      </c>
      <c r="L15" s="18">
        <f t="shared" si="3"/>
        <v>4.3111590051983253</v>
      </c>
      <c r="M15" s="19"/>
      <c r="N15" s="18">
        <f t="shared" si="4"/>
        <v>5.1899328822821102</v>
      </c>
      <c r="O15" s="20">
        <v>2592758</v>
      </c>
      <c r="P15" s="21">
        <v>13456240</v>
      </c>
      <c r="Q15" s="21">
        <v>2277664</v>
      </c>
      <c r="R15" s="21">
        <v>11177792</v>
      </c>
      <c r="S15" s="37"/>
      <c r="T15" s="38">
        <v>52.615900000000003</v>
      </c>
      <c r="U15" s="38">
        <v>56.826999999999998</v>
      </c>
      <c r="V15" s="38">
        <v>56.240600000000001</v>
      </c>
      <c r="W15" s="39"/>
      <c r="X15" s="38">
        <v>48.130800000000001</v>
      </c>
      <c r="Y15" s="38">
        <v>48.130800000000001</v>
      </c>
      <c r="Z15" s="38">
        <v>48.130800000000001</v>
      </c>
      <c r="AA15" s="39"/>
      <c r="AB15" s="49">
        <v>3.14</v>
      </c>
      <c r="AC15" s="49">
        <v>2.25</v>
      </c>
      <c r="AE15" s="17" t="str">
        <f t="shared" si="5"/>
        <v>·</v>
      </c>
      <c r="AF15" s="18">
        <f t="shared" si="6"/>
        <v>5.2012073629702424</v>
      </c>
      <c r="AG15" s="18">
        <f t="shared" si="7"/>
        <v>0.87847149637567412</v>
      </c>
      <c r="AH15" s="18">
        <f t="shared" si="8"/>
        <v>4.3224334858864575</v>
      </c>
      <c r="AI15" s="19"/>
      <c r="AJ15" s="18">
        <f t="shared" si="9"/>
        <v>5.2012073629702424</v>
      </c>
      <c r="AK15" s="20">
        <v>2592758</v>
      </c>
      <c r="AL15" s="21">
        <v>13485472</v>
      </c>
      <c r="AM15" s="21">
        <v>2277664</v>
      </c>
      <c r="AN15" s="21">
        <v>11207024</v>
      </c>
      <c r="AO15" s="37"/>
      <c r="AP15" s="38">
        <v>52.620600000000003</v>
      </c>
      <c r="AQ15" s="38">
        <v>56.838299999999997</v>
      </c>
      <c r="AR15" s="38">
        <v>56.2468</v>
      </c>
      <c r="AS15" s="39"/>
      <c r="AT15" s="38">
        <v>48.130800000000001</v>
      </c>
      <c r="AU15" s="38">
        <v>48.130800000000001</v>
      </c>
      <c r="AV15" s="38">
        <v>48.130800000000001</v>
      </c>
      <c r="AW15" s="39"/>
      <c r="AX15" s="49">
        <v>3.1869999999999998</v>
      </c>
      <c r="AY15" s="49">
        <v>2.3119999999999998</v>
      </c>
      <c r="BA15" s="53">
        <f t="shared" si="10"/>
        <v>-3.6690895495811171E-4</v>
      </c>
      <c r="BB15" s="53">
        <f t="array" ref="BB15">AVERAGE(AM15:AM19/AL15:AL19)-AVERAGE(Q15:Q19/P15:P19)</f>
        <v>-2.2279434408494225E-3</v>
      </c>
      <c r="BD15" s="54">
        <f>IF(OR(ISBLANK(R15:R19),ISBLANK(AN15:AN19),ISBLANK(T15:T19),ISBLANK(AP15:AP19)),"·",bdRateExtend(R15:R19,T15:T19,AN15:AN19,AP15:AP19))</f>
        <v>-1.0697888095145824E-4</v>
      </c>
      <c r="BE15" s="54">
        <f>IF(OR(ISBLANK(R15:R19),ISBLANK(AN15:AN19),ISBLANK(U15:U19),ISBLANK(AQ15:AQ19)),"·",bdRateExtend(R15:R19,U15:U19,AN15:AN19,AQ15:AQ19))</f>
        <v>1.3639241594183504E-2</v>
      </c>
      <c r="BF15" s="54">
        <f>IF(OR(ISBLANK(R15:R19),ISBLANK(AN15:AN19),ISBLANK(V15:V19),ISBLANK(AR15:AR19)),"·",bdRateExtend(R15:R19,V15:V19,AN15:AN19,AR15:AR19))</f>
        <v>1.4365342610299203E-2</v>
      </c>
      <c r="BG15" s="61"/>
      <c r="BI15" s="54">
        <f>IF(OR(ISBLANK(R15:R19),ISBLANK(AN15:AN19),ISBLANK(X15:X19),ISBLANK(AT15:AT19)),"·",bdRateExtend(R15:R19,X15:X19,AN15:AN19,AT15:AT19))</f>
        <v>1.1965275082827409E-2</v>
      </c>
      <c r="BJ15" s="54">
        <f>IF(OR(ISBLANK(R15:R19),ISBLANK(AN15:AN19),ISBLANK(Y15:Y19),ISBLANK(AU15:AU19)),"·",bdRateExtend(R15:R19,Y15:Y19,AN15:AN19,AU15:AU19))</f>
        <v>1.1965275082827409E-2</v>
      </c>
      <c r="BK15" s="54">
        <f>IF(OR(ISBLANK(R15:R19),ISBLANK(AN15:AN19),ISBLANK(Z15:Z19),ISBLANK(AV15:AV19)),"·",bdRateExtend(R15:R19,Z15:Z19,AN15:AN19,AV15:AV19))</f>
        <v>1.1965275082827409E-2</v>
      </c>
      <c r="BL15" s="61"/>
      <c r="BN15" s="54">
        <f>IF(OR(ISBLANK(P15:P19),ISBLANK(AL15:AL19),ISBLANK(T15:T19),ISBLANK(AP15:AP19)),"·",bdRateExtend(P15:P19,T15:T19,AL15:AL19,AP15:AP19))</f>
        <v>1.7136488315101506E-3</v>
      </c>
      <c r="BO15" s="54">
        <f>IF(OR(ISBLANK(P15:P19),ISBLANK(AL15:AL19),ISBLANK(U15:U19),ISBLANK(AQ15:AQ19)),"·",bdRateExtend(P15:P19,U15:U19,AL15:AL19,AQ15:AQ19))</f>
        <v>5.5915172242644307E-3</v>
      </c>
      <c r="BP15" s="54">
        <f>IF(OR(ISBLANK(P15:P19),ISBLANK(AL15:AL19),ISBLANK(V15:V19),ISBLANK(AR15:AR19)),"·",bdRateExtend(P15:P19,V15:V19,AL15:AL19,AR15:AR19))</f>
        <v>8.4937980691639492E-3</v>
      </c>
      <c r="BQ15" s="61"/>
      <c r="BS15" s="54">
        <f>IF(OR(ISBLANK(P15:P19),ISBLANK(AL15:AL19),ISBLANK(X15:X19),ISBLANK(AT15:AT19)),"·",bdRateExtend(P15:P19,X15:X19,AL15:AL19,AT15:AT19))</f>
        <v>5.021497858551438E-3</v>
      </c>
      <c r="BT15" s="54">
        <f>IF(OR(ISBLANK(P15:P19),ISBLANK(AL15:AL19),ISBLANK(Y15:Y19),ISBLANK(AU15:AU19)),"·",bdRateExtend(P15:P19,Y15:Y19,AL15:AL19,AU15:AU19))</f>
        <v>5.021497858551438E-3</v>
      </c>
      <c r="BU15" s="54">
        <f>IF(OR(ISBLANK(P15:P19),ISBLANK(AL15:AL19),ISBLANK(Z15:Z19),ISBLANK(AV15:AV19)),"·",bdRateExtend(P15:P19,Z15:Z19,AL15:AL19,AV15:AV19))</f>
        <v>5.021497858551438E-3</v>
      </c>
      <c r="BV15" s="61"/>
      <c r="BX15">
        <f t="shared" si="12"/>
        <v>0</v>
      </c>
      <c r="BY15">
        <f t="shared" si="13"/>
        <v>29232</v>
      </c>
      <c r="BZ15">
        <f t="shared" si="14"/>
        <v>0</v>
      </c>
      <c r="CA15">
        <f t="shared" si="15"/>
        <v>29232</v>
      </c>
      <c r="CB15">
        <f t="shared" si="16"/>
        <v>0</v>
      </c>
      <c r="CC15">
        <f t="shared" si="17"/>
        <v>4.6999999999997044E-3</v>
      </c>
      <c r="CD15">
        <f t="shared" si="18"/>
        <v>1.1299999999998533E-2</v>
      </c>
      <c r="CE15">
        <f t="shared" si="19"/>
        <v>6.1999999999997613E-3</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3.6548077375520585</v>
      </c>
      <c r="K16" s="23">
        <f t="shared" si="2"/>
        <v>0.87847149637567412</v>
      </c>
      <c r="L16" s="23">
        <f t="shared" si="3"/>
        <v>2.7760338604682735</v>
      </c>
      <c r="M16" s="24"/>
      <c r="N16" s="23">
        <f t="shared" si="4"/>
        <v>3.6548077375520585</v>
      </c>
      <c r="O16" s="25">
        <v>2592758</v>
      </c>
      <c r="P16" s="26">
        <v>9476032</v>
      </c>
      <c r="Q16" s="26">
        <v>2277664</v>
      </c>
      <c r="R16" s="26">
        <v>7197584</v>
      </c>
      <c r="S16" s="40"/>
      <c r="T16" s="41">
        <v>47.924500000000002</v>
      </c>
      <c r="U16" s="41">
        <v>52.084800000000001</v>
      </c>
      <c r="V16" s="41">
        <v>52.266500000000001</v>
      </c>
      <c r="W16" s="42"/>
      <c r="X16" s="41">
        <v>42.110199999999999</v>
      </c>
      <c r="Y16" s="41">
        <v>42.110199999999999</v>
      </c>
      <c r="Z16" s="41">
        <v>42.110199999999999</v>
      </c>
      <c r="AA16" s="42"/>
      <c r="AB16" s="50">
        <v>3.0150000000000001</v>
      </c>
      <c r="AC16" s="50">
        <v>2.3119999999999998</v>
      </c>
      <c r="AE16" s="22" t="str">
        <f t="shared" si="5"/>
        <v>·</v>
      </c>
      <c r="AF16" s="23">
        <f t="shared" si="6"/>
        <v>3.6687758749563208</v>
      </c>
      <c r="AG16" s="23">
        <f t="shared" si="7"/>
        <v>0.87847149637567412</v>
      </c>
      <c r="AH16" s="23">
        <f t="shared" si="8"/>
        <v>2.7900019978725359</v>
      </c>
      <c r="AI16" s="24"/>
      <c r="AJ16" s="23">
        <f t="shared" si="9"/>
        <v>3.6687758749563208</v>
      </c>
      <c r="AK16" s="25">
        <v>2592758</v>
      </c>
      <c r="AL16" s="26">
        <v>9512248</v>
      </c>
      <c r="AM16" s="26">
        <v>2277664</v>
      </c>
      <c r="AN16" s="26">
        <v>7233800</v>
      </c>
      <c r="AO16" s="40"/>
      <c r="AP16" s="41">
        <v>47.931100000000001</v>
      </c>
      <c r="AQ16" s="41">
        <v>52.081800000000001</v>
      </c>
      <c r="AR16" s="41">
        <v>52.267200000000003</v>
      </c>
      <c r="AS16" s="42"/>
      <c r="AT16" s="41">
        <v>42.110199999999999</v>
      </c>
      <c r="AU16" s="41">
        <v>42.110199999999999</v>
      </c>
      <c r="AV16" s="41">
        <v>42.110199999999999</v>
      </c>
      <c r="AW16" s="42"/>
      <c r="AX16" s="50">
        <v>3.1560000000000001</v>
      </c>
      <c r="AY16" s="50">
        <v>2.234</v>
      </c>
      <c r="BA16" s="55">
        <f t="shared" si="10"/>
        <v>-9.1512507583513258E-4</v>
      </c>
      <c r="BB16" s="55"/>
      <c r="BD16" s="56"/>
      <c r="BE16" s="56"/>
      <c r="BF16" s="56"/>
      <c r="BG16" s="62"/>
      <c r="BI16" s="56"/>
      <c r="BJ16" s="56"/>
      <c r="BK16" s="56"/>
      <c r="BL16" s="62"/>
      <c r="BN16" s="56"/>
      <c r="BO16" s="56"/>
      <c r="BP16" s="56"/>
      <c r="BQ16" s="62"/>
      <c r="BS16" s="56"/>
      <c r="BT16" s="56"/>
      <c r="BU16" s="56"/>
      <c r="BV16" s="62"/>
      <c r="BX16">
        <f t="shared" si="12"/>
        <v>0</v>
      </c>
      <c r="BY16">
        <f t="shared" si="13"/>
        <v>36216</v>
      </c>
      <c r="BZ16">
        <f t="shared" si="14"/>
        <v>0</v>
      </c>
      <c r="CA16">
        <f t="shared" si="15"/>
        <v>36216</v>
      </c>
      <c r="CB16">
        <f t="shared" si="16"/>
        <v>0</v>
      </c>
      <c r="CC16">
        <f t="shared" si="17"/>
        <v>6.599999999998829E-3</v>
      </c>
      <c r="CD16">
        <f t="shared" si="18"/>
        <v>-3.0000000000001137E-3</v>
      </c>
      <c r="CE16">
        <f t="shared" si="19"/>
        <v>7.0000000000192131E-4</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2.0275737265105342</v>
      </c>
      <c r="K17" s="18">
        <f t="shared" si="2"/>
        <v>0.87847149637567412</v>
      </c>
      <c r="L17" s="18">
        <f t="shared" si="3"/>
        <v>1.1487998494267495</v>
      </c>
      <c r="M17" s="19"/>
      <c r="N17" s="18">
        <f t="shared" si="4"/>
        <v>2.0275737265105342</v>
      </c>
      <c r="O17" s="20">
        <v>2592758</v>
      </c>
      <c r="P17" s="21">
        <v>5257008</v>
      </c>
      <c r="Q17" s="21">
        <v>2277664</v>
      </c>
      <c r="R17" s="21">
        <v>2978560</v>
      </c>
      <c r="S17" s="37"/>
      <c r="T17" s="38">
        <v>41.264499999999998</v>
      </c>
      <c r="U17" s="38">
        <v>46.987900000000003</v>
      </c>
      <c r="V17" s="38">
        <v>48.142299999999999</v>
      </c>
      <c r="W17" s="39"/>
      <c r="X17" s="38">
        <v>34.151400000000002</v>
      </c>
      <c r="Y17" s="38">
        <v>34.151400000000002</v>
      </c>
      <c r="Z17" s="38">
        <v>34.151400000000002</v>
      </c>
      <c r="AA17" s="39"/>
      <c r="AB17" s="49">
        <v>3.109</v>
      </c>
      <c r="AC17" s="49">
        <v>2.1709999999999998</v>
      </c>
      <c r="AE17" s="17" t="str">
        <f t="shared" si="5"/>
        <v>·</v>
      </c>
      <c r="AF17" s="18">
        <f t="shared" si="6"/>
        <v>2.0400700721008285</v>
      </c>
      <c r="AG17" s="18">
        <f t="shared" si="7"/>
        <v>0.87847149637567412</v>
      </c>
      <c r="AH17" s="18">
        <f t="shared" si="8"/>
        <v>1.1612961950170437</v>
      </c>
      <c r="AI17" s="19"/>
      <c r="AJ17" s="18">
        <f t="shared" si="9"/>
        <v>2.0400700721008285</v>
      </c>
      <c r="AK17" s="20">
        <v>2592758</v>
      </c>
      <c r="AL17" s="21">
        <v>5289408</v>
      </c>
      <c r="AM17" s="21">
        <v>2277664</v>
      </c>
      <c r="AN17" s="21">
        <v>3010960</v>
      </c>
      <c r="AO17" s="37"/>
      <c r="AP17" s="38">
        <v>41.287300000000002</v>
      </c>
      <c r="AQ17" s="38">
        <v>46.997100000000003</v>
      </c>
      <c r="AR17" s="38">
        <v>48.047800000000002</v>
      </c>
      <c r="AS17" s="39"/>
      <c r="AT17" s="38">
        <v>34.151400000000002</v>
      </c>
      <c r="AU17" s="38">
        <v>34.151400000000002</v>
      </c>
      <c r="AV17" s="38">
        <v>34.151400000000002</v>
      </c>
      <c r="AW17" s="39"/>
      <c r="AX17" s="49">
        <v>3.0779999999999998</v>
      </c>
      <c r="AY17" s="49">
        <v>2.218</v>
      </c>
      <c r="BA17" s="53">
        <f t="shared" si="10"/>
        <v>-2.6539269344418304E-3</v>
      </c>
      <c r="BB17" s="53"/>
      <c r="BD17" s="54"/>
      <c r="BE17" s="54"/>
      <c r="BF17" s="54"/>
      <c r="BG17" s="61"/>
      <c r="BI17" s="54"/>
      <c r="BJ17" s="54"/>
      <c r="BK17" s="54"/>
      <c r="BL17" s="61"/>
      <c r="BN17" s="54"/>
      <c r="BO17" s="54"/>
      <c r="BP17" s="54"/>
      <c r="BQ17" s="61"/>
      <c r="BS17" s="54"/>
      <c r="BT17" s="54"/>
      <c r="BU17" s="54"/>
      <c r="BV17" s="61"/>
      <c r="BX17">
        <f t="shared" si="12"/>
        <v>0</v>
      </c>
      <c r="BY17">
        <f t="shared" si="13"/>
        <v>32400</v>
      </c>
      <c r="BZ17">
        <f t="shared" si="14"/>
        <v>0</v>
      </c>
      <c r="CA17">
        <f t="shared" si="15"/>
        <v>32400</v>
      </c>
      <c r="CB17">
        <f t="shared" si="16"/>
        <v>0</v>
      </c>
      <c r="CC17">
        <f t="shared" si="17"/>
        <v>2.2800000000003706E-2</v>
      </c>
      <c r="CD17">
        <f t="shared" si="18"/>
        <v>9.1999999999998749E-3</v>
      </c>
      <c r="CE17">
        <f t="shared" si="19"/>
        <v>-9.4499999999996476E-2</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1.3408146845945514</v>
      </c>
      <c r="K18" s="23">
        <f t="shared" si="2"/>
        <v>0.87847149637567412</v>
      </c>
      <c r="L18" s="23">
        <f t="shared" si="3"/>
        <v>0.46204080751076654</v>
      </c>
      <c r="M18" s="24"/>
      <c r="N18" s="23">
        <f t="shared" si="4"/>
        <v>1.3408146845945514</v>
      </c>
      <c r="O18" s="25">
        <v>2592758</v>
      </c>
      <c r="P18" s="26">
        <v>3476408</v>
      </c>
      <c r="Q18" s="26">
        <v>2277664</v>
      </c>
      <c r="R18" s="26">
        <v>1197960</v>
      </c>
      <c r="S18" s="40"/>
      <c r="T18" s="41">
        <v>35.802199999999999</v>
      </c>
      <c r="U18" s="41">
        <v>42.582099999999997</v>
      </c>
      <c r="V18" s="41">
        <v>44.304200000000002</v>
      </c>
      <c r="W18" s="42"/>
      <c r="X18" s="41">
        <v>28.130800000000001</v>
      </c>
      <c r="Y18" s="41">
        <v>28.130800000000001</v>
      </c>
      <c r="Z18" s="41">
        <v>28.130800000000001</v>
      </c>
      <c r="AA18" s="42"/>
      <c r="AB18" s="50">
        <v>3.0619999999999998</v>
      </c>
      <c r="AC18" s="50">
        <v>2.1709999999999998</v>
      </c>
      <c r="AE18" s="22" t="str">
        <f t="shared" si="5"/>
        <v>·</v>
      </c>
      <c r="AF18" s="23">
        <f t="shared" si="6"/>
        <v>1.3498675927332979</v>
      </c>
      <c r="AG18" s="23">
        <f t="shared" si="7"/>
        <v>0.87847149637567412</v>
      </c>
      <c r="AH18" s="23">
        <f t="shared" si="8"/>
        <v>0.47109371564951297</v>
      </c>
      <c r="AI18" s="24"/>
      <c r="AJ18" s="23">
        <f t="shared" si="9"/>
        <v>1.3498675927332979</v>
      </c>
      <c r="AK18" s="25">
        <v>2592758</v>
      </c>
      <c r="AL18" s="26">
        <v>3499880</v>
      </c>
      <c r="AM18" s="26">
        <v>2277664</v>
      </c>
      <c r="AN18" s="26">
        <v>1221432</v>
      </c>
      <c r="AO18" s="40"/>
      <c r="AP18" s="41">
        <v>35.9026</v>
      </c>
      <c r="AQ18" s="41">
        <v>42.541800000000002</v>
      </c>
      <c r="AR18" s="41">
        <v>44.240499999999997</v>
      </c>
      <c r="AS18" s="42"/>
      <c r="AT18" s="41">
        <v>28.130800000000001</v>
      </c>
      <c r="AU18" s="41">
        <v>28.130800000000001</v>
      </c>
      <c r="AV18" s="41">
        <v>28.130800000000001</v>
      </c>
      <c r="AW18" s="42"/>
      <c r="AX18" s="50">
        <v>2.9369999999999998</v>
      </c>
      <c r="AY18" s="50">
        <v>2.2029999999999998</v>
      </c>
      <c r="BA18" s="55">
        <f t="shared" si="10"/>
        <v>-4.3939575751515969E-3</v>
      </c>
      <c r="BB18" s="55"/>
      <c r="BD18" s="56"/>
      <c r="BE18" s="56"/>
      <c r="BF18" s="56"/>
      <c r="BG18" s="62"/>
      <c r="BI18" s="56"/>
      <c r="BJ18" s="56"/>
      <c r="BK18" s="56"/>
      <c r="BL18" s="62"/>
      <c r="BN18" s="56"/>
      <c r="BO18" s="56"/>
      <c r="BP18" s="56"/>
      <c r="BQ18" s="62"/>
      <c r="BS18" s="56"/>
      <c r="BT18" s="56"/>
      <c r="BU18" s="56"/>
      <c r="BV18" s="62"/>
      <c r="BX18">
        <f t="shared" si="12"/>
        <v>0</v>
      </c>
      <c r="BY18">
        <f t="shared" si="13"/>
        <v>23472</v>
      </c>
      <c r="BZ18">
        <f t="shared" si="14"/>
        <v>0</v>
      </c>
      <c r="CA18">
        <f t="shared" si="15"/>
        <v>23472</v>
      </c>
      <c r="CB18">
        <f t="shared" si="16"/>
        <v>0</v>
      </c>
      <c r="CC18">
        <f t="shared" si="17"/>
        <v>0.10040000000000049</v>
      </c>
      <c r="CD18">
        <f t="shared" si="18"/>
        <v>-4.0299999999994895E-2</v>
      </c>
      <c r="CE18">
        <f t="shared" si="19"/>
        <v>-6.3700000000004309E-2</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1.0190445849554799</v>
      </c>
      <c r="K19" s="28">
        <f t="shared" si="2"/>
        <v>0.87847149637567412</v>
      </c>
      <c r="L19" s="28">
        <f t="shared" si="3"/>
        <v>0.14027070787169493</v>
      </c>
      <c r="M19" s="29"/>
      <c r="N19" s="28">
        <f t="shared" si="4"/>
        <v>1.0190445849554799</v>
      </c>
      <c r="O19" s="30">
        <v>2592758</v>
      </c>
      <c r="P19" s="31">
        <v>2642136</v>
      </c>
      <c r="Q19" s="31">
        <v>2277664</v>
      </c>
      <c r="R19" s="31">
        <v>363688</v>
      </c>
      <c r="S19" s="43"/>
      <c r="T19" s="44">
        <v>29.4605</v>
      </c>
      <c r="U19" s="44">
        <v>38.638800000000003</v>
      </c>
      <c r="V19" s="44">
        <v>41.063499999999998</v>
      </c>
      <c r="W19" s="45"/>
      <c r="X19" s="44">
        <v>21.686399999999999</v>
      </c>
      <c r="Y19" s="44">
        <v>21.686399999999999</v>
      </c>
      <c r="Z19" s="44">
        <v>21.686399999999999</v>
      </c>
      <c r="AA19" s="45"/>
      <c r="AB19" s="51">
        <v>2.9209999999999998</v>
      </c>
      <c r="AC19" s="51">
        <v>2.234</v>
      </c>
      <c r="AE19" s="27" t="str">
        <f t="shared" si="5"/>
        <v>·</v>
      </c>
      <c r="AF19" s="28">
        <f t="shared" si="6"/>
        <v>1.0223769437795582</v>
      </c>
      <c r="AG19" s="28">
        <f t="shared" si="7"/>
        <v>0.87847149637567412</v>
      </c>
      <c r="AH19" s="28">
        <f t="shared" si="8"/>
        <v>0.14360306669577338</v>
      </c>
      <c r="AI19" s="29"/>
      <c r="AJ19" s="28">
        <f t="shared" si="9"/>
        <v>1.0223769437795582</v>
      </c>
      <c r="AK19" s="30">
        <v>2592758</v>
      </c>
      <c r="AL19" s="31">
        <v>2650776</v>
      </c>
      <c r="AM19" s="31">
        <v>2277664</v>
      </c>
      <c r="AN19" s="31">
        <v>372328</v>
      </c>
      <c r="AO19" s="43"/>
      <c r="AP19" s="44">
        <v>29.764099999999999</v>
      </c>
      <c r="AQ19" s="44">
        <v>38.642299999999999</v>
      </c>
      <c r="AR19" s="44">
        <v>41.293900000000001</v>
      </c>
      <c r="AS19" s="45"/>
      <c r="AT19" s="44">
        <v>21.686399999999999</v>
      </c>
      <c r="AU19" s="44">
        <v>21.686399999999999</v>
      </c>
      <c r="AV19" s="44">
        <v>21.686399999999999</v>
      </c>
      <c r="AW19" s="45"/>
      <c r="AX19" s="51">
        <v>3.0150000000000001</v>
      </c>
      <c r="AY19" s="51">
        <v>2.2029999999999998</v>
      </c>
      <c r="BA19" s="57">
        <f t="shared" si="10"/>
        <v>-2.809798663860219E-3</v>
      </c>
      <c r="BB19" s="57"/>
      <c r="BD19" s="58"/>
      <c r="BE19" s="58"/>
      <c r="BF19" s="58"/>
      <c r="BG19" s="63"/>
      <c r="BI19" s="58"/>
      <c r="BJ19" s="58"/>
      <c r="BK19" s="58"/>
      <c r="BL19" s="63"/>
      <c r="BN19" s="58"/>
      <c r="BO19" s="58"/>
      <c r="BP19" s="58"/>
      <c r="BQ19" s="63"/>
      <c r="BS19" s="58"/>
      <c r="BT19" s="58"/>
      <c r="BU19" s="58"/>
      <c r="BV19" s="63"/>
      <c r="BX19">
        <f t="shared" si="12"/>
        <v>0</v>
      </c>
      <c r="BY19">
        <f t="shared" si="13"/>
        <v>8640</v>
      </c>
      <c r="BZ19">
        <f t="shared" si="14"/>
        <v>0</v>
      </c>
      <c r="CA19">
        <f t="shared" si="15"/>
        <v>8640</v>
      </c>
      <c r="CB19">
        <f t="shared" si="16"/>
        <v>0</v>
      </c>
      <c r="CC19">
        <f t="shared" si="17"/>
        <v>0.30359999999999943</v>
      </c>
      <c r="CD19">
        <f t="shared" si="18"/>
        <v>3.4999999999953957E-3</v>
      </c>
      <c r="CE19">
        <f t="shared" si="19"/>
        <v>0.23040000000000305</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17.446597526807587</v>
      </c>
      <c r="K20" s="23">
        <f t="shared" si="2"/>
        <v>11.739009256135306</v>
      </c>
      <c r="L20" s="23">
        <f t="shared" si="3"/>
        <v>5.7056813014331604</v>
      </c>
      <c r="M20" s="24"/>
      <c r="N20" s="23">
        <f t="shared" si="4"/>
        <v>17.446597526807587</v>
      </c>
      <c r="O20" s="25">
        <v>272684</v>
      </c>
      <c r="P20" s="26">
        <v>4757408</v>
      </c>
      <c r="Q20" s="26">
        <v>3201040</v>
      </c>
      <c r="R20" s="26">
        <v>1555848</v>
      </c>
      <c r="S20" s="40"/>
      <c r="T20" s="41">
        <v>52.904800000000002</v>
      </c>
      <c r="U20" s="41">
        <v>54.732900000000001</v>
      </c>
      <c r="V20" s="41">
        <v>56.292499999999997</v>
      </c>
      <c r="W20" s="42"/>
      <c r="X20" s="41">
        <v>48.130800000000001</v>
      </c>
      <c r="Y20" s="41">
        <v>48.130800000000001</v>
      </c>
      <c r="Z20" s="41">
        <v>48.130800000000001</v>
      </c>
      <c r="AA20" s="42"/>
      <c r="AB20" s="50">
        <v>0.60899999999999999</v>
      </c>
      <c r="AC20" s="50">
        <v>0.53100000000000003</v>
      </c>
      <c r="AE20" s="22" t="str">
        <f t="shared" si="5"/>
        <v>·</v>
      </c>
      <c r="AF20" s="23">
        <f t="shared" si="6"/>
        <v>17.479837467544851</v>
      </c>
      <c r="AG20" s="23">
        <f t="shared" si="7"/>
        <v>11.739009256135306</v>
      </c>
      <c r="AH20" s="23">
        <f t="shared" si="8"/>
        <v>5.7389212421704245</v>
      </c>
      <c r="AI20" s="24"/>
      <c r="AJ20" s="23">
        <f t="shared" si="9"/>
        <v>17.479837467544851</v>
      </c>
      <c r="AK20" s="25">
        <v>272684</v>
      </c>
      <c r="AL20" s="26">
        <v>4766472</v>
      </c>
      <c r="AM20" s="26">
        <v>3201040</v>
      </c>
      <c r="AN20" s="26">
        <v>1564912</v>
      </c>
      <c r="AO20" s="40"/>
      <c r="AP20" s="41">
        <v>52.914499999999997</v>
      </c>
      <c r="AQ20" s="41">
        <v>54.741199999999999</v>
      </c>
      <c r="AR20" s="41">
        <v>56.296599999999998</v>
      </c>
      <c r="AS20" s="42"/>
      <c r="AT20" s="41">
        <v>48.130800000000001</v>
      </c>
      <c r="AU20" s="41">
        <v>48.130800000000001</v>
      </c>
      <c r="AV20" s="41">
        <v>48.130800000000001</v>
      </c>
      <c r="AW20" s="42"/>
      <c r="AX20" s="50">
        <v>0.59299999999999997</v>
      </c>
      <c r="AY20" s="50">
        <v>0.53100000000000003</v>
      </c>
      <c r="BA20" s="55">
        <f t="shared" si="10"/>
        <v>-1.2795096134262662E-3</v>
      </c>
      <c r="BB20" s="55">
        <f t="array" ref="BB20">AVERAGE(AM20:AM24/AL20:AL24)-AVERAGE(Q20:Q24/P20:P24)</f>
        <v>-2.4521686014878918E-3</v>
      </c>
      <c r="BD20" s="56">
        <f>IF(OR(ISBLANK(R20:R24),ISBLANK(AN20:AN24),ISBLANK(T20:T24),ISBLANK(AP20:AP24)),"·",bdRateExtend(R20:R24,T20:T24,AN20:AN24,AP20:AP24))</f>
        <v>3.5317200074892696E-2</v>
      </c>
      <c r="BE20" s="56">
        <f>IF(OR(ISBLANK(R20:R24),ISBLANK(AN20:AN24),ISBLANK(U20:U24),ISBLANK(AQ20:AQ24)),"·",bdRateExtend(R20:R24,U20:U24,AN20:AN24,AQ20:AQ24))</f>
        <v>4.5368999682034117E-2</v>
      </c>
      <c r="BF20" s="56">
        <f>IF(OR(ISBLANK(R20:R24),ISBLANK(AN20:AN24),ISBLANK(V20:V24),ISBLANK(AR20:AR24)),"·",bdRateExtend(R20:R24,V20:V24,AN20:AN24,AR20:AR24))</f>
        <v>2.5749120336419296E-2</v>
      </c>
      <c r="BG20" s="62"/>
      <c r="BI20" s="56">
        <f>IF(OR(ISBLANK(R20:R24),ISBLANK(AN20:AN24),ISBLANK(X20:X24),ISBLANK(AT20:AT24)),"·",bdRateExtend(R20:R24,X20:X24,AN20:AN24,AT20:AT24))</f>
        <v>3.580306233857411E-2</v>
      </c>
      <c r="BJ20" s="56">
        <f>IF(OR(ISBLANK(R20:R24),ISBLANK(AN20:AN24),ISBLANK(Y20:Y24),ISBLANK(AU20:AU24)),"·",bdRateExtend(R20:R24,Y20:Y24,AN20:AN24,AU20:AU24))</f>
        <v>3.580306233857411E-2</v>
      </c>
      <c r="BK20" s="56">
        <f>IF(OR(ISBLANK(R20:R24),ISBLANK(AN20:AN24),ISBLANK(Z20:Z24),ISBLANK(AV20:AV24)),"·",bdRateExtend(R20:R24,Z20:Z24,AN20:AN24,AV20:AV24))</f>
        <v>3.580306233857411E-2</v>
      </c>
      <c r="BL20" s="62"/>
      <c r="BN20" s="56">
        <f>IF(OR(ISBLANK(P20:P24),ISBLANK(AL20:AL24),ISBLANK(T20:T24),ISBLANK(AP20:AP24)),"·",bdRateExtend(P20:P24,T20:T24,AL20:AL24,AP20:AP24))</f>
        <v>2.7686864986740112E-3</v>
      </c>
      <c r="BO20" s="56">
        <f>IF(OR(ISBLANK(P20:P24),ISBLANK(AL20:AL24),ISBLANK(U20:U24),ISBLANK(AQ20:AQ24)),"·",bdRateExtend(P20:P24,U20:U24,AL20:AL24,AQ20:AQ24))</f>
        <v>3.1643400379561815E-3</v>
      </c>
      <c r="BP20" s="56">
        <f>IF(OR(ISBLANK(P20:P24),ISBLANK(AL20:AL24),ISBLANK(V20:V24),ISBLANK(AR20:AR24)),"·",bdRateExtend(P20:P24,V20:V24,AL20:AL24,AR20:AR24))</f>
        <v>2.498138541628725E-3</v>
      </c>
      <c r="BQ20" s="62"/>
      <c r="BS20" s="56">
        <f>IF(OR(ISBLANK(P20:P24),ISBLANK(AL20:AL24),ISBLANK(X20:X24),ISBLANK(AT20:AT24)),"·",bdRateExtend(P20:P24,X20:X24,AL20:AL24,AT20:AT24))</f>
        <v>2.9403432125227891E-3</v>
      </c>
      <c r="BT20" s="56">
        <f>IF(OR(ISBLANK(P20:P24),ISBLANK(AL20:AL24),ISBLANK(Y20:Y24),ISBLANK(AU20:AU24)),"·",bdRateExtend(P20:P24,Y20:Y24,AL20:AL24,AU20:AU24))</f>
        <v>2.9403432125227891E-3</v>
      </c>
      <c r="BU20" s="56">
        <f>IF(OR(ISBLANK(P20:P24),ISBLANK(AL20:AL24),ISBLANK(Z20:Z24),ISBLANK(AV20:AV24)),"·",bdRateExtend(P20:P24,Z20:Z24,AL20:AL24,AV20:AV24))</f>
        <v>2.9403432125227891E-3</v>
      </c>
      <c r="BV20" s="62"/>
      <c r="BX20">
        <f t="shared" si="12"/>
        <v>0</v>
      </c>
      <c r="BY20">
        <f t="shared" si="13"/>
        <v>9064</v>
      </c>
      <c r="BZ20">
        <f t="shared" si="14"/>
        <v>0</v>
      </c>
      <c r="CA20">
        <f t="shared" si="15"/>
        <v>9064</v>
      </c>
      <c r="CB20">
        <f t="shared" si="16"/>
        <v>0</v>
      </c>
      <c r="CC20">
        <f t="shared" si="17"/>
        <v>9.6999999999951569E-3</v>
      </c>
      <c r="CD20">
        <f t="shared" si="18"/>
        <v>8.2999999999984198E-3</v>
      </c>
      <c r="CE20">
        <f t="shared" si="19"/>
        <v>4.1000000000011028E-3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15.49817371022869</v>
      </c>
      <c r="K21" s="18">
        <f t="shared" si="2"/>
        <v>11.739009256135306</v>
      </c>
      <c r="L21" s="18">
        <f t="shared" si="3"/>
        <v>3.7572574848542635</v>
      </c>
      <c r="M21" s="19"/>
      <c r="N21" s="18">
        <f t="shared" si="4"/>
        <v>15.49817371022869</v>
      </c>
      <c r="O21" s="20">
        <v>272684</v>
      </c>
      <c r="P21" s="21">
        <v>4226104</v>
      </c>
      <c r="Q21" s="21">
        <v>3201040</v>
      </c>
      <c r="R21" s="21">
        <v>1024544</v>
      </c>
      <c r="S21" s="37"/>
      <c r="T21" s="38">
        <v>48.250100000000003</v>
      </c>
      <c r="U21" s="38">
        <v>51.239199999999997</v>
      </c>
      <c r="V21" s="38">
        <v>51.0214</v>
      </c>
      <c r="W21" s="39"/>
      <c r="X21" s="38">
        <v>42.110199999999999</v>
      </c>
      <c r="Y21" s="38">
        <v>42.110199999999999</v>
      </c>
      <c r="Z21" s="38">
        <v>42.110199999999999</v>
      </c>
      <c r="AA21" s="39"/>
      <c r="AB21" s="49">
        <v>0.57799999999999996</v>
      </c>
      <c r="AC21" s="49">
        <v>0.56200000000000006</v>
      </c>
      <c r="AE21" s="17" t="str">
        <f t="shared" si="5"/>
        <v>·</v>
      </c>
      <c r="AF21" s="18">
        <f t="shared" si="6"/>
        <v>15.534816857608075</v>
      </c>
      <c r="AG21" s="18">
        <f t="shared" si="7"/>
        <v>11.739009256135306</v>
      </c>
      <c r="AH21" s="18">
        <f t="shared" si="8"/>
        <v>3.7939006322336479</v>
      </c>
      <c r="AI21" s="19"/>
      <c r="AJ21" s="18">
        <f t="shared" si="9"/>
        <v>15.534816857608075</v>
      </c>
      <c r="AK21" s="20">
        <v>272684</v>
      </c>
      <c r="AL21" s="21">
        <v>4236096</v>
      </c>
      <c r="AM21" s="21">
        <v>3201040</v>
      </c>
      <c r="AN21" s="21">
        <v>1034536</v>
      </c>
      <c r="AO21" s="37"/>
      <c r="AP21" s="38">
        <v>48.270499999999998</v>
      </c>
      <c r="AQ21" s="38">
        <v>51.247199999999999</v>
      </c>
      <c r="AR21" s="38">
        <v>51.035600000000002</v>
      </c>
      <c r="AS21" s="39"/>
      <c r="AT21" s="38">
        <v>42.110199999999999</v>
      </c>
      <c r="AU21" s="38">
        <v>42.110199999999999</v>
      </c>
      <c r="AV21" s="38">
        <v>42.110199999999999</v>
      </c>
      <c r="AW21" s="39"/>
      <c r="AX21" s="49">
        <v>0.59299999999999997</v>
      </c>
      <c r="AY21" s="49">
        <v>0.53100000000000003</v>
      </c>
      <c r="BA21" s="53">
        <f t="shared" si="10"/>
        <v>-1.7866420547711925E-3</v>
      </c>
      <c r="BB21" s="53"/>
      <c r="BD21" s="54"/>
      <c r="BE21" s="54"/>
      <c r="BF21" s="54"/>
      <c r="BG21" s="61"/>
      <c r="BI21" s="54"/>
      <c r="BJ21" s="54"/>
      <c r="BK21" s="54"/>
      <c r="BL21" s="61"/>
      <c r="BN21" s="54"/>
      <c r="BO21" s="54"/>
      <c r="BP21" s="54"/>
      <c r="BQ21" s="61"/>
      <c r="BS21" s="54"/>
      <c r="BT21" s="54"/>
      <c r="BU21" s="54"/>
      <c r="BV21" s="61"/>
      <c r="BX21">
        <f t="shared" si="12"/>
        <v>0</v>
      </c>
      <c r="BY21">
        <f t="shared" si="13"/>
        <v>9992</v>
      </c>
      <c r="BZ21">
        <f t="shared" si="14"/>
        <v>0</v>
      </c>
      <c r="CA21">
        <f t="shared" si="15"/>
        <v>9992</v>
      </c>
      <c r="CB21">
        <f t="shared" si="16"/>
        <v>0</v>
      </c>
      <c r="CC21">
        <f t="shared" si="17"/>
        <v>2.0399999999995089E-2</v>
      </c>
      <c r="CD21">
        <f t="shared" si="18"/>
        <v>8.0000000000026716E-3</v>
      </c>
      <c r="CE21">
        <f t="shared" si="19"/>
        <v>1.4200000000002433E-2</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13.528743894031185</v>
      </c>
      <c r="K22" s="23">
        <f t="shared" si="2"/>
        <v>11.739009256135306</v>
      </c>
      <c r="L22" s="23">
        <f t="shared" si="3"/>
        <v>1.7878276686567602</v>
      </c>
      <c r="M22" s="24"/>
      <c r="N22" s="23">
        <f t="shared" si="4"/>
        <v>13.528743894031185</v>
      </c>
      <c r="O22" s="25">
        <v>272684</v>
      </c>
      <c r="P22" s="26">
        <v>3689072</v>
      </c>
      <c r="Q22" s="26">
        <v>3201040</v>
      </c>
      <c r="R22" s="26">
        <v>487512</v>
      </c>
      <c r="S22" s="40"/>
      <c r="T22" s="41">
        <v>41.391100000000002</v>
      </c>
      <c r="U22" s="41">
        <v>46.374899999999997</v>
      </c>
      <c r="V22" s="41">
        <v>46.107700000000001</v>
      </c>
      <c r="W22" s="42"/>
      <c r="X22" s="41">
        <v>34.151400000000002</v>
      </c>
      <c r="Y22" s="41">
        <v>34.151400000000002</v>
      </c>
      <c r="Z22" s="41">
        <v>34.151400000000002</v>
      </c>
      <c r="AA22" s="42"/>
      <c r="AB22" s="50">
        <v>0.59299999999999997</v>
      </c>
      <c r="AC22" s="50">
        <v>0.54600000000000004</v>
      </c>
      <c r="AE22" s="22" t="str">
        <f t="shared" si="5"/>
        <v>·</v>
      </c>
      <c r="AF22" s="23">
        <f t="shared" si="6"/>
        <v>13.57069721729181</v>
      </c>
      <c r="AG22" s="23">
        <f t="shared" si="7"/>
        <v>11.739009256135306</v>
      </c>
      <c r="AH22" s="23">
        <f t="shared" si="8"/>
        <v>1.8297809919173842</v>
      </c>
      <c r="AI22" s="24"/>
      <c r="AJ22" s="23">
        <f t="shared" si="9"/>
        <v>13.57069721729181</v>
      </c>
      <c r="AK22" s="25">
        <v>272684</v>
      </c>
      <c r="AL22" s="26">
        <v>3700512</v>
      </c>
      <c r="AM22" s="26">
        <v>3201040</v>
      </c>
      <c r="AN22" s="26">
        <v>498952</v>
      </c>
      <c r="AO22" s="40"/>
      <c r="AP22" s="41">
        <v>41.402700000000003</v>
      </c>
      <c r="AQ22" s="41">
        <v>46.404400000000003</v>
      </c>
      <c r="AR22" s="41">
        <v>46.095500000000001</v>
      </c>
      <c r="AS22" s="42"/>
      <c r="AT22" s="41">
        <v>34.151400000000002</v>
      </c>
      <c r="AU22" s="41">
        <v>34.151400000000002</v>
      </c>
      <c r="AV22" s="41">
        <v>34.151400000000002</v>
      </c>
      <c r="AW22" s="42"/>
      <c r="AX22" s="50">
        <v>0.57799999999999996</v>
      </c>
      <c r="AY22" s="50">
        <v>0.51500000000000001</v>
      </c>
      <c r="BA22" s="55">
        <f t="shared" si="10"/>
        <v>-2.6824904049022047E-3</v>
      </c>
      <c r="BB22" s="55"/>
      <c r="BD22" s="56"/>
      <c r="BE22" s="56"/>
      <c r="BF22" s="56"/>
      <c r="BG22" s="62"/>
      <c r="BI22" s="56"/>
      <c r="BJ22" s="56"/>
      <c r="BK22" s="56"/>
      <c r="BL22" s="62"/>
      <c r="BN22" s="56"/>
      <c r="BO22" s="56"/>
      <c r="BP22" s="56"/>
      <c r="BQ22" s="62"/>
      <c r="BS22" s="56"/>
      <c r="BT22" s="56"/>
      <c r="BU22" s="56"/>
      <c r="BV22" s="62"/>
      <c r="BX22">
        <f t="shared" si="12"/>
        <v>0</v>
      </c>
      <c r="BY22">
        <f t="shared" si="13"/>
        <v>11440</v>
      </c>
      <c r="BZ22">
        <f t="shared" si="14"/>
        <v>0</v>
      </c>
      <c r="CA22">
        <f t="shared" si="15"/>
        <v>11440</v>
      </c>
      <c r="CB22">
        <f t="shared" si="16"/>
        <v>0</v>
      </c>
      <c r="CC22">
        <f t="shared" si="17"/>
        <v>1.1600000000001387E-2</v>
      </c>
      <c r="CD22">
        <f t="shared" si="18"/>
        <v>2.9500000000005855E-2</v>
      </c>
      <c r="CE22">
        <f t="shared" si="19"/>
        <v>-1.2199999999999989E-2</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12.582007011779202</v>
      </c>
      <c r="K23" s="18">
        <f t="shared" si="2"/>
        <v>11.739009256135306</v>
      </c>
      <c r="L23" s="18">
        <f t="shared" si="3"/>
        <v>0.84109078640477619</v>
      </c>
      <c r="M23" s="19"/>
      <c r="N23" s="18">
        <f t="shared" si="4"/>
        <v>12.582007011779202</v>
      </c>
      <c r="O23" s="20">
        <v>272684</v>
      </c>
      <c r="P23" s="21">
        <v>3430912</v>
      </c>
      <c r="Q23" s="21">
        <v>3201040</v>
      </c>
      <c r="R23" s="21">
        <v>229352</v>
      </c>
      <c r="S23" s="37"/>
      <c r="T23" s="38">
        <v>35.9512</v>
      </c>
      <c r="U23" s="38">
        <v>42.450499999999998</v>
      </c>
      <c r="V23" s="38">
        <v>41.591000000000001</v>
      </c>
      <c r="W23" s="39"/>
      <c r="X23" s="38">
        <v>28.130800000000001</v>
      </c>
      <c r="Y23" s="38">
        <v>28.130800000000001</v>
      </c>
      <c r="Z23" s="38">
        <v>28.130800000000001</v>
      </c>
      <c r="AA23" s="39"/>
      <c r="AB23" s="49">
        <v>0.56200000000000006</v>
      </c>
      <c r="AC23" s="49">
        <v>0.54600000000000004</v>
      </c>
      <c r="AE23" s="17" t="str">
        <f t="shared" si="5"/>
        <v>·</v>
      </c>
      <c r="AF23" s="18">
        <f t="shared" si="6"/>
        <v>12.628038315412713</v>
      </c>
      <c r="AG23" s="18">
        <f t="shared" si="7"/>
        <v>11.739009256135306</v>
      </c>
      <c r="AH23" s="18">
        <f t="shared" si="8"/>
        <v>0.88712209003828613</v>
      </c>
      <c r="AI23" s="19"/>
      <c r="AJ23" s="18">
        <f t="shared" si="9"/>
        <v>12.628038315412713</v>
      </c>
      <c r="AK23" s="20">
        <v>272684</v>
      </c>
      <c r="AL23" s="21">
        <v>3443464</v>
      </c>
      <c r="AM23" s="21">
        <v>3201040</v>
      </c>
      <c r="AN23" s="21">
        <v>241904</v>
      </c>
      <c r="AO23" s="37"/>
      <c r="AP23" s="38">
        <v>35.942900000000002</v>
      </c>
      <c r="AQ23" s="38">
        <v>42.358600000000003</v>
      </c>
      <c r="AR23" s="38">
        <v>41.645800000000001</v>
      </c>
      <c r="AS23" s="39"/>
      <c r="AT23" s="38">
        <v>28.130800000000001</v>
      </c>
      <c r="AU23" s="38">
        <v>28.130800000000001</v>
      </c>
      <c r="AV23" s="38">
        <v>28.130800000000001</v>
      </c>
      <c r="AW23" s="39"/>
      <c r="AX23" s="49">
        <v>0.59299999999999997</v>
      </c>
      <c r="AY23" s="49">
        <v>0.56200000000000006</v>
      </c>
      <c r="BA23" s="53">
        <f t="shared" si="10"/>
        <v>-3.4009394963855355E-3</v>
      </c>
      <c r="BB23" s="53"/>
      <c r="BD23" s="54"/>
      <c r="BE23" s="54"/>
      <c r="BF23" s="54"/>
      <c r="BG23" s="61"/>
      <c r="BI23" s="54"/>
      <c r="BJ23" s="54"/>
      <c r="BK23" s="54"/>
      <c r="BL23" s="61"/>
      <c r="BN23" s="54"/>
      <c r="BO23" s="54"/>
      <c r="BP23" s="54"/>
      <c r="BQ23" s="61"/>
      <c r="BS23" s="54"/>
      <c r="BT23" s="54"/>
      <c r="BU23" s="54"/>
      <c r="BV23" s="61"/>
      <c r="BX23">
        <f t="shared" si="12"/>
        <v>0</v>
      </c>
      <c r="BY23">
        <f t="shared" si="13"/>
        <v>12552</v>
      </c>
      <c r="BZ23">
        <f t="shared" si="14"/>
        <v>0</v>
      </c>
      <c r="CA23">
        <f t="shared" si="15"/>
        <v>12552</v>
      </c>
      <c r="CB23">
        <f t="shared" si="16"/>
        <v>0</v>
      </c>
      <c r="CC23">
        <f t="shared" si="17"/>
        <v>-8.2999999999984198E-3</v>
      </c>
      <c r="CD23">
        <f t="shared" si="18"/>
        <v>-9.189999999999543E-2</v>
      </c>
      <c r="CE23">
        <f t="shared" si="19"/>
        <v>5.4800000000000182E-2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12.031949069252322</v>
      </c>
      <c r="K24" s="33">
        <f t="shared" si="2"/>
        <v>11.739009256135306</v>
      </c>
      <c r="L24" s="33">
        <f t="shared" si="3"/>
        <v>0.2910328438778953</v>
      </c>
      <c r="M24" s="34"/>
      <c r="N24" s="33">
        <f t="shared" si="4"/>
        <v>12.031949069252322</v>
      </c>
      <c r="O24" s="35">
        <v>272684</v>
      </c>
      <c r="P24" s="36">
        <v>3280920</v>
      </c>
      <c r="Q24" s="36">
        <v>3201040</v>
      </c>
      <c r="R24" s="36">
        <v>79360</v>
      </c>
      <c r="S24" s="46"/>
      <c r="T24" s="47">
        <v>30.1858</v>
      </c>
      <c r="U24" s="47">
        <v>37.835999999999999</v>
      </c>
      <c r="V24" s="47">
        <v>36.869900000000001</v>
      </c>
      <c r="W24" s="48"/>
      <c r="X24" s="47">
        <v>21.686399999999999</v>
      </c>
      <c r="Y24" s="47">
        <v>21.686399999999999</v>
      </c>
      <c r="Z24" s="47">
        <v>21.686399999999999</v>
      </c>
      <c r="AA24" s="48"/>
      <c r="AB24" s="52">
        <v>0.59299999999999997</v>
      </c>
      <c r="AC24" s="52">
        <v>0.54600000000000004</v>
      </c>
      <c r="AE24" s="32" t="str">
        <f t="shared" si="5"/>
        <v>·</v>
      </c>
      <c r="AF24" s="33">
        <f t="shared" si="6"/>
        <v>12.070440509894237</v>
      </c>
      <c r="AG24" s="33">
        <f t="shared" si="7"/>
        <v>11.739009256135306</v>
      </c>
      <c r="AH24" s="33">
        <f t="shared" si="8"/>
        <v>0.32952428451981047</v>
      </c>
      <c r="AI24" s="34"/>
      <c r="AJ24" s="33">
        <f t="shared" si="9"/>
        <v>12.070440509894237</v>
      </c>
      <c r="AK24" s="35">
        <v>272684</v>
      </c>
      <c r="AL24" s="36">
        <v>3291416</v>
      </c>
      <c r="AM24" s="36">
        <v>3201040</v>
      </c>
      <c r="AN24" s="36">
        <v>89856</v>
      </c>
      <c r="AO24" s="46"/>
      <c r="AP24" s="47">
        <v>30.231400000000001</v>
      </c>
      <c r="AQ24" s="47">
        <v>37.715600000000002</v>
      </c>
      <c r="AR24" s="47">
        <v>37.131100000000004</v>
      </c>
      <c r="AS24" s="48"/>
      <c r="AT24" s="47">
        <v>21.686399999999999</v>
      </c>
      <c r="AU24" s="47">
        <v>21.686399999999999</v>
      </c>
      <c r="AV24" s="47">
        <v>21.686399999999999</v>
      </c>
      <c r="AW24" s="48"/>
      <c r="AX24" s="52">
        <v>0.56200000000000006</v>
      </c>
      <c r="AY24" s="52">
        <v>0.53100000000000003</v>
      </c>
      <c r="BA24" s="59">
        <f t="shared" si="10"/>
        <v>-3.1112614379543713E-3</v>
      </c>
      <c r="BB24" s="59"/>
      <c r="BD24" s="60"/>
      <c r="BE24" s="60"/>
      <c r="BF24" s="60"/>
      <c r="BG24" s="64"/>
      <c r="BI24" s="60"/>
      <c r="BJ24" s="60"/>
      <c r="BK24" s="60"/>
      <c r="BL24" s="64"/>
      <c r="BN24" s="60"/>
      <c r="BO24" s="60"/>
      <c r="BP24" s="60"/>
      <c r="BQ24" s="64"/>
      <c r="BS24" s="60"/>
      <c r="BT24" s="60"/>
      <c r="BU24" s="60"/>
      <c r="BV24" s="64"/>
      <c r="BX24">
        <f t="shared" si="12"/>
        <v>0</v>
      </c>
      <c r="BY24">
        <f t="shared" si="13"/>
        <v>10496</v>
      </c>
      <c r="BZ24">
        <f t="shared" si="14"/>
        <v>0</v>
      </c>
      <c r="CA24">
        <f t="shared" si="15"/>
        <v>10496</v>
      </c>
      <c r="CB24">
        <f t="shared" si="16"/>
        <v>0</v>
      </c>
      <c r="CC24">
        <f t="shared" si="17"/>
        <v>4.5600000000000307E-2</v>
      </c>
      <c r="CD24">
        <f t="shared" si="18"/>
        <v>-0.12039999999999651</v>
      </c>
      <c r="CE24">
        <f t="shared" si="19"/>
        <v>0.26120000000000232</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14.978746119410934</v>
      </c>
      <c r="K25" s="18">
        <f t="shared" si="2"/>
        <v>6.9863096263670164</v>
      </c>
      <c r="L25" s="18">
        <f t="shared" si="3"/>
        <v>7.9920605732150856</v>
      </c>
      <c r="M25" s="19"/>
      <c r="N25" s="18">
        <f t="shared" si="4"/>
        <v>14.978746119410934</v>
      </c>
      <c r="O25" s="20">
        <v>1596085</v>
      </c>
      <c r="P25" s="21">
        <v>23907352</v>
      </c>
      <c r="Q25" s="21">
        <v>11150744</v>
      </c>
      <c r="R25" s="21">
        <v>12756008</v>
      </c>
      <c r="S25" s="37"/>
      <c r="T25" s="38">
        <v>53.425899999999999</v>
      </c>
      <c r="U25" s="38">
        <v>55.3842</v>
      </c>
      <c r="V25" s="38">
        <v>54.771299999999997</v>
      </c>
      <c r="W25" s="39"/>
      <c r="X25" s="38">
        <v>48.130800000000001</v>
      </c>
      <c r="Y25" s="38">
        <v>48.130800000000001</v>
      </c>
      <c r="Z25" s="38">
        <v>48.130800000000001</v>
      </c>
      <c r="AA25" s="39"/>
      <c r="AB25" s="49">
        <v>3.4369999999999998</v>
      </c>
      <c r="AC25" s="49">
        <v>3.093</v>
      </c>
      <c r="AE25" s="17" t="str">
        <f t="shared" si="5"/>
        <v>·</v>
      </c>
      <c r="AF25" s="18">
        <f t="shared" si="6"/>
        <v>15.102749540281376</v>
      </c>
      <c r="AG25" s="18">
        <f t="shared" si="7"/>
        <v>6.9863096263670164</v>
      </c>
      <c r="AH25" s="18">
        <f t="shared" si="8"/>
        <v>8.1160639940855273</v>
      </c>
      <c r="AI25" s="19"/>
      <c r="AJ25" s="18">
        <f t="shared" si="9"/>
        <v>15.102749540281376</v>
      </c>
      <c r="AK25" s="20">
        <v>1596085</v>
      </c>
      <c r="AL25" s="21">
        <v>24105272</v>
      </c>
      <c r="AM25" s="21">
        <v>11150744</v>
      </c>
      <c r="AN25" s="21">
        <v>12953928</v>
      </c>
      <c r="AO25" s="37"/>
      <c r="AP25" s="38">
        <v>53.5</v>
      </c>
      <c r="AQ25" s="38">
        <v>55.456699999999998</v>
      </c>
      <c r="AR25" s="38">
        <v>54.84</v>
      </c>
      <c r="AS25" s="39"/>
      <c r="AT25" s="38">
        <v>48.130800000000001</v>
      </c>
      <c r="AU25" s="38">
        <v>48.130800000000001</v>
      </c>
      <c r="AV25" s="38">
        <v>48.130800000000001</v>
      </c>
      <c r="AW25" s="39"/>
      <c r="AX25" s="49">
        <v>3.593</v>
      </c>
      <c r="AY25" s="49">
        <v>3.0619999999999998</v>
      </c>
      <c r="BA25" s="53">
        <f t="shared" si="10"/>
        <v>-3.8295700267154675E-3</v>
      </c>
      <c r="BB25" s="53">
        <f t="array" ref="BB25">AVERAGE(AM25:AM29/AL25:AL29)-AVERAGE(Q25:Q29/P25:P29)</f>
        <v>-3.9906114545670279E-3</v>
      </c>
      <c r="BD25" s="54">
        <f>IF(OR(ISBLANK(R25:R29),ISBLANK(AN25:AN29),ISBLANK(T25:T29),ISBLANK(AP25:AP29)),"·",bdRateExtend(R25:R29,T25:T29,AN25:AN29,AP25:AP29))</f>
        <v>1.3865428674761482E-2</v>
      </c>
      <c r="BE25" s="54">
        <f>IF(OR(ISBLANK(R25:R29),ISBLANK(AN25:AN29),ISBLANK(U25:U29),ISBLANK(AQ25:AQ29)),"·",bdRateExtend(R25:R29,U25:U29,AN25:AN29,AQ25:AQ29))</f>
        <v>1.7793968305815255E-2</v>
      </c>
      <c r="BF25" s="54">
        <f>IF(OR(ISBLANK(R25:R29),ISBLANK(AN25:AN29),ISBLANK(V25:V29),ISBLANK(AR25:AR29)),"·",bdRateExtend(R25:R29,V25:V29,AN25:AN29,AR25:AR29))</f>
        <v>7.7377709246657655E-3</v>
      </c>
      <c r="BG25" s="61"/>
      <c r="BI25" s="54">
        <f>IF(OR(ISBLANK(R25:R29),ISBLANK(AN25:AN29),ISBLANK(X25:X29),ISBLANK(AT25:AT29)),"·",bdRateExtend(R25:R29,X25:X29,AN25:AN29,AT25:AT29))</f>
        <v>2.1874586457786505E-2</v>
      </c>
      <c r="BJ25" s="54">
        <f>IF(OR(ISBLANK(R25:R29),ISBLANK(AN25:AN29),ISBLANK(Y25:Y29),ISBLANK(AU25:AU29)),"·",bdRateExtend(R25:R29,Y25:Y29,AN25:AN29,AU25:AU29))</f>
        <v>2.1874586457786505E-2</v>
      </c>
      <c r="BK25" s="54">
        <f>IF(OR(ISBLANK(R25:R29),ISBLANK(AN25:AN29),ISBLANK(Z25:Z29),ISBLANK(AV25:AV29)),"·",bdRateExtend(R25:R29,Z25:Z29,AN25:AN29,AV25:AV29))</f>
        <v>2.1874586457786505E-2</v>
      </c>
      <c r="BL25" s="61"/>
      <c r="BN25" s="54">
        <f>IF(OR(ISBLANK(P25:P29),ISBLANK(AL25:AL29),ISBLANK(T25:T29),ISBLANK(AP25:AP29)),"·",bdRateExtend(P25:P29,T25:T29,AL25:AL29,AP25:AP29))</f>
        <v>5.2343412847239978E-3</v>
      </c>
      <c r="BO25" s="54">
        <f>IF(OR(ISBLANK(P25:P29),ISBLANK(AL25:AL29),ISBLANK(U25:U29),ISBLANK(AQ25:AQ29)),"·",bdRateExtend(P25:P29,U25:U29,AL25:AL29,AQ25:AQ29))</f>
        <v>6.1935092235003708E-3</v>
      </c>
      <c r="BP25" s="54">
        <f>IF(OR(ISBLANK(P25:P29),ISBLANK(AL25:AL29),ISBLANK(V25:V29),ISBLANK(AR25:AR29)),"·",bdRateExtend(P25:P29,V25:V29,AL25:AL29,AR25:AR29))</f>
        <v>4.5967915321432073E-3</v>
      </c>
      <c r="BQ25" s="61"/>
      <c r="BS25" s="54">
        <f>IF(OR(ISBLANK(P25:P29),ISBLANK(AL25:AL29),ISBLANK(X25:X29),ISBLANK(AT25:AT29)),"·",bdRateExtend(P25:P29,X25:X29,AL25:AL29,AT25:AT29))</f>
        <v>7.4050603149486971E-3</v>
      </c>
      <c r="BT25" s="54">
        <f>IF(OR(ISBLANK(P25:P29),ISBLANK(AL25:AL29),ISBLANK(Y25:Y29),ISBLANK(AU25:AU29)),"·",bdRateExtend(P25:P29,Y25:Y29,AL25:AL29,AU25:AU29))</f>
        <v>7.4050603149486971E-3</v>
      </c>
      <c r="BU25" s="54">
        <f>IF(OR(ISBLANK(P25:P29),ISBLANK(AL25:AL29),ISBLANK(Z25:Z29),ISBLANK(AV25:AV29)),"·",bdRateExtend(P25:P29,Z25:Z29,AL25:AL29,AV25:AV29))</f>
        <v>7.4050603149486971E-3</v>
      </c>
      <c r="BV25" s="61"/>
      <c r="BX25">
        <f t="shared" si="12"/>
        <v>0</v>
      </c>
      <c r="BY25">
        <f t="shared" si="13"/>
        <v>197920</v>
      </c>
      <c r="BZ25">
        <f t="shared" si="14"/>
        <v>0</v>
      </c>
      <c r="CA25">
        <f t="shared" si="15"/>
        <v>197920</v>
      </c>
      <c r="CB25">
        <f t="shared" si="16"/>
        <v>0</v>
      </c>
      <c r="CC25">
        <f t="shared" si="17"/>
        <v>7.4100000000001387E-2</v>
      </c>
      <c r="CD25">
        <f t="shared" si="18"/>
        <v>7.249999999999801E-2</v>
      </c>
      <c r="CE25">
        <f t="shared" si="19"/>
        <v>6.8700000000006867E-2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12.77212178549388</v>
      </c>
      <c r="K26" s="23">
        <f t="shared" si="2"/>
        <v>6.9863096263670164</v>
      </c>
      <c r="L26" s="23">
        <f t="shared" si="3"/>
        <v>5.7854362392980327</v>
      </c>
      <c r="M26" s="24"/>
      <c r="N26" s="23">
        <f t="shared" si="4"/>
        <v>12.77212178549388</v>
      </c>
      <c r="O26" s="25">
        <v>1596085</v>
      </c>
      <c r="P26" s="26">
        <v>20385392</v>
      </c>
      <c r="Q26" s="26">
        <v>11150744</v>
      </c>
      <c r="R26" s="26">
        <v>9234048</v>
      </c>
      <c r="S26" s="40"/>
      <c r="T26" s="41">
        <v>48.342199999999998</v>
      </c>
      <c r="U26" s="41">
        <v>51.128399999999999</v>
      </c>
      <c r="V26" s="41">
        <v>50.4651</v>
      </c>
      <c r="W26" s="42"/>
      <c r="X26" s="41">
        <v>42.110199999999999</v>
      </c>
      <c r="Y26" s="41">
        <v>42.110199999999999</v>
      </c>
      <c r="Z26" s="41">
        <v>42.110199999999999</v>
      </c>
      <c r="AA26" s="42"/>
      <c r="AB26" s="50">
        <v>3.484</v>
      </c>
      <c r="AC26" s="50">
        <v>3.0310000000000001</v>
      </c>
      <c r="AE26" s="22" t="str">
        <f t="shared" si="5"/>
        <v>·</v>
      </c>
      <c r="AF26" s="23">
        <f t="shared" si="6"/>
        <v>12.89181967125811</v>
      </c>
      <c r="AG26" s="23">
        <f t="shared" si="7"/>
        <v>6.9863096263670164</v>
      </c>
      <c r="AH26" s="23">
        <f t="shared" si="8"/>
        <v>5.9051341250622613</v>
      </c>
      <c r="AI26" s="24"/>
      <c r="AJ26" s="23">
        <f t="shared" si="9"/>
        <v>12.89181967125811</v>
      </c>
      <c r="AK26" s="25">
        <v>1596085</v>
      </c>
      <c r="AL26" s="26">
        <v>20576440</v>
      </c>
      <c r="AM26" s="26">
        <v>11150744</v>
      </c>
      <c r="AN26" s="26">
        <v>9425096</v>
      </c>
      <c r="AO26" s="40"/>
      <c r="AP26" s="41">
        <v>48.400399999999998</v>
      </c>
      <c r="AQ26" s="41">
        <v>51.176400000000001</v>
      </c>
      <c r="AR26" s="41">
        <v>50.505499999999998</v>
      </c>
      <c r="AS26" s="42"/>
      <c r="AT26" s="41">
        <v>42.110199999999999</v>
      </c>
      <c r="AU26" s="41">
        <v>42.110199999999999</v>
      </c>
      <c r="AV26" s="41">
        <v>42.110199999999999</v>
      </c>
      <c r="AW26" s="42"/>
      <c r="AX26" s="50">
        <v>3.5459999999999998</v>
      </c>
      <c r="AY26" s="50">
        <v>3</v>
      </c>
      <c r="BA26" s="55">
        <f t="shared" si="10"/>
        <v>-5.0787523429111081E-3</v>
      </c>
      <c r="BB26" s="55"/>
      <c r="BD26" s="56"/>
      <c r="BE26" s="56"/>
      <c r="BF26" s="56"/>
      <c r="BG26" s="62"/>
      <c r="BI26" s="56"/>
      <c r="BJ26" s="56"/>
      <c r="BK26" s="56"/>
      <c r="BL26" s="62"/>
      <c r="BN26" s="56"/>
      <c r="BO26" s="56"/>
      <c r="BP26" s="56"/>
      <c r="BQ26" s="62"/>
      <c r="BS26" s="56"/>
      <c r="BT26" s="56"/>
      <c r="BU26" s="56"/>
      <c r="BV26" s="62"/>
      <c r="BX26">
        <f t="shared" si="12"/>
        <v>0</v>
      </c>
      <c r="BY26">
        <f t="shared" si="13"/>
        <v>191048</v>
      </c>
      <c r="BZ26">
        <f t="shared" si="14"/>
        <v>0</v>
      </c>
      <c r="CA26">
        <f t="shared" si="15"/>
        <v>191048</v>
      </c>
      <c r="CB26">
        <f t="shared" si="16"/>
        <v>0</v>
      </c>
      <c r="CC26">
        <f t="shared" si="17"/>
        <v>5.8199999999999363E-2</v>
      </c>
      <c r="CD26">
        <f t="shared" si="18"/>
        <v>4.8000000000001819E-2</v>
      </c>
      <c r="CE26">
        <f t="shared" si="19"/>
        <v>4.0399999999998215E-2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10.403967207260266</v>
      </c>
      <c r="K27" s="18">
        <f t="shared" si="2"/>
        <v>6.9863096263670164</v>
      </c>
      <c r="L27" s="18">
        <f t="shared" si="3"/>
        <v>3.417281661064417</v>
      </c>
      <c r="M27" s="19"/>
      <c r="N27" s="18">
        <f t="shared" si="4"/>
        <v>10.403967207260266</v>
      </c>
      <c r="O27" s="20">
        <v>1596085</v>
      </c>
      <c r="P27" s="21">
        <v>16605616</v>
      </c>
      <c r="Q27" s="21">
        <v>11150744</v>
      </c>
      <c r="R27" s="21">
        <v>5454272</v>
      </c>
      <c r="S27" s="37"/>
      <c r="T27" s="38">
        <v>41.147399999999998</v>
      </c>
      <c r="U27" s="38">
        <v>45.699100000000001</v>
      </c>
      <c r="V27" s="38">
        <v>44.8399</v>
      </c>
      <c r="W27" s="39"/>
      <c r="X27" s="38">
        <v>34.151400000000002</v>
      </c>
      <c r="Y27" s="38">
        <v>34.151400000000002</v>
      </c>
      <c r="Z27" s="38">
        <v>34.151400000000002</v>
      </c>
      <c r="AA27" s="39"/>
      <c r="AB27" s="49">
        <v>3.359</v>
      </c>
      <c r="AC27" s="49">
        <v>3</v>
      </c>
      <c r="AE27" s="17" t="str">
        <f t="shared" si="5"/>
        <v>·</v>
      </c>
      <c r="AF27" s="18">
        <f t="shared" si="6"/>
        <v>10.499972119279361</v>
      </c>
      <c r="AG27" s="18">
        <f t="shared" si="7"/>
        <v>6.9863096263670164</v>
      </c>
      <c r="AH27" s="18">
        <f t="shared" si="8"/>
        <v>3.5132865730835139</v>
      </c>
      <c r="AI27" s="19"/>
      <c r="AJ27" s="18">
        <f t="shared" si="9"/>
        <v>10.499972119279361</v>
      </c>
      <c r="AK27" s="20">
        <v>1596085</v>
      </c>
      <c r="AL27" s="21">
        <v>16758848</v>
      </c>
      <c r="AM27" s="21">
        <v>11150744</v>
      </c>
      <c r="AN27" s="21">
        <v>5607504</v>
      </c>
      <c r="AO27" s="37"/>
      <c r="AP27" s="38">
        <v>41.224200000000003</v>
      </c>
      <c r="AQ27" s="38">
        <v>45.719000000000001</v>
      </c>
      <c r="AR27" s="38">
        <v>44.878399999999999</v>
      </c>
      <c r="AS27" s="39"/>
      <c r="AT27" s="38">
        <v>34.151400000000002</v>
      </c>
      <c r="AU27" s="38">
        <v>34.151400000000002</v>
      </c>
      <c r="AV27" s="38">
        <v>34.151400000000002</v>
      </c>
      <c r="AW27" s="39"/>
      <c r="AX27" s="49">
        <v>3.468</v>
      </c>
      <c r="AY27" s="49">
        <v>3.0310000000000001</v>
      </c>
      <c r="BA27" s="53">
        <f t="shared" si="10"/>
        <v>-6.1397991255054407E-3</v>
      </c>
      <c r="BB27" s="53"/>
      <c r="BD27" s="54"/>
      <c r="BE27" s="54"/>
      <c r="BF27" s="54"/>
      <c r="BG27" s="61"/>
      <c r="BI27" s="54"/>
      <c r="BJ27" s="54"/>
      <c r="BK27" s="54"/>
      <c r="BL27" s="61"/>
      <c r="BN27" s="54"/>
      <c r="BO27" s="54"/>
      <c r="BP27" s="54"/>
      <c r="BQ27" s="61"/>
      <c r="BS27" s="54"/>
      <c r="BT27" s="54"/>
      <c r="BU27" s="54"/>
      <c r="BV27" s="61"/>
      <c r="BX27">
        <f t="shared" si="12"/>
        <v>0</v>
      </c>
      <c r="BY27">
        <f t="shared" si="13"/>
        <v>153232</v>
      </c>
      <c r="BZ27">
        <f t="shared" si="14"/>
        <v>0</v>
      </c>
      <c r="CA27">
        <f t="shared" si="15"/>
        <v>153232</v>
      </c>
      <c r="CB27">
        <f t="shared" si="16"/>
        <v>0</v>
      </c>
      <c r="CC27">
        <f t="shared" si="17"/>
        <v>7.6800000000005753E-2</v>
      </c>
      <c r="CD27">
        <f t="shared" si="18"/>
        <v>1.9899999999999807E-2</v>
      </c>
      <c r="CE27">
        <f t="shared" si="19"/>
        <v>3.8499999999999091E-2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8.9882882177327641</v>
      </c>
      <c r="K28" s="23">
        <f t="shared" si="2"/>
        <v>6.9863096263670164</v>
      </c>
      <c r="L28" s="23">
        <f t="shared" si="3"/>
        <v>2.0016026715369168</v>
      </c>
      <c r="M28" s="24"/>
      <c r="N28" s="23">
        <f t="shared" si="4"/>
        <v>8.9882882177327641</v>
      </c>
      <c r="O28" s="25">
        <v>1596085</v>
      </c>
      <c r="P28" s="26">
        <v>14346072</v>
      </c>
      <c r="Q28" s="26">
        <v>11150744</v>
      </c>
      <c r="R28" s="26">
        <v>3194728</v>
      </c>
      <c r="S28" s="40"/>
      <c r="T28" s="41">
        <v>35.488799999999998</v>
      </c>
      <c r="U28" s="41">
        <v>41.222799999999999</v>
      </c>
      <c r="V28" s="41">
        <v>40.3596</v>
      </c>
      <c r="W28" s="42"/>
      <c r="X28" s="41">
        <v>28.130800000000001</v>
      </c>
      <c r="Y28" s="41">
        <v>28.130800000000001</v>
      </c>
      <c r="Z28" s="41">
        <v>28.130800000000001</v>
      </c>
      <c r="AA28" s="42"/>
      <c r="AB28" s="50">
        <v>3.343</v>
      </c>
      <c r="AC28" s="50">
        <v>2.9529999999999998</v>
      </c>
      <c r="AE28" s="22" t="str">
        <f t="shared" si="5"/>
        <v>·</v>
      </c>
      <c r="AF28" s="23">
        <f t="shared" si="6"/>
        <v>9.0378645247590192</v>
      </c>
      <c r="AG28" s="23">
        <f t="shared" si="7"/>
        <v>6.9863096263670164</v>
      </c>
      <c r="AH28" s="23">
        <f t="shared" si="8"/>
        <v>2.0511789785631716</v>
      </c>
      <c r="AI28" s="24"/>
      <c r="AJ28" s="23">
        <f t="shared" si="9"/>
        <v>9.0378645247590192</v>
      </c>
      <c r="AK28" s="25">
        <v>1596085</v>
      </c>
      <c r="AL28" s="26">
        <v>14425200</v>
      </c>
      <c r="AM28" s="26">
        <v>11150744</v>
      </c>
      <c r="AN28" s="26">
        <v>3273856</v>
      </c>
      <c r="AO28" s="40"/>
      <c r="AP28" s="41">
        <v>35.573799999999999</v>
      </c>
      <c r="AQ28" s="41">
        <v>41.229900000000001</v>
      </c>
      <c r="AR28" s="41">
        <v>40.452300000000001</v>
      </c>
      <c r="AS28" s="42"/>
      <c r="AT28" s="41">
        <v>28.130800000000001</v>
      </c>
      <c r="AU28" s="41">
        <v>28.130800000000001</v>
      </c>
      <c r="AV28" s="41">
        <v>28.130800000000001</v>
      </c>
      <c r="AW28" s="42"/>
      <c r="AX28" s="50">
        <v>3.4209999999999998</v>
      </c>
      <c r="AY28" s="50">
        <v>2.968</v>
      </c>
      <c r="BA28" s="55">
        <f t="shared" si="10"/>
        <v>-4.2636268143499967E-3</v>
      </c>
      <c r="BB28" s="55"/>
      <c r="BD28" s="56"/>
      <c r="BE28" s="56"/>
      <c r="BF28" s="56"/>
      <c r="BG28" s="62"/>
      <c r="BI28" s="56"/>
      <c r="BJ28" s="56"/>
      <c r="BK28" s="56"/>
      <c r="BL28" s="62"/>
      <c r="BN28" s="56"/>
      <c r="BO28" s="56"/>
      <c r="BP28" s="56"/>
      <c r="BQ28" s="62"/>
      <c r="BS28" s="56"/>
      <c r="BT28" s="56"/>
      <c r="BU28" s="56"/>
      <c r="BV28" s="62"/>
      <c r="BX28">
        <f t="shared" si="12"/>
        <v>0</v>
      </c>
      <c r="BY28">
        <f t="shared" si="13"/>
        <v>79128</v>
      </c>
      <c r="BZ28">
        <f t="shared" si="14"/>
        <v>0</v>
      </c>
      <c r="CA28">
        <f t="shared" si="15"/>
        <v>79128</v>
      </c>
      <c r="CB28">
        <f t="shared" si="16"/>
        <v>0</v>
      </c>
      <c r="CC28">
        <f t="shared" si="17"/>
        <v>8.5000000000000853E-2</v>
      </c>
      <c r="CD28">
        <f t="shared" si="18"/>
        <v>7.1000000000012164E-3</v>
      </c>
      <c r="CE28">
        <f t="shared" si="19"/>
        <v>9.2700000000000671E-2</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7.9350911762218175</v>
      </c>
      <c r="K29" s="28">
        <f t="shared" si="2"/>
        <v>6.9863096263670164</v>
      </c>
      <c r="L29" s="28">
        <f t="shared" si="3"/>
        <v>0.94840563002596978</v>
      </c>
      <c r="M29" s="29"/>
      <c r="N29" s="28">
        <f t="shared" si="4"/>
        <v>7.9350911762218175</v>
      </c>
      <c r="O29" s="30">
        <v>1596085</v>
      </c>
      <c r="P29" s="31">
        <v>12665080</v>
      </c>
      <c r="Q29" s="31">
        <v>11150744</v>
      </c>
      <c r="R29" s="31">
        <v>1513736</v>
      </c>
      <c r="S29" s="43"/>
      <c r="T29" s="44">
        <v>29.283999999999999</v>
      </c>
      <c r="U29" s="44">
        <v>36.734499999999997</v>
      </c>
      <c r="V29" s="44">
        <v>35.464399999999998</v>
      </c>
      <c r="W29" s="45"/>
      <c r="X29" s="44">
        <v>21.686399999999999</v>
      </c>
      <c r="Y29" s="44">
        <v>21.686399999999999</v>
      </c>
      <c r="Z29" s="44">
        <v>21.686399999999999</v>
      </c>
      <c r="AA29" s="45"/>
      <c r="AB29" s="51">
        <v>3.2650000000000001</v>
      </c>
      <c r="AC29" s="51">
        <v>2.9369999999999998</v>
      </c>
      <c r="AE29" s="27" t="str">
        <f t="shared" si="5"/>
        <v>·</v>
      </c>
      <c r="AF29" s="28">
        <f t="shared" si="6"/>
        <v>7.9408753293214334</v>
      </c>
      <c r="AG29" s="28">
        <f t="shared" si="7"/>
        <v>6.9863096263670164</v>
      </c>
      <c r="AH29" s="28">
        <f t="shared" si="8"/>
        <v>0.95418978312558544</v>
      </c>
      <c r="AI29" s="29"/>
      <c r="AJ29" s="28">
        <f t="shared" si="9"/>
        <v>7.9408753293214334</v>
      </c>
      <c r="AK29" s="30">
        <v>1596085</v>
      </c>
      <c r="AL29" s="31">
        <v>12674312</v>
      </c>
      <c r="AM29" s="31">
        <v>11150744</v>
      </c>
      <c r="AN29" s="31">
        <v>1522968</v>
      </c>
      <c r="AO29" s="43"/>
      <c r="AP29" s="44">
        <v>29.462</v>
      </c>
      <c r="AQ29" s="44">
        <v>36.833500000000001</v>
      </c>
      <c r="AR29" s="44">
        <v>36.014200000000002</v>
      </c>
      <c r="AS29" s="45"/>
      <c r="AT29" s="44">
        <v>21.686399999999999</v>
      </c>
      <c r="AU29" s="44">
        <v>21.686399999999999</v>
      </c>
      <c r="AV29" s="44">
        <v>21.686399999999999</v>
      </c>
      <c r="AW29" s="45"/>
      <c r="AX29" s="51">
        <v>3.4209999999999998</v>
      </c>
      <c r="AY29" s="51">
        <v>2.968</v>
      </c>
      <c r="BA29" s="57">
        <f t="shared" si="10"/>
        <v>-6.4130896335312659E-4</v>
      </c>
      <c r="BB29" s="57"/>
      <c r="BD29" s="58"/>
      <c r="BE29" s="58"/>
      <c r="BF29" s="58"/>
      <c r="BG29" s="63"/>
      <c r="BI29" s="58"/>
      <c r="BJ29" s="58"/>
      <c r="BK29" s="58"/>
      <c r="BL29" s="63"/>
      <c r="BN29" s="58"/>
      <c r="BO29" s="58"/>
      <c r="BP29" s="58"/>
      <c r="BQ29" s="63"/>
      <c r="BS29" s="58"/>
      <c r="BT29" s="58"/>
      <c r="BU29" s="58"/>
      <c r="BV29" s="63"/>
      <c r="BX29">
        <f t="shared" si="12"/>
        <v>0</v>
      </c>
      <c r="BY29">
        <f t="shared" si="13"/>
        <v>9232</v>
      </c>
      <c r="BZ29">
        <f t="shared" si="14"/>
        <v>0</v>
      </c>
      <c r="CA29">
        <f t="shared" si="15"/>
        <v>9232</v>
      </c>
      <c r="CB29">
        <f t="shared" si="16"/>
        <v>0</v>
      </c>
      <c r="CC29">
        <f t="shared" si="17"/>
        <v>0.17800000000000082</v>
      </c>
      <c r="CD29">
        <f t="shared" si="18"/>
        <v>9.9000000000003752E-2</v>
      </c>
      <c r="CE29">
        <f t="shared" si="19"/>
        <v>0.54980000000000473</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15.926595329079422</v>
      </c>
      <c r="K30" s="23">
        <f t="shared" si="2"/>
        <v>8.6158762803270807</v>
      </c>
      <c r="L30" s="23">
        <f t="shared" si="3"/>
        <v>7.3105789480774321</v>
      </c>
      <c r="M30" s="24"/>
      <c r="N30" s="23">
        <f t="shared" si="4"/>
        <v>15.926595329079422</v>
      </c>
      <c r="O30" s="25">
        <v>8907880</v>
      </c>
      <c r="P30" s="26">
        <v>141872200</v>
      </c>
      <c r="Q30" s="26">
        <v>76749192</v>
      </c>
      <c r="R30" s="26">
        <v>65121760</v>
      </c>
      <c r="S30" s="40"/>
      <c r="T30" s="41">
        <v>53.143799999999999</v>
      </c>
      <c r="U30" s="41">
        <v>55.479799999999997</v>
      </c>
      <c r="V30" s="41">
        <v>55.264600000000002</v>
      </c>
      <c r="W30" s="42"/>
      <c r="X30" s="41">
        <v>48.130800000000001</v>
      </c>
      <c r="Y30" s="41">
        <v>48.130800000000001</v>
      </c>
      <c r="Z30" s="41">
        <v>48.130800000000001</v>
      </c>
      <c r="AA30" s="42"/>
      <c r="AB30" s="50">
        <v>21</v>
      </c>
      <c r="AC30" s="50">
        <v>18.280999999999999</v>
      </c>
      <c r="AE30" s="22" t="str">
        <f t="shared" si="5"/>
        <v>·</v>
      </c>
      <c r="AF30" s="23">
        <f t="shared" si="6"/>
        <v>15.979605472907133</v>
      </c>
      <c r="AG30" s="23">
        <f t="shared" si="7"/>
        <v>8.6158762803270807</v>
      </c>
      <c r="AH30" s="23">
        <f t="shared" si="8"/>
        <v>7.363589091905145</v>
      </c>
      <c r="AI30" s="24"/>
      <c r="AJ30" s="23">
        <f t="shared" si="9"/>
        <v>15.979605472907133</v>
      </c>
      <c r="AK30" s="25">
        <v>8907880</v>
      </c>
      <c r="AL30" s="26">
        <v>142344408</v>
      </c>
      <c r="AM30" s="26">
        <v>76749192</v>
      </c>
      <c r="AN30" s="26">
        <v>65593968</v>
      </c>
      <c r="AO30" s="40"/>
      <c r="AP30" s="41">
        <v>53.1813</v>
      </c>
      <c r="AQ30" s="41">
        <v>55.5167</v>
      </c>
      <c r="AR30" s="41">
        <v>55.294400000000003</v>
      </c>
      <c r="AS30" s="42"/>
      <c r="AT30" s="41">
        <v>48.130800000000001</v>
      </c>
      <c r="AU30" s="41">
        <v>48.130800000000001</v>
      </c>
      <c r="AV30" s="41">
        <v>48.130800000000001</v>
      </c>
      <c r="AW30" s="42"/>
      <c r="AX30" s="50">
        <v>21.452999999999999</v>
      </c>
      <c r="AY30" s="50">
        <v>18.155999999999999</v>
      </c>
      <c r="BA30" s="55">
        <f t="shared" si="10"/>
        <v>-1.7946073353889425E-3</v>
      </c>
      <c r="BB30" s="55">
        <f t="array" ref="BB30">AVERAGE(AM30:AM34/AL30:AL34)-AVERAGE(Q30:Q34/P30:P34)</f>
        <v>-2.2715374521939946E-3</v>
      </c>
      <c r="BD30" s="56">
        <f>IF(OR(ISBLANK(R30:R34),ISBLANK(AN30:AN34),ISBLANK(T30:T34),ISBLANK(AP30:AP34)),"·",bdRateExtend(R30:R34,T30:T34,AN30:AN34,AP30:AP34))</f>
        <v>9.2136379533114265E-3</v>
      </c>
      <c r="BE30" s="56">
        <f>IF(OR(ISBLANK(R30:R34),ISBLANK(AN30:AN34),ISBLANK(U30:U34),ISBLANK(AQ30:AQ34)),"·",bdRateExtend(R30:R34,U30:U34,AN30:AN34,AQ30:AQ34))</f>
        <v>1.1320832292617045E-2</v>
      </c>
      <c r="BF30" s="56">
        <f>IF(OR(ISBLANK(R30:R34),ISBLANK(AN30:AN34),ISBLANK(V30:V34),ISBLANK(AR30:AR34)),"·",bdRateExtend(R30:R34,V30:V34,AN30:AN34,AR30:AR34))</f>
        <v>1.0000115841735102E-3</v>
      </c>
      <c r="BG30" s="62"/>
      <c r="BI30" s="56">
        <f>IF(OR(ISBLANK(R30:R34),ISBLANK(AN30:AN34),ISBLANK(X30:X34),ISBLANK(AT30:AT34)),"·",bdRateExtend(R30:R34,X30:X34,AN30:AN34,AT30:AT34))</f>
        <v>1.4239844450585348E-2</v>
      </c>
      <c r="BJ30" s="56">
        <f>IF(OR(ISBLANK(R30:R34),ISBLANK(AN30:AN34),ISBLANK(Y30:Y34),ISBLANK(AU30:AU34)),"·",bdRateExtend(R30:R34,Y30:Y34,AN30:AN34,AU30:AU34))</f>
        <v>1.4239844450585348E-2</v>
      </c>
      <c r="BK30" s="56">
        <f>IF(OR(ISBLANK(R30:R34),ISBLANK(AN30:AN34),ISBLANK(Z30:Z34),ISBLANK(AV30:AV34)),"·",bdRateExtend(R30:R34,Z30:Z34,AN30:AN34,AV30:AV34))</f>
        <v>1.4239844450585348E-2</v>
      </c>
      <c r="BL30" s="62"/>
      <c r="BN30" s="56">
        <f>IF(OR(ISBLANK(P30:P34),ISBLANK(AL30:AL34),ISBLANK(T30:T34),ISBLANK(AP30:AP34)),"·",bdRateExtend(P30:P34,T30:T34,AL30:AL34,AP30:AP34))</f>
        <v>2.4829429357857702E-3</v>
      </c>
      <c r="BO30" s="56">
        <f>IF(OR(ISBLANK(P30:P34),ISBLANK(AL30:AL34),ISBLANK(U30:U34),ISBLANK(AQ30:AQ34)),"·",bdRateExtend(P30:P34,U30:U34,AL30:AL34,AQ30:AQ34))</f>
        <v>2.8255645621553249E-3</v>
      </c>
      <c r="BP30" s="56">
        <f>IF(OR(ISBLANK(P30:P34),ISBLANK(AL30:AL34),ISBLANK(V30:V34),ISBLANK(AR30:AR34)),"·",bdRateExtend(P30:P34,V30:V34,AL30:AL34,AR30:AR34))</f>
        <v>1.3162013875074319E-3</v>
      </c>
      <c r="BQ30" s="62"/>
      <c r="BS30" s="56">
        <f>IF(OR(ISBLANK(P30:P34),ISBLANK(AL30:AL34),ISBLANK(X30:X34),ISBLANK(AT30:AT34)),"·",bdRateExtend(P30:P34,X30:X34,AL30:AL34,AT30:AT34))</f>
        <v>3.4952275946387168E-3</v>
      </c>
      <c r="BT30" s="56">
        <f>IF(OR(ISBLANK(P30:P34),ISBLANK(AL30:AL34),ISBLANK(Y30:Y34),ISBLANK(AU30:AU34)),"·",bdRateExtend(P30:P34,Y30:Y34,AL30:AL34,AU30:AU34))</f>
        <v>3.4952275946387168E-3</v>
      </c>
      <c r="BU30" s="56">
        <f>IF(OR(ISBLANK(P30:P34),ISBLANK(AL30:AL34),ISBLANK(Z30:Z34),ISBLANK(AV30:AV34)),"·",bdRateExtend(P30:P34,Z30:Z34,AL30:AL34,AV30:AV34))</f>
        <v>3.4952275946387168E-3</v>
      </c>
      <c r="BV30" s="62"/>
      <c r="BX30">
        <f t="shared" si="12"/>
        <v>0</v>
      </c>
      <c r="BY30">
        <f t="shared" si="13"/>
        <v>472208</v>
      </c>
      <c r="BZ30">
        <f t="shared" si="14"/>
        <v>0</v>
      </c>
      <c r="CA30">
        <f t="shared" si="15"/>
        <v>472208</v>
      </c>
      <c r="CB30">
        <f t="shared" si="16"/>
        <v>0</v>
      </c>
      <c r="CC30">
        <f t="shared" si="17"/>
        <v>3.7500000000001421E-2</v>
      </c>
      <c r="CD30">
        <f t="shared" si="18"/>
        <v>3.6900000000002819E-2</v>
      </c>
      <c r="CE30">
        <f t="shared" si="19"/>
        <v>2.9800000000001603E-2</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13.855246366138745</v>
      </c>
      <c r="K31" s="18">
        <f t="shared" si="2"/>
        <v>8.6158762803270807</v>
      </c>
      <c r="L31" s="18">
        <f t="shared" si="3"/>
        <v>5.2392299851367552</v>
      </c>
      <c r="M31" s="19"/>
      <c r="N31" s="18">
        <f t="shared" si="4"/>
        <v>13.855246366138745</v>
      </c>
      <c r="O31" s="20">
        <v>8907880</v>
      </c>
      <c r="P31" s="21">
        <v>123420872</v>
      </c>
      <c r="Q31" s="21">
        <v>76749192</v>
      </c>
      <c r="R31" s="21">
        <v>46670432</v>
      </c>
      <c r="S31" s="37"/>
      <c r="T31" s="38">
        <v>48.2836</v>
      </c>
      <c r="U31" s="38">
        <v>51.122</v>
      </c>
      <c r="V31" s="38">
        <v>50.880499999999998</v>
      </c>
      <c r="W31" s="39"/>
      <c r="X31" s="38">
        <v>42.110199999999999</v>
      </c>
      <c r="Y31" s="38">
        <v>42.110199999999999</v>
      </c>
      <c r="Z31" s="38">
        <v>42.110199999999999</v>
      </c>
      <c r="AA31" s="39"/>
      <c r="AB31" s="49">
        <v>21</v>
      </c>
      <c r="AC31" s="49">
        <v>18.109000000000002</v>
      </c>
      <c r="AE31" s="17" t="str">
        <f t="shared" si="5"/>
        <v>·</v>
      </c>
      <c r="AF31" s="18">
        <f t="shared" si="6"/>
        <v>13.911327049758192</v>
      </c>
      <c r="AG31" s="18">
        <f t="shared" si="7"/>
        <v>8.6158762803270807</v>
      </c>
      <c r="AH31" s="18">
        <f t="shared" si="8"/>
        <v>5.2953106687562022</v>
      </c>
      <c r="AI31" s="19"/>
      <c r="AJ31" s="18">
        <f t="shared" si="9"/>
        <v>13.911327049758192</v>
      </c>
      <c r="AK31" s="20">
        <v>8907880</v>
      </c>
      <c r="AL31" s="21">
        <v>123920432</v>
      </c>
      <c r="AM31" s="21">
        <v>76749192</v>
      </c>
      <c r="AN31" s="21">
        <v>47169992</v>
      </c>
      <c r="AO31" s="37"/>
      <c r="AP31" s="38">
        <v>48.313400000000001</v>
      </c>
      <c r="AQ31" s="38">
        <v>51.144100000000002</v>
      </c>
      <c r="AR31" s="38">
        <v>50.906599999999997</v>
      </c>
      <c r="AS31" s="39"/>
      <c r="AT31" s="38">
        <v>42.110199999999999</v>
      </c>
      <c r="AU31" s="38">
        <v>42.110199999999999</v>
      </c>
      <c r="AV31" s="38">
        <v>42.110199999999999</v>
      </c>
      <c r="AW31" s="39"/>
      <c r="AX31" s="49">
        <v>21.015000000000001</v>
      </c>
      <c r="AY31" s="49">
        <v>18.045999999999999</v>
      </c>
      <c r="BA31" s="53">
        <f t="shared" si="10"/>
        <v>-2.506859186134025E-3</v>
      </c>
      <c r="BB31" s="53"/>
      <c r="BD31" s="54"/>
      <c r="BE31" s="54"/>
      <c r="BF31" s="54"/>
      <c r="BG31" s="61"/>
      <c r="BI31" s="54"/>
      <c r="BJ31" s="54"/>
      <c r="BK31" s="54"/>
      <c r="BL31" s="61"/>
      <c r="BN31" s="54"/>
      <c r="BO31" s="54"/>
      <c r="BP31" s="54"/>
      <c r="BQ31" s="61"/>
      <c r="BS31" s="54"/>
      <c r="BT31" s="54"/>
      <c r="BU31" s="54"/>
      <c r="BV31" s="61"/>
      <c r="BX31">
        <f t="shared" si="12"/>
        <v>0</v>
      </c>
      <c r="BY31">
        <f t="shared" si="13"/>
        <v>499560</v>
      </c>
      <c r="BZ31">
        <f t="shared" si="14"/>
        <v>0</v>
      </c>
      <c r="CA31">
        <f t="shared" si="15"/>
        <v>499560</v>
      </c>
      <c r="CB31">
        <f t="shared" si="16"/>
        <v>0</v>
      </c>
      <c r="CC31">
        <f t="shared" si="17"/>
        <v>2.9800000000001603E-2</v>
      </c>
      <c r="CD31">
        <f t="shared" si="18"/>
        <v>2.2100000000001785E-2</v>
      </c>
      <c r="CE31">
        <f t="shared" si="19"/>
        <v>2.6099999999999568E-2</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11.710100270771497</v>
      </c>
      <c r="K32" s="23">
        <f t="shared" si="2"/>
        <v>8.6158762803270807</v>
      </c>
      <c r="L32" s="23">
        <f t="shared" si="3"/>
        <v>3.0940838897695073</v>
      </c>
      <c r="M32" s="24"/>
      <c r="N32" s="23">
        <f t="shared" si="4"/>
        <v>11.710100270771497</v>
      </c>
      <c r="O32" s="25">
        <v>8907880</v>
      </c>
      <c r="P32" s="26">
        <v>104312168</v>
      </c>
      <c r="Q32" s="26">
        <v>76749192</v>
      </c>
      <c r="R32" s="26">
        <v>27561728</v>
      </c>
      <c r="S32" s="40"/>
      <c r="T32" s="41">
        <v>41.046900000000001</v>
      </c>
      <c r="U32" s="41">
        <v>45.664700000000003</v>
      </c>
      <c r="V32" s="41">
        <v>45.672600000000003</v>
      </c>
      <c r="W32" s="42"/>
      <c r="X32" s="41">
        <v>34.151400000000002</v>
      </c>
      <c r="Y32" s="41">
        <v>34.151400000000002</v>
      </c>
      <c r="Z32" s="41">
        <v>34.151400000000002</v>
      </c>
      <c r="AA32" s="42"/>
      <c r="AB32" s="50">
        <v>20.577999999999999</v>
      </c>
      <c r="AC32" s="50">
        <v>17.765000000000001</v>
      </c>
      <c r="AE32" s="22" t="str">
        <f t="shared" si="5"/>
        <v>·</v>
      </c>
      <c r="AF32" s="23">
        <f t="shared" si="6"/>
        <v>11.758099121227497</v>
      </c>
      <c r="AG32" s="23">
        <f t="shared" si="7"/>
        <v>8.6158762803270807</v>
      </c>
      <c r="AH32" s="23">
        <f t="shared" si="8"/>
        <v>3.1420827402255083</v>
      </c>
      <c r="AI32" s="24"/>
      <c r="AJ32" s="23">
        <f t="shared" si="9"/>
        <v>11.758099121227497</v>
      </c>
      <c r="AK32" s="25">
        <v>8907880</v>
      </c>
      <c r="AL32" s="26">
        <v>104739736</v>
      </c>
      <c r="AM32" s="26">
        <v>76749192</v>
      </c>
      <c r="AN32" s="26">
        <v>27989296</v>
      </c>
      <c r="AO32" s="40"/>
      <c r="AP32" s="41">
        <v>41.093699999999998</v>
      </c>
      <c r="AQ32" s="41">
        <v>45.677500000000002</v>
      </c>
      <c r="AR32" s="41">
        <v>45.725200000000001</v>
      </c>
      <c r="AS32" s="42"/>
      <c r="AT32" s="41">
        <v>34.151400000000002</v>
      </c>
      <c r="AU32" s="41">
        <v>34.151400000000002</v>
      </c>
      <c r="AV32" s="41">
        <v>34.151400000000002</v>
      </c>
      <c r="AW32" s="42"/>
      <c r="AX32" s="50">
        <v>20.952999999999999</v>
      </c>
      <c r="AY32" s="50">
        <v>17.968</v>
      </c>
      <c r="BA32" s="55">
        <f t="shared" si="10"/>
        <v>-3.0035340493029805E-3</v>
      </c>
      <c r="BB32" s="55"/>
      <c r="BD32" s="56"/>
      <c r="BE32" s="56"/>
      <c r="BF32" s="56"/>
      <c r="BG32" s="62"/>
      <c r="BI32" s="56"/>
      <c r="BJ32" s="56"/>
      <c r="BK32" s="56"/>
      <c r="BL32" s="62"/>
      <c r="BN32" s="56"/>
      <c r="BO32" s="56"/>
      <c r="BP32" s="56"/>
      <c r="BQ32" s="62"/>
      <c r="BS32" s="56"/>
      <c r="BT32" s="56"/>
      <c r="BU32" s="56"/>
      <c r="BV32" s="62"/>
      <c r="BX32">
        <f t="shared" si="12"/>
        <v>0</v>
      </c>
      <c r="BY32">
        <f t="shared" si="13"/>
        <v>427568</v>
      </c>
      <c r="BZ32">
        <f t="shared" si="14"/>
        <v>0</v>
      </c>
      <c r="CA32">
        <f t="shared" si="15"/>
        <v>427568</v>
      </c>
      <c r="CB32">
        <f t="shared" si="16"/>
        <v>0</v>
      </c>
      <c r="CC32">
        <f t="shared" si="17"/>
        <v>4.679999999999751E-2</v>
      </c>
      <c r="CD32">
        <f t="shared" si="18"/>
        <v>1.279999999999859E-2</v>
      </c>
      <c r="CE32">
        <f t="shared" si="19"/>
        <v>5.2599999999998204E-2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10.423553078847043</v>
      </c>
      <c r="K33" s="18">
        <f t="shared" si="2"/>
        <v>8.6158762803270807</v>
      </c>
      <c r="L33" s="18">
        <f t="shared" si="3"/>
        <v>1.807536697845054</v>
      </c>
      <c r="M33" s="19"/>
      <c r="N33" s="18">
        <f t="shared" si="4"/>
        <v>10.423553078847043</v>
      </c>
      <c r="O33" s="20">
        <v>8907880</v>
      </c>
      <c r="P33" s="21">
        <v>92851760</v>
      </c>
      <c r="Q33" s="21">
        <v>76749192</v>
      </c>
      <c r="R33" s="21">
        <v>16101320</v>
      </c>
      <c r="S33" s="37"/>
      <c r="T33" s="38">
        <v>35.370600000000003</v>
      </c>
      <c r="U33" s="38">
        <v>41.233400000000003</v>
      </c>
      <c r="V33" s="38">
        <v>41.254199999999997</v>
      </c>
      <c r="W33" s="39"/>
      <c r="X33" s="38">
        <v>28.130800000000001</v>
      </c>
      <c r="Y33" s="38">
        <v>28.130800000000001</v>
      </c>
      <c r="Z33" s="38">
        <v>28.130800000000001</v>
      </c>
      <c r="AA33" s="39"/>
      <c r="AB33" s="49">
        <v>20.593</v>
      </c>
      <c r="AC33" s="49">
        <v>17.625</v>
      </c>
      <c r="AE33" s="17" t="str">
        <f t="shared" si="5"/>
        <v>·</v>
      </c>
      <c r="AF33" s="18">
        <f t="shared" si="6"/>
        <v>10.45418752834569</v>
      </c>
      <c r="AG33" s="18">
        <f t="shared" si="7"/>
        <v>8.6158762803270807</v>
      </c>
      <c r="AH33" s="18">
        <f t="shared" si="8"/>
        <v>1.8381711473437001</v>
      </c>
      <c r="AI33" s="19"/>
      <c r="AJ33" s="18">
        <f t="shared" si="9"/>
        <v>10.45418752834569</v>
      </c>
      <c r="AK33" s="20">
        <v>8907880</v>
      </c>
      <c r="AL33" s="21">
        <v>93124648</v>
      </c>
      <c r="AM33" s="21">
        <v>76749192</v>
      </c>
      <c r="AN33" s="21">
        <v>16374208</v>
      </c>
      <c r="AO33" s="37"/>
      <c r="AP33" s="38">
        <v>35.412599999999998</v>
      </c>
      <c r="AQ33" s="38">
        <v>41.267899999999997</v>
      </c>
      <c r="AR33" s="38">
        <v>41.392499999999998</v>
      </c>
      <c r="AS33" s="39"/>
      <c r="AT33" s="38">
        <v>28.130800000000001</v>
      </c>
      <c r="AU33" s="38">
        <v>28.130800000000001</v>
      </c>
      <c r="AV33" s="38">
        <v>28.130800000000001</v>
      </c>
      <c r="AW33" s="39"/>
      <c r="AX33" s="49">
        <v>20.827999999999999</v>
      </c>
      <c r="AY33" s="49">
        <v>17.718</v>
      </c>
      <c r="BA33" s="53">
        <f t="shared" si="10"/>
        <v>-2.4221635594042779E-3</v>
      </c>
      <c r="BB33" s="53"/>
      <c r="BD33" s="54"/>
      <c r="BE33" s="54"/>
      <c r="BF33" s="54"/>
      <c r="BG33" s="61"/>
      <c r="BI33" s="54"/>
      <c r="BJ33" s="54"/>
      <c r="BK33" s="54"/>
      <c r="BL33" s="61"/>
      <c r="BN33" s="54"/>
      <c r="BO33" s="54"/>
      <c r="BP33" s="54"/>
      <c r="BQ33" s="61"/>
      <c r="BS33" s="54"/>
      <c r="BT33" s="54"/>
      <c r="BU33" s="54"/>
      <c r="BV33" s="61"/>
      <c r="BX33">
        <f t="shared" si="12"/>
        <v>0</v>
      </c>
      <c r="BY33">
        <f t="shared" si="13"/>
        <v>272888</v>
      </c>
      <c r="BZ33">
        <f t="shared" si="14"/>
        <v>0</v>
      </c>
      <c r="CA33">
        <f t="shared" si="15"/>
        <v>272888</v>
      </c>
      <c r="CB33">
        <f t="shared" si="16"/>
        <v>0</v>
      </c>
      <c r="CC33">
        <f t="shared" si="17"/>
        <v>4.1999999999994486E-2</v>
      </c>
      <c r="CD33">
        <f t="shared" si="18"/>
        <v>3.4499999999994202E-2</v>
      </c>
      <c r="CE33">
        <f t="shared" si="19"/>
        <v>0.13830000000000098</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9.4332568467469251</v>
      </c>
      <c r="K34" s="33">
        <f t="shared" si="2"/>
        <v>8.6158762803270807</v>
      </c>
      <c r="L34" s="33">
        <f t="shared" si="3"/>
        <v>0.81724046574493592</v>
      </c>
      <c r="M34" s="34"/>
      <c r="N34" s="33">
        <f t="shared" si="4"/>
        <v>9.4332568467469251</v>
      </c>
      <c r="O34" s="35">
        <v>8907880</v>
      </c>
      <c r="P34" s="36">
        <v>84030320</v>
      </c>
      <c r="Q34" s="36">
        <v>76749192</v>
      </c>
      <c r="R34" s="36">
        <v>7279880</v>
      </c>
      <c r="S34" s="46"/>
      <c r="T34" s="47">
        <v>29.221900000000002</v>
      </c>
      <c r="U34" s="47">
        <v>36.734999999999999</v>
      </c>
      <c r="V34" s="47">
        <v>36.6325</v>
      </c>
      <c r="W34" s="48"/>
      <c r="X34" s="47">
        <v>21.686399999999999</v>
      </c>
      <c r="Y34" s="47">
        <v>21.686399999999999</v>
      </c>
      <c r="Z34" s="47">
        <v>21.686399999999999</v>
      </c>
      <c r="AA34" s="48"/>
      <c r="AB34" s="52">
        <v>20.420999999999999</v>
      </c>
      <c r="AC34" s="52">
        <v>17.718</v>
      </c>
      <c r="AE34" s="32" t="str">
        <f t="shared" si="5"/>
        <v>·</v>
      </c>
      <c r="AF34" s="33">
        <f t="shared" si="6"/>
        <v>9.4501273030171031</v>
      </c>
      <c r="AG34" s="33">
        <f t="shared" si="7"/>
        <v>8.6158762803270807</v>
      </c>
      <c r="AH34" s="33">
        <f t="shared" si="8"/>
        <v>0.83411092201511472</v>
      </c>
      <c r="AI34" s="34"/>
      <c r="AJ34" s="33">
        <f t="shared" si="9"/>
        <v>9.4501273030171031</v>
      </c>
      <c r="AK34" s="35">
        <v>8907880</v>
      </c>
      <c r="AL34" s="36">
        <v>84180600</v>
      </c>
      <c r="AM34" s="36">
        <v>76749192</v>
      </c>
      <c r="AN34" s="36">
        <v>7430160</v>
      </c>
      <c r="AO34" s="46"/>
      <c r="AP34" s="47">
        <v>29.370699999999999</v>
      </c>
      <c r="AQ34" s="47">
        <v>36.755200000000002</v>
      </c>
      <c r="AR34" s="47">
        <v>36.929400000000001</v>
      </c>
      <c r="AS34" s="48"/>
      <c r="AT34" s="47">
        <v>21.686399999999999</v>
      </c>
      <c r="AU34" s="47">
        <v>21.686399999999999</v>
      </c>
      <c r="AV34" s="47">
        <v>21.686399999999999</v>
      </c>
      <c r="AW34" s="48"/>
      <c r="AX34" s="52">
        <v>20.795999999999999</v>
      </c>
      <c r="AY34" s="52">
        <v>17.702999999999999</v>
      </c>
      <c r="BA34" s="59">
        <f t="shared" si="10"/>
        <v>-1.6305231307398582E-3</v>
      </c>
      <c r="BB34" s="59"/>
      <c r="BD34" s="60"/>
      <c r="BE34" s="60"/>
      <c r="BF34" s="60"/>
      <c r="BG34" s="64"/>
      <c r="BI34" s="60"/>
      <c r="BJ34" s="60"/>
      <c r="BK34" s="60"/>
      <c r="BL34" s="64"/>
      <c r="BN34" s="60"/>
      <c r="BO34" s="60"/>
      <c r="BP34" s="60"/>
      <c r="BQ34" s="64"/>
      <c r="BS34" s="60"/>
      <c r="BT34" s="60"/>
      <c r="BU34" s="60"/>
      <c r="BV34" s="64"/>
      <c r="BX34">
        <f t="shared" si="12"/>
        <v>0</v>
      </c>
      <c r="BY34">
        <f t="shared" si="13"/>
        <v>150280</v>
      </c>
      <c r="BZ34">
        <f t="shared" si="14"/>
        <v>0</v>
      </c>
      <c r="CA34">
        <f t="shared" si="15"/>
        <v>150280</v>
      </c>
      <c r="CB34">
        <f t="shared" si="16"/>
        <v>0</v>
      </c>
      <c r="CC34">
        <f t="shared" si="17"/>
        <v>0.14879999999999782</v>
      </c>
      <c r="CD34">
        <f t="shared" si="18"/>
        <v>2.020000000000266E-2</v>
      </c>
      <c r="CE34">
        <f t="shared" si="19"/>
        <v>0.29690000000000083</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7.7589239134315093</v>
      </c>
      <c r="K35" s="18">
        <f t="shared" si="2"/>
        <v>1.2030622231030674</v>
      </c>
      <c r="L35" s="18">
        <f t="shared" si="3"/>
        <v>6.5556351872528005</v>
      </c>
      <c r="M35" s="19"/>
      <c r="N35" s="18">
        <f t="shared" si="4"/>
        <v>7.7589239134315093</v>
      </c>
      <c r="O35" s="20">
        <v>4061755</v>
      </c>
      <c r="P35" s="21">
        <v>31514848</v>
      </c>
      <c r="Q35" s="21">
        <v>4886544</v>
      </c>
      <c r="R35" s="21">
        <v>26627384</v>
      </c>
      <c r="S35" s="37"/>
      <c r="T35" s="38">
        <v>53.099800000000002</v>
      </c>
      <c r="U35" s="38">
        <v>55.983800000000002</v>
      </c>
      <c r="V35" s="38">
        <v>55.197899999999997</v>
      </c>
      <c r="W35" s="39"/>
      <c r="X35" s="38">
        <v>48.130800000000001</v>
      </c>
      <c r="Y35" s="38">
        <v>48.130800000000001</v>
      </c>
      <c r="Z35" s="38">
        <v>48.130800000000001</v>
      </c>
      <c r="AA35" s="39"/>
      <c r="AB35" s="49">
        <v>4.875</v>
      </c>
      <c r="AC35" s="49">
        <v>3.7029999999999998</v>
      </c>
      <c r="AE35" s="17" t="str">
        <f t="shared" si="5"/>
        <v>·</v>
      </c>
      <c r="AF35" s="18">
        <f t="shared" si="6"/>
        <v>7.7628177967405714</v>
      </c>
      <c r="AG35" s="18">
        <f t="shared" si="7"/>
        <v>1.2030622231030674</v>
      </c>
      <c r="AH35" s="18">
        <f t="shared" si="8"/>
        <v>6.5595290705618634</v>
      </c>
      <c r="AI35" s="19"/>
      <c r="AJ35" s="18">
        <f t="shared" si="9"/>
        <v>7.7628177967405714</v>
      </c>
      <c r="AK35" s="20">
        <v>4061755</v>
      </c>
      <c r="AL35" s="21">
        <v>31530664</v>
      </c>
      <c r="AM35" s="21">
        <v>4886544</v>
      </c>
      <c r="AN35" s="21">
        <v>26643200</v>
      </c>
      <c r="AO35" s="37"/>
      <c r="AP35" s="38">
        <v>53.102600000000002</v>
      </c>
      <c r="AQ35" s="38">
        <v>55.984900000000003</v>
      </c>
      <c r="AR35" s="38">
        <v>55.200499999999998</v>
      </c>
      <c r="AS35" s="39"/>
      <c r="AT35" s="38">
        <v>48.130800000000001</v>
      </c>
      <c r="AU35" s="38">
        <v>48.130800000000001</v>
      </c>
      <c r="AV35" s="38">
        <v>48.130800000000001</v>
      </c>
      <c r="AW35" s="39"/>
      <c r="AX35" s="49">
        <v>4.875</v>
      </c>
      <c r="AY35" s="49">
        <v>3.6560000000000001</v>
      </c>
      <c r="BA35" s="53">
        <f t="shared" si="10"/>
        <v>-7.7776811768404119E-5</v>
      </c>
      <c r="BB35" s="53">
        <f t="array" ref="BB35">AVERAGE(AM35:AM39/AL35:AL39)-AVERAGE(Q35:Q39/P35:P39)</f>
        <v>-2.462975453374483E-4</v>
      </c>
      <c r="BD35" s="54">
        <f>IF(OR(ISBLANK(R35:R39),ISBLANK(AN35:AN39),ISBLANK(T35:T39),ISBLANK(AP35:AP39)),"·",bdRateExtend(R35:R39,T35:T39,AN35:AN39,AP35:AP39))</f>
        <v>3.9413509112828926E-4</v>
      </c>
      <c r="BE35" s="54">
        <f>IF(OR(ISBLANK(R35:R39),ISBLANK(AN35:AN39),ISBLANK(U35:U39),ISBLANK(AQ35:AQ39)),"·",bdRateExtend(R35:R39,U35:U39,AN35:AN39,AQ35:AQ39))</f>
        <v>1.6531123625809219E-3</v>
      </c>
      <c r="BF35" s="54">
        <f>IF(OR(ISBLANK(R35:R39),ISBLANK(AN35:AN39),ISBLANK(V35:V39),ISBLANK(AR35:AR39)),"·",bdRateExtend(R35:R39,V35:V39,AN35:AN39,AR35:AR39))</f>
        <v>-2.0498528138526151E-3</v>
      </c>
      <c r="BG35" s="61"/>
      <c r="BI35" s="54">
        <f>IF(OR(ISBLANK(R35:R39),ISBLANK(AN35:AN39),ISBLANK(X35:X39),ISBLANK(AT35:AT39)),"·",bdRateExtend(R35:R39,X35:X39,AN35:AN39,AT35:AT39))</f>
        <v>1.0845156460081995E-3</v>
      </c>
      <c r="BJ35" s="54">
        <f>IF(OR(ISBLANK(R35:R39),ISBLANK(AN35:AN39),ISBLANK(Y35:Y39),ISBLANK(AU35:AU39)),"·",bdRateExtend(R35:R39,Y35:Y39,AN35:AN39,AU35:AU39))</f>
        <v>1.0845156460081995E-3</v>
      </c>
      <c r="BK35" s="54">
        <f>IF(OR(ISBLANK(R35:R39),ISBLANK(AN35:AN39),ISBLANK(Z35:Z39),ISBLANK(AV35:AV39)),"·",bdRateExtend(R35:R39,Z35:Z39,AN35:AN39,AV35:AV39))</f>
        <v>1.0845156460081995E-3</v>
      </c>
      <c r="BL35" s="61"/>
      <c r="BN35" s="54">
        <f>IF(OR(ISBLANK(P35:P39),ISBLANK(AL35:AL39),ISBLANK(T35:T39),ISBLANK(AP35:AP39)),"·",bdRateExtend(P35:P39,T35:T39,AL35:AL39,AP35:AP39))</f>
        <v>2.3127940969924765E-4</v>
      </c>
      <c r="BO35" s="54">
        <f>IF(OR(ISBLANK(P35:P39),ISBLANK(AL35:AL39),ISBLANK(U35:U39),ISBLANK(AQ35:AQ39)),"·",bdRateExtend(P35:P39,U35:U39,AL35:AL39,AQ35:AQ39))</f>
        <v>4.7751225664138808E-4</v>
      </c>
      <c r="BP35" s="54">
        <f>IF(OR(ISBLANK(P35:P39),ISBLANK(AL35:AL39),ISBLANK(V35:V39),ISBLANK(AR35:AR39)),"·",bdRateExtend(P35:P39,V35:V39,AL35:AL39,AR35:AR39))</f>
        <v>-4.9974447851686143E-4</v>
      </c>
      <c r="BQ35" s="61"/>
      <c r="BS35" s="54">
        <f>IF(OR(ISBLANK(P35:P39),ISBLANK(AL35:AL39),ISBLANK(X35:X39),ISBLANK(AT35:AT39)),"·",bdRateExtend(P35:P39,X35:X39,AL35:AL39,AT35:AT39))</f>
        <v>6.115559881334498E-4</v>
      </c>
      <c r="BT35" s="54">
        <f>IF(OR(ISBLANK(P35:P39),ISBLANK(AL35:AL39),ISBLANK(Y35:Y39),ISBLANK(AU35:AU39)),"·",bdRateExtend(P35:P39,Y35:Y39,AL35:AL39,AU35:AU39))</f>
        <v>6.115559881334498E-4</v>
      </c>
      <c r="BU35" s="54">
        <f>IF(OR(ISBLANK(P35:P39),ISBLANK(AL35:AL39),ISBLANK(Z35:Z39),ISBLANK(AV35:AV39)),"·",bdRateExtend(P35:P39,Z35:Z39,AL35:AL39,AV35:AV39))</f>
        <v>6.115559881334498E-4</v>
      </c>
      <c r="BV35" s="61"/>
      <c r="BX35">
        <f t="shared" si="12"/>
        <v>0</v>
      </c>
      <c r="BY35">
        <f t="shared" si="13"/>
        <v>15816</v>
      </c>
      <c r="BZ35">
        <f t="shared" si="14"/>
        <v>0</v>
      </c>
      <c r="CA35">
        <f t="shared" si="15"/>
        <v>15816</v>
      </c>
      <c r="CB35">
        <f t="shared" si="16"/>
        <v>0</v>
      </c>
      <c r="CC35">
        <f t="shared" si="17"/>
        <v>2.8000000000005798E-3</v>
      </c>
      <c r="CD35">
        <f t="shared" si="18"/>
        <v>1.1000000000009891E-3</v>
      </c>
      <c r="CE35">
        <f t="shared" si="19"/>
        <v>2.6000000000010459E-3</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5.8140739655641465</v>
      </c>
      <c r="K36" s="23">
        <f t="shared" si="2"/>
        <v>1.2030622231030674</v>
      </c>
      <c r="L36" s="23">
        <f t="shared" si="3"/>
        <v>4.6107852393854385</v>
      </c>
      <c r="M36" s="24"/>
      <c r="N36" s="23">
        <f t="shared" si="4"/>
        <v>5.8140739655641465</v>
      </c>
      <c r="O36" s="25">
        <v>4061755</v>
      </c>
      <c r="P36" s="26">
        <v>23615344</v>
      </c>
      <c r="Q36" s="26">
        <v>4886544</v>
      </c>
      <c r="R36" s="26">
        <v>18727880</v>
      </c>
      <c r="S36" s="40"/>
      <c r="T36" s="41">
        <v>48.068899999999999</v>
      </c>
      <c r="U36" s="41">
        <v>51.109099999999998</v>
      </c>
      <c r="V36" s="41">
        <v>51.152700000000003</v>
      </c>
      <c r="W36" s="42"/>
      <c r="X36" s="41">
        <v>42.110199999999999</v>
      </c>
      <c r="Y36" s="41">
        <v>42.110199999999999</v>
      </c>
      <c r="Z36" s="41">
        <v>42.110199999999999</v>
      </c>
      <c r="AA36" s="42"/>
      <c r="AB36" s="50">
        <v>4.7649999999999997</v>
      </c>
      <c r="AC36" s="50">
        <v>3.5779999999999998</v>
      </c>
      <c r="AE36" s="22" t="str">
        <f t="shared" si="5"/>
        <v>·</v>
      </c>
      <c r="AF36" s="23">
        <f t="shared" si="6"/>
        <v>5.8182751052192954</v>
      </c>
      <c r="AG36" s="23">
        <f t="shared" si="7"/>
        <v>1.2030622231030674</v>
      </c>
      <c r="AH36" s="23">
        <f t="shared" si="8"/>
        <v>4.6149863790405874</v>
      </c>
      <c r="AI36" s="24"/>
      <c r="AJ36" s="23">
        <f t="shared" si="9"/>
        <v>5.8182751052192954</v>
      </c>
      <c r="AK36" s="25">
        <v>4061755</v>
      </c>
      <c r="AL36" s="26">
        <v>23632408</v>
      </c>
      <c r="AM36" s="26">
        <v>4886544</v>
      </c>
      <c r="AN36" s="26">
        <v>18744944</v>
      </c>
      <c r="AO36" s="40"/>
      <c r="AP36" s="41">
        <v>48.072000000000003</v>
      </c>
      <c r="AQ36" s="41">
        <v>51.113399999999999</v>
      </c>
      <c r="AR36" s="41">
        <v>51.154000000000003</v>
      </c>
      <c r="AS36" s="42"/>
      <c r="AT36" s="41">
        <v>42.110199999999999</v>
      </c>
      <c r="AU36" s="41">
        <v>42.110199999999999</v>
      </c>
      <c r="AV36" s="41">
        <v>42.110199999999999</v>
      </c>
      <c r="AW36" s="42"/>
      <c r="AX36" s="50">
        <v>4.8899999999999997</v>
      </c>
      <c r="AY36" s="50">
        <v>3.5779999999999998</v>
      </c>
      <c r="BA36" s="55">
        <f t="shared" si="10"/>
        <v>-1.494102539709441E-4</v>
      </c>
      <c r="BB36" s="55"/>
      <c r="BD36" s="56"/>
      <c r="BE36" s="56"/>
      <c r="BF36" s="56"/>
      <c r="BG36" s="62"/>
      <c r="BI36" s="56"/>
      <c r="BJ36" s="56"/>
      <c r="BK36" s="56"/>
      <c r="BL36" s="62"/>
      <c r="BN36" s="56"/>
      <c r="BO36" s="56"/>
      <c r="BP36" s="56"/>
      <c r="BQ36" s="62"/>
      <c r="BS36" s="56"/>
      <c r="BT36" s="56"/>
      <c r="BU36" s="56"/>
      <c r="BV36" s="62"/>
      <c r="BX36">
        <f t="shared" si="12"/>
        <v>0</v>
      </c>
      <c r="BY36">
        <f t="shared" si="13"/>
        <v>17064</v>
      </c>
      <c r="BZ36">
        <f t="shared" si="14"/>
        <v>0</v>
      </c>
      <c r="CA36">
        <f t="shared" si="15"/>
        <v>17064</v>
      </c>
      <c r="CB36">
        <f t="shared" si="16"/>
        <v>0</v>
      </c>
      <c r="CC36">
        <f t="shared" si="17"/>
        <v>3.1000000000034333E-3</v>
      </c>
      <c r="CD36">
        <f t="shared" si="18"/>
        <v>4.3000000000006366E-3</v>
      </c>
      <c r="CE36">
        <f t="shared" si="19"/>
        <v>1.300000000000523E-3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3.692608736863745</v>
      </c>
      <c r="K37" s="18">
        <f t="shared" si="2"/>
        <v>1.2030622231030674</v>
      </c>
      <c r="L37" s="18">
        <f t="shared" si="3"/>
        <v>2.4893200106850366</v>
      </c>
      <c r="M37" s="19"/>
      <c r="N37" s="18">
        <f t="shared" si="4"/>
        <v>3.692608736863745</v>
      </c>
      <c r="O37" s="20">
        <v>4061755</v>
      </c>
      <c r="P37" s="21">
        <v>14998472</v>
      </c>
      <c r="Q37" s="21">
        <v>4886544</v>
      </c>
      <c r="R37" s="21">
        <v>10111008</v>
      </c>
      <c r="S37" s="37"/>
      <c r="T37" s="38">
        <v>40.736600000000003</v>
      </c>
      <c r="U37" s="38">
        <v>45.996299999999998</v>
      </c>
      <c r="V37" s="38">
        <v>46.670499999999997</v>
      </c>
      <c r="W37" s="39"/>
      <c r="X37" s="38">
        <v>34.151400000000002</v>
      </c>
      <c r="Y37" s="38">
        <v>34.151400000000002</v>
      </c>
      <c r="Z37" s="38">
        <v>34.151400000000002</v>
      </c>
      <c r="AA37" s="39"/>
      <c r="AB37" s="49">
        <v>4.6399999999999997</v>
      </c>
      <c r="AC37" s="49">
        <v>3.4529999999999998</v>
      </c>
      <c r="AE37" s="17" t="str">
        <f t="shared" si="5"/>
        <v>·</v>
      </c>
      <c r="AF37" s="18">
        <f t="shared" si="6"/>
        <v>3.6955414592953044</v>
      </c>
      <c r="AG37" s="18">
        <f t="shared" si="7"/>
        <v>1.2030622231030674</v>
      </c>
      <c r="AH37" s="18">
        <f t="shared" si="8"/>
        <v>2.492252733116596</v>
      </c>
      <c r="AI37" s="19"/>
      <c r="AJ37" s="18">
        <f t="shared" si="9"/>
        <v>3.6955414592953044</v>
      </c>
      <c r="AK37" s="20">
        <v>4061755</v>
      </c>
      <c r="AL37" s="21">
        <v>15010384</v>
      </c>
      <c r="AM37" s="21">
        <v>4886544</v>
      </c>
      <c r="AN37" s="21">
        <v>10122920</v>
      </c>
      <c r="AO37" s="37"/>
      <c r="AP37" s="38">
        <v>40.741100000000003</v>
      </c>
      <c r="AQ37" s="38">
        <v>45.998399999999997</v>
      </c>
      <c r="AR37" s="38">
        <v>46.6736</v>
      </c>
      <c r="AS37" s="39"/>
      <c r="AT37" s="38">
        <v>34.151400000000002</v>
      </c>
      <c r="AU37" s="38">
        <v>34.151400000000002</v>
      </c>
      <c r="AV37" s="38">
        <v>34.151400000000002</v>
      </c>
      <c r="AW37" s="39"/>
      <c r="AX37" s="49">
        <v>4.718</v>
      </c>
      <c r="AY37" s="49">
        <v>3.5779999999999998</v>
      </c>
      <c r="BA37" s="53">
        <f t="shared" si="10"/>
        <v>-2.5855186755679993E-4</v>
      </c>
      <c r="BB37" s="53"/>
      <c r="BD37" s="54"/>
      <c r="BE37" s="54"/>
      <c r="BF37" s="54"/>
      <c r="BG37" s="61"/>
      <c r="BI37" s="54"/>
      <c r="BJ37" s="54"/>
      <c r="BK37" s="54"/>
      <c r="BL37" s="61"/>
      <c r="BN37" s="54"/>
      <c r="BO37" s="54"/>
      <c r="BP37" s="54"/>
      <c r="BQ37" s="61"/>
      <c r="BS37" s="54"/>
      <c r="BT37" s="54"/>
      <c r="BU37" s="54"/>
      <c r="BV37" s="61"/>
      <c r="BX37">
        <f t="shared" si="12"/>
        <v>0</v>
      </c>
      <c r="BY37">
        <f t="shared" si="13"/>
        <v>11912</v>
      </c>
      <c r="BZ37">
        <f t="shared" si="14"/>
        <v>0</v>
      </c>
      <c r="CA37">
        <f t="shared" si="15"/>
        <v>11912</v>
      </c>
      <c r="CB37">
        <f t="shared" si="16"/>
        <v>0</v>
      </c>
      <c r="CC37">
        <f t="shared" si="17"/>
        <v>4.5000000000001705E-3</v>
      </c>
      <c r="CD37">
        <f t="shared" si="18"/>
        <v>2.0999999999986585E-3</v>
      </c>
      <c r="CE37">
        <f t="shared" si="19"/>
        <v>3.1000000000034333E-3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2.4278766198355144</v>
      </c>
      <c r="K38" s="23">
        <f t="shared" si="2"/>
        <v>1.2030622231030674</v>
      </c>
      <c r="L38" s="23">
        <f t="shared" si="3"/>
        <v>1.224587893656806</v>
      </c>
      <c r="M38" s="24"/>
      <c r="N38" s="23">
        <f t="shared" si="4"/>
        <v>2.4278766198355144</v>
      </c>
      <c r="O38" s="25">
        <v>4061755</v>
      </c>
      <c r="P38" s="26">
        <v>9861440</v>
      </c>
      <c r="Q38" s="26">
        <v>4886544</v>
      </c>
      <c r="R38" s="26">
        <v>4973976</v>
      </c>
      <c r="S38" s="40"/>
      <c r="T38" s="41">
        <v>35.331099999999999</v>
      </c>
      <c r="U38" s="41">
        <v>41.818600000000004</v>
      </c>
      <c r="V38" s="41">
        <v>42.919499999999999</v>
      </c>
      <c r="W38" s="42"/>
      <c r="X38" s="41">
        <v>28.130800000000001</v>
      </c>
      <c r="Y38" s="41">
        <v>28.130800000000001</v>
      </c>
      <c r="Z38" s="41">
        <v>28.130800000000001</v>
      </c>
      <c r="AA38" s="42"/>
      <c r="AB38" s="50">
        <v>4.7030000000000003</v>
      </c>
      <c r="AC38" s="50">
        <v>3.5310000000000001</v>
      </c>
      <c r="AE38" s="22" t="str">
        <f t="shared" si="5"/>
        <v>·</v>
      </c>
      <c r="AF38" s="23">
        <f t="shared" si="6"/>
        <v>2.4285797641659825</v>
      </c>
      <c r="AG38" s="23">
        <f t="shared" si="7"/>
        <v>1.2030622231030674</v>
      </c>
      <c r="AH38" s="23">
        <f t="shared" si="8"/>
        <v>1.2252910379872739</v>
      </c>
      <c r="AI38" s="24"/>
      <c r="AJ38" s="23">
        <f t="shared" si="9"/>
        <v>2.4285797641659825</v>
      </c>
      <c r="AK38" s="25">
        <v>4061755</v>
      </c>
      <c r="AL38" s="26">
        <v>9864296</v>
      </c>
      <c r="AM38" s="26">
        <v>4886544</v>
      </c>
      <c r="AN38" s="26">
        <v>4976832</v>
      </c>
      <c r="AO38" s="40"/>
      <c r="AP38" s="41">
        <v>35.343000000000004</v>
      </c>
      <c r="AQ38" s="41">
        <v>41.841999999999999</v>
      </c>
      <c r="AR38" s="41">
        <v>42.929000000000002</v>
      </c>
      <c r="AS38" s="42"/>
      <c r="AT38" s="41">
        <v>28.130800000000001</v>
      </c>
      <c r="AU38" s="41">
        <v>28.130800000000001</v>
      </c>
      <c r="AV38" s="41">
        <v>28.130800000000001</v>
      </c>
      <c r="AW38" s="42"/>
      <c r="AX38" s="50">
        <v>4.6870000000000003</v>
      </c>
      <c r="AY38" s="50">
        <v>3.484</v>
      </c>
      <c r="BA38" s="55">
        <f t="shared" si="10"/>
        <v>-1.4346751776195266E-4</v>
      </c>
      <c r="BB38" s="55"/>
      <c r="BD38" s="56"/>
      <c r="BE38" s="56"/>
      <c r="BF38" s="56"/>
      <c r="BG38" s="62"/>
      <c r="BI38" s="56"/>
      <c r="BJ38" s="56"/>
      <c r="BK38" s="56"/>
      <c r="BL38" s="62"/>
      <c r="BN38" s="56"/>
      <c r="BO38" s="56"/>
      <c r="BP38" s="56"/>
      <c r="BQ38" s="62"/>
      <c r="BS38" s="56"/>
      <c r="BT38" s="56"/>
      <c r="BU38" s="56"/>
      <c r="BV38" s="62"/>
      <c r="BX38">
        <f t="shared" si="12"/>
        <v>0</v>
      </c>
      <c r="BY38">
        <f t="shared" si="13"/>
        <v>2856</v>
      </c>
      <c r="BZ38">
        <f t="shared" si="14"/>
        <v>0</v>
      </c>
      <c r="CA38">
        <f t="shared" si="15"/>
        <v>2856</v>
      </c>
      <c r="CB38">
        <f t="shared" si="16"/>
        <v>0</v>
      </c>
      <c r="CC38">
        <f t="shared" si="17"/>
        <v>1.1900000000004241E-2</v>
      </c>
      <c r="CD38">
        <f t="shared" si="18"/>
        <v>2.3399999999995202E-2</v>
      </c>
      <c r="CE38">
        <f t="shared" si="19"/>
        <v>9.5000000000027285E-3</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1.5712360789855617</v>
      </c>
      <c r="K39" s="28">
        <f t="shared" si="2"/>
        <v>1.2030622231030674</v>
      </c>
      <c r="L39" s="28">
        <f t="shared" si="3"/>
        <v>0.3679473528068532</v>
      </c>
      <c r="M39" s="29"/>
      <c r="N39" s="28">
        <f t="shared" si="4"/>
        <v>1.5712360789855617</v>
      </c>
      <c r="O39" s="30">
        <v>4061755</v>
      </c>
      <c r="P39" s="31">
        <v>6381976</v>
      </c>
      <c r="Q39" s="31">
        <v>4886544</v>
      </c>
      <c r="R39" s="31">
        <v>1494512</v>
      </c>
      <c r="S39" s="43"/>
      <c r="T39" s="44">
        <v>29.859200000000001</v>
      </c>
      <c r="U39" s="44">
        <v>37.907299999999999</v>
      </c>
      <c r="V39" s="44">
        <v>38.485199999999999</v>
      </c>
      <c r="W39" s="45"/>
      <c r="X39" s="44">
        <v>21.686399999999999</v>
      </c>
      <c r="Y39" s="44">
        <v>21.686399999999999</v>
      </c>
      <c r="Z39" s="44">
        <v>21.686399999999999</v>
      </c>
      <c r="AA39" s="45"/>
      <c r="AB39" s="51">
        <v>4.593</v>
      </c>
      <c r="AC39" s="51">
        <v>3.4369999999999998</v>
      </c>
      <c r="AE39" s="27" t="str">
        <f t="shared" si="5"/>
        <v>·</v>
      </c>
      <c r="AF39" s="28">
        <f t="shared" si="6"/>
        <v>1.5724729827377575</v>
      </c>
      <c r="AG39" s="28">
        <f t="shared" si="7"/>
        <v>1.2030622231030674</v>
      </c>
      <c r="AH39" s="28">
        <f t="shared" si="8"/>
        <v>0.36918425655904896</v>
      </c>
      <c r="AI39" s="29"/>
      <c r="AJ39" s="28">
        <f t="shared" si="9"/>
        <v>1.5724729827377575</v>
      </c>
      <c r="AK39" s="30">
        <v>4061755</v>
      </c>
      <c r="AL39" s="31">
        <v>6387000</v>
      </c>
      <c r="AM39" s="31">
        <v>4886544</v>
      </c>
      <c r="AN39" s="31">
        <v>1499536</v>
      </c>
      <c r="AO39" s="43"/>
      <c r="AP39" s="44">
        <v>29.8567</v>
      </c>
      <c r="AQ39" s="44">
        <v>37.835299999999997</v>
      </c>
      <c r="AR39" s="44">
        <v>38.559699999999999</v>
      </c>
      <c r="AS39" s="45"/>
      <c r="AT39" s="44">
        <v>21.686399999999999</v>
      </c>
      <c r="AU39" s="44">
        <v>21.686399999999999</v>
      </c>
      <c r="AV39" s="44">
        <v>21.686399999999999</v>
      </c>
      <c r="AW39" s="45"/>
      <c r="AX39" s="51">
        <v>4.5780000000000003</v>
      </c>
      <c r="AY39" s="51">
        <v>3.39</v>
      </c>
      <c r="BA39" s="57">
        <f t="shared" si="10"/>
        <v>-6.0228127562877987E-4</v>
      </c>
      <c r="BB39" s="57"/>
      <c r="BD39" s="58"/>
      <c r="BE39" s="58"/>
      <c r="BF39" s="58"/>
      <c r="BG39" s="63"/>
      <c r="BI39" s="58"/>
      <c r="BJ39" s="58"/>
      <c r="BK39" s="58"/>
      <c r="BL39" s="63"/>
      <c r="BN39" s="58"/>
      <c r="BO39" s="58"/>
      <c r="BP39" s="58"/>
      <c r="BQ39" s="63"/>
      <c r="BS39" s="58"/>
      <c r="BT39" s="58"/>
      <c r="BU39" s="58"/>
      <c r="BV39" s="63"/>
      <c r="BX39">
        <f t="shared" si="12"/>
        <v>0</v>
      </c>
      <c r="BY39">
        <f t="shared" si="13"/>
        <v>5024</v>
      </c>
      <c r="BZ39">
        <f t="shared" si="14"/>
        <v>0</v>
      </c>
      <c r="CA39">
        <f t="shared" si="15"/>
        <v>5024</v>
      </c>
      <c r="CB39">
        <f t="shared" si="16"/>
        <v>0</v>
      </c>
      <c r="CC39">
        <f t="shared" si="17"/>
        <v>-2.500000000001279E-3</v>
      </c>
      <c r="CD39">
        <f t="shared" si="18"/>
        <v>-7.2000000000002728E-2</v>
      </c>
      <c r="CE39">
        <f t="shared" si="19"/>
        <v>7.4500000000000455E-2</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12.636322159141686</v>
      </c>
      <c r="K40" s="23">
        <f t="shared" si="2"/>
        <v>6.4338221114139555</v>
      </c>
      <c r="L40" s="23">
        <f t="shared" si="3"/>
        <v>6.2022676344282672</v>
      </c>
      <c r="M40" s="24"/>
      <c r="N40" s="23">
        <f t="shared" si="4"/>
        <v>12.636322159141686</v>
      </c>
      <c r="O40" s="25">
        <v>3614251</v>
      </c>
      <c r="P40" s="26">
        <v>45670840</v>
      </c>
      <c r="Q40" s="26">
        <v>23253448</v>
      </c>
      <c r="R40" s="26">
        <v>22416552</v>
      </c>
      <c r="S40" s="40"/>
      <c r="T40" s="41">
        <v>52.923200000000001</v>
      </c>
      <c r="U40" s="41">
        <v>55.717100000000002</v>
      </c>
      <c r="V40" s="41">
        <v>55.838500000000003</v>
      </c>
      <c r="W40" s="42"/>
      <c r="X40" s="41">
        <v>48.130800000000001</v>
      </c>
      <c r="Y40" s="41">
        <v>48.130800000000001</v>
      </c>
      <c r="Z40" s="41">
        <v>48.130800000000001</v>
      </c>
      <c r="AA40" s="42"/>
      <c r="AB40" s="50">
        <v>7.609</v>
      </c>
      <c r="AC40" s="50">
        <v>6.359</v>
      </c>
      <c r="AE40" s="22" t="str">
        <f t="shared" si="5"/>
        <v>·</v>
      </c>
      <c r="AF40" s="23">
        <f t="shared" si="6"/>
        <v>12.65096862392789</v>
      </c>
      <c r="AG40" s="23">
        <f t="shared" si="7"/>
        <v>6.4338221114139555</v>
      </c>
      <c r="AH40" s="23">
        <f t="shared" si="8"/>
        <v>6.2169140992144705</v>
      </c>
      <c r="AI40" s="24"/>
      <c r="AJ40" s="23">
        <f t="shared" si="9"/>
        <v>12.65096862392789</v>
      </c>
      <c r="AK40" s="25">
        <v>3614251</v>
      </c>
      <c r="AL40" s="26">
        <v>45723776</v>
      </c>
      <c r="AM40" s="26">
        <v>23253448</v>
      </c>
      <c r="AN40" s="26">
        <v>22469488</v>
      </c>
      <c r="AO40" s="40"/>
      <c r="AP40" s="41">
        <v>52.93</v>
      </c>
      <c r="AQ40" s="41">
        <v>55.722499999999997</v>
      </c>
      <c r="AR40" s="41">
        <v>55.844900000000003</v>
      </c>
      <c r="AS40" s="42"/>
      <c r="AT40" s="41">
        <v>48.130800000000001</v>
      </c>
      <c r="AU40" s="41">
        <v>48.130800000000001</v>
      </c>
      <c r="AV40" s="41">
        <v>48.130800000000001</v>
      </c>
      <c r="AW40" s="42"/>
      <c r="AX40" s="50">
        <v>7.7649999999999997</v>
      </c>
      <c r="AY40" s="50">
        <v>6.343</v>
      </c>
      <c r="BA40" s="55">
        <f t="shared" si="10"/>
        <v>-5.8946414344973608E-4</v>
      </c>
      <c r="BB40" s="55">
        <f t="array" ref="BB40">AVERAGE(AM40:AM44/AL40:AL44)-AVERAGE(Q40:Q44/P40:P44)</f>
        <v>-6.2054597003846634E-4</v>
      </c>
      <c r="BD40" s="56">
        <f>IF(OR(ISBLANK(R40:R44),ISBLANK(AN40:AN44),ISBLANK(T40:T44),ISBLANK(AP40:AP44)),"·",bdRateExtend(R40:R44,T40:T44,AN40:AN44,AP40:AP44))</f>
        <v>1.7288352680171482E-3</v>
      </c>
      <c r="BE40" s="56">
        <f>IF(OR(ISBLANK(R40:R44),ISBLANK(AN40:AN44),ISBLANK(U40:U44),ISBLANK(AQ40:AQ44)),"·",bdRateExtend(R40:R44,U40:U44,AN40:AN44,AQ40:AQ44))</f>
        <v>-3.3954940697984437E-3</v>
      </c>
      <c r="BF40" s="56">
        <f>IF(OR(ISBLANK(R40:R44),ISBLANK(AN40:AN44),ISBLANK(V40:V44),ISBLANK(AR40:AR44)),"·",bdRateExtend(R40:R44,V40:V44,AN40:AN44,AR40:AR44))</f>
        <v>-1.8602815886865409E-2</v>
      </c>
      <c r="BG40" s="62"/>
      <c r="BI40" s="56">
        <f>IF(OR(ISBLANK(R40:R44),ISBLANK(AN40:AN44),ISBLANK(X40:X44),ISBLANK(AT40:AT44)),"·",bdRateExtend(R40:R44,X40:X44,AN40:AN44,AT40:AT44))</f>
        <v>3.9160793085069034E-3</v>
      </c>
      <c r="BJ40" s="56">
        <f>IF(OR(ISBLANK(R40:R44),ISBLANK(AN40:AN44),ISBLANK(Y40:Y44),ISBLANK(AU40:AU44)),"·",bdRateExtend(R40:R44,Y40:Y44,AN40:AN44,AU40:AU44))</f>
        <v>3.9160793085069034E-3</v>
      </c>
      <c r="BK40" s="56">
        <f>IF(OR(ISBLANK(R40:R44),ISBLANK(AN40:AN44),ISBLANK(Z40:Z44),ISBLANK(AV40:AV44)),"·",bdRateExtend(R40:R44,Z40:Z44,AN40:AN44,AV40:AV44))</f>
        <v>3.9160793085069034E-3</v>
      </c>
      <c r="BL40" s="62"/>
      <c r="BN40" s="56">
        <f>IF(OR(ISBLANK(P40:P44),ISBLANK(AL40:AL44),ISBLANK(T40:T44),ISBLANK(AP40:AP44)),"·",bdRateExtend(P40:P44,T40:T44,AL40:AL44,AP40:AP44))</f>
        <v>6.7532799335934257E-4</v>
      </c>
      <c r="BO40" s="56">
        <f>IF(OR(ISBLANK(P40:P44),ISBLANK(AL40:AL44),ISBLANK(U40:U44),ISBLANK(AQ40:AQ44)),"·",bdRateExtend(P40:P44,U40:U44,AL40:AL44,AQ40:AQ44))</f>
        <v>2.8855616296796782E-4</v>
      </c>
      <c r="BP40" s="56">
        <f>IF(OR(ISBLANK(P40:P44),ISBLANK(AL40:AL44),ISBLANK(V40:V44),ISBLANK(AR40:AR44)),"·",bdRateExtend(P40:P44,V40:V44,AL40:AL44,AR40:AR44))</f>
        <v>-1.7821660725130251E-3</v>
      </c>
      <c r="BQ40" s="62"/>
      <c r="BS40" s="56">
        <f>IF(OR(ISBLANK(P40:P44),ISBLANK(AL40:AL44),ISBLANK(X40:X44),ISBLANK(AT40:AT44)),"·",bdRateExtend(P40:P44,X40:X44,AL40:AL44,AT40:AT44))</f>
        <v>9.1352065116989678E-4</v>
      </c>
      <c r="BT40" s="56">
        <f>IF(OR(ISBLANK(P40:P44),ISBLANK(AL40:AL44),ISBLANK(Y40:Y44),ISBLANK(AU40:AU44)),"·",bdRateExtend(P40:P44,Y40:Y44,AL40:AL44,AU40:AU44))</f>
        <v>9.1352065116989678E-4</v>
      </c>
      <c r="BU40" s="56">
        <f>IF(OR(ISBLANK(P40:P44),ISBLANK(AL40:AL44),ISBLANK(Z40:Z44),ISBLANK(AV40:AV44)),"·",bdRateExtend(P40:P44,Z40:Z44,AL40:AL44,AV40:AV44))</f>
        <v>9.1352065116989678E-4</v>
      </c>
      <c r="BV40" s="62"/>
      <c r="BX40">
        <f t="shared" si="12"/>
        <v>0</v>
      </c>
      <c r="BY40">
        <f t="shared" si="13"/>
        <v>52936</v>
      </c>
      <c r="BZ40">
        <f t="shared" si="14"/>
        <v>0</v>
      </c>
      <c r="CA40">
        <f t="shared" si="15"/>
        <v>52936</v>
      </c>
      <c r="CB40">
        <f t="shared" si="16"/>
        <v>0</v>
      </c>
      <c r="CC40">
        <f t="shared" si="17"/>
        <v>6.7999999999983629E-3</v>
      </c>
      <c r="CD40">
        <f t="shared" si="18"/>
        <v>5.3999999999945203E-3</v>
      </c>
      <c r="CE40">
        <f t="shared" si="19"/>
        <v>6.3999999999992951E-3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10.728414822324183</v>
      </c>
      <c r="K41" s="18">
        <f t="shared" si="2"/>
        <v>6.4338221114139555</v>
      </c>
      <c r="L41" s="18">
        <f t="shared" si="3"/>
        <v>4.2943602976107638</v>
      </c>
      <c r="M41" s="19"/>
      <c r="N41" s="18">
        <f t="shared" si="4"/>
        <v>10.728414822324183</v>
      </c>
      <c r="O41" s="20">
        <v>3614251</v>
      </c>
      <c r="P41" s="21">
        <v>38775184</v>
      </c>
      <c r="Q41" s="21">
        <v>23253448</v>
      </c>
      <c r="R41" s="21">
        <v>15520896</v>
      </c>
      <c r="S41" s="37"/>
      <c r="T41" s="38">
        <v>48.134500000000003</v>
      </c>
      <c r="U41" s="38">
        <v>51.110300000000002</v>
      </c>
      <c r="V41" s="38">
        <v>51.2254</v>
      </c>
      <c r="W41" s="39"/>
      <c r="X41" s="38">
        <v>42.110199999999999</v>
      </c>
      <c r="Y41" s="38">
        <v>42.110199999999999</v>
      </c>
      <c r="Z41" s="38">
        <v>42.110199999999999</v>
      </c>
      <c r="AA41" s="39"/>
      <c r="AB41" s="49">
        <v>7.5149999999999997</v>
      </c>
      <c r="AC41" s="49">
        <v>6.234</v>
      </c>
      <c r="AE41" s="17" t="str">
        <f t="shared" si="5"/>
        <v>·</v>
      </c>
      <c r="AF41" s="18">
        <f t="shared" si="6"/>
        <v>10.742344126072041</v>
      </c>
      <c r="AG41" s="18">
        <f t="shared" si="7"/>
        <v>6.4338221114139555</v>
      </c>
      <c r="AH41" s="18">
        <f t="shared" si="8"/>
        <v>4.3082896013586218</v>
      </c>
      <c r="AI41" s="19"/>
      <c r="AJ41" s="18">
        <f t="shared" si="9"/>
        <v>10.742344126072041</v>
      </c>
      <c r="AK41" s="20">
        <v>3614251</v>
      </c>
      <c r="AL41" s="21">
        <v>38825528</v>
      </c>
      <c r="AM41" s="21">
        <v>23253448</v>
      </c>
      <c r="AN41" s="21">
        <v>15571240</v>
      </c>
      <c r="AO41" s="37"/>
      <c r="AP41" s="38">
        <v>48.138599999999997</v>
      </c>
      <c r="AQ41" s="38">
        <v>51.1126</v>
      </c>
      <c r="AR41" s="38">
        <v>51.232100000000003</v>
      </c>
      <c r="AS41" s="39"/>
      <c r="AT41" s="38">
        <v>42.110199999999999</v>
      </c>
      <c r="AU41" s="38">
        <v>42.110199999999999</v>
      </c>
      <c r="AV41" s="38">
        <v>42.110199999999999</v>
      </c>
      <c r="AW41" s="39"/>
      <c r="AX41" s="49">
        <v>7.64</v>
      </c>
      <c r="AY41" s="49">
        <v>6.2809999999999997</v>
      </c>
      <c r="BA41" s="53">
        <f t="shared" si="10"/>
        <v>-7.7761358585570761E-4</v>
      </c>
      <c r="BB41" s="53"/>
      <c r="BD41" s="54"/>
      <c r="BE41" s="54"/>
      <c r="BF41" s="54"/>
      <c r="BG41" s="61"/>
      <c r="BI41" s="54"/>
      <c r="BJ41" s="54"/>
      <c r="BK41" s="54"/>
      <c r="BL41" s="61"/>
      <c r="BN41" s="54"/>
      <c r="BO41" s="54"/>
      <c r="BP41" s="54"/>
      <c r="BQ41" s="61"/>
      <c r="BS41" s="54"/>
      <c r="BT41" s="54"/>
      <c r="BU41" s="54"/>
      <c r="BV41" s="61"/>
      <c r="BX41">
        <f t="shared" si="12"/>
        <v>0</v>
      </c>
      <c r="BY41">
        <f t="shared" si="13"/>
        <v>50344</v>
      </c>
      <c r="BZ41">
        <f t="shared" si="14"/>
        <v>0</v>
      </c>
      <c r="CA41">
        <f t="shared" si="15"/>
        <v>50344</v>
      </c>
      <c r="CB41">
        <f t="shared" si="16"/>
        <v>0</v>
      </c>
      <c r="CC41">
        <f t="shared" si="17"/>
        <v>4.0999999999939973E-3</v>
      </c>
      <c r="CD41">
        <f t="shared" si="18"/>
        <v>2.2999999999981924E-3</v>
      </c>
      <c r="CE41">
        <f t="shared" si="19"/>
        <v>6.7000000000021487E-3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8.658816446339781</v>
      </c>
      <c r="K42" s="23">
        <f t="shared" si="2"/>
        <v>6.4338221114139555</v>
      </c>
      <c r="L42" s="23">
        <f t="shared" si="3"/>
        <v>2.2247619216263619</v>
      </c>
      <c r="M42" s="24"/>
      <c r="N42" s="23">
        <f t="shared" si="4"/>
        <v>8.658816446339781</v>
      </c>
      <c r="O42" s="25">
        <v>3614251</v>
      </c>
      <c r="P42" s="26">
        <v>31295136</v>
      </c>
      <c r="Q42" s="26">
        <v>23253448</v>
      </c>
      <c r="R42" s="26">
        <v>8040848</v>
      </c>
      <c r="S42" s="40"/>
      <c r="T42" s="41">
        <v>41.022300000000001</v>
      </c>
      <c r="U42" s="41">
        <v>46.095599999999997</v>
      </c>
      <c r="V42" s="41">
        <v>46.633200000000002</v>
      </c>
      <c r="W42" s="42"/>
      <c r="X42" s="41">
        <v>34.151400000000002</v>
      </c>
      <c r="Y42" s="41">
        <v>34.151400000000002</v>
      </c>
      <c r="Z42" s="41">
        <v>34.151400000000002</v>
      </c>
      <c r="AA42" s="42"/>
      <c r="AB42" s="50">
        <v>7.4370000000000003</v>
      </c>
      <c r="AC42" s="50">
        <v>6.125</v>
      </c>
      <c r="AE42" s="22" t="str">
        <f t="shared" si="5"/>
        <v>·</v>
      </c>
      <c r="AF42" s="23">
        <f t="shared" si="6"/>
        <v>8.6688146451367096</v>
      </c>
      <c r="AG42" s="23">
        <f t="shared" si="7"/>
        <v>6.4338221114139555</v>
      </c>
      <c r="AH42" s="23">
        <f t="shared" si="8"/>
        <v>2.234760120423291</v>
      </c>
      <c r="AI42" s="24"/>
      <c r="AJ42" s="23">
        <f t="shared" si="9"/>
        <v>8.6688146451367096</v>
      </c>
      <c r="AK42" s="25">
        <v>3614251</v>
      </c>
      <c r="AL42" s="26">
        <v>31331272</v>
      </c>
      <c r="AM42" s="26">
        <v>23253448</v>
      </c>
      <c r="AN42" s="26">
        <v>8076984</v>
      </c>
      <c r="AO42" s="40"/>
      <c r="AP42" s="41">
        <v>41.033299999999997</v>
      </c>
      <c r="AQ42" s="41">
        <v>46.088500000000003</v>
      </c>
      <c r="AR42" s="41">
        <v>46.667400000000001</v>
      </c>
      <c r="AS42" s="42"/>
      <c r="AT42" s="41">
        <v>34.151400000000002</v>
      </c>
      <c r="AU42" s="41">
        <v>34.151400000000002</v>
      </c>
      <c r="AV42" s="41">
        <v>34.151400000000002</v>
      </c>
      <c r="AW42" s="42"/>
      <c r="AX42" s="50">
        <v>7.5460000000000003</v>
      </c>
      <c r="AY42" s="50">
        <v>6.1710000000000003</v>
      </c>
      <c r="BA42" s="55">
        <f t="shared" si="10"/>
        <v>-8.5698370904474519E-4</v>
      </c>
      <c r="BB42" s="55"/>
      <c r="BD42" s="56"/>
      <c r="BE42" s="56"/>
      <c r="BF42" s="56"/>
      <c r="BG42" s="62"/>
      <c r="BI42" s="56"/>
      <c r="BJ42" s="56"/>
      <c r="BK42" s="56"/>
      <c r="BL42" s="62"/>
      <c r="BN42" s="56"/>
      <c r="BO42" s="56"/>
      <c r="BP42" s="56"/>
      <c r="BQ42" s="62"/>
      <c r="BS42" s="56"/>
      <c r="BT42" s="56"/>
      <c r="BU42" s="56"/>
      <c r="BV42" s="62"/>
      <c r="BX42">
        <f t="shared" si="12"/>
        <v>0</v>
      </c>
      <c r="BY42">
        <f t="shared" si="13"/>
        <v>36136</v>
      </c>
      <c r="BZ42">
        <f t="shared" si="14"/>
        <v>0</v>
      </c>
      <c r="CA42">
        <f t="shared" si="15"/>
        <v>36136</v>
      </c>
      <c r="CB42">
        <f t="shared" si="16"/>
        <v>0</v>
      </c>
      <c r="CC42">
        <f t="shared" si="17"/>
        <v>1.099999999999568E-2</v>
      </c>
      <c r="CD42">
        <f t="shared" si="18"/>
        <v>-7.099999999994111E-3</v>
      </c>
      <c r="CE42">
        <f t="shared" si="19"/>
        <v>3.4199999999998454E-2</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7.526436874472747</v>
      </c>
      <c r="K43" s="18">
        <f t="shared" si="2"/>
        <v>6.4338221114139555</v>
      </c>
      <c r="L43" s="18">
        <f t="shared" si="3"/>
        <v>1.0923823497593277</v>
      </c>
      <c r="M43" s="19"/>
      <c r="N43" s="18">
        <f t="shared" si="4"/>
        <v>7.526436874472747</v>
      </c>
      <c r="O43" s="20">
        <v>3614251</v>
      </c>
      <c r="P43" s="21">
        <v>27202432</v>
      </c>
      <c r="Q43" s="21">
        <v>23253448</v>
      </c>
      <c r="R43" s="21">
        <v>3948144</v>
      </c>
      <c r="S43" s="37"/>
      <c r="T43" s="38">
        <v>35.545499999999997</v>
      </c>
      <c r="U43" s="38">
        <v>42.0608</v>
      </c>
      <c r="V43" s="38">
        <v>42.747100000000003</v>
      </c>
      <c r="W43" s="39"/>
      <c r="X43" s="38">
        <v>28.130800000000001</v>
      </c>
      <c r="Y43" s="38">
        <v>28.130800000000001</v>
      </c>
      <c r="Z43" s="38">
        <v>28.130800000000001</v>
      </c>
      <c r="AA43" s="39"/>
      <c r="AB43" s="49">
        <v>7.4370000000000003</v>
      </c>
      <c r="AC43" s="49">
        <v>6.14</v>
      </c>
      <c r="AE43" s="17" t="str">
        <f t="shared" si="5"/>
        <v>·</v>
      </c>
      <c r="AF43" s="18">
        <f t="shared" si="6"/>
        <v>7.5282917539484666</v>
      </c>
      <c r="AG43" s="18">
        <f t="shared" si="7"/>
        <v>6.4338221114139555</v>
      </c>
      <c r="AH43" s="18">
        <f t="shared" si="8"/>
        <v>1.0942372292350475</v>
      </c>
      <c r="AI43" s="19"/>
      <c r="AJ43" s="18">
        <f t="shared" si="9"/>
        <v>7.5282917539484666</v>
      </c>
      <c r="AK43" s="20">
        <v>3614251</v>
      </c>
      <c r="AL43" s="21">
        <v>27209136</v>
      </c>
      <c r="AM43" s="21">
        <v>23253448</v>
      </c>
      <c r="AN43" s="21">
        <v>3954848</v>
      </c>
      <c r="AO43" s="37"/>
      <c r="AP43" s="38">
        <v>35.537300000000002</v>
      </c>
      <c r="AQ43" s="38">
        <v>42.105499999999999</v>
      </c>
      <c r="AR43" s="38">
        <v>42.959400000000002</v>
      </c>
      <c r="AS43" s="39"/>
      <c r="AT43" s="38">
        <v>28.130800000000001</v>
      </c>
      <c r="AU43" s="38">
        <v>28.130800000000001</v>
      </c>
      <c r="AV43" s="38">
        <v>28.130800000000001</v>
      </c>
      <c r="AW43" s="39"/>
      <c r="AX43" s="49">
        <v>7.468</v>
      </c>
      <c r="AY43" s="49">
        <v>6.2030000000000003</v>
      </c>
      <c r="BA43" s="53">
        <f t="shared" si="10"/>
        <v>-2.1061964657864696E-4</v>
      </c>
      <c r="BB43" s="53"/>
      <c r="BD43" s="54"/>
      <c r="BE43" s="54"/>
      <c r="BF43" s="54"/>
      <c r="BG43" s="61"/>
      <c r="BI43" s="54"/>
      <c r="BJ43" s="54"/>
      <c r="BK43" s="54"/>
      <c r="BL43" s="61"/>
      <c r="BN43" s="54"/>
      <c r="BO43" s="54"/>
      <c r="BP43" s="54"/>
      <c r="BQ43" s="61"/>
      <c r="BS43" s="54"/>
      <c r="BT43" s="54"/>
      <c r="BU43" s="54"/>
      <c r="BV43" s="61"/>
      <c r="BX43">
        <f t="shared" si="12"/>
        <v>0</v>
      </c>
      <c r="BY43">
        <f t="shared" si="13"/>
        <v>6704</v>
      </c>
      <c r="BZ43">
        <f t="shared" si="14"/>
        <v>0</v>
      </c>
      <c r="CA43">
        <f t="shared" si="15"/>
        <v>6704</v>
      </c>
      <c r="CB43">
        <f t="shared" si="16"/>
        <v>0</v>
      </c>
      <c r="CC43">
        <f t="shared" si="17"/>
        <v>-8.1999999999951001E-3</v>
      </c>
      <c r="CD43">
        <f t="shared" si="18"/>
        <v>4.4699999999998852E-2</v>
      </c>
      <c r="CE43">
        <f t="shared" si="19"/>
        <v>0.21229999999999905</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6.8177312533080849</v>
      </c>
      <c r="K44" s="33">
        <f t="shared" si="2"/>
        <v>6.4338221114139555</v>
      </c>
      <c r="L44" s="33">
        <f t="shared" si="3"/>
        <v>0.38367672859466595</v>
      </c>
      <c r="M44" s="34"/>
      <c r="N44" s="33">
        <f t="shared" si="4"/>
        <v>6.8177312533080849</v>
      </c>
      <c r="O44" s="35">
        <v>3614251</v>
      </c>
      <c r="P44" s="36">
        <v>24640992</v>
      </c>
      <c r="Q44" s="36">
        <v>23253448</v>
      </c>
      <c r="R44" s="36">
        <v>1386704</v>
      </c>
      <c r="S44" s="46"/>
      <c r="T44" s="47">
        <v>29.488099999999999</v>
      </c>
      <c r="U44" s="47">
        <v>37.779899999999998</v>
      </c>
      <c r="V44" s="47">
        <v>37.151600000000002</v>
      </c>
      <c r="W44" s="48"/>
      <c r="X44" s="47">
        <v>21.686399999999999</v>
      </c>
      <c r="Y44" s="47">
        <v>21.686399999999999</v>
      </c>
      <c r="Z44" s="47">
        <v>21.686399999999999</v>
      </c>
      <c r="AA44" s="48"/>
      <c r="AB44" s="52">
        <v>7.2960000000000003</v>
      </c>
      <c r="AC44" s="52">
        <v>6.109</v>
      </c>
      <c r="AE44" s="32" t="str">
        <f t="shared" si="5"/>
        <v>·</v>
      </c>
      <c r="AF44" s="33">
        <f t="shared" si="6"/>
        <v>6.8225610230169407</v>
      </c>
      <c r="AG44" s="33">
        <f t="shared" si="7"/>
        <v>6.4338221114139555</v>
      </c>
      <c r="AH44" s="33">
        <f t="shared" si="8"/>
        <v>0.38850649830352124</v>
      </c>
      <c r="AI44" s="34"/>
      <c r="AJ44" s="33">
        <f t="shared" si="9"/>
        <v>6.8225610230169407</v>
      </c>
      <c r="AK44" s="35">
        <v>3614251</v>
      </c>
      <c r="AL44" s="36">
        <v>24658448</v>
      </c>
      <c r="AM44" s="36">
        <v>23253448</v>
      </c>
      <c r="AN44" s="36">
        <v>1404160</v>
      </c>
      <c r="AO44" s="46"/>
      <c r="AP44" s="47">
        <v>29.601700000000001</v>
      </c>
      <c r="AQ44" s="47">
        <v>37.982300000000002</v>
      </c>
      <c r="AR44" s="47">
        <v>37.575499999999998</v>
      </c>
      <c r="AS44" s="48"/>
      <c r="AT44" s="47">
        <v>21.686399999999999</v>
      </c>
      <c r="AU44" s="47">
        <v>21.686399999999999</v>
      </c>
      <c r="AV44" s="47">
        <v>21.686399999999999</v>
      </c>
      <c r="AW44" s="48"/>
      <c r="AX44" s="52">
        <v>7.484</v>
      </c>
      <c r="AY44" s="52">
        <v>6.1870000000000003</v>
      </c>
      <c r="BA44" s="59">
        <f t="shared" si="10"/>
        <v>-6.6804876526371793E-4</v>
      </c>
      <c r="BB44" s="59"/>
      <c r="BD44" s="60"/>
      <c r="BE44" s="60"/>
      <c r="BF44" s="60"/>
      <c r="BG44" s="64"/>
      <c r="BI44" s="60"/>
      <c r="BJ44" s="60"/>
      <c r="BK44" s="60"/>
      <c r="BL44" s="64"/>
      <c r="BN44" s="60"/>
      <c r="BO44" s="60"/>
      <c r="BP44" s="60"/>
      <c r="BQ44" s="64"/>
      <c r="BS44" s="60"/>
      <c r="BT44" s="60"/>
      <c r="BU44" s="60"/>
      <c r="BV44" s="64"/>
      <c r="BX44">
        <f t="shared" si="12"/>
        <v>0</v>
      </c>
      <c r="BY44">
        <f t="shared" si="13"/>
        <v>17456</v>
      </c>
      <c r="BZ44">
        <f t="shared" si="14"/>
        <v>0</v>
      </c>
      <c r="CA44">
        <f t="shared" si="15"/>
        <v>17456</v>
      </c>
      <c r="CB44">
        <f t="shared" si="16"/>
        <v>0</v>
      </c>
      <c r="CC44">
        <f t="shared" si="17"/>
        <v>0.1136000000000017</v>
      </c>
      <c r="CD44">
        <f t="shared" si="18"/>
        <v>0.20240000000000435</v>
      </c>
      <c r="CE44">
        <f t="shared" si="19"/>
        <v>0.42389999999999617</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11.201968192793823</v>
      </c>
      <c r="K45" s="18">
        <f t="shared" si="2"/>
        <v>4.9336815234362303</v>
      </c>
      <c r="L45" s="18">
        <f t="shared" si="3"/>
        <v>6.2681687135829529</v>
      </c>
      <c r="M45" s="19"/>
      <c r="N45" s="18">
        <f t="shared" si="4"/>
        <v>11.201968192793823</v>
      </c>
      <c r="O45" s="20">
        <v>13903516</v>
      </c>
      <c r="P45" s="21">
        <v>155746744</v>
      </c>
      <c r="Q45" s="21">
        <v>68595520</v>
      </c>
      <c r="R45" s="21">
        <v>87149584</v>
      </c>
      <c r="S45" s="37"/>
      <c r="T45" s="38">
        <v>52.8048</v>
      </c>
      <c r="U45" s="38">
        <v>56.151899999999998</v>
      </c>
      <c r="V45" s="38">
        <v>55.924300000000002</v>
      </c>
      <c r="W45" s="39"/>
      <c r="X45" s="38">
        <v>48.130800000000001</v>
      </c>
      <c r="Y45" s="38">
        <v>48.130800000000001</v>
      </c>
      <c r="Z45" s="38">
        <v>48.130800000000001</v>
      </c>
      <c r="AA45" s="39"/>
      <c r="AB45" s="49">
        <v>27.937000000000001</v>
      </c>
      <c r="AC45" s="49">
        <v>21.420999999999999</v>
      </c>
      <c r="AE45" s="17" t="str">
        <f t="shared" si="5"/>
        <v>·</v>
      </c>
      <c r="AF45" s="18">
        <f t="shared" si="6"/>
        <v>11.241177267678189</v>
      </c>
      <c r="AG45" s="18">
        <f t="shared" si="7"/>
        <v>4.9336815234362303</v>
      </c>
      <c r="AH45" s="18">
        <f t="shared" si="8"/>
        <v>6.3073777884673197</v>
      </c>
      <c r="AI45" s="19"/>
      <c r="AJ45" s="18">
        <f t="shared" si="9"/>
        <v>11.241177267678189</v>
      </c>
      <c r="AK45" s="20">
        <v>13903516</v>
      </c>
      <c r="AL45" s="21">
        <v>156291888</v>
      </c>
      <c r="AM45" s="21">
        <v>68595520</v>
      </c>
      <c r="AN45" s="21">
        <v>87694728</v>
      </c>
      <c r="AO45" s="37"/>
      <c r="AP45" s="38">
        <v>52.828200000000002</v>
      </c>
      <c r="AQ45" s="38">
        <v>56.169400000000003</v>
      </c>
      <c r="AR45" s="38">
        <v>55.938099999999999</v>
      </c>
      <c r="AS45" s="39"/>
      <c r="AT45" s="38">
        <v>48.130800000000001</v>
      </c>
      <c r="AU45" s="38">
        <v>48.130800000000001</v>
      </c>
      <c r="AV45" s="38">
        <v>48.130800000000001</v>
      </c>
      <c r="AW45" s="39"/>
      <c r="AX45" s="49">
        <v>28.170999999999999</v>
      </c>
      <c r="AY45" s="49">
        <v>21.437000000000001</v>
      </c>
      <c r="BA45" s="53">
        <f t="shared" si="10"/>
        <v>-1.5362134937334515E-3</v>
      </c>
      <c r="BB45" s="53">
        <f t="array" ref="BB45">AVERAGE(AM45:AM49/AL45:AL49)-AVERAGE(Q45:Q49/P45:P49)</f>
        <v>-2.523773937828877E-3</v>
      </c>
      <c r="BD45" s="54">
        <f>IF(OR(ISBLANK(R45:R49),ISBLANK(AN45:AN49),ISBLANK(T45:T49),ISBLANK(AP45:AP49)),"·",bdRateExtend(R45:R49,T45:T49,AN45:AN49,AP45:AP49))</f>
        <v>9.3526016044238602E-3</v>
      </c>
      <c r="BE45" s="54">
        <f>IF(OR(ISBLANK(R45:R49),ISBLANK(AN45:AN49),ISBLANK(U45:U49),ISBLANK(AQ45:AQ49)),"·",bdRateExtend(R45:R49,U45:U49,AN45:AN49,AQ45:AQ49))</f>
        <v>5.841980661135393E-3</v>
      </c>
      <c r="BF45" s="54">
        <f>IF(OR(ISBLANK(R45:R49),ISBLANK(AN45:AN49),ISBLANK(V45:V49),ISBLANK(AR45:AR49)),"·",bdRateExtend(R45:R49,V45:V49,AN45:AN49,AR45:AR49))</f>
        <v>4.1697943072955823E-3</v>
      </c>
      <c r="BG45" s="61"/>
      <c r="BI45" s="54">
        <f>IF(OR(ISBLANK(R45:R49),ISBLANK(AN45:AN49),ISBLANK(X45:X49),ISBLANK(AT45:AT49)),"·",bdRateExtend(R45:R49,X45:X49,AN45:AN49,AT45:AT49))</f>
        <v>1.3586820759027285E-2</v>
      </c>
      <c r="BJ45" s="54">
        <f>IF(OR(ISBLANK(R45:R49),ISBLANK(AN45:AN49),ISBLANK(Y45:Y49),ISBLANK(AU45:AU49)),"·",bdRateExtend(R45:R49,Y45:Y49,AN45:AN49,AU45:AU49))</f>
        <v>1.3586820759027285E-2</v>
      </c>
      <c r="BK45" s="54">
        <f>IF(OR(ISBLANK(R45:R49),ISBLANK(AN45:AN49),ISBLANK(Z45:Z49),ISBLANK(AV45:AV49)),"·",bdRateExtend(R45:R49,Z45:Z49,AN45:AN49,AV45:AV49))</f>
        <v>1.3586820759027285E-2</v>
      </c>
      <c r="BL45" s="61"/>
      <c r="BN45" s="54">
        <f>IF(OR(ISBLANK(P45:P49),ISBLANK(AL45:AL49),ISBLANK(T45:T49),ISBLANK(AP45:AP49)),"·",bdRateExtend(P45:P49,T45:T49,AL45:AL49,AP45:AP49))</f>
        <v>2.9729344478983677E-3</v>
      </c>
      <c r="BO45" s="54">
        <f>IF(OR(ISBLANK(P45:P49),ISBLANK(AL45:AL49),ISBLANK(U45:U49),ISBLANK(AQ45:AQ49)),"·",bdRateExtend(P45:P49,U45:U49,AL45:AL49,AQ45:AQ49))</f>
        <v>2.4089288264481645E-3</v>
      </c>
      <c r="BP45" s="54">
        <f>IF(OR(ISBLANK(P45:P49),ISBLANK(AL45:AL49),ISBLANK(V45:V49),ISBLANK(AR45:AR49)),"·",bdRateExtend(P45:P49,V45:V49,AL45:AL49,AR45:AR49))</f>
        <v>1.840314206817073E-3</v>
      </c>
      <c r="BQ45" s="61"/>
      <c r="BS45" s="54">
        <f>IF(OR(ISBLANK(P45:P49),ISBLANK(AL45:AL49),ISBLANK(X45:X49),ISBLANK(AT45:AT49)),"·",bdRateExtend(P45:P49,X45:X49,AL45:AL49,AT45:AT49))</f>
        <v>4.0068839692648517E-3</v>
      </c>
      <c r="BT45" s="54">
        <f>IF(OR(ISBLANK(P45:P49),ISBLANK(AL45:AL49),ISBLANK(Y45:Y49),ISBLANK(AU45:AU49)),"·",bdRateExtend(P45:P49,Y45:Y49,AL45:AL49,AU45:AU49))</f>
        <v>4.0068839692648517E-3</v>
      </c>
      <c r="BU45" s="54">
        <f>IF(OR(ISBLANK(P45:P49),ISBLANK(AL45:AL49),ISBLANK(Z45:Z49),ISBLANK(AV45:AV49)),"·",bdRateExtend(P45:P49,Z45:Z49,AL45:AL49,AV45:AV49))</f>
        <v>4.0068839692648517E-3</v>
      </c>
      <c r="BV45" s="61"/>
      <c r="BX45">
        <f t="shared" si="12"/>
        <v>0</v>
      </c>
      <c r="BY45">
        <f t="shared" si="13"/>
        <v>545144</v>
      </c>
      <c r="BZ45">
        <f t="shared" si="14"/>
        <v>0</v>
      </c>
      <c r="CA45">
        <f t="shared" si="15"/>
        <v>545144</v>
      </c>
      <c r="CB45">
        <f t="shared" si="16"/>
        <v>0</v>
      </c>
      <c r="CC45">
        <f t="shared" si="17"/>
        <v>2.3400000000002308E-2</v>
      </c>
      <c r="CD45">
        <f t="shared" si="18"/>
        <v>1.75000000000054E-2</v>
      </c>
      <c r="CE45">
        <f t="shared" si="19"/>
        <v>1.379999999999626E-2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9.4431169784678932</v>
      </c>
      <c r="K46" s="23">
        <f t="shared" si="2"/>
        <v>4.9336815234362303</v>
      </c>
      <c r="L46" s="23">
        <f t="shared" si="3"/>
        <v>4.5093174992570226</v>
      </c>
      <c r="M46" s="24"/>
      <c r="N46" s="23">
        <f t="shared" si="4"/>
        <v>9.4431169784678932</v>
      </c>
      <c r="O46" s="25">
        <v>13903516</v>
      </c>
      <c r="P46" s="26">
        <v>131292528</v>
      </c>
      <c r="Q46" s="26">
        <v>68595520</v>
      </c>
      <c r="R46" s="26">
        <v>62695368</v>
      </c>
      <c r="S46" s="40"/>
      <c r="T46" s="41">
        <v>47.9788</v>
      </c>
      <c r="U46" s="41">
        <v>51.436300000000003</v>
      </c>
      <c r="V46" s="41">
        <v>51.630899999999997</v>
      </c>
      <c r="W46" s="42"/>
      <c r="X46" s="41">
        <v>42.110199999999999</v>
      </c>
      <c r="Y46" s="41">
        <v>42.110199999999999</v>
      </c>
      <c r="Z46" s="41">
        <v>42.110199999999999</v>
      </c>
      <c r="AA46" s="42"/>
      <c r="AB46" s="50">
        <v>27.64</v>
      </c>
      <c r="AC46" s="50">
        <v>21.187000000000001</v>
      </c>
      <c r="AE46" s="22" t="str">
        <f t="shared" si="5"/>
        <v>·</v>
      </c>
      <c r="AF46" s="23">
        <f t="shared" si="6"/>
        <v>9.4807017160263634</v>
      </c>
      <c r="AG46" s="23">
        <f t="shared" si="7"/>
        <v>4.9336815234362303</v>
      </c>
      <c r="AH46" s="23">
        <f t="shared" si="8"/>
        <v>4.5469022368154937</v>
      </c>
      <c r="AI46" s="24"/>
      <c r="AJ46" s="23">
        <f t="shared" si="9"/>
        <v>9.4807017160263634</v>
      </c>
      <c r="AK46" s="25">
        <v>13903516</v>
      </c>
      <c r="AL46" s="26">
        <v>131815088</v>
      </c>
      <c r="AM46" s="26">
        <v>68595520</v>
      </c>
      <c r="AN46" s="26">
        <v>63217928</v>
      </c>
      <c r="AO46" s="40"/>
      <c r="AP46" s="41">
        <v>47.994900000000001</v>
      </c>
      <c r="AQ46" s="41">
        <v>51.451099999999997</v>
      </c>
      <c r="AR46" s="41">
        <v>51.648099999999999</v>
      </c>
      <c r="AS46" s="42"/>
      <c r="AT46" s="41">
        <v>42.110199999999999</v>
      </c>
      <c r="AU46" s="41">
        <v>42.110199999999999</v>
      </c>
      <c r="AV46" s="41">
        <v>42.110199999999999</v>
      </c>
      <c r="AW46" s="42"/>
      <c r="AX46" s="50">
        <v>27.952999999999999</v>
      </c>
      <c r="AY46" s="50">
        <v>21.25</v>
      </c>
      <c r="BA46" s="55">
        <f t="shared" si="10"/>
        <v>-2.0712226237644682E-3</v>
      </c>
      <c r="BB46" s="55"/>
      <c r="BD46" s="56"/>
      <c r="BE46" s="56"/>
      <c r="BF46" s="56"/>
      <c r="BG46" s="62"/>
      <c r="BI46" s="56"/>
      <c r="BJ46" s="56"/>
      <c r="BK46" s="56"/>
      <c r="BL46" s="62"/>
      <c r="BN46" s="56"/>
      <c r="BO46" s="56"/>
      <c r="BP46" s="56"/>
      <c r="BQ46" s="62"/>
      <c r="BS46" s="56"/>
      <c r="BT46" s="56"/>
      <c r="BU46" s="56"/>
      <c r="BV46" s="62"/>
      <c r="BX46">
        <f t="shared" si="12"/>
        <v>0</v>
      </c>
      <c r="BY46">
        <f t="shared" si="13"/>
        <v>522560</v>
      </c>
      <c r="BZ46">
        <f t="shared" si="14"/>
        <v>0</v>
      </c>
      <c r="CA46">
        <f t="shared" si="15"/>
        <v>522560</v>
      </c>
      <c r="CB46">
        <f t="shared" si="16"/>
        <v>0</v>
      </c>
      <c r="CC46">
        <f t="shared" si="17"/>
        <v>1.6100000000001558E-2</v>
      </c>
      <c r="CD46">
        <f t="shared" si="18"/>
        <v>1.4799999999993929E-2</v>
      </c>
      <c r="CE46">
        <f t="shared" si="19"/>
        <v>1.7200000000002547E-2</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7.5482368632509935</v>
      </c>
      <c r="K47" s="18">
        <f t="shared" si="2"/>
        <v>4.9336815234362303</v>
      </c>
      <c r="L47" s="18">
        <f t="shared" si="3"/>
        <v>2.6144373840401234</v>
      </c>
      <c r="M47" s="19"/>
      <c r="N47" s="18">
        <f t="shared" si="4"/>
        <v>7.5482368632509935</v>
      </c>
      <c r="O47" s="20">
        <v>13903516</v>
      </c>
      <c r="P47" s="21">
        <v>104947032</v>
      </c>
      <c r="Q47" s="21">
        <v>68595520</v>
      </c>
      <c r="R47" s="21">
        <v>36349872</v>
      </c>
      <c r="S47" s="37"/>
      <c r="T47" s="38">
        <v>40.956600000000002</v>
      </c>
      <c r="U47" s="38">
        <v>46.134799999999998</v>
      </c>
      <c r="V47" s="38">
        <v>46.778599999999997</v>
      </c>
      <c r="W47" s="39"/>
      <c r="X47" s="38">
        <v>34.151400000000002</v>
      </c>
      <c r="Y47" s="38">
        <v>34.151400000000002</v>
      </c>
      <c r="Z47" s="38">
        <v>34.151400000000002</v>
      </c>
      <c r="AA47" s="39"/>
      <c r="AB47" s="49">
        <v>27.280999999999999</v>
      </c>
      <c r="AC47" s="49">
        <v>20.905999999999999</v>
      </c>
      <c r="AE47" s="17" t="str">
        <f t="shared" si="5"/>
        <v>·</v>
      </c>
      <c r="AF47" s="18">
        <f t="shared" si="6"/>
        <v>7.5811361672831534</v>
      </c>
      <c r="AG47" s="18">
        <f t="shared" si="7"/>
        <v>4.9336815234362303</v>
      </c>
      <c r="AH47" s="18">
        <f t="shared" si="8"/>
        <v>2.6473366880722833</v>
      </c>
      <c r="AI47" s="19"/>
      <c r="AJ47" s="18">
        <f t="shared" si="9"/>
        <v>7.5811361672831534</v>
      </c>
      <c r="AK47" s="20">
        <v>13903516</v>
      </c>
      <c r="AL47" s="21">
        <v>105404448</v>
      </c>
      <c r="AM47" s="21">
        <v>68595520</v>
      </c>
      <c r="AN47" s="21">
        <v>36807288</v>
      </c>
      <c r="AO47" s="37"/>
      <c r="AP47" s="38">
        <v>40.987200000000001</v>
      </c>
      <c r="AQ47" s="38">
        <v>46.159100000000002</v>
      </c>
      <c r="AR47" s="38">
        <v>46.814300000000003</v>
      </c>
      <c r="AS47" s="39"/>
      <c r="AT47" s="38">
        <v>34.151400000000002</v>
      </c>
      <c r="AU47" s="38">
        <v>34.151400000000002</v>
      </c>
      <c r="AV47" s="38">
        <v>34.151400000000002</v>
      </c>
      <c r="AW47" s="39"/>
      <c r="AX47" s="49">
        <v>27.405999999999999</v>
      </c>
      <c r="AY47" s="49">
        <v>20.952999999999999</v>
      </c>
      <c r="BA47" s="53">
        <f t="shared" si="10"/>
        <v>-2.8364687643620545E-3</v>
      </c>
      <c r="BB47" s="53"/>
      <c r="BD47" s="54"/>
      <c r="BE47" s="54"/>
      <c r="BF47" s="54"/>
      <c r="BG47" s="61"/>
      <c r="BI47" s="54"/>
      <c r="BJ47" s="54"/>
      <c r="BK47" s="54"/>
      <c r="BL47" s="61"/>
      <c r="BN47" s="54"/>
      <c r="BO47" s="54"/>
      <c r="BP47" s="54"/>
      <c r="BQ47" s="61"/>
      <c r="BS47" s="54"/>
      <c r="BT47" s="54"/>
      <c r="BU47" s="54"/>
      <c r="BV47" s="61"/>
      <c r="BX47">
        <f t="shared" si="12"/>
        <v>0</v>
      </c>
      <c r="BY47">
        <f t="shared" si="13"/>
        <v>457416</v>
      </c>
      <c r="BZ47">
        <f t="shared" si="14"/>
        <v>0</v>
      </c>
      <c r="CA47">
        <f t="shared" si="15"/>
        <v>457416</v>
      </c>
      <c r="CB47">
        <f t="shared" si="16"/>
        <v>0</v>
      </c>
      <c r="CC47">
        <f t="shared" si="17"/>
        <v>3.0599999999999739E-2</v>
      </c>
      <c r="CD47">
        <f t="shared" si="18"/>
        <v>2.4300000000003763E-2</v>
      </c>
      <c r="CE47">
        <f t="shared" si="19"/>
        <v>3.5700000000005616E-2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6.4466513362519233</v>
      </c>
      <c r="K48" s="23">
        <f t="shared" si="2"/>
        <v>4.9336815234362303</v>
      </c>
      <c r="L48" s="23">
        <f t="shared" si="3"/>
        <v>1.5128518570410534</v>
      </c>
      <c r="M48" s="24"/>
      <c r="N48" s="23">
        <f t="shared" si="4"/>
        <v>6.4466513362519233</v>
      </c>
      <c r="O48" s="25">
        <v>13903516</v>
      </c>
      <c r="P48" s="26">
        <v>89631120</v>
      </c>
      <c r="Q48" s="26">
        <v>68595520</v>
      </c>
      <c r="R48" s="26">
        <v>21033960</v>
      </c>
      <c r="S48" s="40"/>
      <c r="T48" s="41">
        <v>35.402500000000003</v>
      </c>
      <c r="U48" s="41">
        <v>41.433300000000003</v>
      </c>
      <c r="V48" s="41">
        <v>42.453699999999998</v>
      </c>
      <c r="W48" s="42"/>
      <c r="X48" s="41">
        <v>28.130800000000001</v>
      </c>
      <c r="Y48" s="41">
        <v>28.130800000000001</v>
      </c>
      <c r="Z48" s="41">
        <v>28.130800000000001</v>
      </c>
      <c r="AA48" s="42"/>
      <c r="AB48" s="50">
        <v>26.937000000000001</v>
      </c>
      <c r="AC48" s="50">
        <v>20.670999999999999</v>
      </c>
      <c r="AE48" s="22" t="str">
        <f t="shared" si="5"/>
        <v>·</v>
      </c>
      <c r="AF48" s="23">
        <f t="shared" si="6"/>
        <v>6.47251874993347</v>
      </c>
      <c r="AG48" s="23">
        <f t="shared" si="7"/>
        <v>4.9336815234362303</v>
      </c>
      <c r="AH48" s="23">
        <f t="shared" si="8"/>
        <v>1.5387192707226001</v>
      </c>
      <c r="AI48" s="24"/>
      <c r="AJ48" s="23">
        <f t="shared" si="9"/>
        <v>6.47251874993347</v>
      </c>
      <c r="AK48" s="25">
        <v>13903516</v>
      </c>
      <c r="AL48" s="26">
        <v>89990768</v>
      </c>
      <c r="AM48" s="26">
        <v>68595520</v>
      </c>
      <c r="AN48" s="26">
        <v>21393608</v>
      </c>
      <c r="AO48" s="40"/>
      <c r="AP48" s="41">
        <v>35.446399999999997</v>
      </c>
      <c r="AQ48" s="41">
        <v>41.505000000000003</v>
      </c>
      <c r="AR48" s="41">
        <v>42.572000000000003</v>
      </c>
      <c r="AS48" s="42"/>
      <c r="AT48" s="41">
        <v>28.130800000000001</v>
      </c>
      <c r="AU48" s="41">
        <v>28.130800000000001</v>
      </c>
      <c r="AV48" s="41">
        <v>28.130800000000001</v>
      </c>
      <c r="AW48" s="42"/>
      <c r="AX48" s="50">
        <v>27.359000000000002</v>
      </c>
      <c r="AY48" s="50">
        <v>20.780999999999999</v>
      </c>
      <c r="BA48" s="55">
        <f t="shared" si="10"/>
        <v>-3.0585572976005171E-3</v>
      </c>
      <c r="BB48" s="55"/>
      <c r="BD48" s="56"/>
      <c r="BE48" s="56"/>
      <c r="BF48" s="56"/>
      <c r="BG48" s="62"/>
      <c r="BI48" s="56"/>
      <c r="BJ48" s="56"/>
      <c r="BK48" s="56"/>
      <c r="BL48" s="62"/>
      <c r="BN48" s="56"/>
      <c r="BO48" s="56"/>
      <c r="BP48" s="56"/>
      <c r="BQ48" s="62"/>
      <c r="BS48" s="56"/>
      <c r="BT48" s="56"/>
      <c r="BU48" s="56"/>
      <c r="BV48" s="62"/>
      <c r="BX48">
        <f t="shared" si="12"/>
        <v>0</v>
      </c>
      <c r="BY48">
        <f t="shared" si="13"/>
        <v>359648</v>
      </c>
      <c r="BZ48">
        <f t="shared" si="14"/>
        <v>0</v>
      </c>
      <c r="CA48">
        <f t="shared" si="15"/>
        <v>359648</v>
      </c>
      <c r="CB48">
        <f t="shared" si="16"/>
        <v>0</v>
      </c>
      <c r="CC48">
        <f t="shared" si="17"/>
        <v>4.3899999999993611E-2</v>
      </c>
      <c r="CD48">
        <f t="shared" si="18"/>
        <v>7.1699999999999875E-2</v>
      </c>
      <c r="CE48">
        <f t="shared" si="19"/>
        <v>0.11830000000000496</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5.5969422410849168</v>
      </c>
      <c r="K49" s="28">
        <f t="shared" si="2"/>
        <v>4.9336815234362303</v>
      </c>
      <c r="L49" s="28">
        <f t="shared" si="3"/>
        <v>0.66314276187404686</v>
      </c>
      <c r="M49" s="29"/>
      <c r="N49" s="28">
        <f t="shared" si="4"/>
        <v>5.5969422410849168</v>
      </c>
      <c r="O49" s="30">
        <v>13903516</v>
      </c>
      <c r="P49" s="31">
        <v>77817176</v>
      </c>
      <c r="Q49" s="31">
        <v>68595520</v>
      </c>
      <c r="R49" s="31">
        <v>9220016</v>
      </c>
      <c r="S49" s="43"/>
      <c r="T49" s="44">
        <v>29.375399999999999</v>
      </c>
      <c r="U49" s="44">
        <v>36.825899999999997</v>
      </c>
      <c r="V49" s="44">
        <v>37.790999999999997</v>
      </c>
      <c r="W49" s="45"/>
      <c r="X49" s="44">
        <v>21.686399999999999</v>
      </c>
      <c r="Y49" s="44">
        <v>21.686399999999999</v>
      </c>
      <c r="Z49" s="44">
        <v>21.686399999999999</v>
      </c>
      <c r="AA49" s="45"/>
      <c r="AB49" s="51">
        <v>26.937000000000001</v>
      </c>
      <c r="AC49" s="51">
        <v>20.484000000000002</v>
      </c>
      <c r="AE49" s="27" t="str">
        <f t="shared" si="5"/>
        <v>·</v>
      </c>
      <c r="AF49" s="28">
        <f t="shared" si="6"/>
        <v>5.6167996642000482</v>
      </c>
      <c r="AG49" s="28">
        <f t="shared" si="7"/>
        <v>4.9336815234362303</v>
      </c>
      <c r="AH49" s="28">
        <f t="shared" si="8"/>
        <v>0.68300018498917825</v>
      </c>
      <c r="AI49" s="29"/>
      <c r="AJ49" s="28">
        <f t="shared" si="9"/>
        <v>5.6167996642000482</v>
      </c>
      <c r="AK49" s="30">
        <v>13903516</v>
      </c>
      <c r="AL49" s="31">
        <v>78093264</v>
      </c>
      <c r="AM49" s="31">
        <v>68595520</v>
      </c>
      <c r="AN49" s="31">
        <v>9496104</v>
      </c>
      <c r="AO49" s="43"/>
      <c r="AP49" s="44">
        <v>29.499600000000001</v>
      </c>
      <c r="AQ49" s="44">
        <v>37.021599999999999</v>
      </c>
      <c r="AR49" s="44">
        <v>37.937800000000003</v>
      </c>
      <c r="AS49" s="45"/>
      <c r="AT49" s="44">
        <v>21.686399999999999</v>
      </c>
      <c r="AU49" s="44">
        <v>21.686399999999999</v>
      </c>
      <c r="AV49" s="44">
        <v>21.686399999999999</v>
      </c>
      <c r="AW49" s="45"/>
      <c r="AX49" s="51">
        <v>27.202999999999999</v>
      </c>
      <c r="AY49" s="51">
        <v>20.765000000000001</v>
      </c>
      <c r="BA49" s="57">
        <f t="shared" si="10"/>
        <v>-3.1164075096840049E-3</v>
      </c>
      <c r="BB49" s="57"/>
      <c r="BD49" s="58"/>
      <c r="BE49" s="58"/>
      <c r="BF49" s="58"/>
      <c r="BG49" s="63"/>
      <c r="BI49" s="58"/>
      <c r="BJ49" s="58"/>
      <c r="BK49" s="58"/>
      <c r="BL49" s="63"/>
      <c r="BN49" s="58"/>
      <c r="BO49" s="58"/>
      <c r="BP49" s="58"/>
      <c r="BQ49" s="63"/>
      <c r="BS49" s="58"/>
      <c r="BT49" s="58"/>
      <c r="BU49" s="58"/>
      <c r="BV49" s="63"/>
      <c r="BX49">
        <f t="shared" si="12"/>
        <v>0</v>
      </c>
      <c r="BY49">
        <f t="shared" si="13"/>
        <v>276088</v>
      </c>
      <c r="BZ49">
        <f t="shared" si="14"/>
        <v>0</v>
      </c>
      <c r="CA49">
        <f t="shared" si="15"/>
        <v>276088</v>
      </c>
      <c r="CB49">
        <f t="shared" si="16"/>
        <v>0</v>
      </c>
      <c r="CC49">
        <f t="shared" si="17"/>
        <v>0.12420000000000186</v>
      </c>
      <c r="CD49">
        <f t="shared" si="18"/>
        <v>0.19570000000000221</v>
      </c>
      <c r="CE49">
        <f t="shared" si="19"/>
        <v>0.14680000000000604</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11.849550347564163</v>
      </c>
      <c r="K50" s="23">
        <f t="shared" si="2"/>
        <v>5.2585796943332763</v>
      </c>
      <c r="L50" s="23">
        <f t="shared" si="3"/>
        <v>6.5907809134116144</v>
      </c>
      <c r="M50" s="24"/>
      <c r="N50" s="23">
        <f t="shared" si="4"/>
        <v>11.849550347564163</v>
      </c>
      <c r="O50" s="25">
        <v>4848745</v>
      </c>
      <c r="P50" s="26">
        <v>57455448</v>
      </c>
      <c r="Q50" s="26">
        <v>25497512</v>
      </c>
      <c r="R50" s="26">
        <v>31957016</v>
      </c>
      <c r="S50" s="40"/>
      <c r="T50" s="41">
        <v>53.1526</v>
      </c>
      <c r="U50" s="41">
        <v>55.817100000000003</v>
      </c>
      <c r="V50" s="41">
        <v>55.131799999999998</v>
      </c>
      <c r="W50" s="42"/>
      <c r="X50" s="41">
        <v>48.130800000000001</v>
      </c>
      <c r="Y50" s="41">
        <v>48.130800000000001</v>
      </c>
      <c r="Z50" s="41">
        <v>48.130800000000001</v>
      </c>
      <c r="AA50" s="42"/>
      <c r="AB50" s="50">
        <v>9.0459999999999994</v>
      </c>
      <c r="AC50" s="50">
        <v>7.125</v>
      </c>
      <c r="AE50" s="22" t="str">
        <f t="shared" si="5"/>
        <v>·</v>
      </c>
      <c r="AF50" s="23">
        <f t="shared" si="6"/>
        <v>11.892510742470474</v>
      </c>
      <c r="AG50" s="23">
        <f t="shared" si="7"/>
        <v>5.2585796943332763</v>
      </c>
      <c r="AH50" s="23">
        <f t="shared" si="8"/>
        <v>6.6337413083179255</v>
      </c>
      <c r="AI50" s="24"/>
      <c r="AJ50" s="23">
        <f t="shared" si="9"/>
        <v>11.892510742470474</v>
      </c>
      <c r="AK50" s="25">
        <v>4848745</v>
      </c>
      <c r="AL50" s="26">
        <v>57663752</v>
      </c>
      <c r="AM50" s="26">
        <v>25497512</v>
      </c>
      <c r="AN50" s="26">
        <v>32165320</v>
      </c>
      <c r="AO50" s="40"/>
      <c r="AP50" s="41">
        <v>53.177900000000001</v>
      </c>
      <c r="AQ50" s="41">
        <v>55.844099999999997</v>
      </c>
      <c r="AR50" s="41">
        <v>55.158499999999997</v>
      </c>
      <c r="AS50" s="42"/>
      <c r="AT50" s="41">
        <v>48.130800000000001</v>
      </c>
      <c r="AU50" s="41">
        <v>48.130800000000001</v>
      </c>
      <c r="AV50" s="41">
        <v>48.130800000000001</v>
      </c>
      <c r="AW50" s="42"/>
      <c r="AX50" s="50">
        <v>9.1869999999999994</v>
      </c>
      <c r="AY50" s="50">
        <v>7.2960000000000003</v>
      </c>
      <c r="BA50" s="55">
        <f t="shared" si="10"/>
        <v>-1.6031025392046483E-3</v>
      </c>
      <c r="BB50" s="55">
        <f t="array" ref="BB50">AVERAGE(AM50:AM54/AL50:AL54)-AVERAGE(Q50:Q54/P50:P54)</f>
        <v>-2.9642596453793857E-3</v>
      </c>
      <c r="BD50" s="56">
        <f>IF(OR(ISBLANK(R50:R54),ISBLANK(AN50:AN54),ISBLANK(T50:T54),ISBLANK(AP50:AP54)),"·",bdRateExtend(R50:R54,T50:T54,AN50:AN54,AP50:AP54))</f>
        <v>1.7087730358018804E-2</v>
      </c>
      <c r="BE50" s="56">
        <f>IF(OR(ISBLANK(R50:R54),ISBLANK(AN50:AN54),ISBLANK(U50:U54),ISBLANK(AQ50:AQ54)),"·",bdRateExtend(R50:R54,U50:U54,AN50:AN54,AQ50:AQ54))</f>
        <v>2.9547387140853587E-3</v>
      </c>
      <c r="BF50" s="56">
        <f>IF(OR(ISBLANK(R50:R54),ISBLANK(AN50:AN54),ISBLANK(V50:V54),ISBLANK(AR50:AR54)),"·",bdRateExtend(R50:R54,V50:V54,AN50:AN54,AR50:AR54))</f>
        <v>-6.4295384686791079E-3</v>
      </c>
      <c r="BG50" s="62"/>
      <c r="BI50" s="56">
        <f>IF(OR(ISBLANK(R50:R54),ISBLANK(AN50:AN54),ISBLANK(X50:X54),ISBLANK(AT50:AT54)),"·",bdRateExtend(R50:R54,X50:X54,AN50:AN54,AT50:AT54))</f>
        <v>1.7848958134954795E-2</v>
      </c>
      <c r="BJ50" s="56">
        <f>IF(OR(ISBLANK(R50:R54),ISBLANK(AN50:AN54),ISBLANK(Y50:Y54),ISBLANK(AU50:AU54)),"·",bdRateExtend(R50:R54,Y50:Y54,AN50:AN54,AU50:AU54))</f>
        <v>1.7848958134954795E-2</v>
      </c>
      <c r="BK50" s="56">
        <f>IF(OR(ISBLANK(R50:R54),ISBLANK(AN50:AN54),ISBLANK(Z50:Z54),ISBLANK(AV50:AV54)),"·",bdRateExtend(R50:R54,Z50:Z54,AN50:AN54,AV50:AV54))</f>
        <v>1.7848958134954795E-2</v>
      </c>
      <c r="BL50" s="62"/>
      <c r="BN50" s="56">
        <f>IF(OR(ISBLANK(P50:P54),ISBLANK(AL50:AL54),ISBLANK(T50:T54),ISBLANK(AP50:AP54)),"·",bdRateExtend(P50:P54,T50:T54,AL50:AL54,AP50:AP54))</f>
        <v>4.222509621131243E-3</v>
      </c>
      <c r="BO50" s="56">
        <f>IF(OR(ISBLANK(P50:P54),ISBLANK(AL50:AL54),ISBLANK(U50:U54),ISBLANK(AQ50:AQ54)),"·",bdRateExtend(P50:P54,U50:U54,AL50:AL54,AQ50:AQ54))</f>
        <v>2.6463427336640422E-3</v>
      </c>
      <c r="BP50" s="56">
        <f>IF(OR(ISBLANK(P50:P54),ISBLANK(AL50:AL54),ISBLANK(V50:V54),ISBLANK(AR50:AR54)),"·",bdRateExtend(P50:P54,V50:V54,AL50:AL54,AR50:AR54))</f>
        <v>5.3739047288337005E-4</v>
      </c>
      <c r="BQ50" s="62"/>
      <c r="BS50" s="56">
        <f>IF(OR(ISBLANK(P50:P54),ISBLANK(AL50:AL54),ISBLANK(X50:X54),ISBLANK(AT50:AT54)),"·",bdRateExtend(P50:P54,X50:X54,AL50:AL54,AT50:AT54))</f>
        <v>4.8105649153553642E-3</v>
      </c>
      <c r="BT50" s="56">
        <f>IF(OR(ISBLANK(P50:P54),ISBLANK(AL50:AL54),ISBLANK(Y50:Y54),ISBLANK(AU50:AU54)),"·",bdRateExtend(P50:P54,Y50:Y54,AL50:AL54,AU50:AU54))</f>
        <v>4.8105649153553642E-3</v>
      </c>
      <c r="BU50" s="56">
        <f>IF(OR(ISBLANK(P50:P54),ISBLANK(AL50:AL54),ISBLANK(Z50:Z54),ISBLANK(AV50:AV54)),"·",bdRateExtend(P50:P54,Z50:Z54,AL50:AL54,AV50:AV54))</f>
        <v>4.8105649153553642E-3</v>
      </c>
      <c r="BV50" s="62"/>
      <c r="BX50">
        <f t="shared" si="12"/>
        <v>0</v>
      </c>
      <c r="BY50">
        <f t="shared" si="13"/>
        <v>208304</v>
      </c>
      <c r="BZ50">
        <f t="shared" si="14"/>
        <v>0</v>
      </c>
      <c r="CA50">
        <f t="shared" si="15"/>
        <v>208304</v>
      </c>
      <c r="CB50">
        <f t="shared" si="16"/>
        <v>0</v>
      </c>
      <c r="CC50">
        <f t="shared" si="17"/>
        <v>2.5300000000001432E-2</v>
      </c>
      <c r="CD50">
        <f t="shared" si="18"/>
        <v>2.6999999999993918E-2</v>
      </c>
      <c r="CE50">
        <f t="shared" si="19"/>
        <v>2.669999999999817E-2</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9.8591053973760214</v>
      </c>
      <c r="K51" s="18">
        <f t="shared" si="2"/>
        <v>5.2585796943332763</v>
      </c>
      <c r="L51" s="18">
        <f t="shared" si="3"/>
        <v>4.6003359632234737</v>
      </c>
      <c r="M51" s="19"/>
      <c r="N51" s="18">
        <f t="shared" si="4"/>
        <v>9.8591053973760214</v>
      </c>
      <c r="O51" s="20">
        <v>4848745</v>
      </c>
      <c r="P51" s="21">
        <v>47804288</v>
      </c>
      <c r="Q51" s="21">
        <v>25497512</v>
      </c>
      <c r="R51" s="21">
        <v>22305856</v>
      </c>
      <c r="S51" s="37"/>
      <c r="T51" s="38">
        <v>48.286799999999999</v>
      </c>
      <c r="U51" s="38">
        <v>51.259500000000003</v>
      </c>
      <c r="V51" s="38">
        <v>50.982799999999997</v>
      </c>
      <c r="W51" s="39"/>
      <c r="X51" s="38">
        <v>42.110199999999999</v>
      </c>
      <c r="Y51" s="38">
        <v>42.110199999999999</v>
      </c>
      <c r="Z51" s="38">
        <v>42.110199999999999</v>
      </c>
      <c r="AA51" s="39"/>
      <c r="AB51" s="49">
        <v>9.0150000000000006</v>
      </c>
      <c r="AC51" s="49">
        <v>7.093</v>
      </c>
      <c r="AE51" s="17" t="str">
        <f t="shared" si="5"/>
        <v>·</v>
      </c>
      <c r="AF51" s="18">
        <f t="shared" si="6"/>
        <v>9.9042502750711776</v>
      </c>
      <c r="AG51" s="18">
        <f t="shared" si="7"/>
        <v>5.2585796943332763</v>
      </c>
      <c r="AH51" s="18">
        <f t="shared" si="8"/>
        <v>4.6454808409186299</v>
      </c>
      <c r="AI51" s="19"/>
      <c r="AJ51" s="18">
        <f t="shared" si="9"/>
        <v>9.9042502750711776</v>
      </c>
      <c r="AK51" s="20">
        <v>4848745</v>
      </c>
      <c r="AL51" s="21">
        <v>48023184</v>
      </c>
      <c r="AM51" s="21">
        <v>25497512</v>
      </c>
      <c r="AN51" s="21">
        <v>22524752</v>
      </c>
      <c r="AO51" s="37"/>
      <c r="AP51" s="38">
        <v>48.3005</v>
      </c>
      <c r="AQ51" s="38">
        <v>51.279000000000003</v>
      </c>
      <c r="AR51" s="38">
        <v>51.0045</v>
      </c>
      <c r="AS51" s="39"/>
      <c r="AT51" s="38">
        <v>42.110199999999999</v>
      </c>
      <c r="AU51" s="38">
        <v>42.110199999999999</v>
      </c>
      <c r="AV51" s="38">
        <v>42.110199999999999</v>
      </c>
      <c r="AW51" s="39"/>
      <c r="AX51" s="49">
        <v>9.125</v>
      </c>
      <c r="AY51" s="49">
        <v>7.1870000000000003</v>
      </c>
      <c r="BA51" s="53">
        <f t="shared" si="10"/>
        <v>-2.431183979529683E-3</v>
      </c>
      <c r="BB51" s="53"/>
      <c r="BD51" s="54"/>
      <c r="BE51" s="54"/>
      <c r="BF51" s="54"/>
      <c r="BG51" s="61"/>
      <c r="BI51" s="54"/>
      <c r="BJ51" s="54"/>
      <c r="BK51" s="54"/>
      <c r="BL51" s="61"/>
      <c r="BN51" s="54"/>
      <c r="BO51" s="54"/>
      <c r="BP51" s="54"/>
      <c r="BQ51" s="61"/>
      <c r="BS51" s="54"/>
      <c r="BT51" s="54"/>
      <c r="BU51" s="54"/>
      <c r="BV51" s="61"/>
      <c r="BX51">
        <f t="shared" si="12"/>
        <v>0</v>
      </c>
      <c r="BY51">
        <f t="shared" si="13"/>
        <v>218896</v>
      </c>
      <c r="BZ51">
        <f t="shared" si="14"/>
        <v>0</v>
      </c>
      <c r="CA51">
        <f t="shared" si="15"/>
        <v>218896</v>
      </c>
      <c r="CB51">
        <f t="shared" si="16"/>
        <v>0</v>
      </c>
      <c r="CC51">
        <f t="shared" si="17"/>
        <v>1.3700000000000045E-2</v>
      </c>
      <c r="CD51">
        <f t="shared" si="18"/>
        <v>1.9500000000000739E-2</v>
      </c>
      <c r="CE51">
        <f t="shared" si="19"/>
        <v>2.1700000000002717E-2</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7.7233642932346411</v>
      </c>
      <c r="K52" s="23">
        <f t="shared" si="2"/>
        <v>5.2585796943332763</v>
      </c>
      <c r="L52" s="23">
        <f t="shared" si="3"/>
        <v>2.4645948590820925</v>
      </c>
      <c r="M52" s="24"/>
      <c r="N52" s="23">
        <f t="shared" si="4"/>
        <v>7.7233642932346411</v>
      </c>
      <c r="O52" s="25">
        <v>4848745</v>
      </c>
      <c r="P52" s="26">
        <v>37448624</v>
      </c>
      <c r="Q52" s="26">
        <v>25497512</v>
      </c>
      <c r="R52" s="26">
        <v>11950192</v>
      </c>
      <c r="S52" s="40"/>
      <c r="T52" s="41">
        <v>41.335000000000001</v>
      </c>
      <c r="U52" s="41">
        <v>46.035600000000002</v>
      </c>
      <c r="V52" s="41">
        <v>45.995600000000003</v>
      </c>
      <c r="W52" s="42"/>
      <c r="X52" s="41">
        <v>34.151400000000002</v>
      </c>
      <c r="Y52" s="41">
        <v>34.151400000000002</v>
      </c>
      <c r="Z52" s="41">
        <v>34.151400000000002</v>
      </c>
      <c r="AA52" s="42"/>
      <c r="AB52" s="50">
        <v>8.859</v>
      </c>
      <c r="AC52" s="50">
        <v>7.0149999999999997</v>
      </c>
      <c r="AE52" s="22" t="str">
        <f t="shared" si="5"/>
        <v>·</v>
      </c>
      <c r="AF52" s="23">
        <f t="shared" si="6"/>
        <v>7.767477976259836</v>
      </c>
      <c r="AG52" s="23">
        <f t="shared" si="7"/>
        <v>5.2585796943332763</v>
      </c>
      <c r="AH52" s="23">
        <f t="shared" si="8"/>
        <v>2.5087085421072874</v>
      </c>
      <c r="AI52" s="24"/>
      <c r="AJ52" s="23">
        <f t="shared" si="9"/>
        <v>7.767477976259836</v>
      </c>
      <c r="AK52" s="25">
        <v>4848745</v>
      </c>
      <c r="AL52" s="26">
        <v>37662520</v>
      </c>
      <c r="AM52" s="26">
        <v>25497512</v>
      </c>
      <c r="AN52" s="26">
        <v>12164088</v>
      </c>
      <c r="AO52" s="40"/>
      <c r="AP52" s="41">
        <v>41.377099999999999</v>
      </c>
      <c r="AQ52" s="41">
        <v>46.064599999999999</v>
      </c>
      <c r="AR52" s="41">
        <v>46.052900000000001</v>
      </c>
      <c r="AS52" s="42"/>
      <c r="AT52" s="41">
        <v>34.151400000000002</v>
      </c>
      <c r="AU52" s="41">
        <v>34.151400000000002</v>
      </c>
      <c r="AV52" s="41">
        <v>34.151400000000002</v>
      </c>
      <c r="AW52" s="42"/>
      <c r="AX52" s="50">
        <v>8.9060000000000006</v>
      </c>
      <c r="AY52" s="50">
        <v>7.0780000000000003</v>
      </c>
      <c r="BA52" s="55">
        <f t="shared" si="10"/>
        <v>-3.8668313223713113E-3</v>
      </c>
      <c r="BB52" s="55"/>
      <c r="BD52" s="56"/>
      <c r="BE52" s="56"/>
      <c r="BF52" s="56"/>
      <c r="BG52" s="62"/>
      <c r="BI52" s="56"/>
      <c r="BJ52" s="56"/>
      <c r="BK52" s="56"/>
      <c r="BL52" s="62"/>
      <c r="BN52" s="56"/>
      <c r="BO52" s="56"/>
      <c r="BP52" s="56"/>
      <c r="BQ52" s="62"/>
      <c r="BS52" s="56"/>
      <c r="BT52" s="56"/>
      <c r="BU52" s="56"/>
      <c r="BV52" s="62"/>
      <c r="BX52">
        <f t="shared" si="12"/>
        <v>0</v>
      </c>
      <c r="BY52">
        <f t="shared" si="13"/>
        <v>213896</v>
      </c>
      <c r="BZ52">
        <f t="shared" si="14"/>
        <v>0</v>
      </c>
      <c r="CA52">
        <f t="shared" si="15"/>
        <v>213896</v>
      </c>
      <c r="CB52">
        <f t="shared" si="16"/>
        <v>0</v>
      </c>
      <c r="CC52">
        <f t="shared" si="17"/>
        <v>4.2099999999997806E-2</v>
      </c>
      <c r="CD52">
        <f t="shared" si="18"/>
        <v>2.8999999999996362E-2</v>
      </c>
      <c r="CE52">
        <f t="shared" si="19"/>
        <v>5.7299999999997908E-2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6.5916207183508311</v>
      </c>
      <c r="K53" s="18">
        <f t="shared" si="2"/>
        <v>5.2585796943332763</v>
      </c>
      <c r="L53" s="18">
        <f t="shared" si="3"/>
        <v>1.3328512841982822</v>
      </c>
      <c r="M53" s="19"/>
      <c r="N53" s="18">
        <f t="shared" si="4"/>
        <v>6.5916207183508311</v>
      </c>
      <c r="O53" s="20">
        <v>4848745</v>
      </c>
      <c r="P53" s="21">
        <v>31961088</v>
      </c>
      <c r="Q53" s="21">
        <v>25497512</v>
      </c>
      <c r="R53" s="21">
        <v>6462656</v>
      </c>
      <c r="S53" s="37"/>
      <c r="T53" s="38">
        <v>35.863599999999998</v>
      </c>
      <c r="U53" s="38">
        <v>41.411200000000001</v>
      </c>
      <c r="V53" s="38">
        <v>41.717399999999998</v>
      </c>
      <c r="W53" s="39"/>
      <c r="X53" s="38">
        <v>28.130800000000001</v>
      </c>
      <c r="Y53" s="38">
        <v>28.130800000000001</v>
      </c>
      <c r="Z53" s="38">
        <v>28.130800000000001</v>
      </c>
      <c r="AA53" s="39"/>
      <c r="AB53" s="49">
        <v>8.7650000000000006</v>
      </c>
      <c r="AC53" s="49">
        <v>6.9530000000000003</v>
      </c>
      <c r="AE53" s="17" t="str">
        <f t="shared" si="5"/>
        <v>·</v>
      </c>
      <c r="AF53" s="18">
        <f t="shared" si="6"/>
        <v>6.6254818514894058</v>
      </c>
      <c r="AG53" s="18">
        <f t="shared" si="7"/>
        <v>5.2585796943332763</v>
      </c>
      <c r="AH53" s="18">
        <f t="shared" si="8"/>
        <v>1.3667124173368572</v>
      </c>
      <c r="AI53" s="19"/>
      <c r="AJ53" s="18">
        <f t="shared" si="9"/>
        <v>6.6254818514894058</v>
      </c>
      <c r="AK53" s="20">
        <v>4848745</v>
      </c>
      <c r="AL53" s="21">
        <v>32125272</v>
      </c>
      <c r="AM53" s="21">
        <v>25497512</v>
      </c>
      <c r="AN53" s="21">
        <v>6626840</v>
      </c>
      <c r="AO53" s="37"/>
      <c r="AP53" s="38">
        <v>35.884700000000002</v>
      </c>
      <c r="AQ53" s="38">
        <v>41.436500000000002</v>
      </c>
      <c r="AR53" s="38">
        <v>41.936900000000001</v>
      </c>
      <c r="AS53" s="39"/>
      <c r="AT53" s="38">
        <v>28.130800000000001</v>
      </c>
      <c r="AU53" s="38">
        <v>28.130800000000001</v>
      </c>
      <c r="AV53" s="38">
        <v>28.130800000000001</v>
      </c>
      <c r="AW53" s="39"/>
      <c r="AX53" s="49">
        <v>8.89</v>
      </c>
      <c r="AY53" s="49">
        <v>7.0149999999999997</v>
      </c>
      <c r="BA53" s="53">
        <f t="shared" si="10"/>
        <v>-4.0771835999610095E-3</v>
      </c>
      <c r="BB53" s="53"/>
      <c r="BD53" s="54"/>
      <c r="BE53" s="54"/>
      <c r="BF53" s="54"/>
      <c r="BG53" s="61"/>
      <c r="BI53" s="54"/>
      <c r="BJ53" s="54"/>
      <c r="BK53" s="54"/>
      <c r="BL53" s="61"/>
      <c r="BN53" s="54"/>
      <c r="BO53" s="54"/>
      <c r="BP53" s="54"/>
      <c r="BQ53" s="61"/>
      <c r="BS53" s="54"/>
      <c r="BT53" s="54"/>
      <c r="BU53" s="54"/>
      <c r="BV53" s="61"/>
      <c r="BX53">
        <f t="shared" si="12"/>
        <v>0</v>
      </c>
      <c r="BY53">
        <f t="shared" si="13"/>
        <v>164184</v>
      </c>
      <c r="BZ53">
        <f t="shared" si="14"/>
        <v>0</v>
      </c>
      <c r="CA53">
        <f t="shared" si="15"/>
        <v>164184</v>
      </c>
      <c r="CB53">
        <f t="shared" si="16"/>
        <v>0</v>
      </c>
      <c r="CC53">
        <f t="shared" si="17"/>
        <v>2.1100000000004115E-2</v>
      </c>
      <c r="CD53">
        <f t="shared" si="18"/>
        <v>2.5300000000001432E-2</v>
      </c>
      <c r="CE53">
        <f t="shared" si="19"/>
        <v>0.21950000000000358</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5.8308778869583779</v>
      </c>
      <c r="K54" s="33">
        <f t="shared" si="2"/>
        <v>5.2585796943332763</v>
      </c>
      <c r="L54" s="33">
        <f t="shared" si="3"/>
        <v>0.57210845280582912</v>
      </c>
      <c r="M54" s="34"/>
      <c r="N54" s="33">
        <f t="shared" si="4"/>
        <v>5.8308778869583779</v>
      </c>
      <c r="O54" s="35">
        <v>4848745</v>
      </c>
      <c r="P54" s="36">
        <v>28272440</v>
      </c>
      <c r="Q54" s="36">
        <v>25497512</v>
      </c>
      <c r="R54" s="36">
        <v>2774008</v>
      </c>
      <c r="S54" s="46"/>
      <c r="T54" s="47">
        <v>29.858699999999999</v>
      </c>
      <c r="U54" s="47">
        <v>36.465699999999998</v>
      </c>
      <c r="V54" s="47">
        <v>36.331200000000003</v>
      </c>
      <c r="W54" s="48"/>
      <c r="X54" s="47">
        <v>21.686399999999999</v>
      </c>
      <c r="Y54" s="47">
        <v>21.686399999999999</v>
      </c>
      <c r="Z54" s="47">
        <v>21.686399999999999</v>
      </c>
      <c r="AA54" s="48"/>
      <c r="AB54" s="52">
        <v>8.7029999999999994</v>
      </c>
      <c r="AC54" s="52">
        <v>7</v>
      </c>
      <c r="AE54" s="32" t="str">
        <f t="shared" si="5"/>
        <v>·</v>
      </c>
      <c r="AF54" s="33">
        <f t="shared" si="6"/>
        <v>5.849317297568752</v>
      </c>
      <c r="AG54" s="33">
        <f t="shared" si="7"/>
        <v>5.2585796943332763</v>
      </c>
      <c r="AH54" s="33">
        <f t="shared" si="8"/>
        <v>0.59054786341620358</v>
      </c>
      <c r="AI54" s="34"/>
      <c r="AJ54" s="33">
        <f t="shared" si="9"/>
        <v>5.849317297568752</v>
      </c>
      <c r="AK54" s="35">
        <v>4848745</v>
      </c>
      <c r="AL54" s="36">
        <v>28361848</v>
      </c>
      <c r="AM54" s="36">
        <v>25497512</v>
      </c>
      <c r="AN54" s="36">
        <v>2863416</v>
      </c>
      <c r="AO54" s="46"/>
      <c r="AP54" s="47">
        <v>29.785499999999999</v>
      </c>
      <c r="AQ54" s="47">
        <v>37.2104</v>
      </c>
      <c r="AR54" s="47">
        <v>37.057400000000001</v>
      </c>
      <c r="AS54" s="48"/>
      <c r="AT54" s="47">
        <v>21.686399999999999</v>
      </c>
      <c r="AU54" s="47">
        <v>21.686399999999999</v>
      </c>
      <c r="AV54" s="47">
        <v>21.686399999999999</v>
      </c>
      <c r="AW54" s="48"/>
      <c r="AX54" s="52">
        <v>8.89</v>
      </c>
      <c r="AY54" s="52">
        <v>6.9530000000000003</v>
      </c>
      <c r="BA54" s="59">
        <f t="shared" si="10"/>
        <v>-2.8429967858301097E-3</v>
      </c>
      <c r="BB54" s="59"/>
      <c r="BD54" s="60"/>
      <c r="BE54" s="60"/>
      <c r="BF54" s="60"/>
      <c r="BG54" s="64"/>
      <c r="BI54" s="60"/>
      <c r="BJ54" s="60"/>
      <c r="BK54" s="60"/>
      <c r="BL54" s="64"/>
      <c r="BN54" s="60"/>
      <c r="BO54" s="60"/>
      <c r="BP54" s="60"/>
      <c r="BQ54" s="64"/>
      <c r="BS54" s="60"/>
      <c r="BT54" s="60"/>
      <c r="BU54" s="60"/>
      <c r="BV54" s="64"/>
      <c r="BX54">
        <f t="shared" si="12"/>
        <v>0</v>
      </c>
      <c r="BY54">
        <f t="shared" si="13"/>
        <v>89408</v>
      </c>
      <c r="BZ54">
        <f t="shared" si="14"/>
        <v>0</v>
      </c>
      <c r="CA54">
        <f t="shared" si="15"/>
        <v>89408</v>
      </c>
      <c r="CB54">
        <f t="shared" si="16"/>
        <v>0</v>
      </c>
      <c r="CC54">
        <f t="shared" si="17"/>
        <v>-7.3199999999999932E-2</v>
      </c>
      <c r="CD54">
        <f t="shared" si="18"/>
        <v>0.74470000000000169</v>
      </c>
      <c r="CE54">
        <f t="shared" si="19"/>
        <v>0.72619999999999862</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10.354103617363915</v>
      </c>
      <c r="K55" s="18">
        <f t="shared" si="2"/>
        <v>3.8253841418393719</v>
      </c>
      <c r="L55" s="18">
        <f t="shared" si="3"/>
        <v>6.5284740071612166</v>
      </c>
      <c r="M55" s="19"/>
      <c r="N55" s="18">
        <f t="shared" si="4"/>
        <v>10.354103617363915</v>
      </c>
      <c r="O55" s="20">
        <v>3096122</v>
      </c>
      <c r="P55" s="21">
        <v>32057568</v>
      </c>
      <c r="Q55" s="21">
        <v>11843856</v>
      </c>
      <c r="R55" s="21">
        <v>20212952</v>
      </c>
      <c r="S55" s="37"/>
      <c r="T55" s="38">
        <v>53.130499999999998</v>
      </c>
      <c r="U55" s="38">
        <v>55.2029</v>
      </c>
      <c r="V55" s="38">
        <v>55.410499999999999</v>
      </c>
      <c r="W55" s="39"/>
      <c r="X55" s="38">
        <v>48.130800000000001</v>
      </c>
      <c r="Y55" s="38">
        <v>48.130800000000001</v>
      </c>
      <c r="Z55" s="38">
        <v>48.130800000000001</v>
      </c>
      <c r="AA55" s="39"/>
      <c r="AB55" s="49">
        <v>5.0460000000000003</v>
      </c>
      <c r="AC55" s="49">
        <v>4.1559999999999997</v>
      </c>
      <c r="AE55" s="17" t="str">
        <f t="shared" si="5"/>
        <v>·</v>
      </c>
      <c r="AF55" s="18">
        <f t="shared" si="6"/>
        <v>10.384732901352079</v>
      </c>
      <c r="AG55" s="18">
        <f t="shared" si="7"/>
        <v>3.8253841418393719</v>
      </c>
      <c r="AH55" s="18">
        <f t="shared" si="8"/>
        <v>6.5591032911493796</v>
      </c>
      <c r="AI55" s="19"/>
      <c r="AJ55" s="18">
        <f t="shared" si="9"/>
        <v>10.384732901352079</v>
      </c>
      <c r="AK55" s="20">
        <v>3096122</v>
      </c>
      <c r="AL55" s="21">
        <v>32152400</v>
      </c>
      <c r="AM55" s="21">
        <v>11843856</v>
      </c>
      <c r="AN55" s="21">
        <v>20307784</v>
      </c>
      <c r="AO55" s="37"/>
      <c r="AP55" s="38">
        <v>53.1462</v>
      </c>
      <c r="AQ55" s="38">
        <v>55.226599999999998</v>
      </c>
      <c r="AR55" s="38">
        <v>55.433399999999999</v>
      </c>
      <c r="AS55" s="39"/>
      <c r="AT55" s="38">
        <v>48.130800000000001</v>
      </c>
      <c r="AU55" s="38">
        <v>48.130800000000001</v>
      </c>
      <c r="AV55" s="38">
        <v>48.130800000000001</v>
      </c>
      <c r="AW55" s="39"/>
      <c r="AX55" s="49">
        <v>5.1710000000000003</v>
      </c>
      <c r="AY55" s="49">
        <v>4.1870000000000003</v>
      </c>
      <c r="BA55" s="53">
        <f t="shared" si="10"/>
        <v>-1.0896927465918194E-3</v>
      </c>
      <c r="BB55" s="53">
        <f t="array" ref="BB55">AVERAGE(AM55:AM59/AL55:AL59)-AVERAGE(Q55:Q59/P55:P59)</f>
        <v>-2.1461112913527813E-3</v>
      </c>
      <c r="BD55" s="54">
        <f>IF(OR(ISBLANK(R55:R59),ISBLANK(AN55:AN59),ISBLANK(T55:T59),ISBLANK(AP55:AP59)),"·",bdRateExtend(R55:R59,T55:T59,AN55:AN59,AP55:AP59))</f>
        <v>8.7519366926818165E-3</v>
      </c>
      <c r="BE55" s="54">
        <f>IF(OR(ISBLANK(R55:R59),ISBLANK(AN55:AN59),ISBLANK(U55:U59),ISBLANK(AQ55:AQ59)),"·",bdRateExtend(R55:R59,U55:U59,AN55:AN59,AQ55:AQ59))</f>
        <v>5.7101614544807777E-3</v>
      </c>
      <c r="BF55" s="54">
        <f>IF(OR(ISBLANK(R55:R59),ISBLANK(AN55:AN59),ISBLANK(V55:V59),ISBLANK(AR55:AR59)),"·",bdRateExtend(R55:R59,V55:V59,AN55:AN59,AR55:AR59))</f>
        <v>5.3728632186178515E-3</v>
      </c>
      <c r="BG55" s="61"/>
      <c r="BI55" s="54">
        <f>IF(OR(ISBLANK(R55:R59),ISBLANK(AN55:AN59),ISBLANK(X55:X59),ISBLANK(AT55:AT59)),"·",bdRateExtend(R55:R59,X55:X59,AN55:AN59,AT55:AT59))</f>
        <v>1.1656629789688067E-2</v>
      </c>
      <c r="BJ55" s="54">
        <f>IF(OR(ISBLANK(R55:R59),ISBLANK(AN55:AN59),ISBLANK(Y55:Y59),ISBLANK(AU55:AU59)),"·",bdRateExtend(R55:R59,Y55:Y59,AN55:AN59,AU55:AU59))</f>
        <v>1.1656629789688067E-2</v>
      </c>
      <c r="BK55" s="54">
        <f>IF(OR(ISBLANK(R55:R59),ISBLANK(AN55:AN59),ISBLANK(Z55:Z59),ISBLANK(AV55:AV59)),"·",bdRateExtend(R55:R59,Z55:Z59,AN55:AN59,AV55:AV59))</f>
        <v>1.1656629789688067E-2</v>
      </c>
      <c r="BL55" s="61"/>
      <c r="BN55" s="54">
        <f>IF(OR(ISBLANK(P55:P59),ISBLANK(AL55:AL59),ISBLANK(T55:T59),ISBLANK(AP55:AP59)),"·",bdRateExtend(P55:P59,T55:T59,AL55:AL59,AP55:AP59))</f>
        <v>3.0564667361556719E-3</v>
      </c>
      <c r="BO55" s="54">
        <f>IF(OR(ISBLANK(P55:P59),ISBLANK(AL55:AL59),ISBLANK(U55:U59),ISBLANK(AQ55:AQ59)),"·",bdRateExtend(P55:P59,U55:U59,AL55:AL59,AQ55:AQ59))</f>
        <v>2.5072117674123096E-3</v>
      </c>
      <c r="BP55" s="54">
        <f>IF(OR(ISBLANK(P55:P59),ISBLANK(AL55:AL59),ISBLANK(V55:V59),ISBLANK(AR55:AR59)),"·",bdRateExtend(P55:P59,V55:V59,AL55:AL59,AR55:AR59))</f>
        <v>2.1331767630772269E-3</v>
      </c>
      <c r="BQ55" s="61"/>
      <c r="BS55" s="54">
        <f>IF(OR(ISBLANK(P55:P59),ISBLANK(AL55:AL59),ISBLANK(X55:X59),ISBLANK(AT55:AT59)),"·",bdRateExtend(P55:P59,X55:X59,AL55:AL59,AT55:AT59))</f>
        <v>3.8335887822606995E-3</v>
      </c>
      <c r="BT55" s="54">
        <f>IF(OR(ISBLANK(P55:P59),ISBLANK(AL55:AL59),ISBLANK(Y55:Y59),ISBLANK(AU55:AU59)),"·",bdRateExtend(P55:P59,Y55:Y59,AL55:AL59,AU55:AU59))</f>
        <v>3.8335887822606995E-3</v>
      </c>
      <c r="BU55" s="54">
        <f>IF(OR(ISBLANK(P55:P59),ISBLANK(AL55:AL59),ISBLANK(Z55:Z59),ISBLANK(AV55:AV59)),"·",bdRateExtend(P55:P59,Z55:Z59,AL55:AL59,AV55:AV59))</f>
        <v>3.8335887822606995E-3</v>
      </c>
      <c r="BV55" s="61"/>
      <c r="BX55">
        <f t="shared" si="12"/>
        <v>0</v>
      </c>
      <c r="BY55">
        <f t="shared" si="13"/>
        <v>94832</v>
      </c>
      <c r="BZ55">
        <f t="shared" si="14"/>
        <v>0</v>
      </c>
      <c r="CA55">
        <f t="shared" si="15"/>
        <v>94832</v>
      </c>
      <c r="CB55">
        <f t="shared" si="16"/>
        <v>0</v>
      </c>
      <c r="CC55">
        <f t="shared" si="17"/>
        <v>1.570000000000249E-2</v>
      </c>
      <c r="CD55">
        <f t="shared" si="18"/>
        <v>2.3699999999998056E-2</v>
      </c>
      <c r="CE55">
        <f t="shared" si="19"/>
        <v>2.289999999999992E-2</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8.3229898563428701</v>
      </c>
      <c r="K56" s="23">
        <f t="shared" si="2"/>
        <v>3.8253841418393719</v>
      </c>
      <c r="L56" s="23">
        <f t="shared" si="3"/>
        <v>4.4973602461401718</v>
      </c>
      <c r="M56" s="24"/>
      <c r="N56" s="23">
        <f t="shared" si="4"/>
        <v>8.3229898563428701</v>
      </c>
      <c r="O56" s="25">
        <v>3096122</v>
      </c>
      <c r="P56" s="26">
        <v>25768992</v>
      </c>
      <c r="Q56" s="26">
        <v>11843856</v>
      </c>
      <c r="R56" s="26">
        <v>13924376</v>
      </c>
      <c r="S56" s="40"/>
      <c r="T56" s="41">
        <v>48.322200000000002</v>
      </c>
      <c r="U56" s="41">
        <v>51.174999999999997</v>
      </c>
      <c r="V56" s="41">
        <v>50.887700000000002</v>
      </c>
      <c r="W56" s="42"/>
      <c r="X56" s="41">
        <v>42.110199999999999</v>
      </c>
      <c r="Y56" s="41">
        <v>42.110199999999999</v>
      </c>
      <c r="Z56" s="41">
        <v>42.110199999999999</v>
      </c>
      <c r="AA56" s="42"/>
      <c r="AB56" s="50">
        <v>5</v>
      </c>
      <c r="AC56" s="50">
        <v>4.109</v>
      </c>
      <c r="AE56" s="22" t="str">
        <f t="shared" si="5"/>
        <v>·</v>
      </c>
      <c r="AF56" s="23">
        <f t="shared" si="6"/>
        <v>8.3534718593130375</v>
      </c>
      <c r="AG56" s="23">
        <f t="shared" si="7"/>
        <v>3.8253841418393719</v>
      </c>
      <c r="AH56" s="23">
        <f t="shared" si="8"/>
        <v>4.5278422491103383</v>
      </c>
      <c r="AI56" s="24"/>
      <c r="AJ56" s="23">
        <f t="shared" si="9"/>
        <v>8.3534718593130375</v>
      </c>
      <c r="AK56" s="25">
        <v>3096122</v>
      </c>
      <c r="AL56" s="26">
        <v>25863368</v>
      </c>
      <c r="AM56" s="26">
        <v>11843856</v>
      </c>
      <c r="AN56" s="26">
        <v>14018752</v>
      </c>
      <c r="AO56" s="40"/>
      <c r="AP56" s="41">
        <v>48.334800000000001</v>
      </c>
      <c r="AQ56" s="41">
        <v>51.189500000000002</v>
      </c>
      <c r="AR56" s="41">
        <v>50.9041</v>
      </c>
      <c r="AS56" s="42"/>
      <c r="AT56" s="41">
        <v>42.110199999999999</v>
      </c>
      <c r="AU56" s="41">
        <v>42.110199999999999</v>
      </c>
      <c r="AV56" s="41">
        <v>42.110199999999999</v>
      </c>
      <c r="AW56" s="42"/>
      <c r="AX56" s="50">
        <v>5.14</v>
      </c>
      <c r="AY56" s="50">
        <v>4.1399999999999997</v>
      </c>
      <c r="BA56" s="55">
        <f t="shared" si="10"/>
        <v>-1.6771510366571096E-3</v>
      </c>
      <c r="BB56" s="55"/>
      <c r="BD56" s="56"/>
      <c r="BE56" s="56"/>
      <c r="BF56" s="56"/>
      <c r="BG56" s="62"/>
      <c r="BI56" s="56"/>
      <c r="BJ56" s="56"/>
      <c r="BK56" s="56"/>
      <c r="BL56" s="62"/>
      <c r="BN56" s="56"/>
      <c r="BO56" s="56"/>
      <c r="BP56" s="56"/>
      <c r="BQ56" s="62"/>
      <c r="BS56" s="56"/>
      <c r="BT56" s="56"/>
      <c r="BU56" s="56"/>
      <c r="BV56" s="62"/>
      <c r="BX56">
        <f t="shared" si="12"/>
        <v>0</v>
      </c>
      <c r="BY56">
        <f t="shared" si="13"/>
        <v>94376</v>
      </c>
      <c r="BZ56">
        <f t="shared" si="14"/>
        <v>0</v>
      </c>
      <c r="CA56">
        <f t="shared" si="15"/>
        <v>94376</v>
      </c>
      <c r="CB56">
        <f t="shared" si="16"/>
        <v>0</v>
      </c>
      <c r="CC56">
        <f t="shared" si="17"/>
        <v>1.2599999999999056E-2</v>
      </c>
      <c r="CD56">
        <f t="shared" si="18"/>
        <v>1.4500000000005286E-2</v>
      </c>
      <c r="CE56">
        <f t="shared" si="19"/>
        <v>1.6399999999997306E-2</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6.3210144819874667</v>
      </c>
      <c r="K57" s="18">
        <f t="shared" si="2"/>
        <v>3.8253841418393719</v>
      </c>
      <c r="L57" s="18">
        <f t="shared" si="3"/>
        <v>2.495384871784768</v>
      </c>
      <c r="M57" s="19"/>
      <c r="N57" s="18">
        <f t="shared" si="4"/>
        <v>6.3210144819874667</v>
      </c>
      <c r="O57" s="20">
        <v>3096122</v>
      </c>
      <c r="P57" s="21">
        <v>19570632</v>
      </c>
      <c r="Q57" s="21">
        <v>11843856</v>
      </c>
      <c r="R57" s="21">
        <v>7726016</v>
      </c>
      <c r="S57" s="37"/>
      <c r="T57" s="38">
        <v>41.314900000000002</v>
      </c>
      <c r="U57" s="38">
        <v>45.347200000000001</v>
      </c>
      <c r="V57" s="38">
        <v>45.048299999999998</v>
      </c>
      <c r="W57" s="39"/>
      <c r="X57" s="38">
        <v>34.151400000000002</v>
      </c>
      <c r="Y57" s="38">
        <v>34.151400000000002</v>
      </c>
      <c r="Z57" s="38">
        <v>34.151400000000002</v>
      </c>
      <c r="AA57" s="39"/>
      <c r="AB57" s="49">
        <v>4.968</v>
      </c>
      <c r="AC57" s="49">
        <v>4.0780000000000003</v>
      </c>
      <c r="AE57" s="17" t="str">
        <f t="shared" si="5"/>
        <v>·</v>
      </c>
      <c r="AF57" s="18">
        <f t="shared" si="6"/>
        <v>6.348473348272452</v>
      </c>
      <c r="AG57" s="18">
        <f t="shared" si="7"/>
        <v>3.8253841418393719</v>
      </c>
      <c r="AH57" s="18">
        <f t="shared" si="8"/>
        <v>2.5228437380697533</v>
      </c>
      <c r="AI57" s="19"/>
      <c r="AJ57" s="18">
        <f t="shared" si="9"/>
        <v>6.348473348272452</v>
      </c>
      <c r="AK57" s="20">
        <v>3096122</v>
      </c>
      <c r="AL57" s="21">
        <v>19655648</v>
      </c>
      <c r="AM57" s="21">
        <v>11843856</v>
      </c>
      <c r="AN57" s="21">
        <v>7811032</v>
      </c>
      <c r="AO57" s="37"/>
      <c r="AP57" s="38">
        <v>41.338299999999997</v>
      </c>
      <c r="AQ57" s="38">
        <v>45.360399999999998</v>
      </c>
      <c r="AR57" s="38">
        <v>45.081899999999997</v>
      </c>
      <c r="AS57" s="39"/>
      <c r="AT57" s="38">
        <v>34.151400000000002</v>
      </c>
      <c r="AU57" s="38">
        <v>34.151400000000002</v>
      </c>
      <c r="AV57" s="38">
        <v>34.151400000000002</v>
      </c>
      <c r="AW57" s="39"/>
      <c r="AX57" s="49">
        <v>5.0309999999999997</v>
      </c>
      <c r="AY57" s="49">
        <v>4.0780000000000003</v>
      </c>
      <c r="BA57" s="53">
        <f t="shared" si="10"/>
        <v>-2.6175896775136875E-3</v>
      </c>
      <c r="BB57" s="53"/>
      <c r="BD57" s="54"/>
      <c r="BE57" s="54"/>
      <c r="BF57" s="54"/>
      <c r="BG57" s="61"/>
      <c r="BI57" s="54"/>
      <c r="BJ57" s="54"/>
      <c r="BK57" s="54"/>
      <c r="BL57" s="61"/>
      <c r="BN57" s="54"/>
      <c r="BO57" s="54"/>
      <c r="BP57" s="54"/>
      <c r="BQ57" s="61"/>
      <c r="BS57" s="54"/>
      <c r="BT57" s="54"/>
      <c r="BU57" s="54"/>
      <c r="BV57" s="61"/>
      <c r="BX57">
        <f t="shared" si="12"/>
        <v>0</v>
      </c>
      <c r="BY57">
        <f t="shared" si="13"/>
        <v>85016</v>
      </c>
      <c r="BZ57">
        <f t="shared" si="14"/>
        <v>0</v>
      </c>
      <c r="CA57">
        <f t="shared" si="15"/>
        <v>85016</v>
      </c>
      <c r="CB57">
        <f t="shared" si="16"/>
        <v>0</v>
      </c>
      <c r="CC57">
        <f t="shared" si="17"/>
        <v>2.3399999999995202E-2</v>
      </c>
      <c r="CD57">
        <f t="shared" si="18"/>
        <v>1.3199999999997658E-2</v>
      </c>
      <c r="CE57">
        <f t="shared" si="19"/>
        <v>3.3599999999999852E-2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5.1284542404982751</v>
      </c>
      <c r="K58" s="23">
        <f t="shared" si="2"/>
        <v>3.8253841418393719</v>
      </c>
      <c r="L58" s="23">
        <f t="shared" si="3"/>
        <v>1.3028246302955762</v>
      </c>
      <c r="M58" s="24"/>
      <c r="N58" s="23">
        <f t="shared" si="4"/>
        <v>5.1284542404982751</v>
      </c>
      <c r="O58" s="25">
        <v>3096122</v>
      </c>
      <c r="P58" s="26">
        <v>15878320</v>
      </c>
      <c r="Q58" s="26">
        <v>11843856</v>
      </c>
      <c r="R58" s="26">
        <v>4033704</v>
      </c>
      <c r="S58" s="40"/>
      <c r="T58" s="41">
        <v>35.838500000000003</v>
      </c>
      <c r="U58" s="41">
        <v>40.734999999999999</v>
      </c>
      <c r="V58" s="41">
        <v>40.052500000000002</v>
      </c>
      <c r="W58" s="42"/>
      <c r="X58" s="41">
        <v>28.130800000000001</v>
      </c>
      <c r="Y58" s="41">
        <v>28.130800000000001</v>
      </c>
      <c r="Z58" s="41">
        <v>28.130800000000001</v>
      </c>
      <c r="AA58" s="42"/>
      <c r="AB58" s="50">
        <v>5</v>
      </c>
      <c r="AC58" s="50">
        <v>3.984</v>
      </c>
      <c r="AE58" s="22" t="str">
        <f t="shared" si="5"/>
        <v>·</v>
      </c>
      <c r="AF58" s="23">
        <f t="shared" si="6"/>
        <v>5.1503655217720752</v>
      </c>
      <c r="AG58" s="23">
        <f t="shared" si="7"/>
        <v>3.8253841418393719</v>
      </c>
      <c r="AH58" s="23">
        <f t="shared" si="8"/>
        <v>1.3247359115693762</v>
      </c>
      <c r="AI58" s="24"/>
      <c r="AJ58" s="23">
        <f t="shared" si="9"/>
        <v>5.1503655217720752</v>
      </c>
      <c r="AK58" s="25">
        <v>3096122</v>
      </c>
      <c r="AL58" s="26">
        <v>15946160</v>
      </c>
      <c r="AM58" s="26">
        <v>11843856</v>
      </c>
      <c r="AN58" s="26">
        <v>4101544</v>
      </c>
      <c r="AO58" s="40"/>
      <c r="AP58" s="41">
        <v>35.852600000000002</v>
      </c>
      <c r="AQ58" s="41">
        <v>40.767099999999999</v>
      </c>
      <c r="AR58" s="41">
        <v>40.122</v>
      </c>
      <c r="AS58" s="42"/>
      <c r="AT58" s="41">
        <v>28.130800000000001</v>
      </c>
      <c r="AU58" s="41">
        <v>28.130800000000001</v>
      </c>
      <c r="AV58" s="41">
        <v>28.130800000000001</v>
      </c>
      <c r="AW58" s="42"/>
      <c r="AX58" s="50">
        <v>4.9210000000000003</v>
      </c>
      <c r="AY58" s="50">
        <v>4.0460000000000003</v>
      </c>
      <c r="BA58" s="55">
        <f t="shared" si="10"/>
        <v>-3.1733523060943902E-3</v>
      </c>
      <c r="BB58" s="55"/>
      <c r="BD58" s="56"/>
      <c r="BE58" s="56"/>
      <c r="BF58" s="56"/>
      <c r="BG58" s="62"/>
      <c r="BI58" s="56"/>
      <c r="BJ58" s="56"/>
      <c r="BK58" s="56"/>
      <c r="BL58" s="62"/>
      <c r="BN58" s="56"/>
      <c r="BO58" s="56"/>
      <c r="BP58" s="56"/>
      <c r="BQ58" s="62"/>
      <c r="BS58" s="56"/>
      <c r="BT58" s="56"/>
      <c r="BU58" s="56"/>
      <c r="BV58" s="62"/>
      <c r="BX58">
        <f t="shared" si="12"/>
        <v>0</v>
      </c>
      <c r="BY58">
        <f t="shared" si="13"/>
        <v>67840</v>
      </c>
      <c r="BZ58">
        <f t="shared" si="14"/>
        <v>0</v>
      </c>
      <c r="CA58">
        <f t="shared" si="15"/>
        <v>67840</v>
      </c>
      <c r="CB58">
        <f t="shared" si="16"/>
        <v>0</v>
      </c>
      <c r="CC58">
        <f t="shared" si="17"/>
        <v>1.4099999999999113E-2</v>
      </c>
      <c r="CD58">
        <f t="shared" si="18"/>
        <v>3.2099999999999795E-2</v>
      </c>
      <c r="CE58">
        <f t="shared" si="19"/>
        <v>6.9499999999997897E-2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4.3511231146576268</v>
      </c>
      <c r="K59" s="28">
        <f t="shared" si="2"/>
        <v>3.8253841418393719</v>
      </c>
      <c r="L59" s="28">
        <f t="shared" si="3"/>
        <v>0.52549350445492782</v>
      </c>
      <c r="M59" s="29"/>
      <c r="N59" s="28">
        <f t="shared" si="4"/>
        <v>4.3511231146576268</v>
      </c>
      <c r="O59" s="30">
        <v>3096122</v>
      </c>
      <c r="P59" s="31">
        <v>13471608</v>
      </c>
      <c r="Q59" s="31">
        <v>11843856</v>
      </c>
      <c r="R59" s="31">
        <v>1626992</v>
      </c>
      <c r="S59" s="43"/>
      <c r="T59" s="44">
        <v>29.947600000000001</v>
      </c>
      <c r="U59" s="44">
        <v>35.187600000000003</v>
      </c>
      <c r="V59" s="44">
        <v>34.4694</v>
      </c>
      <c r="W59" s="45"/>
      <c r="X59" s="44">
        <v>21.686399999999999</v>
      </c>
      <c r="Y59" s="44">
        <v>21.686399999999999</v>
      </c>
      <c r="Z59" s="44">
        <v>21.686399999999999</v>
      </c>
      <c r="AA59" s="45"/>
      <c r="AB59" s="51">
        <v>4.9370000000000003</v>
      </c>
      <c r="AC59" s="51">
        <v>4.0149999999999997</v>
      </c>
      <c r="AE59" s="27" t="str">
        <f t="shared" si="5"/>
        <v>·</v>
      </c>
      <c r="AF59" s="28">
        <f t="shared" si="6"/>
        <v>4.3619030516239343</v>
      </c>
      <c r="AG59" s="28">
        <f t="shared" si="7"/>
        <v>3.8253841418393719</v>
      </c>
      <c r="AH59" s="28">
        <f t="shared" si="8"/>
        <v>0.53627344142123601</v>
      </c>
      <c r="AI59" s="29"/>
      <c r="AJ59" s="28">
        <f t="shared" si="9"/>
        <v>4.3619030516239343</v>
      </c>
      <c r="AK59" s="30">
        <v>3096122</v>
      </c>
      <c r="AL59" s="31">
        <v>13504984</v>
      </c>
      <c r="AM59" s="31">
        <v>11843856</v>
      </c>
      <c r="AN59" s="31">
        <v>1660368</v>
      </c>
      <c r="AO59" s="43"/>
      <c r="AP59" s="44">
        <v>30.043399999999998</v>
      </c>
      <c r="AQ59" s="44">
        <v>35.404299999999999</v>
      </c>
      <c r="AR59" s="44">
        <v>34.584699999999998</v>
      </c>
      <c r="AS59" s="45"/>
      <c r="AT59" s="44">
        <v>21.686399999999999</v>
      </c>
      <c r="AU59" s="44">
        <v>21.686399999999999</v>
      </c>
      <c r="AV59" s="44">
        <v>21.686399999999999</v>
      </c>
      <c r="AW59" s="45"/>
      <c r="AX59" s="51">
        <v>4.9530000000000003</v>
      </c>
      <c r="AY59" s="51">
        <v>4.0149999999999997</v>
      </c>
      <c r="BA59" s="57">
        <f t="shared" si="10"/>
        <v>-2.1727706899077326E-3</v>
      </c>
      <c r="BB59" s="57"/>
      <c r="BD59" s="58"/>
      <c r="BE59" s="58"/>
      <c r="BF59" s="58"/>
      <c r="BG59" s="63"/>
      <c r="BI59" s="58"/>
      <c r="BJ59" s="58"/>
      <c r="BK59" s="58"/>
      <c r="BL59" s="63"/>
      <c r="BN59" s="58"/>
      <c r="BO59" s="58"/>
      <c r="BP59" s="58"/>
      <c r="BQ59" s="63"/>
      <c r="BS59" s="58"/>
      <c r="BT59" s="58"/>
      <c r="BU59" s="58"/>
      <c r="BV59" s="63"/>
      <c r="BX59">
        <f t="shared" si="12"/>
        <v>0</v>
      </c>
      <c r="BY59">
        <f t="shared" si="13"/>
        <v>33376</v>
      </c>
      <c r="BZ59">
        <f t="shared" si="14"/>
        <v>0</v>
      </c>
      <c r="CA59">
        <f t="shared" si="15"/>
        <v>33376</v>
      </c>
      <c r="CB59">
        <f t="shared" si="16"/>
        <v>0</v>
      </c>
      <c r="CC59">
        <f t="shared" si="17"/>
        <v>9.5799999999996999E-2</v>
      </c>
      <c r="CD59">
        <f t="shared" si="18"/>
        <v>0.2166999999999959</v>
      </c>
      <c r="CE59">
        <f t="shared" si="19"/>
        <v>0.11529999999999774</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9.4227603424844339</v>
      </c>
      <c r="K60" s="23">
        <f t="shared" si="2"/>
        <v>1.0206278570479483</v>
      </c>
      <c r="L60" s="23">
        <f t="shared" si="3"/>
        <v>8.4015077520554424</v>
      </c>
      <c r="M60" s="24"/>
      <c r="N60" s="23">
        <f t="shared" si="4"/>
        <v>9.4227603424844339</v>
      </c>
      <c r="O60" s="25">
        <v>857966</v>
      </c>
      <c r="P60" s="26">
        <v>8084408</v>
      </c>
      <c r="Q60" s="26">
        <v>875664</v>
      </c>
      <c r="R60" s="26">
        <v>7208208</v>
      </c>
      <c r="S60" s="40"/>
      <c r="T60" s="41">
        <v>53.255899999999997</v>
      </c>
      <c r="U60" s="41">
        <v>54.914299999999997</v>
      </c>
      <c r="V60" s="41">
        <v>55.229599999999998</v>
      </c>
      <c r="W60" s="42"/>
      <c r="X60" s="41">
        <v>48.130800000000001</v>
      </c>
      <c r="Y60" s="41">
        <v>48.130800000000001</v>
      </c>
      <c r="Z60" s="41">
        <v>48.130800000000001</v>
      </c>
      <c r="AA60" s="42"/>
      <c r="AB60" s="50">
        <v>1.0780000000000001</v>
      </c>
      <c r="AC60" s="50">
        <v>0.81200000000000006</v>
      </c>
      <c r="AE60" s="22" t="str">
        <f t="shared" si="5"/>
        <v>·</v>
      </c>
      <c r="AF60" s="23">
        <f t="shared" si="6"/>
        <v>9.5002459304914186</v>
      </c>
      <c r="AG60" s="23">
        <f t="shared" si="7"/>
        <v>1.0206278570479483</v>
      </c>
      <c r="AH60" s="23">
        <f t="shared" si="8"/>
        <v>8.4789933400624271</v>
      </c>
      <c r="AI60" s="24"/>
      <c r="AJ60" s="23">
        <f t="shared" si="9"/>
        <v>9.5002459304914186</v>
      </c>
      <c r="AK60" s="25">
        <v>857966</v>
      </c>
      <c r="AL60" s="26">
        <v>8150888</v>
      </c>
      <c r="AM60" s="26">
        <v>875664</v>
      </c>
      <c r="AN60" s="26">
        <v>7274688</v>
      </c>
      <c r="AO60" s="40"/>
      <c r="AP60" s="41">
        <v>53.2956</v>
      </c>
      <c r="AQ60" s="41">
        <v>54.968400000000003</v>
      </c>
      <c r="AR60" s="41">
        <v>55.293399999999998</v>
      </c>
      <c r="AS60" s="42"/>
      <c r="AT60" s="41">
        <v>48.130800000000001</v>
      </c>
      <c r="AU60" s="41">
        <v>48.130800000000001</v>
      </c>
      <c r="AV60" s="41">
        <v>48.130800000000001</v>
      </c>
      <c r="AW60" s="42"/>
      <c r="AX60" s="50">
        <v>1.093</v>
      </c>
      <c r="AY60" s="50">
        <v>0.81200000000000006</v>
      </c>
      <c r="BA60" s="55">
        <f t="shared" si="10"/>
        <v>-8.8343653852769599E-4</v>
      </c>
      <c r="BB60" s="55">
        <f t="array" ref="BB60">AVERAGE(AM60:AM64/AL60:AL64)-AVERAGE(Q60:Q64/P60:P64)</f>
        <v>-4.2012265496115253E-3</v>
      </c>
      <c r="BD60" s="56">
        <f>IF(OR(ISBLANK(R60:R64),ISBLANK(AN60:AN64),ISBLANK(T60:T64),ISBLANK(AP60:AP64)),"·",bdRateExtend(R60:R64,T60:T64,AN60:AN64,AP60:AP64))</f>
        <v>1.5419889049707258E-2</v>
      </c>
      <c r="BE60" s="56">
        <f>IF(OR(ISBLANK(R60:R64),ISBLANK(AN60:AN64),ISBLANK(U60:U64),ISBLANK(AQ60:AQ64)),"·",bdRateExtend(R60:R64,U60:U64,AN60:AN64,AQ60:AQ64))</f>
        <v>1.3129576242737917E-2</v>
      </c>
      <c r="BF60" s="56">
        <f>IF(OR(ISBLANK(R60:R64),ISBLANK(AN60:AN64),ISBLANK(V60:V64),ISBLANK(AR60:AR64)),"·",bdRateExtend(R60:R64,V60:V64,AN60:AN64,AR60:AR64))</f>
        <v>1.3130028857102127E-2</v>
      </c>
      <c r="BG60" s="62"/>
      <c r="BI60" s="56">
        <f>IF(OR(ISBLANK(R60:R64),ISBLANK(AN60:AN64),ISBLANK(X60:X64),ISBLANK(AT60:AT64)),"·",bdRateExtend(R60:R64,X60:X64,AN60:AN64,AT60:AT64))</f>
        <v>2.0873338654296525E-2</v>
      </c>
      <c r="BJ60" s="56">
        <f>IF(OR(ISBLANK(R60:R64),ISBLANK(AN60:AN64),ISBLANK(Y60:Y64),ISBLANK(AU60:AU64)),"·",bdRateExtend(R60:R64,Y60:Y64,AN60:AN64,AU60:AU64))</f>
        <v>2.0873338654296525E-2</v>
      </c>
      <c r="BK60" s="56">
        <f>IF(OR(ISBLANK(R60:R64),ISBLANK(AN60:AN64),ISBLANK(Z60:Z64),ISBLANK(AV60:AV64)),"·",bdRateExtend(R60:R64,Z60:Z64,AN60:AN64,AV60:AV64))</f>
        <v>2.0873338654296525E-2</v>
      </c>
      <c r="BL60" s="62"/>
      <c r="BN60" s="56">
        <f>IF(OR(ISBLANK(P60:P64),ISBLANK(AL60:AL64),ISBLANK(T60:T64),ISBLANK(AP60:AP64)),"·",bdRateExtend(P60:P64,T60:T64,AL60:AL64,AP60:AP64))</f>
        <v>1.1214034694482011E-2</v>
      </c>
      <c r="BO60" s="56">
        <f>IF(OR(ISBLANK(P60:P64),ISBLANK(AL60:AL64),ISBLANK(U60:U64),ISBLANK(AQ60:AQ64)),"·",bdRateExtend(P60:P64,U60:U64,AL60:AL64,AQ60:AQ64))</f>
        <v>9.4516560313544495E-3</v>
      </c>
      <c r="BP60" s="56">
        <f>IF(OR(ISBLANK(P60:P64),ISBLANK(AL60:AL64),ISBLANK(V60:V64),ISBLANK(AR60:AR64)),"·",bdRateExtend(P60:P64,V60:V64,AL60:AL64,AR60:AR64))</f>
        <v>9.550521297335024E-3</v>
      </c>
      <c r="BQ60" s="62"/>
      <c r="BS60" s="56">
        <f>IF(OR(ISBLANK(P60:P64),ISBLANK(AL60:AL64),ISBLANK(X60:X64),ISBLANK(AT60:AT64)),"·",bdRateExtend(P60:P64,X60:X64,AL60:AL64,AT60:AT64))</f>
        <v>1.4848822342727441E-2</v>
      </c>
      <c r="BT60" s="56">
        <f>IF(OR(ISBLANK(P60:P64),ISBLANK(AL60:AL64),ISBLANK(Y60:Y64),ISBLANK(AU60:AU64)),"·",bdRateExtend(P60:P64,Y60:Y64,AL60:AL64,AU60:AU64))</f>
        <v>1.4848822342727441E-2</v>
      </c>
      <c r="BU60" s="56">
        <f>IF(OR(ISBLANK(P60:P64),ISBLANK(AL60:AL64),ISBLANK(Z60:Z64),ISBLANK(AV60:AV64)),"·",bdRateExtend(P60:P64,Z60:Z64,AL60:AL64,AV60:AV64))</f>
        <v>1.4848822342727441E-2</v>
      </c>
      <c r="BV60" s="62"/>
      <c r="BX60">
        <f t="shared" si="12"/>
        <v>0</v>
      </c>
      <c r="BY60">
        <f t="shared" si="13"/>
        <v>66480</v>
      </c>
      <c r="BZ60">
        <f t="shared" si="14"/>
        <v>0</v>
      </c>
      <c r="CA60">
        <f t="shared" si="15"/>
        <v>66480</v>
      </c>
      <c r="CB60">
        <f t="shared" si="16"/>
        <v>0</v>
      </c>
      <c r="CC60">
        <f t="shared" si="17"/>
        <v>3.9700000000003399E-2</v>
      </c>
      <c r="CD60">
        <f t="shared" si="18"/>
        <v>5.4100000000005366E-2</v>
      </c>
      <c r="CE60">
        <f t="shared" si="19"/>
        <v>6.3800000000000523E-2</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7.0636925006352236</v>
      </c>
      <c r="K61" s="18">
        <f t="shared" si="2"/>
        <v>1.0206278570479483</v>
      </c>
      <c r="L61" s="18">
        <f t="shared" si="3"/>
        <v>6.0424399102062321</v>
      </c>
      <c r="M61" s="19"/>
      <c r="N61" s="18">
        <f t="shared" si="4"/>
        <v>7.0636925006352236</v>
      </c>
      <c r="O61" s="20">
        <v>857966</v>
      </c>
      <c r="P61" s="21">
        <v>6060408</v>
      </c>
      <c r="Q61" s="21">
        <v>875664</v>
      </c>
      <c r="R61" s="21">
        <v>5184208</v>
      </c>
      <c r="S61" s="37"/>
      <c r="T61" s="38">
        <v>48.406500000000001</v>
      </c>
      <c r="U61" s="38">
        <v>50.783900000000003</v>
      </c>
      <c r="V61" s="38">
        <v>50.577599999999997</v>
      </c>
      <c r="W61" s="39"/>
      <c r="X61" s="38">
        <v>42.110199999999999</v>
      </c>
      <c r="Y61" s="38">
        <v>42.110199999999999</v>
      </c>
      <c r="Z61" s="38">
        <v>42.110199999999999</v>
      </c>
      <c r="AA61" s="39"/>
      <c r="AB61" s="49">
        <v>1.0309999999999999</v>
      </c>
      <c r="AC61" s="49">
        <v>0.79600000000000004</v>
      </c>
      <c r="AE61" s="17" t="str">
        <f t="shared" si="5"/>
        <v>·</v>
      </c>
      <c r="AF61" s="18">
        <f t="shared" si="6"/>
        <v>7.1384740187839615</v>
      </c>
      <c r="AG61" s="18">
        <f t="shared" si="7"/>
        <v>1.0206278570479483</v>
      </c>
      <c r="AH61" s="18">
        <f t="shared" si="8"/>
        <v>6.11722142835497</v>
      </c>
      <c r="AI61" s="19"/>
      <c r="AJ61" s="18">
        <f t="shared" si="9"/>
        <v>7.1384740187839615</v>
      </c>
      <c r="AK61" s="20">
        <v>857966</v>
      </c>
      <c r="AL61" s="21">
        <v>6124568</v>
      </c>
      <c r="AM61" s="21">
        <v>875664</v>
      </c>
      <c r="AN61" s="21">
        <v>5248368</v>
      </c>
      <c r="AO61" s="37"/>
      <c r="AP61" s="38">
        <v>48.438600000000001</v>
      </c>
      <c r="AQ61" s="38">
        <v>50.831200000000003</v>
      </c>
      <c r="AR61" s="38">
        <v>50.616399999999999</v>
      </c>
      <c r="AS61" s="39"/>
      <c r="AT61" s="38">
        <v>42.110199999999999</v>
      </c>
      <c r="AU61" s="38">
        <v>42.110199999999999</v>
      </c>
      <c r="AV61" s="38">
        <v>42.110199999999999</v>
      </c>
      <c r="AW61" s="39"/>
      <c r="AX61" s="49">
        <v>1.0620000000000001</v>
      </c>
      <c r="AY61" s="49">
        <v>0.81200000000000006</v>
      </c>
      <c r="BA61" s="53">
        <f t="shared" si="10"/>
        <v>-1.5136467302393486E-3</v>
      </c>
      <c r="BB61" s="53"/>
      <c r="BD61" s="54"/>
      <c r="BE61" s="54"/>
      <c r="BF61" s="54"/>
      <c r="BG61" s="61"/>
      <c r="BI61" s="54"/>
      <c r="BJ61" s="54"/>
      <c r="BK61" s="54"/>
      <c r="BL61" s="61"/>
      <c r="BN61" s="54"/>
      <c r="BO61" s="54"/>
      <c r="BP61" s="54"/>
      <c r="BQ61" s="61"/>
      <c r="BS61" s="54"/>
      <c r="BT61" s="54"/>
      <c r="BU61" s="54"/>
      <c r="BV61" s="61"/>
      <c r="BX61">
        <f t="shared" si="12"/>
        <v>0</v>
      </c>
      <c r="BY61">
        <f t="shared" si="13"/>
        <v>64160</v>
      </c>
      <c r="BZ61">
        <f t="shared" si="14"/>
        <v>0</v>
      </c>
      <c r="CA61">
        <f t="shared" si="15"/>
        <v>64160</v>
      </c>
      <c r="CB61">
        <f t="shared" si="16"/>
        <v>0</v>
      </c>
      <c r="CC61">
        <f t="shared" si="17"/>
        <v>3.2099999999999795E-2</v>
      </c>
      <c r="CD61">
        <f t="shared" si="18"/>
        <v>4.7299999999999898E-2</v>
      </c>
      <c r="CE61">
        <f t="shared" si="19"/>
        <v>3.8800000000001944E-2</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4.6869363121615546</v>
      </c>
      <c r="K62" s="23">
        <f t="shared" si="2"/>
        <v>1.0206278570479483</v>
      </c>
      <c r="L62" s="23">
        <f t="shared" si="3"/>
        <v>3.6656837217325626</v>
      </c>
      <c r="M62" s="24"/>
      <c r="N62" s="23">
        <f t="shared" si="4"/>
        <v>4.6869363121615546</v>
      </c>
      <c r="O62" s="25">
        <v>857966</v>
      </c>
      <c r="P62" s="26">
        <v>4021232</v>
      </c>
      <c r="Q62" s="26">
        <v>875664</v>
      </c>
      <c r="R62" s="26">
        <v>3145032</v>
      </c>
      <c r="S62" s="40"/>
      <c r="T62" s="41">
        <v>41.305599999999998</v>
      </c>
      <c r="U62" s="41">
        <v>44.764600000000002</v>
      </c>
      <c r="V62" s="41">
        <v>44.583199999999998</v>
      </c>
      <c r="W62" s="42"/>
      <c r="X62" s="41">
        <v>34.151400000000002</v>
      </c>
      <c r="Y62" s="41">
        <v>34.151400000000002</v>
      </c>
      <c r="Z62" s="41">
        <v>34.151400000000002</v>
      </c>
      <c r="AA62" s="42"/>
      <c r="AB62" s="50">
        <v>1.0309999999999999</v>
      </c>
      <c r="AC62" s="50">
        <v>0.76500000000000001</v>
      </c>
      <c r="AE62" s="22" t="str">
        <f t="shared" si="5"/>
        <v>·</v>
      </c>
      <c r="AF62" s="23">
        <f t="shared" si="6"/>
        <v>4.7640489250156763</v>
      </c>
      <c r="AG62" s="23">
        <f t="shared" si="7"/>
        <v>1.0206278570479483</v>
      </c>
      <c r="AH62" s="23">
        <f t="shared" si="8"/>
        <v>3.7427963345866853</v>
      </c>
      <c r="AI62" s="24"/>
      <c r="AJ62" s="23">
        <f t="shared" si="9"/>
        <v>4.7640489250156763</v>
      </c>
      <c r="AK62" s="25">
        <v>857966</v>
      </c>
      <c r="AL62" s="26">
        <v>4087392</v>
      </c>
      <c r="AM62" s="26">
        <v>875664</v>
      </c>
      <c r="AN62" s="26">
        <v>3211192</v>
      </c>
      <c r="AO62" s="40"/>
      <c r="AP62" s="41">
        <v>41.350700000000003</v>
      </c>
      <c r="AQ62" s="41">
        <v>44.823399999999999</v>
      </c>
      <c r="AR62" s="41">
        <v>44.647199999999998</v>
      </c>
      <c r="AS62" s="42"/>
      <c r="AT62" s="41">
        <v>34.151400000000002</v>
      </c>
      <c r="AU62" s="41">
        <v>34.151400000000002</v>
      </c>
      <c r="AV62" s="41">
        <v>34.151400000000002</v>
      </c>
      <c r="AW62" s="42"/>
      <c r="AX62" s="50">
        <v>1.0620000000000001</v>
      </c>
      <c r="AY62" s="50">
        <v>0.81200000000000006</v>
      </c>
      <c r="BA62" s="55">
        <f t="shared" si="10"/>
        <v>-3.5247439321022256E-3</v>
      </c>
      <c r="BB62" s="55"/>
      <c r="BD62" s="56"/>
      <c r="BE62" s="56"/>
      <c r="BF62" s="56"/>
      <c r="BG62" s="62"/>
      <c r="BI62" s="56"/>
      <c r="BJ62" s="56"/>
      <c r="BK62" s="56"/>
      <c r="BL62" s="62"/>
      <c r="BN62" s="56"/>
      <c r="BO62" s="56"/>
      <c r="BP62" s="56"/>
      <c r="BQ62" s="62"/>
      <c r="BS62" s="56"/>
      <c r="BT62" s="56"/>
      <c r="BU62" s="56"/>
      <c r="BV62" s="62"/>
      <c r="BX62">
        <f t="shared" si="12"/>
        <v>0</v>
      </c>
      <c r="BY62">
        <f t="shared" si="13"/>
        <v>66160</v>
      </c>
      <c r="BZ62">
        <f t="shared" si="14"/>
        <v>0</v>
      </c>
      <c r="CA62">
        <f t="shared" si="15"/>
        <v>66160</v>
      </c>
      <c r="CB62">
        <f t="shared" si="16"/>
        <v>0</v>
      </c>
      <c r="CC62">
        <f t="shared" si="17"/>
        <v>4.5100000000005025E-2</v>
      </c>
      <c r="CD62">
        <f t="shared" si="18"/>
        <v>5.8799999999997965E-2</v>
      </c>
      <c r="CE62">
        <f t="shared" si="19"/>
        <v>6.4000000000000057E-2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3.1204033726278197</v>
      </c>
      <c r="K63" s="18">
        <f t="shared" si="2"/>
        <v>1.0206278570479483</v>
      </c>
      <c r="L63" s="18">
        <f t="shared" si="3"/>
        <v>2.0991507821988282</v>
      </c>
      <c r="M63" s="19"/>
      <c r="N63" s="18">
        <f t="shared" si="4"/>
        <v>3.1204033726278197</v>
      </c>
      <c r="O63" s="20">
        <v>857966</v>
      </c>
      <c r="P63" s="21">
        <v>2677200</v>
      </c>
      <c r="Q63" s="21">
        <v>875664</v>
      </c>
      <c r="R63" s="21">
        <v>1801000</v>
      </c>
      <c r="S63" s="37"/>
      <c r="T63" s="38">
        <v>35.709400000000002</v>
      </c>
      <c r="U63" s="38">
        <v>40.1374</v>
      </c>
      <c r="V63" s="38">
        <v>39.547199999999997</v>
      </c>
      <c r="W63" s="39"/>
      <c r="X63" s="38">
        <v>28.130800000000001</v>
      </c>
      <c r="Y63" s="38">
        <v>28.130800000000001</v>
      </c>
      <c r="Z63" s="38">
        <v>28.130800000000001</v>
      </c>
      <c r="AA63" s="39"/>
      <c r="AB63" s="49">
        <v>1.0149999999999999</v>
      </c>
      <c r="AC63" s="49">
        <v>0.75</v>
      </c>
      <c r="AE63" s="17" t="str">
        <f t="shared" si="5"/>
        <v>·</v>
      </c>
      <c r="AF63" s="18">
        <f t="shared" si="6"/>
        <v>3.1803964259655979</v>
      </c>
      <c r="AG63" s="18">
        <f t="shared" si="7"/>
        <v>1.0206278570479483</v>
      </c>
      <c r="AH63" s="18">
        <f t="shared" si="8"/>
        <v>2.1591438355366064</v>
      </c>
      <c r="AI63" s="19"/>
      <c r="AJ63" s="18">
        <f t="shared" si="9"/>
        <v>3.1803964259655979</v>
      </c>
      <c r="AK63" s="20">
        <v>857966</v>
      </c>
      <c r="AL63" s="21">
        <v>2728672</v>
      </c>
      <c r="AM63" s="21">
        <v>875664</v>
      </c>
      <c r="AN63" s="21">
        <v>1852472</v>
      </c>
      <c r="AO63" s="37"/>
      <c r="AP63" s="38">
        <v>35.769799999999996</v>
      </c>
      <c r="AQ63" s="38">
        <v>40.229900000000001</v>
      </c>
      <c r="AR63" s="38">
        <v>39.634300000000003</v>
      </c>
      <c r="AS63" s="39"/>
      <c r="AT63" s="38">
        <v>28.130800000000001</v>
      </c>
      <c r="AU63" s="38">
        <v>28.130800000000001</v>
      </c>
      <c r="AV63" s="38">
        <v>28.130800000000001</v>
      </c>
      <c r="AW63" s="39"/>
      <c r="AX63" s="49">
        <v>1.0620000000000001</v>
      </c>
      <c r="AY63" s="49">
        <v>0.75</v>
      </c>
      <c r="BA63" s="53">
        <f t="shared" si="10"/>
        <v>-6.1698753247489968E-3</v>
      </c>
      <c r="BB63" s="53"/>
      <c r="BD63" s="54"/>
      <c r="BE63" s="54"/>
      <c r="BF63" s="54"/>
      <c r="BG63" s="61"/>
      <c r="BI63" s="54"/>
      <c r="BJ63" s="54"/>
      <c r="BK63" s="54"/>
      <c r="BL63" s="61"/>
      <c r="BN63" s="54"/>
      <c r="BO63" s="54"/>
      <c r="BP63" s="54"/>
      <c r="BQ63" s="61"/>
      <c r="BS63" s="54"/>
      <c r="BT63" s="54"/>
      <c r="BU63" s="54"/>
      <c r="BV63" s="61"/>
      <c r="BX63">
        <f t="shared" si="12"/>
        <v>0</v>
      </c>
      <c r="BY63">
        <f t="shared" si="13"/>
        <v>51472</v>
      </c>
      <c r="BZ63">
        <f t="shared" si="14"/>
        <v>0</v>
      </c>
      <c r="CA63">
        <f t="shared" si="15"/>
        <v>51472</v>
      </c>
      <c r="CB63">
        <f t="shared" si="16"/>
        <v>0</v>
      </c>
      <c r="CC63">
        <f t="shared" si="17"/>
        <v>6.0399999999994236E-2</v>
      </c>
      <c r="CD63">
        <f t="shared" si="18"/>
        <v>9.2500000000001137E-2</v>
      </c>
      <c r="CE63">
        <f t="shared" si="19"/>
        <v>8.7100000000006617E-2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1.9737099139126726</v>
      </c>
      <c r="K64" s="33">
        <f t="shared" si="2"/>
        <v>1.0206278570479483</v>
      </c>
      <c r="L64" s="33">
        <f t="shared" si="3"/>
        <v>0.95245732348368117</v>
      </c>
      <c r="M64" s="34"/>
      <c r="N64" s="33">
        <f t="shared" si="4"/>
        <v>1.9737099139126726</v>
      </c>
      <c r="O64" s="35">
        <v>857966</v>
      </c>
      <c r="P64" s="36">
        <v>1693376</v>
      </c>
      <c r="Q64" s="36">
        <v>875664</v>
      </c>
      <c r="R64" s="36">
        <v>817176</v>
      </c>
      <c r="S64" s="46"/>
      <c r="T64" s="47">
        <v>29.744399999999999</v>
      </c>
      <c r="U64" s="47">
        <v>35.033499999999997</v>
      </c>
      <c r="V64" s="47">
        <v>34.044800000000002</v>
      </c>
      <c r="W64" s="48"/>
      <c r="X64" s="47">
        <v>21.686399999999999</v>
      </c>
      <c r="Y64" s="47">
        <v>21.686399999999999</v>
      </c>
      <c r="Z64" s="47">
        <v>21.686399999999999</v>
      </c>
      <c r="AA64" s="48"/>
      <c r="AB64" s="52">
        <v>0.95299999999999996</v>
      </c>
      <c r="AC64" s="52">
        <v>0.73399999999999999</v>
      </c>
      <c r="AE64" s="32" t="str">
        <f t="shared" si="5"/>
        <v>·</v>
      </c>
      <c r="AF64" s="33">
        <f t="shared" si="6"/>
        <v>2.0083313324770447</v>
      </c>
      <c r="AG64" s="33">
        <f t="shared" si="7"/>
        <v>1.0206278570479483</v>
      </c>
      <c r="AH64" s="33">
        <f t="shared" si="8"/>
        <v>0.98707874204805324</v>
      </c>
      <c r="AI64" s="34"/>
      <c r="AJ64" s="33">
        <f t="shared" si="9"/>
        <v>2.0083313324770447</v>
      </c>
      <c r="AK64" s="35">
        <v>857966</v>
      </c>
      <c r="AL64" s="36">
        <v>1723080</v>
      </c>
      <c r="AM64" s="36">
        <v>875664</v>
      </c>
      <c r="AN64" s="36">
        <v>846880</v>
      </c>
      <c r="AO64" s="46"/>
      <c r="AP64" s="47">
        <v>29.883600000000001</v>
      </c>
      <c r="AQ64" s="47">
        <v>35.125799999999998</v>
      </c>
      <c r="AR64" s="47">
        <v>34.182299999999998</v>
      </c>
      <c r="AS64" s="48"/>
      <c r="AT64" s="47">
        <v>21.686399999999999</v>
      </c>
      <c r="AU64" s="47">
        <v>21.686399999999999</v>
      </c>
      <c r="AV64" s="47">
        <v>21.686399999999999</v>
      </c>
      <c r="AW64" s="48"/>
      <c r="AX64" s="52">
        <v>0.98399999999999999</v>
      </c>
      <c r="AY64" s="52">
        <v>0.75</v>
      </c>
      <c r="BA64" s="59">
        <f t="shared" si="10"/>
        <v>-8.9144302224392069E-3</v>
      </c>
      <c r="BB64" s="59"/>
      <c r="BD64" s="60"/>
      <c r="BE64" s="60"/>
      <c r="BF64" s="60"/>
      <c r="BG64" s="64"/>
      <c r="BI64" s="60"/>
      <c r="BJ64" s="60"/>
      <c r="BK64" s="60"/>
      <c r="BL64" s="64"/>
      <c r="BN64" s="60"/>
      <c r="BO64" s="60"/>
      <c r="BP64" s="60"/>
      <c r="BQ64" s="64"/>
      <c r="BS64" s="60"/>
      <c r="BT64" s="60"/>
      <c r="BU64" s="60"/>
      <c r="BV64" s="64"/>
      <c r="BX64">
        <f t="shared" si="12"/>
        <v>0</v>
      </c>
      <c r="BY64">
        <f t="shared" si="13"/>
        <v>29704</v>
      </c>
      <c r="BZ64">
        <f t="shared" si="14"/>
        <v>0</v>
      </c>
      <c r="CA64">
        <f t="shared" si="15"/>
        <v>29704</v>
      </c>
      <c r="CB64">
        <f t="shared" si="16"/>
        <v>0</v>
      </c>
      <c r="CC64">
        <f t="shared" si="17"/>
        <v>0.13920000000000243</v>
      </c>
      <c r="CD64">
        <f t="shared" si="18"/>
        <v>9.2300000000001603E-2</v>
      </c>
      <c r="CE64">
        <f t="shared" si="19"/>
        <v>0.13749999999999574</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5.9207506085769159</v>
      </c>
      <c r="K65" s="18">
        <f t="shared" si="2"/>
        <v>3.7168832244882402</v>
      </c>
      <c r="L65" s="18">
        <f t="shared" si="3"/>
        <v>2.203588988113486</v>
      </c>
      <c r="M65" s="19"/>
      <c r="N65" s="18">
        <f t="shared" si="4"/>
        <v>5.9207506085769159</v>
      </c>
      <c r="O65" s="20">
        <v>3017285</v>
      </c>
      <c r="P65" s="21">
        <v>17864592</v>
      </c>
      <c r="Q65" s="21">
        <v>11214896</v>
      </c>
      <c r="R65" s="21">
        <v>6648856</v>
      </c>
      <c r="S65" s="37"/>
      <c r="T65" s="38">
        <v>52.420900000000003</v>
      </c>
      <c r="U65" s="38">
        <v>57.415700000000001</v>
      </c>
      <c r="V65" s="38">
        <v>56.801499999999997</v>
      </c>
      <c r="W65" s="39"/>
      <c r="X65" s="38">
        <v>48.130800000000001</v>
      </c>
      <c r="Y65" s="38">
        <v>48.130800000000001</v>
      </c>
      <c r="Z65" s="38">
        <v>48.130800000000001</v>
      </c>
      <c r="AA65" s="39"/>
      <c r="AB65" s="49">
        <v>5.0309999999999997</v>
      </c>
      <c r="AC65" s="49">
        <v>3.9209999999999998</v>
      </c>
      <c r="AE65" s="17" t="str">
        <f t="shared" si="5"/>
        <v>·</v>
      </c>
      <c r="AF65" s="18">
        <f t="shared" si="6"/>
        <v>5.9213312630394546</v>
      </c>
      <c r="AG65" s="18">
        <f t="shared" si="7"/>
        <v>3.7168832244882402</v>
      </c>
      <c r="AH65" s="18">
        <f t="shared" si="8"/>
        <v>2.2041696425760247</v>
      </c>
      <c r="AI65" s="19"/>
      <c r="AJ65" s="18">
        <f t="shared" si="9"/>
        <v>5.9213312630394546</v>
      </c>
      <c r="AK65" s="20">
        <v>3017285</v>
      </c>
      <c r="AL65" s="21">
        <v>17866344</v>
      </c>
      <c r="AM65" s="21">
        <v>11214896</v>
      </c>
      <c r="AN65" s="21">
        <v>6650608</v>
      </c>
      <c r="AO65" s="37"/>
      <c r="AP65" s="38">
        <v>52.420900000000003</v>
      </c>
      <c r="AQ65" s="38">
        <v>57.420400000000001</v>
      </c>
      <c r="AR65" s="38">
        <v>56.805900000000001</v>
      </c>
      <c r="AS65" s="39"/>
      <c r="AT65" s="38">
        <v>48.130800000000001</v>
      </c>
      <c r="AU65" s="38">
        <v>48.130800000000001</v>
      </c>
      <c r="AV65" s="38">
        <v>48.130800000000001</v>
      </c>
      <c r="AW65" s="39"/>
      <c r="AX65" s="49">
        <v>4.859</v>
      </c>
      <c r="AY65" s="49">
        <v>4</v>
      </c>
      <c r="BA65" s="53">
        <f t="shared" si="10"/>
        <v>-6.1560276057415209E-5</v>
      </c>
      <c r="BB65" s="53">
        <f t="array" ref="BB65">AVERAGE(AM65:AM69/AL65:AL69)-AVERAGE(Q65:Q69/P65:P69)</f>
        <v>6.3276553878943709E-5</v>
      </c>
      <c r="BD65" s="54">
        <f>IF(OR(ISBLANK(R65:R69),ISBLANK(AN65:AN69),ISBLANK(T65:T69),ISBLANK(AP65:AP69)),"·",bdRateExtend(R65:R69,T65:T69,AN65:AN69,AP65:AP69))</f>
        <v>-7.296284933884789E-3</v>
      </c>
      <c r="BE65" s="54">
        <f>IF(OR(ISBLANK(R65:R69),ISBLANK(AN65:AN69),ISBLANK(U65:U69),ISBLANK(AQ65:AQ69)),"·",bdRateExtend(R65:R69,U65:U69,AN65:AN69,AQ65:AQ69))</f>
        <v>-1.6585474125853317E-2</v>
      </c>
      <c r="BF65" s="54">
        <f>IF(OR(ISBLANK(R65:R69),ISBLANK(AN65:AN69),ISBLANK(V65:V69),ISBLANK(AR65:AR69)),"·",bdRateExtend(R65:R69,V65:V69,AN65:AN69,AR65:AR69))</f>
        <v>-6.1065715607132587E-3</v>
      </c>
      <c r="BG65" s="61"/>
      <c r="BI65" s="54">
        <f>IF(OR(ISBLANK(R65:R69),ISBLANK(AN65:AN69),ISBLANK(X65:X69),ISBLANK(AT65:AT69)),"·",bdRateExtend(R65:R69,X65:X69,AN65:AN69,AT65:AT69))</f>
        <v>-1.9663379722341112E-3</v>
      </c>
      <c r="BJ65" s="54">
        <f>IF(OR(ISBLANK(R65:R69),ISBLANK(AN65:AN69),ISBLANK(Y65:Y69),ISBLANK(AU65:AU69)),"·",bdRateExtend(R65:R69,Y65:Y69,AN65:AN69,AU65:AU69))</f>
        <v>-1.9663379722341112E-3</v>
      </c>
      <c r="BK65" s="54">
        <f>IF(OR(ISBLANK(R65:R69),ISBLANK(AN65:AN69),ISBLANK(Z65:Z69),ISBLANK(AV65:AV69)),"·",bdRateExtend(R65:R69,Z65:Z69,AN65:AN69,AV65:AV69))</f>
        <v>-1.9663379722341112E-3</v>
      </c>
      <c r="BL65" s="61"/>
      <c r="BN65" s="54">
        <f>IF(OR(ISBLANK(P65:P69),ISBLANK(AL65:AL69),ISBLANK(T65:T69),ISBLANK(AP65:AP69)),"·",bdRateExtend(P65:P69,T65:T69,AL65:AL69,AP65:AP69))</f>
        <v>-6.165719370776479E-5</v>
      </c>
      <c r="BO65" s="54">
        <f>IF(OR(ISBLANK(P65:P69),ISBLANK(AL65:AL69),ISBLANK(U65:U69),ISBLANK(AQ65:AQ69)),"·",bdRateExtend(P65:P69,U65:U69,AL65:AL69,AQ65:AQ69))</f>
        <v>-4.5329223959089671E-4</v>
      </c>
      <c r="BP65" s="54">
        <f>IF(OR(ISBLANK(P65:P69),ISBLANK(AL65:AL69),ISBLANK(V65:V69),ISBLANK(AR65:AR69)),"·",bdRateExtend(P65:P69,V65:V69,AL65:AL69,AR65:AR69))</f>
        <v>-1.5647353237446815E-4</v>
      </c>
      <c r="BQ65" s="61"/>
      <c r="BS65" s="54">
        <f>IF(OR(ISBLANK(P65:P69),ISBLANK(AL65:AL69),ISBLANK(X65:X69),ISBLANK(AT65:AT69)),"·",bdRateExtend(P65:P69,X65:X69,AL65:AL69,AT65:AT69))</f>
        <v>-2.1409430162044885E-6</v>
      </c>
      <c r="BT65" s="54">
        <f>IF(OR(ISBLANK(P65:P69),ISBLANK(AL65:AL69),ISBLANK(Y65:Y69),ISBLANK(AU65:AU69)),"·",bdRateExtend(P65:P69,Y65:Y69,AL65:AL69,AU65:AU69))</f>
        <v>-2.1409430162044885E-6</v>
      </c>
      <c r="BU65" s="54">
        <f>IF(OR(ISBLANK(P65:P69),ISBLANK(AL65:AL69),ISBLANK(Z65:Z69),ISBLANK(AV65:AV69)),"·",bdRateExtend(P65:P69,Z65:Z69,AL65:AL69,AV65:AV69))</f>
        <v>-2.1409430162044885E-6</v>
      </c>
      <c r="BV65" s="61"/>
      <c r="BX65">
        <f t="shared" si="12"/>
        <v>0</v>
      </c>
      <c r="BY65">
        <f t="shared" si="13"/>
        <v>1752</v>
      </c>
      <c r="BZ65">
        <f t="shared" si="14"/>
        <v>0</v>
      </c>
      <c r="CA65">
        <f t="shared" si="15"/>
        <v>1752</v>
      </c>
      <c r="CB65">
        <f t="shared" si="16"/>
        <v>0</v>
      </c>
      <c r="CC65">
        <f t="shared" si="17"/>
        <v>0</v>
      </c>
      <c r="CD65">
        <f t="shared" si="18"/>
        <v>4.6999999999997044E-3</v>
      </c>
      <c r="CE65">
        <f t="shared" si="19"/>
        <v>4.4000000000039563E-3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5.059396112730485</v>
      </c>
      <c r="K66" s="23">
        <f t="shared" si="2"/>
        <v>3.7168832244882402</v>
      </c>
      <c r="L66" s="23">
        <f t="shared" si="3"/>
        <v>1.3422344922670546</v>
      </c>
      <c r="M66" s="24"/>
      <c r="N66" s="23">
        <f t="shared" si="4"/>
        <v>5.059396112730485</v>
      </c>
      <c r="O66" s="25">
        <v>3017285</v>
      </c>
      <c r="P66" s="26">
        <v>15265640</v>
      </c>
      <c r="Q66" s="26">
        <v>11214896</v>
      </c>
      <c r="R66" s="26">
        <v>4049904</v>
      </c>
      <c r="S66" s="40"/>
      <c r="T66" s="41">
        <v>47.939900000000002</v>
      </c>
      <c r="U66" s="41">
        <v>53.674199999999999</v>
      </c>
      <c r="V66" s="41">
        <v>53.166699999999999</v>
      </c>
      <c r="W66" s="42"/>
      <c r="X66" s="41">
        <v>42.110199999999999</v>
      </c>
      <c r="Y66" s="41">
        <v>42.110199999999999</v>
      </c>
      <c r="Z66" s="41">
        <v>42.110199999999999</v>
      </c>
      <c r="AA66" s="42"/>
      <c r="AB66" s="50">
        <v>4.9059999999999997</v>
      </c>
      <c r="AC66" s="50">
        <v>3.9369999999999998</v>
      </c>
      <c r="AE66" s="22" t="str">
        <f t="shared" si="5"/>
        <v>·</v>
      </c>
      <c r="AF66" s="23">
        <f t="shared" si="6"/>
        <v>5.0602472089974926</v>
      </c>
      <c r="AG66" s="23">
        <f t="shared" si="7"/>
        <v>3.7168832244882402</v>
      </c>
      <c r="AH66" s="23">
        <f t="shared" si="8"/>
        <v>1.3430855885340629</v>
      </c>
      <c r="AI66" s="24"/>
      <c r="AJ66" s="23">
        <f t="shared" si="9"/>
        <v>5.0602472089974926</v>
      </c>
      <c r="AK66" s="25">
        <v>3017285</v>
      </c>
      <c r="AL66" s="26">
        <v>15268208</v>
      </c>
      <c r="AM66" s="26">
        <v>11214896</v>
      </c>
      <c r="AN66" s="26">
        <v>4052472</v>
      </c>
      <c r="AO66" s="40"/>
      <c r="AP66" s="41">
        <v>47.945</v>
      </c>
      <c r="AQ66" s="41">
        <v>53.674399999999999</v>
      </c>
      <c r="AR66" s="41">
        <v>53.150100000000002</v>
      </c>
      <c r="AS66" s="42"/>
      <c r="AT66" s="41">
        <v>42.110199999999999</v>
      </c>
      <c r="AU66" s="41">
        <v>42.110199999999999</v>
      </c>
      <c r="AV66" s="41">
        <v>42.110199999999999</v>
      </c>
      <c r="AW66" s="42"/>
      <c r="AX66" s="50">
        <v>4.984</v>
      </c>
      <c r="AY66" s="50">
        <v>3.9209999999999998</v>
      </c>
      <c r="BA66" s="55">
        <f t="shared" si="10"/>
        <v>-1.2356264199520073E-4</v>
      </c>
      <c r="BB66" s="55"/>
      <c r="BD66" s="56"/>
      <c r="BE66" s="56"/>
      <c r="BF66" s="56"/>
      <c r="BG66" s="62"/>
      <c r="BI66" s="56"/>
      <c r="BJ66" s="56"/>
      <c r="BK66" s="56"/>
      <c r="BL66" s="62"/>
      <c r="BN66" s="56"/>
      <c r="BO66" s="56"/>
      <c r="BP66" s="56"/>
      <c r="BQ66" s="62"/>
      <c r="BS66" s="56"/>
      <c r="BT66" s="56"/>
      <c r="BU66" s="56"/>
      <c r="BV66" s="62"/>
      <c r="BX66">
        <f t="shared" si="12"/>
        <v>0</v>
      </c>
      <c r="BY66">
        <f t="shared" si="13"/>
        <v>2568</v>
      </c>
      <c r="BZ66">
        <f t="shared" si="14"/>
        <v>0</v>
      </c>
      <c r="CA66">
        <f t="shared" si="15"/>
        <v>2568</v>
      </c>
      <c r="CB66">
        <f t="shared" si="16"/>
        <v>0</v>
      </c>
      <c r="CC66">
        <f t="shared" si="17"/>
        <v>5.0999999999987722E-3</v>
      </c>
      <c r="CD66">
        <f t="shared" si="18"/>
        <v>1.9999999999953388E-4</v>
      </c>
      <c r="CE66">
        <f t="shared" si="19"/>
        <v>-1.659999999999684E-2</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4.2551817279441622</v>
      </c>
      <c r="K67" s="18">
        <f t="shared" si="2"/>
        <v>3.7168832244882402</v>
      </c>
      <c r="L67" s="18">
        <f t="shared" si="3"/>
        <v>0.53802010748073181</v>
      </c>
      <c r="M67" s="19"/>
      <c r="N67" s="18">
        <f t="shared" si="4"/>
        <v>4.2551817279441622</v>
      </c>
      <c r="O67" s="20">
        <v>3017285</v>
      </c>
      <c r="P67" s="21">
        <v>12839096</v>
      </c>
      <c r="Q67" s="21">
        <v>11214896</v>
      </c>
      <c r="R67" s="21">
        <v>1623360</v>
      </c>
      <c r="S67" s="37"/>
      <c r="T67" s="38">
        <v>41.072899999999997</v>
      </c>
      <c r="U67" s="38">
        <v>48.864600000000003</v>
      </c>
      <c r="V67" s="38">
        <v>48.361400000000003</v>
      </c>
      <c r="W67" s="39"/>
      <c r="X67" s="38">
        <v>34.151400000000002</v>
      </c>
      <c r="Y67" s="38">
        <v>34.151400000000002</v>
      </c>
      <c r="Z67" s="38">
        <v>34.151400000000002</v>
      </c>
      <c r="AA67" s="39"/>
      <c r="AB67" s="49">
        <v>4.8899999999999997</v>
      </c>
      <c r="AC67" s="49">
        <v>3.9529999999999998</v>
      </c>
      <c r="AE67" s="17" t="str">
        <f t="shared" si="5"/>
        <v>·</v>
      </c>
      <c r="AF67" s="18">
        <f t="shared" si="6"/>
        <v>4.2540363273605246</v>
      </c>
      <c r="AG67" s="18">
        <f t="shared" si="7"/>
        <v>3.7168832244882402</v>
      </c>
      <c r="AH67" s="18">
        <f t="shared" si="8"/>
        <v>0.5368747068970946</v>
      </c>
      <c r="AI67" s="19"/>
      <c r="AJ67" s="18">
        <f t="shared" si="9"/>
        <v>4.2540363273605246</v>
      </c>
      <c r="AK67" s="20">
        <v>3017285</v>
      </c>
      <c r="AL67" s="21">
        <v>12835640</v>
      </c>
      <c r="AM67" s="21">
        <v>11214896</v>
      </c>
      <c r="AN67" s="21">
        <v>1619904</v>
      </c>
      <c r="AO67" s="37"/>
      <c r="AP67" s="38">
        <v>41.051400000000001</v>
      </c>
      <c r="AQ67" s="38">
        <v>48.840299999999999</v>
      </c>
      <c r="AR67" s="38">
        <v>48.49</v>
      </c>
      <c r="AS67" s="39"/>
      <c r="AT67" s="38">
        <v>34.151400000000002</v>
      </c>
      <c r="AU67" s="38">
        <v>34.151400000000002</v>
      </c>
      <c r="AV67" s="38">
        <v>34.151400000000002</v>
      </c>
      <c r="AW67" s="39"/>
      <c r="AX67" s="49">
        <v>4.9530000000000003</v>
      </c>
      <c r="AY67" s="49">
        <v>3.9369999999999998</v>
      </c>
      <c r="BA67" s="53">
        <f t="shared" si="10"/>
        <v>2.3518900254060338E-4</v>
      </c>
      <c r="BB67" s="53"/>
      <c r="BD67" s="54"/>
      <c r="BE67" s="54"/>
      <c r="BF67" s="54"/>
      <c r="BG67" s="61"/>
      <c r="BI67" s="54"/>
      <c r="BJ67" s="54"/>
      <c r="BK67" s="54"/>
      <c r="BL67" s="61"/>
      <c r="BN67" s="54"/>
      <c r="BO67" s="54"/>
      <c r="BP67" s="54"/>
      <c r="BQ67" s="61"/>
      <c r="BS67" s="54"/>
      <c r="BT67" s="54"/>
      <c r="BU67" s="54"/>
      <c r="BV67" s="61"/>
      <c r="BX67">
        <f t="shared" si="12"/>
        <v>0</v>
      </c>
      <c r="BY67">
        <f t="shared" si="13"/>
        <v>-3456</v>
      </c>
      <c r="BZ67">
        <f t="shared" si="14"/>
        <v>0</v>
      </c>
      <c r="CA67">
        <f t="shared" si="15"/>
        <v>-3456</v>
      </c>
      <c r="CB67">
        <f t="shared" si="16"/>
        <v>0</v>
      </c>
      <c r="CC67">
        <f t="shared" si="17"/>
        <v>-2.1499999999996078E-2</v>
      </c>
      <c r="CD67">
        <f t="shared" si="18"/>
        <v>-2.4300000000003763E-2</v>
      </c>
      <c r="CE67">
        <f t="shared" si="19"/>
        <v>0.12859999999999872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3.9391704794210689</v>
      </c>
      <c r="K68" s="23">
        <f t="shared" si="2"/>
        <v>3.7168832244882402</v>
      </c>
      <c r="L68" s="23">
        <f t="shared" si="3"/>
        <v>0.22200885895763908</v>
      </c>
      <c r="M68" s="24"/>
      <c r="N68" s="23">
        <f t="shared" si="4"/>
        <v>3.9391704794210689</v>
      </c>
      <c r="O68" s="25">
        <v>3017285</v>
      </c>
      <c r="P68" s="26">
        <v>11885600</v>
      </c>
      <c r="Q68" s="26">
        <v>11214896</v>
      </c>
      <c r="R68" s="26">
        <v>669864</v>
      </c>
      <c r="S68" s="40"/>
      <c r="T68" s="41">
        <v>35.588500000000003</v>
      </c>
      <c r="U68" s="41">
        <v>43.633000000000003</v>
      </c>
      <c r="V68" s="41">
        <v>43.633600000000001</v>
      </c>
      <c r="W68" s="42"/>
      <c r="X68" s="41">
        <v>28.130800000000001</v>
      </c>
      <c r="Y68" s="41">
        <v>28.130800000000001</v>
      </c>
      <c r="Z68" s="41">
        <v>28.130800000000001</v>
      </c>
      <c r="AA68" s="42"/>
      <c r="AB68" s="50">
        <v>4.8120000000000003</v>
      </c>
      <c r="AC68" s="50">
        <v>3.875</v>
      </c>
      <c r="AE68" s="22" t="str">
        <f t="shared" si="5"/>
        <v>·</v>
      </c>
      <c r="AF68" s="23">
        <f t="shared" si="6"/>
        <v>3.9399579423223194</v>
      </c>
      <c r="AG68" s="23">
        <f t="shared" si="7"/>
        <v>3.7168832244882402</v>
      </c>
      <c r="AH68" s="23">
        <f t="shared" si="8"/>
        <v>0.2227963218588897</v>
      </c>
      <c r="AI68" s="24"/>
      <c r="AJ68" s="23">
        <f t="shared" si="9"/>
        <v>3.9399579423223194</v>
      </c>
      <c r="AK68" s="25">
        <v>3017285</v>
      </c>
      <c r="AL68" s="26">
        <v>11887976</v>
      </c>
      <c r="AM68" s="26">
        <v>11214896</v>
      </c>
      <c r="AN68" s="26">
        <v>672240</v>
      </c>
      <c r="AO68" s="40"/>
      <c r="AP68" s="41">
        <v>35.601999999999997</v>
      </c>
      <c r="AQ68" s="41">
        <v>43.765099999999997</v>
      </c>
      <c r="AR68" s="41">
        <v>43.461500000000001</v>
      </c>
      <c r="AS68" s="42"/>
      <c r="AT68" s="41">
        <v>28.130800000000001</v>
      </c>
      <c r="AU68" s="41">
        <v>28.130800000000001</v>
      </c>
      <c r="AV68" s="41">
        <v>28.130800000000001</v>
      </c>
      <c r="AW68" s="42"/>
      <c r="AX68" s="50">
        <v>4.8280000000000003</v>
      </c>
      <c r="AY68" s="50">
        <v>3.859</v>
      </c>
      <c r="BA68" s="55">
        <f t="shared" si="10"/>
        <v>-1.8858739297267224E-4</v>
      </c>
      <c r="BB68" s="55"/>
      <c r="BD68" s="56"/>
      <c r="BE68" s="56"/>
      <c r="BF68" s="56"/>
      <c r="BG68" s="62"/>
      <c r="BI68" s="56"/>
      <c r="BJ68" s="56"/>
      <c r="BK68" s="56"/>
      <c r="BL68" s="62"/>
      <c r="BN68" s="56"/>
      <c r="BO68" s="56"/>
      <c r="BP68" s="56"/>
      <c r="BQ68" s="62"/>
      <c r="BS68" s="56"/>
      <c r="BT68" s="56"/>
      <c r="BU68" s="56"/>
      <c r="BV68" s="62"/>
      <c r="BX68">
        <f t="shared" si="12"/>
        <v>0</v>
      </c>
      <c r="BY68">
        <f t="shared" si="13"/>
        <v>2376</v>
      </c>
      <c r="BZ68">
        <f t="shared" si="14"/>
        <v>0</v>
      </c>
      <c r="CA68">
        <f t="shared" si="15"/>
        <v>2376</v>
      </c>
      <c r="CB68">
        <f t="shared" si="16"/>
        <v>0</v>
      </c>
      <c r="CC68">
        <f t="shared" si="17"/>
        <v>1.3499999999993406E-2</v>
      </c>
      <c r="CD68">
        <f t="shared" si="18"/>
        <v>0.13209999999999411</v>
      </c>
      <c r="CE68">
        <f t="shared" si="19"/>
        <v>-0.17210000000000036</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3.7792836937843126</v>
      </c>
      <c r="K69" s="28">
        <f t="shared" ref="K69:K132" si="27">IF(Q69="","·",Q69/D69)</f>
        <v>3.7168832244882402</v>
      </c>
      <c r="L69" s="28">
        <f t="shared" ref="L69:L132" si="28">IF(ISBLANK(R69),"·",R69/D69)</f>
        <v>6.2122073320882848E-2</v>
      </c>
      <c r="M69" s="29"/>
      <c r="N69" s="28">
        <f t="shared" ref="N69:N132" si="29">IF(ISBLANK(P69),"·",P69/O69)</f>
        <v>3.7792836937843126</v>
      </c>
      <c r="O69" s="30">
        <v>3017285</v>
      </c>
      <c r="P69" s="31">
        <v>11403176</v>
      </c>
      <c r="Q69" s="31">
        <v>11214896</v>
      </c>
      <c r="R69" s="31">
        <v>187440</v>
      </c>
      <c r="S69" s="43"/>
      <c r="T69" s="44">
        <v>29.3079</v>
      </c>
      <c r="U69" s="44">
        <v>38.134999999999998</v>
      </c>
      <c r="V69" s="44">
        <v>37.656599999999997</v>
      </c>
      <c r="W69" s="45"/>
      <c r="X69" s="44">
        <v>21.686399999999999</v>
      </c>
      <c r="Y69" s="44">
        <v>21.686399999999999</v>
      </c>
      <c r="Z69" s="44">
        <v>21.686399999999999</v>
      </c>
      <c r="AA69" s="45"/>
      <c r="AB69" s="51">
        <v>4.8899999999999997</v>
      </c>
      <c r="AC69" s="51">
        <v>3.7810000000000001</v>
      </c>
      <c r="AE69" s="27" t="str">
        <f t="shared" ref="AE69:AE132" si="30">IF(OR(ISBLANK(AL69),ISBLANK(G69)),"·",AL69*G69/F69/1000000)</f>
        <v>·</v>
      </c>
      <c r="AF69" s="28">
        <f t="shared" ref="AF69:AF132" si="31">IF(ISBLANK(AL69),"·",AL69/D69)</f>
        <v>3.777536427616218</v>
      </c>
      <c r="AG69" s="28">
        <f t="shared" ref="AG69:AG132" si="32">IF(AM69="","·",AM69/D69)</f>
        <v>3.7168832244882402</v>
      </c>
      <c r="AH69" s="28">
        <f t="shared" ref="AH69:AH132" si="33">IF(ISBLANK(AN69),"·",AN69/D69)</f>
        <v>6.0374807152788021E-2</v>
      </c>
      <c r="AI69" s="29"/>
      <c r="AJ69" s="28">
        <f t="shared" ref="AJ69:AJ132" si="34">IF(ISBLANK(AL69),"·",AL69/AK69)</f>
        <v>3.777536427616218</v>
      </c>
      <c r="AK69" s="30">
        <v>3017285</v>
      </c>
      <c r="AL69" s="31">
        <v>11397904</v>
      </c>
      <c r="AM69" s="31">
        <v>11214896</v>
      </c>
      <c r="AN69" s="31">
        <v>182168</v>
      </c>
      <c r="AO69" s="43"/>
      <c r="AP69" s="44">
        <v>29.532499999999999</v>
      </c>
      <c r="AQ69" s="44">
        <v>38.394500000000001</v>
      </c>
      <c r="AR69" s="44">
        <v>38.054600000000001</v>
      </c>
      <c r="AS69" s="45"/>
      <c r="AT69" s="44">
        <v>21.686399999999999</v>
      </c>
      <c r="AU69" s="44">
        <v>21.686399999999999</v>
      </c>
      <c r="AV69" s="44">
        <v>21.686399999999999</v>
      </c>
      <c r="AW69" s="45"/>
      <c r="AX69" s="51">
        <v>4.8120000000000003</v>
      </c>
      <c r="AY69" s="51">
        <v>3.89</v>
      </c>
      <c r="BA69" s="57">
        <f t="shared" ref="BA69:BA132" si="35">(AM69/AL69)-(Q69/P69)</f>
        <v>4.5490407787973641E-4</v>
      </c>
      <c r="BB69" s="57"/>
      <c r="BD69" s="58"/>
      <c r="BE69" s="58"/>
      <c r="BF69" s="58"/>
      <c r="BG69" s="63"/>
      <c r="BI69" s="58"/>
      <c r="BJ69" s="58"/>
      <c r="BK69" s="58"/>
      <c r="BL69" s="63"/>
      <c r="BN69" s="58"/>
      <c r="BO69" s="58"/>
      <c r="BP69" s="58"/>
      <c r="BQ69" s="63"/>
      <c r="BS69" s="58"/>
      <c r="BT69" s="58"/>
      <c r="BU69" s="58"/>
      <c r="BV69" s="63"/>
      <c r="BX69">
        <f t="shared" si="12"/>
        <v>0</v>
      </c>
      <c r="BY69">
        <f t="shared" si="13"/>
        <v>-5272</v>
      </c>
      <c r="BZ69">
        <f t="shared" si="14"/>
        <v>0</v>
      </c>
      <c r="CA69">
        <f t="shared" si="15"/>
        <v>-5272</v>
      </c>
      <c r="CB69">
        <f t="shared" si="16"/>
        <v>0</v>
      </c>
      <c r="CC69">
        <f t="shared" si="17"/>
        <v>0.2245999999999988</v>
      </c>
      <c r="CD69">
        <f t="shared" si="18"/>
        <v>0.25950000000000273</v>
      </c>
      <c r="CE69">
        <f t="shared" si="19"/>
        <v>0.39800000000000324</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4.2363039172466888</v>
      </c>
      <c r="K70" s="23">
        <f t="shared" si="27"/>
        <v>0.97555523820759105</v>
      </c>
      <c r="L70" s="23">
        <f t="shared" si="28"/>
        <v>3.2600830761779993</v>
      </c>
      <c r="M70" s="24"/>
      <c r="N70" s="23">
        <f t="shared" si="29"/>
        <v>4.2363039172466888</v>
      </c>
      <c r="O70" s="25">
        <v>805285</v>
      </c>
      <c r="P70" s="26">
        <v>3411432</v>
      </c>
      <c r="Q70" s="26">
        <v>785600</v>
      </c>
      <c r="R70" s="26">
        <v>2625296</v>
      </c>
      <c r="S70" s="40"/>
      <c r="T70" s="41">
        <v>52.521099999999997</v>
      </c>
      <c r="U70" s="41">
        <v>57.096499999999999</v>
      </c>
      <c r="V70" s="41">
        <v>56.485799999999998</v>
      </c>
      <c r="W70" s="42"/>
      <c r="X70" s="41">
        <v>48.130800000000001</v>
      </c>
      <c r="Y70" s="41">
        <v>48.130800000000001</v>
      </c>
      <c r="Z70" s="41">
        <v>48.130800000000001</v>
      </c>
      <c r="AA70" s="42"/>
      <c r="AB70" s="50">
        <v>1</v>
      </c>
      <c r="AC70" s="50">
        <v>0.76500000000000001</v>
      </c>
      <c r="AE70" s="22" t="str">
        <f t="shared" si="30"/>
        <v>·</v>
      </c>
      <c r="AF70" s="23">
        <f t="shared" si="31"/>
        <v>4.2373271574659901</v>
      </c>
      <c r="AG70" s="23">
        <f t="shared" si="32"/>
        <v>0.97555523820759105</v>
      </c>
      <c r="AH70" s="23">
        <f t="shared" si="33"/>
        <v>3.2611063163973002</v>
      </c>
      <c r="AI70" s="24"/>
      <c r="AJ70" s="23">
        <f t="shared" si="34"/>
        <v>4.2373271574659901</v>
      </c>
      <c r="AK70" s="25">
        <v>805285</v>
      </c>
      <c r="AL70" s="26">
        <v>3412256</v>
      </c>
      <c r="AM70" s="26">
        <v>785600</v>
      </c>
      <c r="AN70" s="26">
        <v>2626120</v>
      </c>
      <c r="AO70" s="40"/>
      <c r="AP70" s="41">
        <v>52.517699999999998</v>
      </c>
      <c r="AQ70" s="41">
        <v>57.097799999999999</v>
      </c>
      <c r="AR70" s="41">
        <v>56.496000000000002</v>
      </c>
      <c r="AS70" s="42"/>
      <c r="AT70" s="41">
        <v>48.130800000000001</v>
      </c>
      <c r="AU70" s="41">
        <v>48.130800000000001</v>
      </c>
      <c r="AV70" s="41">
        <v>48.130800000000001</v>
      </c>
      <c r="AW70" s="42"/>
      <c r="AX70" s="50">
        <v>0.95299999999999996</v>
      </c>
      <c r="AY70" s="50">
        <v>0.75</v>
      </c>
      <c r="BA70" s="55">
        <f t="shared" si="35"/>
        <v>-5.5609675580603479E-5</v>
      </c>
      <c r="BB70" s="55">
        <f t="array" ref="BB70">AVERAGE(AM70:AM74/AL70:AL74)-AVERAGE(Q70:Q74/P70:P74)</f>
        <v>-6.1336853470206343E-4</v>
      </c>
      <c r="BD70" s="56">
        <f>IF(OR(ISBLANK(R70:R74),ISBLANK(AN70:AN74),ISBLANK(T70:T74),ISBLANK(AP70:AP74)),"·",bdRateExtend(R70:R74,T70:T74,AN70:AN74,AP70:AP74))</f>
        <v>1.4870862980727928E-2</v>
      </c>
      <c r="BE70" s="56">
        <f>IF(OR(ISBLANK(R70:R74),ISBLANK(AN70:AN74),ISBLANK(U70:U74),ISBLANK(AQ70:AQ74)),"·",bdRateExtend(R70:R74,U70:U74,AN70:AN74,AQ70:AQ74))</f>
        <v>-1.41559413461122E-2</v>
      </c>
      <c r="BF70" s="56">
        <f>IF(OR(ISBLANK(R70:R74),ISBLANK(AN70:AN74),ISBLANK(V70:V74),ISBLANK(AR70:AR74)),"·",bdRateExtend(R70:R74,V70:V74,AN70:AN74,AR70:AR74))</f>
        <v>5.2258907544819877E-3</v>
      </c>
      <c r="BG70" s="62"/>
      <c r="BI70" s="56">
        <f>IF(OR(ISBLANK(R70:R74),ISBLANK(AN70:AN74),ISBLANK(X70:X74),ISBLANK(AT70:AT74)),"·",bdRateExtend(R70:R74,X70:X74,AN70:AN74,AT70:AT74))</f>
        <v>3.0929907117556166E-3</v>
      </c>
      <c r="BJ70" s="56">
        <f>IF(OR(ISBLANK(R70:R74),ISBLANK(AN70:AN74),ISBLANK(Y70:Y74),ISBLANK(AU70:AU74)),"·",bdRateExtend(R70:R74,Y70:Y74,AN70:AN74,AU70:AU74))</f>
        <v>3.0929907117556166E-3</v>
      </c>
      <c r="BK70" s="56">
        <f>IF(OR(ISBLANK(R70:R74),ISBLANK(AN70:AN74),ISBLANK(Z70:Z74),ISBLANK(AV70:AV74)),"·",bdRateExtend(R70:R74,Z70:Z74,AN70:AN74,AV70:AV74))</f>
        <v>3.0929907117556166E-3</v>
      </c>
      <c r="BL70" s="62"/>
      <c r="BN70" s="56">
        <f>IF(OR(ISBLANK(P70:P74),ISBLANK(AL70:AL74),ISBLANK(T70:T74),ISBLANK(AP70:AP74)),"·",bdRateExtend(P70:P74,T70:T74,AL70:AL74,AP70:AP74))</f>
        <v>4.2602122534538545E-3</v>
      </c>
      <c r="BO70" s="56">
        <f>IF(OR(ISBLANK(P70:P74),ISBLANK(AL70:AL74),ISBLANK(U70:U74),ISBLANK(AQ70:AQ74)),"·",bdRateExtend(P70:P74,U70:U74,AL70:AL74,AQ70:AQ74))</f>
        <v>-2.8637497918915233E-3</v>
      </c>
      <c r="BP70" s="56">
        <f>IF(OR(ISBLANK(P70:P74),ISBLANK(AL70:AL74),ISBLANK(V70:V74),ISBLANK(AR70:AR74)),"·",bdRateExtend(P70:P74,V70:V74,AL70:AL74,AR70:AR74))</f>
        <v>8.3376579095117975E-4</v>
      </c>
      <c r="BQ70" s="62"/>
      <c r="BS70" s="56">
        <f>IF(OR(ISBLANK(P70:P74),ISBLANK(AL70:AL74),ISBLANK(X70:X74),ISBLANK(AT70:AT74)),"·",bdRateExtend(P70:P74,X70:X74,AL70:AL74,AT70:AT74))</f>
        <v>1.273077026073155E-3</v>
      </c>
      <c r="BT70" s="56">
        <f>IF(OR(ISBLANK(P70:P74),ISBLANK(AL70:AL74),ISBLANK(Y70:Y74),ISBLANK(AU70:AU74)),"·",bdRateExtend(P70:P74,Y70:Y74,AL70:AL74,AU70:AU74))</f>
        <v>1.273077026073155E-3</v>
      </c>
      <c r="BU70" s="56">
        <f>IF(OR(ISBLANK(P70:P74),ISBLANK(AL70:AL74),ISBLANK(Z70:Z74),ISBLANK(AV70:AV74)),"·",bdRateExtend(P70:P74,Z70:Z74,AL70:AL74,AV70:AV74))</f>
        <v>1.273077026073155E-3</v>
      </c>
      <c r="BV70" s="62"/>
      <c r="BX70">
        <f t="shared" ref="BX70:BX133" si="36">AK70-O70</f>
        <v>0</v>
      </c>
      <c r="BY70">
        <f t="shared" ref="BY70:BY133" si="37">AL70-P70</f>
        <v>824</v>
      </c>
      <c r="BZ70">
        <f t="shared" ref="BZ70:BZ133" si="38">AM70-Q70</f>
        <v>0</v>
      </c>
      <c r="CA70">
        <f t="shared" ref="CA70:CA133" si="39">AN70-R70</f>
        <v>824</v>
      </c>
      <c r="CB70">
        <f t="shared" ref="CB70:CB133" si="40">AO70-S70</f>
        <v>0</v>
      </c>
      <c r="CC70">
        <f t="shared" ref="CC70:CC133" si="41">AP70-T70</f>
        <v>-3.3999999999991815E-3</v>
      </c>
      <c r="CD70">
        <f t="shared" ref="CD70:CD133" si="42">AQ70-U70</f>
        <v>1.300000000000523E-3</v>
      </c>
      <c r="CE70">
        <f t="shared" ref="CE70:CE133" si="43">AR70-V70</f>
        <v>1.020000000000465E-2</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3.1058618998242857</v>
      </c>
      <c r="K71" s="18">
        <f t="shared" si="27"/>
        <v>0.97555523820759105</v>
      </c>
      <c r="L71" s="18">
        <f t="shared" si="28"/>
        <v>2.1296410587555958</v>
      </c>
      <c r="M71" s="19"/>
      <c r="N71" s="18">
        <f t="shared" si="29"/>
        <v>3.1058618998242857</v>
      </c>
      <c r="O71" s="20">
        <v>805285</v>
      </c>
      <c r="P71" s="21">
        <v>2501104</v>
      </c>
      <c r="Q71" s="21">
        <v>785600</v>
      </c>
      <c r="R71" s="21">
        <v>1714968</v>
      </c>
      <c r="S71" s="37"/>
      <c r="T71" s="38">
        <v>47.893799999999999</v>
      </c>
      <c r="U71" s="38">
        <v>53.045900000000003</v>
      </c>
      <c r="V71" s="38">
        <v>52.556399999999996</v>
      </c>
      <c r="W71" s="39"/>
      <c r="X71" s="38">
        <v>42.110199999999999</v>
      </c>
      <c r="Y71" s="38">
        <v>42.110199999999999</v>
      </c>
      <c r="Z71" s="38">
        <v>42.110199999999999</v>
      </c>
      <c r="AA71" s="39"/>
      <c r="AB71" s="49">
        <v>0.90600000000000003</v>
      </c>
      <c r="AC71" s="49">
        <v>0.71799999999999997</v>
      </c>
      <c r="AE71" s="17" t="str">
        <f t="shared" si="30"/>
        <v>·</v>
      </c>
      <c r="AF71" s="18">
        <f t="shared" si="31"/>
        <v>3.107272580514973</v>
      </c>
      <c r="AG71" s="18">
        <f t="shared" si="32"/>
        <v>0.97555523820759105</v>
      </c>
      <c r="AH71" s="18">
        <f t="shared" si="33"/>
        <v>2.1310517394462831</v>
      </c>
      <c r="AI71" s="19"/>
      <c r="AJ71" s="18">
        <f t="shared" si="34"/>
        <v>3.107272580514973</v>
      </c>
      <c r="AK71" s="20">
        <v>805285</v>
      </c>
      <c r="AL71" s="21">
        <v>2502240</v>
      </c>
      <c r="AM71" s="21">
        <v>785600</v>
      </c>
      <c r="AN71" s="21">
        <v>1716104</v>
      </c>
      <c r="AO71" s="37"/>
      <c r="AP71" s="38">
        <v>47.875599999999999</v>
      </c>
      <c r="AQ71" s="38">
        <v>53.050899999999999</v>
      </c>
      <c r="AR71" s="38">
        <v>52.617100000000001</v>
      </c>
      <c r="AS71" s="39"/>
      <c r="AT71" s="38">
        <v>42.110199999999999</v>
      </c>
      <c r="AU71" s="38">
        <v>42.110199999999999</v>
      </c>
      <c r="AV71" s="38">
        <v>42.110199999999999</v>
      </c>
      <c r="AW71" s="39"/>
      <c r="AX71" s="49">
        <v>0.93700000000000006</v>
      </c>
      <c r="AY71" s="49">
        <v>0.70299999999999996</v>
      </c>
      <c r="BA71" s="53">
        <f t="shared" si="35"/>
        <v>-1.4259985800690878E-4</v>
      </c>
      <c r="BB71" s="53"/>
      <c r="BD71" s="54"/>
      <c r="BE71" s="54"/>
      <c r="BF71" s="54"/>
      <c r="BG71" s="61"/>
      <c r="BI71" s="54"/>
      <c r="BJ71" s="54"/>
      <c r="BK71" s="54"/>
      <c r="BL71" s="61"/>
      <c r="BN71" s="54"/>
      <c r="BO71" s="54"/>
      <c r="BP71" s="54"/>
      <c r="BQ71" s="61"/>
      <c r="BS71" s="54"/>
      <c r="BT71" s="54"/>
      <c r="BU71" s="54"/>
      <c r="BV71" s="61"/>
      <c r="BX71">
        <f t="shared" si="36"/>
        <v>0</v>
      </c>
      <c r="BY71">
        <f t="shared" si="37"/>
        <v>1136</v>
      </c>
      <c r="BZ71">
        <f t="shared" si="38"/>
        <v>0</v>
      </c>
      <c r="CA71">
        <f t="shared" si="39"/>
        <v>1136</v>
      </c>
      <c r="CB71">
        <f t="shared" si="40"/>
        <v>0</v>
      </c>
      <c r="CC71">
        <f t="shared" si="41"/>
        <v>-1.8200000000000216E-2</v>
      </c>
      <c r="CD71">
        <f t="shared" si="42"/>
        <v>4.9999999999954525E-3</v>
      </c>
      <c r="CE71">
        <f t="shared" si="43"/>
        <v>6.0700000000004195E-2</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1.9660517704911926</v>
      </c>
      <c r="K72" s="23">
        <f t="shared" si="27"/>
        <v>0.97555523820759105</v>
      </c>
      <c r="L72" s="23">
        <f t="shared" si="28"/>
        <v>0.98983092942250261</v>
      </c>
      <c r="M72" s="24"/>
      <c r="N72" s="23">
        <f t="shared" si="29"/>
        <v>1.9660517704911926</v>
      </c>
      <c r="O72" s="25">
        <v>805285</v>
      </c>
      <c r="P72" s="26">
        <v>1583232</v>
      </c>
      <c r="Q72" s="26">
        <v>785600</v>
      </c>
      <c r="R72" s="26">
        <v>797096</v>
      </c>
      <c r="S72" s="40"/>
      <c r="T72" s="41">
        <v>40.9711</v>
      </c>
      <c r="U72" s="41">
        <v>48.345599999999997</v>
      </c>
      <c r="V72" s="41">
        <v>47.933399999999999</v>
      </c>
      <c r="W72" s="42"/>
      <c r="X72" s="41">
        <v>34.151400000000002</v>
      </c>
      <c r="Y72" s="41">
        <v>34.151400000000002</v>
      </c>
      <c r="Z72" s="41">
        <v>34.151400000000002</v>
      </c>
      <c r="AA72" s="42"/>
      <c r="AB72" s="50">
        <v>0.95299999999999996</v>
      </c>
      <c r="AC72" s="50">
        <v>0.73399999999999999</v>
      </c>
      <c r="AE72" s="22" t="str">
        <f t="shared" si="30"/>
        <v>·</v>
      </c>
      <c r="AF72" s="23">
        <f t="shared" si="31"/>
        <v>1.9723302930018565</v>
      </c>
      <c r="AG72" s="23">
        <f t="shared" si="32"/>
        <v>0.97555523820759105</v>
      </c>
      <c r="AH72" s="23">
        <f t="shared" si="33"/>
        <v>0.99610945193316647</v>
      </c>
      <c r="AI72" s="24"/>
      <c r="AJ72" s="23">
        <f t="shared" si="34"/>
        <v>1.9723302930018565</v>
      </c>
      <c r="AK72" s="25">
        <v>805285</v>
      </c>
      <c r="AL72" s="26">
        <v>1588288</v>
      </c>
      <c r="AM72" s="26">
        <v>785600</v>
      </c>
      <c r="AN72" s="26">
        <v>802152</v>
      </c>
      <c r="AO72" s="40"/>
      <c r="AP72" s="41">
        <v>40.9773</v>
      </c>
      <c r="AQ72" s="41">
        <v>48.319699999999997</v>
      </c>
      <c r="AR72" s="41">
        <v>47.797600000000003</v>
      </c>
      <c r="AS72" s="42"/>
      <c r="AT72" s="41">
        <v>34.151400000000002</v>
      </c>
      <c r="AU72" s="41">
        <v>34.151400000000002</v>
      </c>
      <c r="AV72" s="41">
        <v>34.151400000000002</v>
      </c>
      <c r="AW72" s="42"/>
      <c r="AX72" s="50">
        <v>0.92100000000000004</v>
      </c>
      <c r="AY72" s="50">
        <v>0.73399999999999999</v>
      </c>
      <c r="BA72" s="55">
        <f t="shared" si="35"/>
        <v>-1.5795549039471779E-3</v>
      </c>
      <c r="BB72" s="55"/>
      <c r="BD72" s="56"/>
      <c r="BE72" s="56"/>
      <c r="BF72" s="56"/>
      <c r="BG72" s="62"/>
      <c r="BI72" s="56"/>
      <c r="BJ72" s="56"/>
      <c r="BK72" s="56"/>
      <c r="BL72" s="62"/>
      <c r="BN72" s="56"/>
      <c r="BO72" s="56"/>
      <c r="BP72" s="56"/>
      <c r="BQ72" s="62"/>
      <c r="BS72" s="56"/>
      <c r="BT72" s="56"/>
      <c r="BU72" s="56"/>
      <c r="BV72" s="62"/>
      <c r="BX72">
        <f t="shared" si="36"/>
        <v>0</v>
      </c>
      <c r="BY72">
        <f t="shared" si="37"/>
        <v>5056</v>
      </c>
      <c r="BZ72">
        <f t="shared" si="38"/>
        <v>0</v>
      </c>
      <c r="CA72">
        <f t="shared" si="39"/>
        <v>5056</v>
      </c>
      <c r="CB72">
        <f t="shared" si="40"/>
        <v>0</v>
      </c>
      <c r="CC72">
        <f t="shared" si="41"/>
        <v>6.1999999999997613E-3</v>
      </c>
      <c r="CD72">
        <f t="shared" si="42"/>
        <v>-2.5900000000000034E-2</v>
      </c>
      <c r="CE72">
        <f t="shared" si="43"/>
        <v>-0.13579999999999615</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1.4359239275535991</v>
      </c>
      <c r="K73" s="18">
        <f t="shared" si="27"/>
        <v>0.97555523820759105</v>
      </c>
      <c r="L73" s="18">
        <f t="shared" si="28"/>
        <v>0.4597030864849091</v>
      </c>
      <c r="M73" s="19"/>
      <c r="N73" s="18">
        <f t="shared" si="29"/>
        <v>1.4359239275535991</v>
      </c>
      <c r="O73" s="20">
        <v>805285</v>
      </c>
      <c r="P73" s="21">
        <v>1156328</v>
      </c>
      <c r="Q73" s="21">
        <v>785600</v>
      </c>
      <c r="R73" s="21">
        <v>370192</v>
      </c>
      <c r="S73" s="37"/>
      <c r="T73" s="38">
        <v>35.700600000000001</v>
      </c>
      <c r="U73" s="38">
        <v>43.5809</v>
      </c>
      <c r="V73" s="38">
        <v>43.52</v>
      </c>
      <c r="W73" s="39"/>
      <c r="X73" s="38">
        <v>28.130800000000001</v>
      </c>
      <c r="Y73" s="38">
        <v>28.130800000000001</v>
      </c>
      <c r="Z73" s="38">
        <v>28.130800000000001</v>
      </c>
      <c r="AA73" s="39"/>
      <c r="AB73" s="49">
        <v>0.92100000000000004</v>
      </c>
      <c r="AC73" s="49">
        <v>0.73399999999999999</v>
      </c>
      <c r="AE73" s="17" t="str">
        <f t="shared" si="30"/>
        <v>·</v>
      </c>
      <c r="AF73" s="18">
        <f t="shared" si="31"/>
        <v>1.4371458551941239</v>
      </c>
      <c r="AG73" s="18">
        <f t="shared" si="32"/>
        <v>0.97555523820759105</v>
      </c>
      <c r="AH73" s="18">
        <f t="shared" si="33"/>
        <v>0.46092501412543385</v>
      </c>
      <c r="AI73" s="19"/>
      <c r="AJ73" s="18">
        <f t="shared" si="34"/>
        <v>1.4371458551941239</v>
      </c>
      <c r="AK73" s="20">
        <v>805285</v>
      </c>
      <c r="AL73" s="21">
        <v>1157312</v>
      </c>
      <c r="AM73" s="21">
        <v>785600</v>
      </c>
      <c r="AN73" s="21">
        <v>371176</v>
      </c>
      <c r="AO73" s="37"/>
      <c r="AP73" s="38">
        <v>35.566699999999997</v>
      </c>
      <c r="AQ73" s="38">
        <v>43.773200000000003</v>
      </c>
      <c r="AR73" s="38">
        <v>43.639499999999998</v>
      </c>
      <c r="AS73" s="39"/>
      <c r="AT73" s="38">
        <v>28.130800000000001</v>
      </c>
      <c r="AU73" s="38">
        <v>28.130800000000001</v>
      </c>
      <c r="AV73" s="38">
        <v>28.130800000000001</v>
      </c>
      <c r="AW73" s="39"/>
      <c r="AX73" s="49">
        <v>0.95299999999999996</v>
      </c>
      <c r="AY73" s="49">
        <v>0.75</v>
      </c>
      <c r="BA73" s="53">
        <f t="shared" si="35"/>
        <v>-5.7765039532775564E-4</v>
      </c>
      <c r="BB73" s="53"/>
      <c r="BD73" s="54"/>
      <c r="BE73" s="54"/>
      <c r="BF73" s="54"/>
      <c r="BG73" s="61"/>
      <c r="BI73" s="54"/>
      <c r="BJ73" s="54"/>
      <c r="BK73" s="54"/>
      <c r="BL73" s="61"/>
      <c r="BN73" s="54"/>
      <c r="BO73" s="54"/>
      <c r="BP73" s="54"/>
      <c r="BQ73" s="61"/>
      <c r="BS73" s="54"/>
      <c r="BT73" s="54"/>
      <c r="BU73" s="54"/>
      <c r="BV73" s="61"/>
      <c r="BX73">
        <f t="shared" si="36"/>
        <v>0</v>
      </c>
      <c r="BY73">
        <f t="shared" si="37"/>
        <v>984</v>
      </c>
      <c r="BZ73">
        <f t="shared" si="38"/>
        <v>0</v>
      </c>
      <c r="CA73">
        <f t="shared" si="39"/>
        <v>984</v>
      </c>
      <c r="CB73">
        <f t="shared" si="40"/>
        <v>0</v>
      </c>
      <c r="CC73">
        <f t="shared" si="41"/>
        <v>-0.13390000000000413</v>
      </c>
      <c r="CD73">
        <f t="shared" si="42"/>
        <v>0.19230000000000302</v>
      </c>
      <c r="CE73">
        <f t="shared" si="43"/>
        <v>0.11949999999999505</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1.1251072601625511</v>
      </c>
      <c r="K74" s="33">
        <f t="shared" si="27"/>
        <v>0.97555523820759105</v>
      </c>
      <c r="L74" s="33">
        <f t="shared" si="28"/>
        <v>0.14888641909386119</v>
      </c>
      <c r="M74" s="34"/>
      <c r="N74" s="33">
        <f t="shared" si="29"/>
        <v>1.1251072601625511</v>
      </c>
      <c r="O74" s="35">
        <v>805285</v>
      </c>
      <c r="P74" s="36">
        <v>906032</v>
      </c>
      <c r="Q74" s="36">
        <v>785600</v>
      </c>
      <c r="R74" s="36">
        <v>119896</v>
      </c>
      <c r="S74" s="46"/>
      <c r="T74" s="47">
        <v>29.942599999999999</v>
      </c>
      <c r="U74" s="47">
        <v>38.519199999999998</v>
      </c>
      <c r="V74" s="47">
        <v>37.423499999999997</v>
      </c>
      <c r="W74" s="48"/>
      <c r="X74" s="47">
        <v>21.686399999999999</v>
      </c>
      <c r="Y74" s="47">
        <v>21.686399999999999</v>
      </c>
      <c r="Z74" s="47">
        <v>21.686399999999999</v>
      </c>
      <c r="AA74" s="48"/>
      <c r="AB74" s="52">
        <v>0.93700000000000006</v>
      </c>
      <c r="AC74" s="52">
        <v>0.70299999999999996</v>
      </c>
      <c r="AE74" s="32" t="str">
        <f t="shared" si="30"/>
        <v>·</v>
      </c>
      <c r="AF74" s="33">
        <f t="shared" si="31"/>
        <v>1.1260311566712407</v>
      </c>
      <c r="AG74" s="33">
        <f t="shared" si="32"/>
        <v>0.97555523820759105</v>
      </c>
      <c r="AH74" s="33">
        <f t="shared" si="33"/>
        <v>0.14981031560255065</v>
      </c>
      <c r="AI74" s="34"/>
      <c r="AJ74" s="33">
        <f t="shared" si="34"/>
        <v>1.1260311566712407</v>
      </c>
      <c r="AK74" s="35">
        <v>805285</v>
      </c>
      <c r="AL74" s="36">
        <v>906776</v>
      </c>
      <c r="AM74" s="36">
        <v>785600</v>
      </c>
      <c r="AN74" s="36">
        <v>120640</v>
      </c>
      <c r="AO74" s="46"/>
      <c r="AP74" s="47">
        <v>29.706099999999999</v>
      </c>
      <c r="AQ74" s="47">
        <v>38.796100000000003</v>
      </c>
      <c r="AR74" s="47">
        <v>37.086399999999998</v>
      </c>
      <c r="AS74" s="48"/>
      <c r="AT74" s="47">
        <v>21.686399999999999</v>
      </c>
      <c r="AU74" s="47">
        <v>21.686399999999999</v>
      </c>
      <c r="AV74" s="47">
        <v>21.686399999999999</v>
      </c>
      <c r="AW74" s="48"/>
      <c r="AX74" s="52">
        <v>0.93700000000000006</v>
      </c>
      <c r="AY74" s="52">
        <v>0.68700000000000006</v>
      </c>
      <c r="BA74" s="59">
        <f t="shared" si="35"/>
        <v>-7.1142784064770481E-4</v>
      </c>
      <c r="BB74" s="59"/>
      <c r="BD74" s="60"/>
      <c r="BE74" s="60"/>
      <c r="BF74" s="60"/>
      <c r="BG74" s="64"/>
      <c r="BI74" s="60"/>
      <c r="BJ74" s="60"/>
      <c r="BK74" s="60"/>
      <c r="BL74" s="64"/>
      <c r="BN74" s="60"/>
      <c r="BO74" s="60"/>
      <c r="BP74" s="60"/>
      <c r="BQ74" s="64"/>
      <c r="BS74" s="60"/>
      <c r="BT74" s="60"/>
      <c r="BU74" s="60"/>
      <c r="BV74" s="64"/>
      <c r="BX74">
        <f t="shared" si="36"/>
        <v>0</v>
      </c>
      <c r="BY74">
        <f t="shared" si="37"/>
        <v>744</v>
      </c>
      <c r="BZ74">
        <f t="shared" si="38"/>
        <v>0</v>
      </c>
      <c r="CA74">
        <f t="shared" si="39"/>
        <v>744</v>
      </c>
      <c r="CB74">
        <f t="shared" si="40"/>
        <v>0</v>
      </c>
      <c r="CC74">
        <f t="shared" si="41"/>
        <v>-0.23649999999999949</v>
      </c>
      <c r="CD74">
        <f t="shared" si="42"/>
        <v>0.27690000000000481</v>
      </c>
      <c r="CE74">
        <f t="shared" si="43"/>
        <v>-0.33709999999999951</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5.1098938753817462</v>
      </c>
      <c r="K75" s="18">
        <f t="shared" si="27"/>
        <v>0.77826718068957523</v>
      </c>
      <c r="L75" s="18">
        <f t="shared" si="28"/>
        <v>4.3310832343482923</v>
      </c>
      <c r="M75" s="19"/>
      <c r="N75" s="18">
        <f t="shared" si="29"/>
        <v>5.1098938753817462</v>
      </c>
      <c r="O75" s="20">
        <v>1000993</v>
      </c>
      <c r="P75" s="21">
        <v>5114968</v>
      </c>
      <c r="Q75" s="21">
        <v>779040</v>
      </c>
      <c r="R75" s="21">
        <v>4335384</v>
      </c>
      <c r="S75" s="37"/>
      <c r="T75" s="38">
        <v>52.9193</v>
      </c>
      <c r="U75" s="38">
        <v>56.154600000000002</v>
      </c>
      <c r="V75" s="38">
        <v>55.727600000000002</v>
      </c>
      <c r="W75" s="39"/>
      <c r="X75" s="38">
        <v>48.130800000000001</v>
      </c>
      <c r="Y75" s="38">
        <v>48.130800000000001</v>
      </c>
      <c r="Z75" s="38">
        <v>48.130800000000001</v>
      </c>
      <c r="AA75" s="39"/>
      <c r="AB75" s="49">
        <v>1.218</v>
      </c>
      <c r="AC75" s="49">
        <v>0.84299999999999997</v>
      </c>
      <c r="AE75" s="17" t="str">
        <f t="shared" si="30"/>
        <v>·</v>
      </c>
      <c r="AF75" s="18">
        <f t="shared" si="31"/>
        <v>5.1340299083010574</v>
      </c>
      <c r="AG75" s="18">
        <f t="shared" si="32"/>
        <v>0.77826718068957523</v>
      </c>
      <c r="AH75" s="18">
        <f t="shared" si="33"/>
        <v>4.3552192672676036</v>
      </c>
      <c r="AI75" s="19"/>
      <c r="AJ75" s="18">
        <f t="shared" si="34"/>
        <v>5.1340299083010574</v>
      </c>
      <c r="AK75" s="20">
        <v>1000993</v>
      </c>
      <c r="AL75" s="21">
        <v>5139128</v>
      </c>
      <c r="AM75" s="21">
        <v>779040</v>
      </c>
      <c r="AN75" s="21">
        <v>4359544</v>
      </c>
      <c r="AO75" s="37"/>
      <c r="AP75" s="38">
        <v>52.965000000000003</v>
      </c>
      <c r="AQ75" s="38">
        <v>56.196100000000001</v>
      </c>
      <c r="AR75" s="38">
        <v>55.827500000000001</v>
      </c>
      <c r="AS75" s="39"/>
      <c r="AT75" s="38">
        <v>48.130800000000001</v>
      </c>
      <c r="AU75" s="38">
        <v>48.130800000000001</v>
      </c>
      <c r="AV75" s="38">
        <v>48.130800000000001</v>
      </c>
      <c r="AW75" s="39"/>
      <c r="AX75" s="49">
        <v>1.1870000000000001</v>
      </c>
      <c r="AY75" s="49">
        <v>0.875</v>
      </c>
      <c r="BA75" s="53">
        <f t="shared" si="35"/>
        <v>-7.1601864488013423E-4</v>
      </c>
      <c r="BB75" s="53">
        <f t="array" ref="BB75">AVERAGE(AM75:AM79/AL75:AL79)-AVERAGE(Q75:Q79/P75:P79)</f>
        <v>-8.9271556737998137E-3</v>
      </c>
      <c r="BD75" s="54">
        <f>IF(OR(ISBLANK(R75:R79),ISBLANK(AN75:AN79),ISBLANK(T75:T79),ISBLANK(AP75:AP79)),"·",bdRateExtend(R75:R79,T75:T79,AN75:AN79,AP75:AP79))</f>
        <v>2.7003923570215083E-2</v>
      </c>
      <c r="BE75" s="54">
        <f>IF(OR(ISBLANK(R75:R79),ISBLANK(AN75:AN79),ISBLANK(U75:U79),ISBLANK(AQ75:AQ79)),"·",bdRateExtend(R75:R79,U75:U79,AN75:AN79,AQ75:AQ79))</f>
        <v>2.8962211849619557E-2</v>
      </c>
      <c r="BF75" s="54">
        <f>IF(OR(ISBLANK(R75:R79),ISBLANK(AN75:AN79),ISBLANK(V75:V79),ISBLANK(AR75:AR79)),"·",bdRateExtend(R75:R79,V75:V79,AN75:AN79,AR75:AR79))</f>
        <v>3.472867202712937E-2</v>
      </c>
      <c r="BG75" s="61"/>
      <c r="BI75" s="54">
        <f>IF(OR(ISBLANK(R75:R79),ISBLANK(AN75:AN79),ISBLANK(X75:X79),ISBLANK(AT75:AT79)),"·",bdRateExtend(R75:R79,X75:X79,AN75:AN79,AT75:AT79))</f>
        <v>3.8373203668480294E-2</v>
      </c>
      <c r="BJ75" s="54">
        <f>IF(OR(ISBLANK(R75:R79),ISBLANK(AN75:AN79),ISBLANK(Y75:Y79),ISBLANK(AU75:AU79)),"·",bdRateExtend(R75:R79,Y75:Y79,AN75:AN79,AU75:AU79))</f>
        <v>3.8373203668480294E-2</v>
      </c>
      <c r="BK75" s="54">
        <f>IF(OR(ISBLANK(R75:R79),ISBLANK(AN75:AN79),ISBLANK(Z75:Z79),ISBLANK(AV75:AV79)),"·",bdRateExtend(R75:R79,Z75:Z79,AN75:AN79,AV75:AV79))</f>
        <v>3.8373203668480294E-2</v>
      </c>
      <c r="BL75" s="61"/>
      <c r="BN75" s="54">
        <f>IF(OR(ISBLANK(P75:P79),ISBLANK(AL75:AL79),ISBLANK(T75:T79),ISBLANK(AP75:AP79)),"·",bdRateExtend(P75:P79,T75:T79,AL75:AL79,AP75:AP79))</f>
        <v>1.0669536325984996E-2</v>
      </c>
      <c r="BO75" s="54">
        <f>IF(OR(ISBLANK(P75:P79),ISBLANK(AL75:AL79),ISBLANK(U75:U79),ISBLANK(AQ75:AQ79)),"·",bdRateExtend(P75:P79,U75:U79,AL75:AL79,AQ75:AQ79))</f>
        <v>1.4191037480973279E-2</v>
      </c>
      <c r="BP75" s="54">
        <f>IF(OR(ISBLANK(P75:P79),ISBLANK(AL75:AL79),ISBLANK(V75:V79),ISBLANK(AR75:AR79)),"·",bdRateExtend(P75:P79,V75:V79,AL75:AL79,AR75:AR79))</f>
        <v>9.3501039976982003E-3</v>
      </c>
      <c r="BQ75" s="61"/>
      <c r="BS75" s="54">
        <f>IF(OR(ISBLANK(P75:P79),ISBLANK(AL75:AL79),ISBLANK(X75:X79),ISBLANK(AT75:AT79)),"·",bdRateExtend(P75:P79,X75:X79,AL75:AL79,AT75:AT79))</f>
        <v>1.592709885437138E-2</v>
      </c>
      <c r="BT75" s="54">
        <f>IF(OR(ISBLANK(P75:P79),ISBLANK(AL75:AL79),ISBLANK(Y75:Y79),ISBLANK(AU75:AU79)),"·",bdRateExtend(P75:P79,Y75:Y79,AL75:AL79,AU75:AU79))</f>
        <v>1.592709885437138E-2</v>
      </c>
      <c r="BU75" s="54">
        <f>IF(OR(ISBLANK(P75:P79),ISBLANK(AL75:AL79),ISBLANK(Z75:Z79),ISBLANK(AV75:AV79)),"·",bdRateExtend(P75:P79,Z75:Z79,AL75:AL79,AV75:AV79))</f>
        <v>1.592709885437138E-2</v>
      </c>
      <c r="BV75" s="61"/>
      <c r="BX75">
        <f t="shared" si="36"/>
        <v>0</v>
      </c>
      <c r="BY75">
        <f t="shared" si="37"/>
        <v>24160</v>
      </c>
      <c r="BZ75">
        <f t="shared" si="38"/>
        <v>0</v>
      </c>
      <c r="CA75">
        <f t="shared" si="39"/>
        <v>24160</v>
      </c>
      <c r="CB75">
        <f t="shared" si="40"/>
        <v>0</v>
      </c>
      <c r="CC75">
        <f t="shared" si="41"/>
        <v>4.5700000000003627E-2</v>
      </c>
      <c r="CD75">
        <f t="shared" si="42"/>
        <v>4.1499999999999204E-2</v>
      </c>
      <c r="CE75">
        <f t="shared" si="43"/>
        <v>9.9899999999998101E-2</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3.5629819589147975</v>
      </c>
      <c r="K76" s="23">
        <f t="shared" si="27"/>
        <v>0.77826718068957523</v>
      </c>
      <c r="L76" s="23">
        <f t="shared" si="28"/>
        <v>2.7841713178813436</v>
      </c>
      <c r="M76" s="24"/>
      <c r="N76" s="23">
        <f t="shared" si="29"/>
        <v>3.5629819589147975</v>
      </c>
      <c r="O76" s="25">
        <v>1000993</v>
      </c>
      <c r="P76" s="26">
        <v>3566520</v>
      </c>
      <c r="Q76" s="26">
        <v>779040</v>
      </c>
      <c r="R76" s="26">
        <v>2786936</v>
      </c>
      <c r="S76" s="40"/>
      <c r="T76" s="41">
        <v>48.203499999999998</v>
      </c>
      <c r="U76" s="41">
        <v>52.2211</v>
      </c>
      <c r="V76" s="41">
        <v>51.655299999999997</v>
      </c>
      <c r="W76" s="42"/>
      <c r="X76" s="41">
        <v>42.110199999999999</v>
      </c>
      <c r="Y76" s="41">
        <v>42.110199999999999</v>
      </c>
      <c r="Z76" s="41">
        <v>42.110199999999999</v>
      </c>
      <c r="AA76" s="42"/>
      <c r="AB76" s="50">
        <v>1.171</v>
      </c>
      <c r="AC76" s="50">
        <v>0.89</v>
      </c>
      <c r="AE76" s="22" t="str">
        <f t="shared" si="30"/>
        <v>·</v>
      </c>
      <c r="AF76" s="23">
        <f t="shared" si="31"/>
        <v>3.5861109917851572</v>
      </c>
      <c r="AG76" s="23">
        <f t="shared" si="32"/>
        <v>0.77826718068957523</v>
      </c>
      <c r="AH76" s="23">
        <f t="shared" si="33"/>
        <v>2.8073003507517034</v>
      </c>
      <c r="AI76" s="24"/>
      <c r="AJ76" s="23">
        <f t="shared" si="34"/>
        <v>3.5861109917851572</v>
      </c>
      <c r="AK76" s="25">
        <v>1000993</v>
      </c>
      <c r="AL76" s="26">
        <v>3589672</v>
      </c>
      <c r="AM76" s="26">
        <v>779040</v>
      </c>
      <c r="AN76" s="26">
        <v>2810088</v>
      </c>
      <c r="AO76" s="40"/>
      <c r="AP76" s="41">
        <v>48.269599999999997</v>
      </c>
      <c r="AQ76" s="41">
        <v>52.1783</v>
      </c>
      <c r="AR76" s="41">
        <v>51.725700000000003</v>
      </c>
      <c r="AS76" s="42"/>
      <c r="AT76" s="41">
        <v>42.110199999999999</v>
      </c>
      <c r="AU76" s="41">
        <v>42.110199999999999</v>
      </c>
      <c r="AV76" s="41">
        <v>42.110199999999999</v>
      </c>
      <c r="AW76" s="42"/>
      <c r="AX76" s="50">
        <v>1.1399999999999999</v>
      </c>
      <c r="AY76" s="50">
        <v>0.875</v>
      </c>
      <c r="BA76" s="55">
        <f t="shared" si="35"/>
        <v>-1.4087983675665772E-3</v>
      </c>
      <c r="BB76" s="55"/>
      <c r="BD76" s="56"/>
      <c r="BE76" s="56"/>
      <c r="BF76" s="56"/>
      <c r="BG76" s="62"/>
      <c r="BI76" s="56"/>
      <c r="BJ76" s="56"/>
      <c r="BK76" s="56"/>
      <c r="BL76" s="62"/>
      <c r="BN76" s="56"/>
      <c r="BO76" s="56"/>
      <c r="BP76" s="56"/>
      <c r="BQ76" s="62"/>
      <c r="BS76" s="56"/>
      <c r="BT76" s="56"/>
      <c r="BU76" s="56"/>
      <c r="BV76" s="62"/>
      <c r="BX76">
        <f t="shared" si="36"/>
        <v>0</v>
      </c>
      <c r="BY76">
        <f t="shared" si="37"/>
        <v>23152</v>
      </c>
      <c r="BZ76">
        <f t="shared" si="38"/>
        <v>0</v>
      </c>
      <c r="CA76">
        <f t="shared" si="39"/>
        <v>23152</v>
      </c>
      <c r="CB76">
        <f t="shared" si="40"/>
        <v>0</v>
      </c>
      <c r="CC76">
        <f t="shared" si="41"/>
        <v>6.6099999999998715E-2</v>
      </c>
      <c r="CD76">
        <f t="shared" si="42"/>
        <v>-4.2799999999999727E-2</v>
      </c>
      <c r="CE76">
        <f t="shared" si="43"/>
        <v>7.0400000000006457E-2</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1.9822236519136498</v>
      </c>
      <c r="K77" s="18">
        <f t="shared" si="27"/>
        <v>0.77826718068957523</v>
      </c>
      <c r="L77" s="18">
        <f t="shared" si="28"/>
        <v>1.2034130108801959</v>
      </c>
      <c r="M77" s="19"/>
      <c r="N77" s="18">
        <f t="shared" si="29"/>
        <v>1.9822236519136498</v>
      </c>
      <c r="O77" s="20">
        <v>1000993</v>
      </c>
      <c r="P77" s="21">
        <v>1984192</v>
      </c>
      <c r="Q77" s="21">
        <v>779040</v>
      </c>
      <c r="R77" s="21">
        <v>1204608</v>
      </c>
      <c r="S77" s="37"/>
      <c r="T77" s="38">
        <v>41.635899999999999</v>
      </c>
      <c r="U77" s="38">
        <v>47.417499999999997</v>
      </c>
      <c r="V77" s="38">
        <v>46.780999999999999</v>
      </c>
      <c r="W77" s="39"/>
      <c r="X77" s="38">
        <v>34.151400000000002</v>
      </c>
      <c r="Y77" s="38">
        <v>34.151400000000002</v>
      </c>
      <c r="Z77" s="38">
        <v>34.151400000000002</v>
      </c>
      <c r="AA77" s="39"/>
      <c r="AB77" s="49">
        <v>1.125</v>
      </c>
      <c r="AC77" s="49">
        <v>0.875</v>
      </c>
      <c r="AE77" s="17" t="str">
        <f t="shared" si="30"/>
        <v>·</v>
      </c>
      <c r="AF77" s="18">
        <f t="shared" si="31"/>
        <v>2.0156384709982986</v>
      </c>
      <c r="AG77" s="18">
        <f t="shared" si="32"/>
        <v>0.77826718068957523</v>
      </c>
      <c r="AH77" s="18">
        <f t="shared" si="33"/>
        <v>1.236827829964845</v>
      </c>
      <c r="AI77" s="19"/>
      <c r="AJ77" s="18">
        <f t="shared" si="34"/>
        <v>2.0156384709982986</v>
      </c>
      <c r="AK77" s="20">
        <v>1000993</v>
      </c>
      <c r="AL77" s="21">
        <v>2017640</v>
      </c>
      <c r="AM77" s="21">
        <v>779040</v>
      </c>
      <c r="AN77" s="21">
        <v>1238056</v>
      </c>
      <c r="AO77" s="37"/>
      <c r="AP77" s="38">
        <v>41.687600000000003</v>
      </c>
      <c r="AQ77" s="38">
        <v>47.409500000000001</v>
      </c>
      <c r="AR77" s="38">
        <v>46.862900000000003</v>
      </c>
      <c r="AS77" s="39"/>
      <c r="AT77" s="38">
        <v>34.151400000000002</v>
      </c>
      <c r="AU77" s="38">
        <v>34.151400000000002</v>
      </c>
      <c r="AV77" s="38">
        <v>34.151400000000002</v>
      </c>
      <c r="AW77" s="39"/>
      <c r="AX77" s="49">
        <v>1.125</v>
      </c>
      <c r="AY77" s="49">
        <v>0.89</v>
      </c>
      <c r="BA77" s="53">
        <f t="shared" si="35"/>
        <v>-6.5088241485602438E-3</v>
      </c>
      <c r="BB77" s="53"/>
      <c r="BD77" s="54"/>
      <c r="BE77" s="54"/>
      <c r="BF77" s="54"/>
      <c r="BG77" s="61"/>
      <c r="BI77" s="54"/>
      <c r="BJ77" s="54"/>
      <c r="BK77" s="54"/>
      <c r="BL77" s="61"/>
      <c r="BN77" s="54"/>
      <c r="BO77" s="54"/>
      <c r="BP77" s="54"/>
      <c r="BQ77" s="61"/>
      <c r="BS77" s="54"/>
      <c r="BT77" s="54"/>
      <c r="BU77" s="54"/>
      <c r="BV77" s="61"/>
      <c r="BX77">
        <f t="shared" si="36"/>
        <v>0</v>
      </c>
      <c r="BY77">
        <f t="shared" si="37"/>
        <v>33448</v>
      </c>
      <c r="BZ77">
        <f t="shared" si="38"/>
        <v>0</v>
      </c>
      <c r="CA77">
        <f t="shared" si="39"/>
        <v>33448</v>
      </c>
      <c r="CB77">
        <f t="shared" si="40"/>
        <v>0</v>
      </c>
      <c r="CC77">
        <f t="shared" si="41"/>
        <v>5.1700000000003854E-2</v>
      </c>
      <c r="CD77">
        <f t="shared" si="42"/>
        <v>-7.9999999999955662E-3</v>
      </c>
      <c r="CE77">
        <f t="shared" si="43"/>
        <v>8.1900000000004525E-2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1.3239093580074985</v>
      </c>
      <c r="K78" s="23">
        <f t="shared" si="27"/>
        <v>0.77826718068957523</v>
      </c>
      <c r="L78" s="23">
        <f t="shared" si="28"/>
        <v>0.54509871697404477</v>
      </c>
      <c r="M78" s="24"/>
      <c r="N78" s="23">
        <f t="shared" si="29"/>
        <v>1.3239093580074985</v>
      </c>
      <c r="O78" s="25">
        <v>1000993</v>
      </c>
      <c r="P78" s="26">
        <v>1325224</v>
      </c>
      <c r="Q78" s="26">
        <v>779040</v>
      </c>
      <c r="R78" s="26">
        <v>545640</v>
      </c>
      <c r="S78" s="40"/>
      <c r="T78" s="41">
        <v>36.549900000000001</v>
      </c>
      <c r="U78" s="41">
        <v>42.671100000000003</v>
      </c>
      <c r="V78" s="41">
        <v>42.324199999999998</v>
      </c>
      <c r="W78" s="42"/>
      <c r="X78" s="41">
        <v>28.130800000000001</v>
      </c>
      <c r="Y78" s="41">
        <v>28.130800000000001</v>
      </c>
      <c r="Z78" s="41">
        <v>28.130800000000001</v>
      </c>
      <c r="AA78" s="42"/>
      <c r="AB78" s="50">
        <v>1.0780000000000001</v>
      </c>
      <c r="AC78" s="50">
        <v>0.84299999999999997</v>
      </c>
      <c r="AE78" s="22" t="str">
        <f t="shared" si="30"/>
        <v>·</v>
      </c>
      <c r="AF78" s="23">
        <f t="shared" si="31"/>
        <v>1.3570444548563276</v>
      </c>
      <c r="AG78" s="23">
        <f t="shared" si="32"/>
        <v>0.77826718068957523</v>
      </c>
      <c r="AH78" s="23">
        <f t="shared" si="33"/>
        <v>0.57823381382287387</v>
      </c>
      <c r="AI78" s="24"/>
      <c r="AJ78" s="23">
        <f t="shared" si="34"/>
        <v>1.3570444548563276</v>
      </c>
      <c r="AK78" s="25">
        <v>1000993</v>
      </c>
      <c r="AL78" s="26">
        <v>1358392</v>
      </c>
      <c r="AM78" s="26">
        <v>779040</v>
      </c>
      <c r="AN78" s="26">
        <v>578808</v>
      </c>
      <c r="AO78" s="40"/>
      <c r="AP78" s="41">
        <v>36.643500000000003</v>
      </c>
      <c r="AQ78" s="41">
        <v>42.741</v>
      </c>
      <c r="AR78" s="41">
        <v>42.566800000000001</v>
      </c>
      <c r="AS78" s="42"/>
      <c r="AT78" s="41">
        <v>28.130800000000001</v>
      </c>
      <c r="AU78" s="41">
        <v>28.130800000000001</v>
      </c>
      <c r="AV78" s="41">
        <v>28.130800000000001</v>
      </c>
      <c r="AW78" s="42"/>
      <c r="AX78" s="50">
        <v>1.0780000000000001</v>
      </c>
      <c r="AY78" s="50">
        <v>0.875</v>
      </c>
      <c r="BA78" s="55">
        <f t="shared" si="35"/>
        <v>-1.4353725426513253E-2</v>
      </c>
      <c r="BB78" s="55"/>
      <c r="BD78" s="56"/>
      <c r="BE78" s="56"/>
      <c r="BF78" s="56"/>
      <c r="BG78" s="62"/>
      <c r="BI78" s="56"/>
      <c r="BJ78" s="56"/>
      <c r="BK78" s="56"/>
      <c r="BL78" s="62"/>
      <c r="BN78" s="56"/>
      <c r="BO78" s="56"/>
      <c r="BP78" s="56"/>
      <c r="BQ78" s="62"/>
      <c r="BS78" s="56"/>
      <c r="BT78" s="56"/>
      <c r="BU78" s="56"/>
      <c r="BV78" s="62"/>
      <c r="BX78">
        <f t="shared" si="36"/>
        <v>0</v>
      </c>
      <c r="BY78">
        <f t="shared" si="37"/>
        <v>33168</v>
      </c>
      <c r="BZ78">
        <f t="shared" si="38"/>
        <v>0</v>
      </c>
      <c r="CA78">
        <f t="shared" si="39"/>
        <v>33168</v>
      </c>
      <c r="CB78">
        <f t="shared" si="40"/>
        <v>0</v>
      </c>
      <c r="CC78">
        <f t="shared" si="41"/>
        <v>9.3600000000002126E-2</v>
      </c>
      <c r="CD78">
        <f t="shared" si="42"/>
        <v>6.9899999999996965E-2</v>
      </c>
      <c r="CE78">
        <f t="shared" si="43"/>
        <v>0.24260000000000304</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0.97995490477955394</v>
      </c>
      <c r="K79" s="28">
        <f t="shared" si="27"/>
        <v>0.77826718068957523</v>
      </c>
      <c r="L79" s="28">
        <f t="shared" si="28"/>
        <v>0.20114426374610012</v>
      </c>
      <c r="M79" s="29"/>
      <c r="N79" s="28">
        <f t="shared" si="29"/>
        <v>0.97995490477955394</v>
      </c>
      <c r="O79" s="30">
        <v>1000993</v>
      </c>
      <c r="P79" s="31">
        <v>980928</v>
      </c>
      <c r="Q79" s="31">
        <v>779040</v>
      </c>
      <c r="R79" s="31">
        <v>201344</v>
      </c>
      <c r="S79" s="43"/>
      <c r="T79" s="44">
        <v>30.159099999999999</v>
      </c>
      <c r="U79" s="44">
        <v>36.482300000000002</v>
      </c>
      <c r="V79" s="44">
        <v>36.719900000000003</v>
      </c>
      <c r="W79" s="45"/>
      <c r="X79" s="44">
        <v>21.686399999999999</v>
      </c>
      <c r="Y79" s="44">
        <v>21.686399999999999</v>
      </c>
      <c r="Z79" s="44">
        <v>21.686399999999999</v>
      </c>
      <c r="AA79" s="45"/>
      <c r="AB79" s="51">
        <v>1.109</v>
      </c>
      <c r="AC79" s="51">
        <v>0.90600000000000003</v>
      </c>
      <c r="AE79" s="27" t="str">
        <f t="shared" si="30"/>
        <v>·</v>
      </c>
      <c r="AF79" s="28">
        <f t="shared" si="31"/>
        <v>1.0074156362731808</v>
      </c>
      <c r="AG79" s="28">
        <f t="shared" si="32"/>
        <v>0.77826718068957523</v>
      </c>
      <c r="AH79" s="28">
        <f t="shared" si="33"/>
        <v>0.22860499523972694</v>
      </c>
      <c r="AI79" s="29"/>
      <c r="AJ79" s="28">
        <f t="shared" si="34"/>
        <v>1.0074156362731808</v>
      </c>
      <c r="AK79" s="30">
        <v>1000993</v>
      </c>
      <c r="AL79" s="31">
        <v>1008416</v>
      </c>
      <c r="AM79" s="31">
        <v>779040</v>
      </c>
      <c r="AN79" s="31">
        <v>228832</v>
      </c>
      <c r="AO79" s="43"/>
      <c r="AP79" s="44">
        <v>30.472000000000001</v>
      </c>
      <c r="AQ79" s="44">
        <v>37.140599999999999</v>
      </c>
      <c r="AR79" s="44">
        <v>35.9236</v>
      </c>
      <c r="AS79" s="45"/>
      <c r="AT79" s="44">
        <v>21.686399999999999</v>
      </c>
      <c r="AU79" s="44">
        <v>21.686399999999999</v>
      </c>
      <c r="AV79" s="44">
        <v>21.686399999999999</v>
      </c>
      <c r="AW79" s="45"/>
      <c r="AX79" s="51">
        <v>1.125</v>
      </c>
      <c r="AY79" s="51">
        <v>0.875</v>
      </c>
      <c r="BA79" s="57">
        <f t="shared" si="35"/>
        <v>-2.164841178147936E-2</v>
      </c>
      <c r="BB79" s="57"/>
      <c r="BD79" s="58"/>
      <c r="BE79" s="58"/>
      <c r="BF79" s="58"/>
      <c r="BG79" s="63"/>
      <c r="BI79" s="58"/>
      <c r="BJ79" s="58"/>
      <c r="BK79" s="58"/>
      <c r="BL79" s="63"/>
      <c r="BN79" s="58"/>
      <c r="BO79" s="58"/>
      <c r="BP79" s="58"/>
      <c r="BQ79" s="63"/>
      <c r="BS79" s="58"/>
      <c r="BT79" s="58"/>
      <c r="BU79" s="58"/>
      <c r="BV79" s="63"/>
      <c r="BX79">
        <f t="shared" si="36"/>
        <v>0</v>
      </c>
      <c r="BY79">
        <f t="shared" si="37"/>
        <v>27488</v>
      </c>
      <c r="BZ79">
        <f t="shared" si="38"/>
        <v>0</v>
      </c>
      <c r="CA79">
        <f t="shared" si="39"/>
        <v>27488</v>
      </c>
      <c r="CB79">
        <f t="shared" si="40"/>
        <v>0</v>
      </c>
      <c r="CC79">
        <f t="shared" si="41"/>
        <v>0.31290000000000262</v>
      </c>
      <c r="CD79">
        <f t="shared" si="42"/>
        <v>0.658299999999997</v>
      </c>
      <c r="CE79">
        <f t="shared" si="43"/>
        <v>-0.79630000000000223</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8.3637060572799715</v>
      </c>
      <c r="K80" s="23">
        <f t="shared" si="27"/>
        <v>3.9133419260389659</v>
      </c>
      <c r="L80" s="23">
        <f t="shared" si="28"/>
        <v>4.4500320692479196</v>
      </c>
      <c r="M80" s="24"/>
      <c r="N80" s="23">
        <f t="shared" si="29"/>
        <v>8.3637060572799715</v>
      </c>
      <c r="O80" s="25">
        <v>2770567</v>
      </c>
      <c r="P80" s="26">
        <v>23172208</v>
      </c>
      <c r="Q80" s="26">
        <v>10842176</v>
      </c>
      <c r="R80" s="26">
        <v>12329112</v>
      </c>
      <c r="S80" s="40"/>
      <c r="T80" s="41">
        <v>53.134799999999998</v>
      </c>
      <c r="U80" s="41">
        <v>55.755899999999997</v>
      </c>
      <c r="V80" s="41">
        <v>55.316000000000003</v>
      </c>
      <c r="W80" s="42"/>
      <c r="X80" s="41">
        <v>48.130800000000001</v>
      </c>
      <c r="Y80" s="41">
        <v>48.130800000000001</v>
      </c>
      <c r="Z80" s="41">
        <v>48.130800000000001</v>
      </c>
      <c r="AA80" s="42"/>
      <c r="AB80" s="50">
        <v>4.5780000000000003</v>
      </c>
      <c r="AC80" s="50">
        <v>3.7029999999999998</v>
      </c>
      <c r="AE80" s="22" t="str">
        <f t="shared" si="30"/>
        <v>·</v>
      </c>
      <c r="AF80" s="23">
        <f t="shared" si="31"/>
        <v>8.380756718751071</v>
      </c>
      <c r="AG80" s="23">
        <f t="shared" si="32"/>
        <v>3.9133419260389659</v>
      </c>
      <c r="AH80" s="23">
        <f t="shared" si="33"/>
        <v>4.4670827307190191</v>
      </c>
      <c r="AI80" s="24"/>
      <c r="AJ80" s="23">
        <f t="shared" si="34"/>
        <v>8.380756718751071</v>
      </c>
      <c r="AK80" s="25">
        <v>2770567</v>
      </c>
      <c r="AL80" s="26">
        <v>23219448</v>
      </c>
      <c r="AM80" s="26">
        <v>10842176</v>
      </c>
      <c r="AN80" s="26">
        <v>12376352</v>
      </c>
      <c r="AO80" s="40"/>
      <c r="AP80" s="41">
        <v>53.145299999999999</v>
      </c>
      <c r="AQ80" s="41">
        <v>55.765099999999997</v>
      </c>
      <c r="AR80" s="41">
        <v>55.334600000000002</v>
      </c>
      <c r="AS80" s="42"/>
      <c r="AT80" s="41">
        <v>48.130800000000001</v>
      </c>
      <c r="AU80" s="41">
        <v>48.130800000000001</v>
      </c>
      <c r="AV80" s="41">
        <v>48.130800000000001</v>
      </c>
      <c r="AW80" s="42"/>
      <c r="AX80" s="50">
        <v>4.625</v>
      </c>
      <c r="AY80" s="50">
        <v>3.6709999999999998</v>
      </c>
      <c r="BA80" s="55">
        <f t="shared" si="35"/>
        <v>-9.5193442513935578E-4</v>
      </c>
      <c r="BB80" s="55">
        <f t="array" ref="BB80">AVERAGE(AM80:AM84/AL80:AL84)-AVERAGE(Q80:Q84/P80:P84)</f>
        <v>-1.4673461815647437E-3</v>
      </c>
      <c r="BD80" s="56">
        <f>IF(OR(ISBLANK(R80:R84),ISBLANK(AN80:AN84),ISBLANK(T80:T84),ISBLANK(AP80:AP84)),"·",bdRateExtend(R80:R84,T80:T84,AN80:AN84,AP80:AP84))</f>
        <v>-1.7723900709822882E-3</v>
      </c>
      <c r="BE80" s="56">
        <f>IF(OR(ISBLANK(R80:R84),ISBLANK(AN80:AN84),ISBLANK(U80:U84),ISBLANK(AQ80:AQ84)),"·",bdRateExtend(R80:R84,U80:U84,AN80:AN84,AQ80:AQ84))</f>
        <v>1.3603105509516045E-2</v>
      </c>
      <c r="BF80" s="56">
        <f>IF(OR(ISBLANK(R80:R84),ISBLANK(AN80:AN84),ISBLANK(V80:V84),ISBLANK(AR80:AR84)),"·",bdRateExtend(R80:R84,V80:V84,AN80:AN84,AR80:AR84))</f>
        <v>2.5351812959077957E-3</v>
      </c>
      <c r="BG80" s="62"/>
      <c r="BI80" s="56">
        <f>IF(OR(ISBLANK(R80:R84),ISBLANK(AN80:AN84),ISBLANK(X80:X84),ISBLANK(AT80:AT84)),"·",bdRateExtend(R80:R84,X80:X84,AN80:AN84,AT80:AT84))</f>
        <v>1.1451072794150807E-2</v>
      </c>
      <c r="BJ80" s="56">
        <f>IF(OR(ISBLANK(R80:R84),ISBLANK(AN80:AN84),ISBLANK(Y80:Y84),ISBLANK(AU80:AU84)),"·",bdRateExtend(R80:R84,Y80:Y84,AN80:AN84,AU80:AU84))</f>
        <v>1.1451072794150807E-2</v>
      </c>
      <c r="BK80" s="56">
        <f>IF(OR(ISBLANK(R80:R84),ISBLANK(AN80:AN84),ISBLANK(Z80:Z84),ISBLANK(AV80:AV84)),"·",bdRateExtend(R80:R84,Z80:Z84,AN80:AN84,AV80:AV84))</f>
        <v>1.1451072794150807E-2</v>
      </c>
      <c r="BL80" s="62"/>
      <c r="BN80" s="56">
        <f>IF(OR(ISBLANK(P80:P84),ISBLANK(AL80:AL84),ISBLANK(T80:T84),ISBLANK(AP80:AP84)),"·",bdRateExtend(P80:P84,T80:T84,AL80:AL84,AP80:AP84))</f>
        <v>7.0224986726241667E-4</v>
      </c>
      <c r="BO80" s="56">
        <f>IF(OR(ISBLANK(P80:P84),ISBLANK(AL80:AL84),ISBLANK(U80:U84),ISBLANK(AQ80:AQ84)),"·",bdRateExtend(P80:P84,U80:U84,AL80:AL84,AQ80:AQ84))</f>
        <v>1.9308940106339545E-3</v>
      </c>
      <c r="BP80" s="56">
        <f>IF(OR(ISBLANK(P80:P84),ISBLANK(AL80:AL84),ISBLANK(V80:V84),ISBLANK(AR80:AR84)),"·",bdRateExtend(P80:P84,V80:V84,AL80:AL84,AR80:AR84))</f>
        <v>7.6476839015060527E-4</v>
      </c>
      <c r="BQ80" s="62"/>
      <c r="BS80" s="56">
        <f>IF(OR(ISBLANK(P80:P84),ISBLANK(AL80:AL84),ISBLANK(X80:X84),ISBLANK(AT80:AT84)),"·",bdRateExtend(P80:P84,X80:X84,AL80:AL84,AT80:AT84))</f>
        <v>2.3180505538134E-3</v>
      </c>
      <c r="BT80" s="56">
        <f>IF(OR(ISBLANK(P80:P84),ISBLANK(AL80:AL84),ISBLANK(Y80:Y84),ISBLANK(AU80:AU84)),"·",bdRateExtend(P80:P84,Y80:Y84,AL80:AL84,AU80:AU84))</f>
        <v>2.3180505538134E-3</v>
      </c>
      <c r="BU80" s="56">
        <f>IF(OR(ISBLANK(P80:P84),ISBLANK(AL80:AL84),ISBLANK(Z80:Z84),ISBLANK(AV80:AV84)),"·",bdRateExtend(P80:P84,Z80:Z84,AL80:AL84,AV80:AV84))</f>
        <v>2.3180505538134E-3</v>
      </c>
      <c r="BV80" s="62"/>
      <c r="BX80">
        <f t="shared" si="36"/>
        <v>0</v>
      </c>
      <c r="BY80">
        <f t="shared" si="37"/>
        <v>47240</v>
      </c>
      <c r="BZ80">
        <f t="shared" si="38"/>
        <v>0</v>
      </c>
      <c r="CA80">
        <f t="shared" si="39"/>
        <v>47240</v>
      </c>
      <c r="CB80">
        <f t="shared" si="40"/>
        <v>0</v>
      </c>
      <c r="CC80">
        <f t="shared" si="41"/>
        <v>1.0500000000000398E-2</v>
      </c>
      <c r="CD80">
        <f t="shared" si="42"/>
        <v>9.1999999999998749E-3</v>
      </c>
      <c r="CE80">
        <f t="shared" si="43"/>
        <v>1.8599999999999284E-2</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6.7649401728960177</v>
      </c>
      <c r="K81" s="18">
        <f t="shared" si="27"/>
        <v>3.9133419260389659</v>
      </c>
      <c r="L81" s="18">
        <f t="shared" si="28"/>
        <v>2.8512661848639649</v>
      </c>
      <c r="M81" s="19"/>
      <c r="N81" s="18">
        <f t="shared" si="29"/>
        <v>6.7649401728960177</v>
      </c>
      <c r="O81" s="20">
        <v>2770567</v>
      </c>
      <c r="P81" s="21">
        <v>18742720</v>
      </c>
      <c r="Q81" s="21">
        <v>10842176</v>
      </c>
      <c r="R81" s="21">
        <v>7899624</v>
      </c>
      <c r="S81" s="37"/>
      <c r="T81" s="38">
        <v>48.632199999999997</v>
      </c>
      <c r="U81" s="38">
        <v>51.715699999999998</v>
      </c>
      <c r="V81" s="38">
        <v>51.258800000000001</v>
      </c>
      <c r="W81" s="39"/>
      <c r="X81" s="38">
        <v>42.110199999999999</v>
      </c>
      <c r="Y81" s="38">
        <v>42.110199999999999</v>
      </c>
      <c r="Z81" s="38">
        <v>42.110199999999999</v>
      </c>
      <c r="AA81" s="39"/>
      <c r="AB81" s="49">
        <v>4.4210000000000003</v>
      </c>
      <c r="AC81" s="49">
        <v>3.6709999999999998</v>
      </c>
      <c r="AE81" s="17" t="str">
        <f t="shared" si="30"/>
        <v>·</v>
      </c>
      <c r="AF81" s="18">
        <f t="shared" si="31"/>
        <v>6.7809368984760159</v>
      </c>
      <c r="AG81" s="18">
        <f t="shared" si="32"/>
        <v>3.9133419260389659</v>
      </c>
      <c r="AH81" s="18">
        <f t="shared" si="33"/>
        <v>2.8672629104439631</v>
      </c>
      <c r="AI81" s="19"/>
      <c r="AJ81" s="18">
        <f t="shared" si="34"/>
        <v>6.7809368984760159</v>
      </c>
      <c r="AK81" s="20">
        <v>2770567</v>
      </c>
      <c r="AL81" s="21">
        <v>18787040</v>
      </c>
      <c r="AM81" s="21">
        <v>10842176</v>
      </c>
      <c r="AN81" s="21">
        <v>7943944</v>
      </c>
      <c r="AO81" s="37"/>
      <c r="AP81" s="38">
        <v>48.647100000000002</v>
      </c>
      <c r="AQ81" s="38">
        <v>51.7271</v>
      </c>
      <c r="AR81" s="38">
        <v>51.2789</v>
      </c>
      <c r="AS81" s="39"/>
      <c r="AT81" s="38">
        <v>42.110199999999999</v>
      </c>
      <c r="AU81" s="38">
        <v>42.110199999999999</v>
      </c>
      <c r="AV81" s="38">
        <v>42.110199999999999</v>
      </c>
      <c r="AW81" s="39"/>
      <c r="AX81" s="49">
        <v>4.5309999999999997</v>
      </c>
      <c r="AY81" s="49">
        <v>3.6709999999999998</v>
      </c>
      <c r="BA81" s="53">
        <f t="shared" si="35"/>
        <v>-1.3646624047815026E-3</v>
      </c>
      <c r="BB81" s="53"/>
      <c r="BD81" s="54"/>
      <c r="BE81" s="54"/>
      <c r="BF81" s="54"/>
      <c r="BG81" s="61"/>
      <c r="BI81" s="54"/>
      <c r="BJ81" s="54"/>
      <c r="BK81" s="54"/>
      <c r="BL81" s="61"/>
      <c r="BN81" s="54"/>
      <c r="BO81" s="54"/>
      <c r="BP81" s="54"/>
      <c r="BQ81" s="61"/>
      <c r="BS81" s="54"/>
      <c r="BT81" s="54"/>
      <c r="BU81" s="54"/>
      <c r="BV81" s="61"/>
      <c r="BX81">
        <f t="shared" si="36"/>
        <v>0</v>
      </c>
      <c r="BY81">
        <f t="shared" si="37"/>
        <v>44320</v>
      </c>
      <c r="BZ81">
        <f t="shared" si="38"/>
        <v>0</v>
      </c>
      <c r="CA81">
        <f t="shared" si="39"/>
        <v>44320</v>
      </c>
      <c r="CB81">
        <f t="shared" si="40"/>
        <v>0</v>
      </c>
      <c r="CC81">
        <f t="shared" si="41"/>
        <v>1.4900000000004354E-2</v>
      </c>
      <c r="CD81">
        <f t="shared" si="42"/>
        <v>1.1400000000001853E-2</v>
      </c>
      <c r="CE81">
        <f t="shared" si="43"/>
        <v>2.0099999999999341E-2</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5.2772187064958187</v>
      </c>
      <c r="K82" s="23">
        <f t="shared" si="27"/>
        <v>3.9133419260389659</v>
      </c>
      <c r="L82" s="23">
        <f t="shared" si="28"/>
        <v>1.3635447184637657</v>
      </c>
      <c r="M82" s="24"/>
      <c r="N82" s="23">
        <f t="shared" si="29"/>
        <v>5.2772187064958187</v>
      </c>
      <c r="O82" s="25">
        <v>2770567</v>
      </c>
      <c r="P82" s="26">
        <v>14620888</v>
      </c>
      <c r="Q82" s="26">
        <v>10842176</v>
      </c>
      <c r="R82" s="26">
        <v>3777792</v>
      </c>
      <c r="S82" s="40"/>
      <c r="T82" s="41">
        <v>41.895099999999999</v>
      </c>
      <c r="U82" s="41">
        <v>45.825200000000002</v>
      </c>
      <c r="V82" s="41">
        <v>45.064900000000002</v>
      </c>
      <c r="W82" s="42"/>
      <c r="X82" s="41">
        <v>34.151400000000002</v>
      </c>
      <c r="Y82" s="41">
        <v>34.151400000000002</v>
      </c>
      <c r="Z82" s="41">
        <v>34.151400000000002</v>
      </c>
      <c r="AA82" s="42"/>
      <c r="AB82" s="50">
        <v>4.5460000000000003</v>
      </c>
      <c r="AC82" s="50">
        <v>3.609</v>
      </c>
      <c r="AE82" s="22" t="str">
        <f t="shared" si="30"/>
        <v>·</v>
      </c>
      <c r="AF82" s="23">
        <f t="shared" si="31"/>
        <v>5.2904809737501388</v>
      </c>
      <c r="AG82" s="23">
        <f t="shared" si="32"/>
        <v>3.9133419260389659</v>
      </c>
      <c r="AH82" s="23">
        <f t="shared" si="33"/>
        <v>1.3768069857180858</v>
      </c>
      <c r="AI82" s="24"/>
      <c r="AJ82" s="23">
        <f t="shared" si="34"/>
        <v>5.2904809737501388</v>
      </c>
      <c r="AK82" s="25">
        <v>2770567</v>
      </c>
      <c r="AL82" s="26">
        <v>14657632</v>
      </c>
      <c r="AM82" s="26">
        <v>10842176</v>
      </c>
      <c r="AN82" s="26">
        <v>3814536</v>
      </c>
      <c r="AO82" s="40"/>
      <c r="AP82" s="41">
        <v>41.939300000000003</v>
      </c>
      <c r="AQ82" s="41">
        <v>45.860900000000001</v>
      </c>
      <c r="AR82" s="41">
        <v>45.124000000000002</v>
      </c>
      <c r="AS82" s="42"/>
      <c r="AT82" s="41">
        <v>34.151400000000002</v>
      </c>
      <c r="AU82" s="41">
        <v>34.151400000000002</v>
      </c>
      <c r="AV82" s="41">
        <v>34.151400000000002</v>
      </c>
      <c r="AW82" s="42"/>
      <c r="AX82" s="50">
        <v>4.4530000000000003</v>
      </c>
      <c r="AY82" s="50">
        <v>3.64</v>
      </c>
      <c r="BA82" s="55">
        <f t="shared" si="35"/>
        <v>-1.8589397796416884E-3</v>
      </c>
      <c r="BB82" s="55"/>
      <c r="BD82" s="56"/>
      <c r="BE82" s="56"/>
      <c r="BF82" s="56"/>
      <c r="BG82" s="62"/>
      <c r="BI82" s="56"/>
      <c r="BJ82" s="56"/>
      <c r="BK82" s="56"/>
      <c r="BL82" s="62"/>
      <c r="BN82" s="56"/>
      <c r="BO82" s="56"/>
      <c r="BP82" s="56"/>
      <c r="BQ82" s="62"/>
      <c r="BS82" s="56"/>
      <c r="BT82" s="56"/>
      <c r="BU82" s="56"/>
      <c r="BV82" s="62"/>
      <c r="BX82">
        <f t="shared" si="36"/>
        <v>0</v>
      </c>
      <c r="BY82">
        <f t="shared" si="37"/>
        <v>36744</v>
      </c>
      <c r="BZ82">
        <f t="shared" si="38"/>
        <v>0</v>
      </c>
      <c r="CA82">
        <f t="shared" si="39"/>
        <v>36744</v>
      </c>
      <c r="CB82">
        <f t="shared" si="40"/>
        <v>0</v>
      </c>
      <c r="CC82">
        <f t="shared" si="41"/>
        <v>4.420000000000357E-2</v>
      </c>
      <c r="CD82">
        <f t="shared" si="42"/>
        <v>3.5699999999998511E-2</v>
      </c>
      <c r="CE82">
        <f t="shared" si="43"/>
        <v>5.9100000000000819E-2</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4.5274371635842048</v>
      </c>
      <c r="K83" s="18">
        <f t="shared" si="27"/>
        <v>3.9133419260389659</v>
      </c>
      <c r="L83" s="18">
        <f t="shared" si="28"/>
        <v>0.61376317555215232</v>
      </c>
      <c r="M83" s="19"/>
      <c r="N83" s="18">
        <f t="shared" si="29"/>
        <v>4.5274371635842048</v>
      </c>
      <c r="O83" s="20">
        <v>2770567</v>
      </c>
      <c r="P83" s="21">
        <v>12543568</v>
      </c>
      <c r="Q83" s="21">
        <v>10842176</v>
      </c>
      <c r="R83" s="21">
        <v>1700472</v>
      </c>
      <c r="S83" s="37"/>
      <c r="T83" s="38">
        <v>36.407299999999999</v>
      </c>
      <c r="U83" s="38">
        <v>40.854100000000003</v>
      </c>
      <c r="V83" s="38">
        <v>39.680799999999998</v>
      </c>
      <c r="W83" s="39"/>
      <c r="X83" s="38">
        <v>28.130800000000001</v>
      </c>
      <c r="Y83" s="38">
        <v>28.130800000000001</v>
      </c>
      <c r="Z83" s="38">
        <v>28.130800000000001</v>
      </c>
      <c r="AA83" s="39"/>
      <c r="AB83" s="49">
        <v>4.484</v>
      </c>
      <c r="AC83" s="49">
        <v>3.5459999999999998</v>
      </c>
      <c r="AE83" s="17" t="str">
        <f t="shared" si="30"/>
        <v>·</v>
      </c>
      <c r="AF83" s="18">
        <f t="shared" si="31"/>
        <v>4.5394173827956514</v>
      </c>
      <c r="AG83" s="18">
        <f t="shared" si="32"/>
        <v>3.9133419260389659</v>
      </c>
      <c r="AH83" s="18">
        <f t="shared" si="33"/>
        <v>0.62574339476359897</v>
      </c>
      <c r="AI83" s="19"/>
      <c r="AJ83" s="18">
        <f t="shared" si="34"/>
        <v>4.5394173827956514</v>
      </c>
      <c r="AK83" s="20">
        <v>2770567</v>
      </c>
      <c r="AL83" s="21">
        <v>12576760</v>
      </c>
      <c r="AM83" s="21">
        <v>10842176</v>
      </c>
      <c r="AN83" s="21">
        <v>1733664</v>
      </c>
      <c r="AO83" s="37"/>
      <c r="AP83" s="38">
        <v>36.513599999999997</v>
      </c>
      <c r="AQ83" s="38">
        <v>40.867100000000001</v>
      </c>
      <c r="AR83" s="38">
        <v>39.765599999999999</v>
      </c>
      <c r="AS83" s="39"/>
      <c r="AT83" s="38">
        <v>28.130800000000001</v>
      </c>
      <c r="AU83" s="38">
        <v>28.130800000000001</v>
      </c>
      <c r="AV83" s="38">
        <v>28.130800000000001</v>
      </c>
      <c r="AW83" s="39"/>
      <c r="AX83" s="49">
        <v>4.5309999999999997</v>
      </c>
      <c r="AY83" s="49">
        <v>3.5779999999999998</v>
      </c>
      <c r="BA83" s="53">
        <f t="shared" si="35"/>
        <v>-2.2811824027397787E-3</v>
      </c>
      <c r="BB83" s="53"/>
      <c r="BD83" s="54"/>
      <c r="BE83" s="54"/>
      <c r="BF83" s="54"/>
      <c r="BG83" s="61"/>
      <c r="BI83" s="54"/>
      <c r="BJ83" s="54"/>
      <c r="BK83" s="54"/>
      <c r="BL83" s="61"/>
      <c r="BN83" s="54"/>
      <c r="BO83" s="54"/>
      <c r="BP83" s="54"/>
      <c r="BQ83" s="61"/>
      <c r="BS83" s="54"/>
      <c r="BT83" s="54"/>
      <c r="BU83" s="54"/>
      <c r="BV83" s="61"/>
      <c r="BX83">
        <f t="shared" si="36"/>
        <v>0</v>
      </c>
      <c r="BY83">
        <f t="shared" si="37"/>
        <v>33192</v>
      </c>
      <c r="BZ83">
        <f t="shared" si="38"/>
        <v>0</v>
      </c>
      <c r="CA83">
        <f t="shared" si="39"/>
        <v>33192</v>
      </c>
      <c r="CB83">
        <f t="shared" si="40"/>
        <v>0</v>
      </c>
      <c r="CC83">
        <f t="shared" si="41"/>
        <v>0.1062999999999974</v>
      </c>
      <c r="CD83">
        <f t="shared" si="42"/>
        <v>1.2999999999998124E-2</v>
      </c>
      <c r="CE83">
        <f t="shared" si="43"/>
        <v>8.4800000000001319E-2</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4.1212878085965796</v>
      </c>
      <c r="K84" s="33">
        <f t="shared" si="27"/>
        <v>3.9133419260389659</v>
      </c>
      <c r="L84" s="33">
        <f t="shared" si="28"/>
        <v>0.20761382056452704</v>
      </c>
      <c r="M84" s="34"/>
      <c r="N84" s="33">
        <f t="shared" si="29"/>
        <v>4.1212878085965796</v>
      </c>
      <c r="O84" s="35">
        <v>2770567</v>
      </c>
      <c r="P84" s="36">
        <v>11418304</v>
      </c>
      <c r="Q84" s="36">
        <v>10842176</v>
      </c>
      <c r="R84" s="36">
        <v>575208</v>
      </c>
      <c r="S84" s="46"/>
      <c r="T84" s="47">
        <v>30.6526</v>
      </c>
      <c r="U84" s="47">
        <v>35.864800000000002</v>
      </c>
      <c r="V84" s="47">
        <v>33.457299999999996</v>
      </c>
      <c r="W84" s="48"/>
      <c r="X84" s="47">
        <v>21.686399999999999</v>
      </c>
      <c r="Y84" s="47">
        <v>21.686399999999999</v>
      </c>
      <c r="Z84" s="47">
        <v>21.686399999999999</v>
      </c>
      <c r="AA84" s="48"/>
      <c r="AB84" s="52">
        <v>4.5</v>
      </c>
      <c r="AC84" s="52">
        <v>3.625</v>
      </c>
      <c r="AE84" s="32" t="str">
        <f t="shared" si="30"/>
        <v>·</v>
      </c>
      <c r="AF84" s="33">
        <f t="shared" si="31"/>
        <v>4.1251108527604634</v>
      </c>
      <c r="AG84" s="33">
        <f t="shared" si="32"/>
        <v>3.9133419260389659</v>
      </c>
      <c r="AH84" s="33">
        <f t="shared" si="33"/>
        <v>0.21143686472841119</v>
      </c>
      <c r="AI84" s="34"/>
      <c r="AJ84" s="33">
        <f t="shared" si="34"/>
        <v>4.1251108527604634</v>
      </c>
      <c r="AK84" s="35">
        <v>2770567</v>
      </c>
      <c r="AL84" s="36">
        <v>11428896</v>
      </c>
      <c r="AM84" s="36">
        <v>10842176</v>
      </c>
      <c r="AN84" s="36">
        <v>585800</v>
      </c>
      <c r="AO84" s="46"/>
      <c r="AP84" s="47">
        <v>30.980399999999999</v>
      </c>
      <c r="AQ84" s="47">
        <v>35.673900000000003</v>
      </c>
      <c r="AR84" s="47">
        <v>33.591500000000003</v>
      </c>
      <c r="AS84" s="48"/>
      <c r="AT84" s="47">
        <v>21.686399999999999</v>
      </c>
      <c r="AU84" s="47">
        <v>21.686399999999999</v>
      </c>
      <c r="AV84" s="47">
        <v>21.686399999999999</v>
      </c>
      <c r="AW84" s="48"/>
      <c r="AX84" s="52">
        <v>4.4210000000000003</v>
      </c>
      <c r="AY84" s="52">
        <v>3.625</v>
      </c>
      <c r="BA84" s="59">
        <f t="shared" si="35"/>
        <v>-8.8001189552211478E-4</v>
      </c>
      <c r="BB84" s="59"/>
      <c r="BD84" s="60"/>
      <c r="BE84" s="60"/>
      <c r="BF84" s="60"/>
      <c r="BG84" s="64"/>
      <c r="BI84" s="60"/>
      <c r="BJ84" s="60"/>
      <c r="BK84" s="60"/>
      <c r="BL84" s="64"/>
      <c r="BN84" s="60"/>
      <c r="BO84" s="60"/>
      <c r="BP84" s="60"/>
      <c r="BQ84" s="64"/>
      <c r="BS84" s="60"/>
      <c r="BT84" s="60"/>
      <c r="BU84" s="60"/>
      <c r="BV84" s="64"/>
      <c r="BX84">
        <f t="shared" si="36"/>
        <v>0</v>
      </c>
      <c r="BY84">
        <f t="shared" si="37"/>
        <v>10592</v>
      </c>
      <c r="BZ84">
        <f t="shared" si="38"/>
        <v>0</v>
      </c>
      <c r="CA84">
        <f t="shared" si="39"/>
        <v>10592</v>
      </c>
      <c r="CB84">
        <f t="shared" si="40"/>
        <v>0</v>
      </c>
      <c r="CC84">
        <f t="shared" si="41"/>
        <v>0.32779999999999987</v>
      </c>
      <c r="CD84">
        <f t="shared" si="42"/>
        <v>-0.19089999999999918</v>
      </c>
      <c r="CE84">
        <f t="shared" si="43"/>
        <v>0.13420000000000698</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7.029028984110937</v>
      </c>
      <c r="K85" s="18">
        <f t="shared" si="27"/>
        <v>1.1048936835728549</v>
      </c>
      <c r="L85" s="18">
        <f t="shared" si="28"/>
        <v>5.9234278881496545</v>
      </c>
      <c r="M85" s="19"/>
      <c r="N85" s="18">
        <f t="shared" si="29"/>
        <v>7.029028984110937</v>
      </c>
      <c r="O85" s="20">
        <v>757691</v>
      </c>
      <c r="P85" s="21">
        <v>5325832</v>
      </c>
      <c r="Q85" s="21">
        <v>837168</v>
      </c>
      <c r="R85" s="21">
        <v>4488128</v>
      </c>
      <c r="S85" s="37"/>
      <c r="T85" s="38">
        <v>53.201799999999999</v>
      </c>
      <c r="U85" s="38">
        <v>55.515999999999998</v>
      </c>
      <c r="V85" s="38">
        <v>55.207599999999999</v>
      </c>
      <c r="W85" s="39"/>
      <c r="X85" s="38">
        <v>48.130800000000001</v>
      </c>
      <c r="Y85" s="38">
        <v>48.130800000000001</v>
      </c>
      <c r="Z85" s="38">
        <v>48.130800000000001</v>
      </c>
      <c r="AA85" s="39"/>
      <c r="AB85" s="49">
        <v>0.95299999999999996</v>
      </c>
      <c r="AC85" s="49">
        <v>0.71799999999999997</v>
      </c>
      <c r="AE85" s="17" t="str">
        <f t="shared" si="30"/>
        <v>·</v>
      </c>
      <c r="AF85" s="18">
        <f t="shared" si="31"/>
        <v>7.0828662343884252</v>
      </c>
      <c r="AG85" s="18">
        <f t="shared" si="32"/>
        <v>1.1048936835728549</v>
      </c>
      <c r="AH85" s="18">
        <f t="shared" si="33"/>
        <v>5.9772651384271427</v>
      </c>
      <c r="AI85" s="19"/>
      <c r="AJ85" s="18">
        <f t="shared" si="34"/>
        <v>7.0828662343884252</v>
      </c>
      <c r="AK85" s="20">
        <v>757691</v>
      </c>
      <c r="AL85" s="21">
        <v>5366624</v>
      </c>
      <c r="AM85" s="21">
        <v>837168</v>
      </c>
      <c r="AN85" s="21">
        <v>4528920</v>
      </c>
      <c r="AO85" s="37"/>
      <c r="AP85" s="38">
        <v>53.222700000000003</v>
      </c>
      <c r="AQ85" s="38">
        <v>55.554000000000002</v>
      </c>
      <c r="AR85" s="38">
        <v>55.247999999999998</v>
      </c>
      <c r="AS85" s="39"/>
      <c r="AT85" s="38">
        <v>48.130800000000001</v>
      </c>
      <c r="AU85" s="38">
        <v>48.130800000000001</v>
      </c>
      <c r="AV85" s="38">
        <v>48.130800000000001</v>
      </c>
      <c r="AW85" s="39"/>
      <c r="AX85" s="49">
        <v>0.98399999999999999</v>
      </c>
      <c r="AY85" s="49">
        <v>0.73399999999999999</v>
      </c>
      <c r="BA85" s="53">
        <f t="shared" si="35"/>
        <v>-1.1948103805906329E-3</v>
      </c>
      <c r="BB85" s="53">
        <f t="array" ref="BB85">AVERAGE(AM85:AM89/AL85:AL89)-AVERAGE(Q85:Q89/P85:P89)</f>
        <v>-5.4385200617265705E-3</v>
      </c>
      <c r="BD85" s="54">
        <f>IF(OR(ISBLANK(R85:R89),ISBLANK(AN85:AN89),ISBLANK(T85:T89),ISBLANK(AP85:AP89)),"·",bdRateExtend(R85:R89,T85:T89,AN85:AN89,AP85:AP89))</f>
        <v>1.5546469493779691E-2</v>
      </c>
      <c r="BE85" s="54">
        <f>IF(OR(ISBLANK(R85:R89),ISBLANK(AN85:AN89),ISBLANK(U85:U89),ISBLANK(AQ85:AQ89)),"·",bdRateExtend(R85:R89,U85:U89,AN85:AN89,AQ85:AQ89))</f>
        <v>1.9834868568982866E-2</v>
      </c>
      <c r="BF85" s="54">
        <f>IF(OR(ISBLANK(R85:R89),ISBLANK(AN85:AN89),ISBLANK(V85:V89),ISBLANK(AR85:AR89)),"·",bdRateExtend(R85:R89,V85:V89,AN85:AN89,AR85:AR89))</f>
        <v>1.1839278274085263E-2</v>
      </c>
      <c r="BG85" s="61"/>
      <c r="BI85" s="54">
        <f>IF(OR(ISBLANK(R85:R89),ISBLANK(AN85:AN89),ISBLANK(X85:X89),ISBLANK(AT85:AT89)),"·",bdRateExtend(R85:R89,X85:X89,AN85:AN89,AT85:AT89))</f>
        <v>2.4758667529564571E-2</v>
      </c>
      <c r="BJ85" s="54">
        <f>IF(OR(ISBLANK(R85:R89),ISBLANK(AN85:AN89),ISBLANK(Y85:Y89),ISBLANK(AU85:AU89)),"·",bdRateExtend(R85:R89,Y85:Y89,AN85:AN89,AU85:AU89))</f>
        <v>2.4758667529564571E-2</v>
      </c>
      <c r="BK85" s="54">
        <f>IF(OR(ISBLANK(R85:R89),ISBLANK(AN85:AN89),ISBLANK(Z85:Z89),ISBLANK(AV85:AV89)),"·",bdRateExtend(R85:R89,Z85:Z89,AN85:AN89,AV85:AV89))</f>
        <v>2.4758667529564571E-2</v>
      </c>
      <c r="BL85" s="61"/>
      <c r="BN85" s="54">
        <f>IF(OR(ISBLANK(P85:P89),ISBLANK(AL85:AL89),ISBLANK(T85:T89),ISBLANK(AP85:AP89)),"·",bdRateExtend(P85:P89,T85:T89,AL85:AL89,AP85:AP89))</f>
        <v>8.9320665529213361E-3</v>
      </c>
      <c r="BO85" s="54">
        <f>IF(OR(ISBLANK(P85:P89),ISBLANK(AL85:AL89),ISBLANK(U85:U89),ISBLANK(AQ85:AQ89)),"·",bdRateExtend(P85:P89,U85:U89,AL85:AL89,AQ85:AQ89))</f>
        <v>1.0583284607445398E-2</v>
      </c>
      <c r="BP85" s="54">
        <f>IF(OR(ISBLANK(P85:P89),ISBLANK(AL85:AL89),ISBLANK(V85:V89),ISBLANK(AR85:AR89)),"·",bdRateExtend(P85:P89,V85:V89,AL85:AL89,AR85:AR89))</f>
        <v>6.6086247427235012E-3</v>
      </c>
      <c r="BQ85" s="61"/>
      <c r="BS85" s="54">
        <f>IF(OR(ISBLANK(P85:P89),ISBLANK(AL85:AL89),ISBLANK(X85:X89),ISBLANK(AT85:AT89)),"·",bdRateExtend(P85:P89,X85:X89,AL85:AL89,AT85:AT89))</f>
        <v>1.3319985078960483E-2</v>
      </c>
      <c r="BT85" s="54">
        <f>IF(OR(ISBLANK(P85:P89),ISBLANK(AL85:AL89),ISBLANK(Y85:Y89),ISBLANK(AU85:AU89)),"·",bdRateExtend(P85:P89,Y85:Y89,AL85:AL89,AU85:AU89))</f>
        <v>1.3319985078960483E-2</v>
      </c>
      <c r="BU85" s="54">
        <f>IF(OR(ISBLANK(P85:P89),ISBLANK(AL85:AL89),ISBLANK(Z85:Z89),ISBLANK(AV85:AV89)),"·",bdRateExtend(P85:P89,Z85:Z89,AL85:AL89,AV85:AV89))</f>
        <v>1.3319985078960483E-2</v>
      </c>
      <c r="BV85" s="61"/>
      <c r="BX85">
        <f t="shared" si="36"/>
        <v>0</v>
      </c>
      <c r="BY85">
        <f t="shared" si="37"/>
        <v>40792</v>
      </c>
      <c r="BZ85">
        <f t="shared" si="38"/>
        <v>0</v>
      </c>
      <c r="CA85">
        <f t="shared" si="39"/>
        <v>40792</v>
      </c>
      <c r="CB85">
        <f t="shared" si="40"/>
        <v>0</v>
      </c>
      <c r="CC85">
        <f t="shared" si="41"/>
        <v>2.0900000000004582E-2</v>
      </c>
      <c r="CD85">
        <f t="shared" si="42"/>
        <v>3.8000000000003809E-2</v>
      </c>
      <c r="CE85">
        <f t="shared" si="43"/>
        <v>4.0399999999998215E-2</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5.0938971163706581</v>
      </c>
      <c r="K86" s="23">
        <f t="shared" si="27"/>
        <v>1.1048936835728549</v>
      </c>
      <c r="L86" s="23">
        <f t="shared" si="28"/>
        <v>3.9882960204093751</v>
      </c>
      <c r="M86" s="24"/>
      <c r="N86" s="23">
        <f t="shared" si="29"/>
        <v>5.0938971163706581</v>
      </c>
      <c r="O86" s="25">
        <v>757691</v>
      </c>
      <c r="P86" s="26">
        <v>3859600</v>
      </c>
      <c r="Q86" s="26">
        <v>837168</v>
      </c>
      <c r="R86" s="26">
        <v>3021896</v>
      </c>
      <c r="S86" s="40"/>
      <c r="T86" s="41">
        <v>48.546100000000003</v>
      </c>
      <c r="U86" s="41">
        <v>51.338000000000001</v>
      </c>
      <c r="V86" s="41">
        <v>50.9863</v>
      </c>
      <c r="W86" s="42"/>
      <c r="X86" s="41">
        <v>42.110199999999999</v>
      </c>
      <c r="Y86" s="41">
        <v>42.110199999999999</v>
      </c>
      <c r="Z86" s="41">
        <v>42.110199999999999</v>
      </c>
      <c r="AA86" s="42"/>
      <c r="AB86" s="50">
        <v>0.90600000000000003</v>
      </c>
      <c r="AC86" s="50">
        <v>0.68700000000000006</v>
      </c>
      <c r="AE86" s="22" t="str">
        <f t="shared" si="30"/>
        <v>·</v>
      </c>
      <c r="AF86" s="23">
        <f t="shared" si="31"/>
        <v>5.1438699944964368</v>
      </c>
      <c r="AG86" s="23">
        <f t="shared" si="32"/>
        <v>1.1048936835728549</v>
      </c>
      <c r="AH86" s="23">
        <f t="shared" si="33"/>
        <v>4.0382688985351551</v>
      </c>
      <c r="AI86" s="24"/>
      <c r="AJ86" s="23">
        <f t="shared" si="34"/>
        <v>5.1438699944964368</v>
      </c>
      <c r="AK86" s="25">
        <v>757691</v>
      </c>
      <c r="AL86" s="26">
        <v>3897464</v>
      </c>
      <c r="AM86" s="26">
        <v>837168</v>
      </c>
      <c r="AN86" s="26">
        <v>3059760</v>
      </c>
      <c r="AO86" s="40"/>
      <c r="AP86" s="41">
        <v>48.563000000000002</v>
      </c>
      <c r="AQ86" s="41">
        <v>51.363100000000003</v>
      </c>
      <c r="AR86" s="41">
        <v>51.0154</v>
      </c>
      <c r="AS86" s="42"/>
      <c r="AT86" s="41">
        <v>42.110199999999999</v>
      </c>
      <c r="AU86" s="41">
        <v>42.110199999999999</v>
      </c>
      <c r="AV86" s="41">
        <v>42.110199999999999</v>
      </c>
      <c r="AW86" s="42"/>
      <c r="AX86" s="50">
        <v>0.93700000000000006</v>
      </c>
      <c r="AY86" s="50">
        <v>0.73399999999999999</v>
      </c>
      <c r="BA86" s="55">
        <f t="shared" si="35"/>
        <v>-2.1072433928117085E-3</v>
      </c>
      <c r="BB86" s="55"/>
      <c r="BD86" s="56"/>
      <c r="BE86" s="56"/>
      <c r="BF86" s="56"/>
      <c r="BG86" s="62"/>
      <c r="BI86" s="56"/>
      <c r="BJ86" s="56"/>
      <c r="BK86" s="56"/>
      <c r="BL86" s="62"/>
      <c r="BN86" s="56"/>
      <c r="BO86" s="56"/>
      <c r="BP86" s="56"/>
      <c r="BQ86" s="62"/>
      <c r="BS86" s="56"/>
      <c r="BT86" s="56"/>
      <c r="BU86" s="56"/>
      <c r="BV86" s="62"/>
      <c r="BX86">
        <f t="shared" si="36"/>
        <v>0</v>
      </c>
      <c r="BY86">
        <f t="shared" si="37"/>
        <v>37864</v>
      </c>
      <c r="BZ86">
        <f t="shared" si="38"/>
        <v>0</v>
      </c>
      <c r="CA86">
        <f t="shared" si="39"/>
        <v>37864</v>
      </c>
      <c r="CB86">
        <f t="shared" si="40"/>
        <v>0</v>
      </c>
      <c r="CC86">
        <f t="shared" si="41"/>
        <v>1.6899999999999693E-2</v>
      </c>
      <c r="CD86">
        <f t="shared" si="42"/>
        <v>2.5100000000001899E-2</v>
      </c>
      <c r="CE86">
        <f t="shared" si="43"/>
        <v>2.9099999999999682E-2</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3.2019279627183113</v>
      </c>
      <c r="K87" s="18">
        <f t="shared" si="27"/>
        <v>1.1048936835728549</v>
      </c>
      <c r="L87" s="18">
        <f t="shared" si="28"/>
        <v>2.0963268667570287</v>
      </c>
      <c r="M87" s="19"/>
      <c r="N87" s="18">
        <f t="shared" si="29"/>
        <v>3.2019279627183113</v>
      </c>
      <c r="O87" s="20">
        <v>757691</v>
      </c>
      <c r="P87" s="21">
        <v>2426072</v>
      </c>
      <c r="Q87" s="21">
        <v>837168</v>
      </c>
      <c r="R87" s="21">
        <v>1588368</v>
      </c>
      <c r="S87" s="37"/>
      <c r="T87" s="38">
        <v>41.807200000000002</v>
      </c>
      <c r="U87" s="38">
        <v>45.5261</v>
      </c>
      <c r="V87" s="38">
        <v>44.843299999999999</v>
      </c>
      <c r="W87" s="39"/>
      <c r="X87" s="38">
        <v>34.151400000000002</v>
      </c>
      <c r="Y87" s="38">
        <v>34.151400000000002</v>
      </c>
      <c r="Z87" s="38">
        <v>34.151400000000002</v>
      </c>
      <c r="AA87" s="39"/>
      <c r="AB87" s="49">
        <v>0.93700000000000006</v>
      </c>
      <c r="AC87" s="49">
        <v>0.71799999999999997</v>
      </c>
      <c r="AE87" s="17" t="str">
        <f t="shared" si="30"/>
        <v>·</v>
      </c>
      <c r="AF87" s="18">
        <f t="shared" si="31"/>
        <v>3.2469911877005271</v>
      </c>
      <c r="AG87" s="18">
        <f t="shared" si="32"/>
        <v>1.1048936835728549</v>
      </c>
      <c r="AH87" s="18">
        <f t="shared" si="33"/>
        <v>2.1413900917392445</v>
      </c>
      <c r="AI87" s="19"/>
      <c r="AJ87" s="18">
        <f t="shared" si="34"/>
        <v>3.2469911877005271</v>
      </c>
      <c r="AK87" s="20">
        <v>757691</v>
      </c>
      <c r="AL87" s="21">
        <v>2460216</v>
      </c>
      <c r="AM87" s="21">
        <v>837168</v>
      </c>
      <c r="AN87" s="21">
        <v>1622512</v>
      </c>
      <c r="AO87" s="37"/>
      <c r="AP87" s="38">
        <v>41.8416</v>
      </c>
      <c r="AQ87" s="38">
        <v>45.553199999999997</v>
      </c>
      <c r="AR87" s="38">
        <v>44.9773</v>
      </c>
      <c r="AS87" s="39"/>
      <c r="AT87" s="38">
        <v>34.151400000000002</v>
      </c>
      <c r="AU87" s="38">
        <v>34.151400000000002</v>
      </c>
      <c r="AV87" s="38">
        <v>34.151400000000002</v>
      </c>
      <c r="AW87" s="39"/>
      <c r="AX87" s="49">
        <v>0.90600000000000003</v>
      </c>
      <c r="AY87" s="49">
        <v>0.67100000000000004</v>
      </c>
      <c r="BA87" s="53">
        <f t="shared" si="35"/>
        <v>-4.7890579589306426E-3</v>
      </c>
      <c r="BB87" s="53"/>
      <c r="BD87" s="54"/>
      <c r="BE87" s="54"/>
      <c r="BF87" s="54"/>
      <c r="BG87" s="61"/>
      <c r="BI87" s="54"/>
      <c r="BJ87" s="54"/>
      <c r="BK87" s="54"/>
      <c r="BL87" s="61"/>
      <c r="BN87" s="54"/>
      <c r="BO87" s="54"/>
      <c r="BP87" s="54"/>
      <c r="BQ87" s="61"/>
      <c r="BS87" s="54"/>
      <c r="BT87" s="54"/>
      <c r="BU87" s="54"/>
      <c r="BV87" s="61"/>
      <c r="BX87">
        <f t="shared" si="36"/>
        <v>0</v>
      </c>
      <c r="BY87">
        <f t="shared" si="37"/>
        <v>34144</v>
      </c>
      <c r="BZ87">
        <f t="shared" si="38"/>
        <v>0</v>
      </c>
      <c r="CA87">
        <f t="shared" si="39"/>
        <v>34144</v>
      </c>
      <c r="CB87">
        <f t="shared" si="40"/>
        <v>0</v>
      </c>
      <c r="CC87">
        <f t="shared" si="41"/>
        <v>3.4399999999997988E-2</v>
      </c>
      <c r="CD87">
        <f t="shared" si="42"/>
        <v>2.7099999999997237E-2</v>
      </c>
      <c r="CE87">
        <f t="shared" si="43"/>
        <v>0.13400000000000034</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2.1500162995205168</v>
      </c>
      <c r="K88" s="23">
        <f t="shared" si="27"/>
        <v>1.1048936835728549</v>
      </c>
      <c r="L88" s="23">
        <f t="shared" si="28"/>
        <v>1.0444152035592347</v>
      </c>
      <c r="M88" s="24"/>
      <c r="N88" s="23">
        <f t="shared" si="29"/>
        <v>2.1500162995205168</v>
      </c>
      <c r="O88" s="25">
        <v>757691</v>
      </c>
      <c r="P88" s="26">
        <v>1629048</v>
      </c>
      <c r="Q88" s="26">
        <v>837168</v>
      </c>
      <c r="R88" s="26">
        <v>791344</v>
      </c>
      <c r="S88" s="40"/>
      <c r="T88" s="41">
        <v>36.422699999999999</v>
      </c>
      <c r="U88" s="41">
        <v>40.814</v>
      </c>
      <c r="V88" s="41">
        <v>39.511600000000001</v>
      </c>
      <c r="W88" s="42"/>
      <c r="X88" s="41">
        <v>28.130800000000001</v>
      </c>
      <c r="Y88" s="41">
        <v>28.130800000000001</v>
      </c>
      <c r="Z88" s="41">
        <v>28.130800000000001</v>
      </c>
      <c r="AA88" s="42"/>
      <c r="AB88" s="50">
        <v>0.92100000000000004</v>
      </c>
      <c r="AC88" s="50">
        <v>0.73399999999999999</v>
      </c>
      <c r="AE88" s="22" t="str">
        <f t="shared" si="30"/>
        <v>·</v>
      </c>
      <c r="AF88" s="23">
        <f t="shared" si="31"/>
        <v>2.1889450976717422</v>
      </c>
      <c r="AG88" s="23">
        <f t="shared" si="32"/>
        <v>1.1048936835728549</v>
      </c>
      <c r="AH88" s="23">
        <f t="shared" si="33"/>
        <v>1.0833440017104599</v>
      </c>
      <c r="AI88" s="24"/>
      <c r="AJ88" s="23">
        <f t="shared" si="34"/>
        <v>2.1889450976717422</v>
      </c>
      <c r="AK88" s="25">
        <v>757691</v>
      </c>
      <c r="AL88" s="26">
        <v>1658544</v>
      </c>
      <c r="AM88" s="26">
        <v>837168</v>
      </c>
      <c r="AN88" s="26">
        <v>820840</v>
      </c>
      <c r="AO88" s="40"/>
      <c r="AP88" s="41">
        <v>36.5623</v>
      </c>
      <c r="AQ88" s="41">
        <v>40.865900000000003</v>
      </c>
      <c r="AR88" s="41">
        <v>39.630200000000002</v>
      </c>
      <c r="AS88" s="42"/>
      <c r="AT88" s="41">
        <v>28.130800000000001</v>
      </c>
      <c r="AU88" s="41">
        <v>28.130800000000001</v>
      </c>
      <c r="AV88" s="41">
        <v>28.130800000000001</v>
      </c>
      <c r="AW88" s="42"/>
      <c r="AX88" s="50">
        <v>0.90600000000000003</v>
      </c>
      <c r="AY88" s="50">
        <v>0.71799999999999997</v>
      </c>
      <c r="BA88" s="55">
        <f t="shared" si="35"/>
        <v>-9.1393406597245486E-3</v>
      </c>
      <c r="BB88" s="55"/>
      <c r="BD88" s="56"/>
      <c r="BE88" s="56"/>
      <c r="BF88" s="56"/>
      <c r="BG88" s="62"/>
      <c r="BI88" s="56"/>
      <c r="BJ88" s="56"/>
      <c r="BK88" s="56"/>
      <c r="BL88" s="62"/>
      <c r="BN88" s="56"/>
      <c r="BO88" s="56"/>
      <c r="BP88" s="56"/>
      <c r="BQ88" s="62"/>
      <c r="BS88" s="56"/>
      <c r="BT88" s="56"/>
      <c r="BU88" s="56"/>
      <c r="BV88" s="62"/>
      <c r="BX88">
        <f t="shared" si="36"/>
        <v>0</v>
      </c>
      <c r="BY88">
        <f t="shared" si="37"/>
        <v>29496</v>
      </c>
      <c r="BZ88">
        <f t="shared" si="38"/>
        <v>0</v>
      </c>
      <c r="CA88">
        <f t="shared" si="39"/>
        <v>29496</v>
      </c>
      <c r="CB88">
        <f t="shared" si="40"/>
        <v>0</v>
      </c>
      <c r="CC88">
        <f t="shared" si="41"/>
        <v>0.1396000000000015</v>
      </c>
      <c r="CD88">
        <f t="shared" si="42"/>
        <v>5.1900000000003388E-2</v>
      </c>
      <c r="CE88">
        <f t="shared" si="43"/>
        <v>0.1186000000000007</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1.5077280844038006</v>
      </c>
      <c r="K89" s="28">
        <f t="shared" si="27"/>
        <v>1.1048936835728549</v>
      </c>
      <c r="L89" s="28">
        <f t="shared" si="28"/>
        <v>0.40212698844251815</v>
      </c>
      <c r="M89" s="29"/>
      <c r="N89" s="28">
        <f t="shared" si="29"/>
        <v>1.5077280844038006</v>
      </c>
      <c r="O89" s="30">
        <v>757691</v>
      </c>
      <c r="P89" s="31">
        <v>1142392</v>
      </c>
      <c r="Q89" s="31">
        <v>837168</v>
      </c>
      <c r="R89" s="31">
        <v>304688</v>
      </c>
      <c r="S89" s="43"/>
      <c r="T89" s="44">
        <v>30.491299999999999</v>
      </c>
      <c r="U89" s="44">
        <v>35.317900000000002</v>
      </c>
      <c r="V89" s="44">
        <v>33.284799999999997</v>
      </c>
      <c r="W89" s="45"/>
      <c r="X89" s="44">
        <v>21.686399999999999</v>
      </c>
      <c r="Y89" s="44">
        <v>21.686399999999999</v>
      </c>
      <c r="Z89" s="44">
        <v>21.686399999999999</v>
      </c>
      <c r="AA89" s="45"/>
      <c r="AB89" s="51">
        <v>0.92100000000000004</v>
      </c>
      <c r="AC89" s="51">
        <v>0.65600000000000003</v>
      </c>
      <c r="AE89" s="27" t="str">
        <f t="shared" si="30"/>
        <v>·</v>
      </c>
      <c r="AF89" s="28">
        <f t="shared" si="31"/>
        <v>1.5285070035146253</v>
      </c>
      <c r="AG89" s="28">
        <f t="shared" si="32"/>
        <v>1.1048936835728549</v>
      </c>
      <c r="AH89" s="28">
        <f t="shared" si="33"/>
        <v>0.42290590755334301</v>
      </c>
      <c r="AI89" s="29"/>
      <c r="AJ89" s="28">
        <f t="shared" si="34"/>
        <v>1.5285070035146253</v>
      </c>
      <c r="AK89" s="30">
        <v>757691</v>
      </c>
      <c r="AL89" s="31">
        <v>1158136</v>
      </c>
      <c r="AM89" s="31">
        <v>837168</v>
      </c>
      <c r="AN89" s="31">
        <v>320432</v>
      </c>
      <c r="AO89" s="43"/>
      <c r="AP89" s="44">
        <v>30.6294</v>
      </c>
      <c r="AQ89" s="44">
        <v>35.398800000000001</v>
      </c>
      <c r="AR89" s="44">
        <v>33.522799999999997</v>
      </c>
      <c r="AS89" s="45"/>
      <c r="AT89" s="44">
        <v>21.686399999999999</v>
      </c>
      <c r="AU89" s="44">
        <v>21.686399999999999</v>
      </c>
      <c r="AV89" s="44">
        <v>21.686399999999999</v>
      </c>
      <c r="AW89" s="45"/>
      <c r="AX89" s="51">
        <v>0.90600000000000003</v>
      </c>
      <c r="AY89" s="51">
        <v>0.68700000000000006</v>
      </c>
      <c r="BA89" s="57">
        <f t="shared" si="35"/>
        <v>-9.9621479165752369E-3</v>
      </c>
      <c r="BB89" s="57"/>
      <c r="BD89" s="58"/>
      <c r="BE89" s="58"/>
      <c r="BF89" s="58"/>
      <c r="BG89" s="63"/>
      <c r="BI89" s="58"/>
      <c r="BJ89" s="58"/>
      <c r="BK89" s="58"/>
      <c r="BL89" s="63"/>
      <c r="BN89" s="58"/>
      <c r="BO89" s="58"/>
      <c r="BP89" s="58"/>
      <c r="BQ89" s="63"/>
      <c r="BS89" s="58"/>
      <c r="BT89" s="58"/>
      <c r="BU89" s="58"/>
      <c r="BV89" s="63"/>
      <c r="BX89">
        <f t="shared" si="36"/>
        <v>0</v>
      </c>
      <c r="BY89">
        <f t="shared" si="37"/>
        <v>15744</v>
      </c>
      <c r="BZ89">
        <f t="shared" si="38"/>
        <v>0</v>
      </c>
      <c r="CA89">
        <f t="shared" si="39"/>
        <v>15744</v>
      </c>
      <c r="CB89">
        <f t="shared" si="40"/>
        <v>0</v>
      </c>
      <c r="CC89">
        <f t="shared" si="41"/>
        <v>0.13810000000000144</v>
      </c>
      <c r="CD89">
        <f t="shared" si="42"/>
        <v>8.089999999999975E-2</v>
      </c>
      <c r="CE89">
        <f t="shared" si="43"/>
        <v>0.23799999999999955</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21.450371210109282</v>
      </c>
      <c r="K90" s="23">
        <f t="shared" si="27"/>
        <v>9.6524220815512738</v>
      </c>
      <c r="L90" s="23">
        <f t="shared" si="28"/>
        <v>11.797433834225849</v>
      </c>
      <c r="M90" s="24"/>
      <c r="N90" s="23">
        <f t="shared" si="29"/>
        <v>21.450371210109282</v>
      </c>
      <c r="O90" s="25">
        <v>1009132</v>
      </c>
      <c r="P90" s="26">
        <v>21646256</v>
      </c>
      <c r="Q90" s="26">
        <v>9740568</v>
      </c>
      <c r="R90" s="26">
        <v>11905168</v>
      </c>
      <c r="S90" s="40"/>
      <c r="T90" s="41">
        <v>53.526400000000002</v>
      </c>
      <c r="U90" s="41">
        <v>55.049199999999999</v>
      </c>
      <c r="V90" s="41">
        <v>54.758099999999999</v>
      </c>
      <c r="W90" s="42"/>
      <c r="X90" s="41">
        <v>48.130800000000001</v>
      </c>
      <c r="Y90" s="41">
        <v>48.130800000000001</v>
      </c>
      <c r="Z90" s="41">
        <v>48.130800000000001</v>
      </c>
      <c r="AA90" s="42"/>
      <c r="AB90" s="50">
        <v>2.25</v>
      </c>
      <c r="AC90" s="50">
        <v>1.968</v>
      </c>
      <c r="AE90" s="22" t="str">
        <f t="shared" si="30"/>
        <v>·</v>
      </c>
      <c r="AF90" s="23">
        <f t="shared" si="31"/>
        <v>21.629202126183692</v>
      </c>
      <c r="AG90" s="23">
        <f t="shared" si="32"/>
        <v>9.6524220815512738</v>
      </c>
      <c r="AH90" s="23">
        <f t="shared" si="33"/>
        <v>11.976264750300258</v>
      </c>
      <c r="AI90" s="24"/>
      <c r="AJ90" s="23">
        <f t="shared" si="34"/>
        <v>21.629202126183692</v>
      </c>
      <c r="AK90" s="25">
        <v>1009132</v>
      </c>
      <c r="AL90" s="26">
        <v>21826720</v>
      </c>
      <c r="AM90" s="26">
        <v>9740568</v>
      </c>
      <c r="AN90" s="26">
        <v>12085632</v>
      </c>
      <c r="AO90" s="40"/>
      <c r="AP90" s="41">
        <v>53.686700000000002</v>
      </c>
      <c r="AQ90" s="41">
        <v>55.207500000000003</v>
      </c>
      <c r="AR90" s="41">
        <v>54.923299999999998</v>
      </c>
      <c r="AS90" s="42"/>
      <c r="AT90" s="41">
        <v>48.130800000000001</v>
      </c>
      <c r="AU90" s="41">
        <v>48.130800000000001</v>
      </c>
      <c r="AV90" s="41">
        <v>48.130800000000001</v>
      </c>
      <c r="AW90" s="42"/>
      <c r="AX90" s="50">
        <v>2.3279999999999998</v>
      </c>
      <c r="AY90" s="50">
        <v>2</v>
      </c>
      <c r="BA90" s="55">
        <f t="shared" si="35"/>
        <v>-3.7205195788991841E-3</v>
      </c>
      <c r="BB90" s="55">
        <f t="array" ref="BB90">AVERAGE(AM90:AM94/AL90:AL94)-AVERAGE(Q90:Q94/P90:P94)</f>
        <v>-6.4604973255040221E-3</v>
      </c>
      <c r="BD90" s="56">
        <f>IF(OR(ISBLANK(R90:R94),ISBLANK(AN90:AN94),ISBLANK(T90:T94),ISBLANK(AP90:AP94)),"·",bdRateExtend(R90:R94,T90:T94,AN90:AN94,AP90:AP94))</f>
        <v>1.8122717987374637E-2</v>
      </c>
      <c r="BE90" s="56">
        <f>IF(OR(ISBLANK(R90:R94),ISBLANK(AN90:AN94),ISBLANK(U90:U94),ISBLANK(AQ90:AQ94)),"·",bdRateExtend(R90:R94,U90:U94,AN90:AN94,AQ90:AQ94))</f>
        <v>1.8859912849349403E-2</v>
      </c>
      <c r="BF90" s="56">
        <f>IF(OR(ISBLANK(R90:R94),ISBLANK(AN90:AN94),ISBLANK(V90:V94),ISBLANK(AR90:AR94)),"·",bdRateExtend(R90:R94,V90:V94,AN90:AN94,AR90:AR94))</f>
        <v>1.9038705968500658E-2</v>
      </c>
      <c r="BG90" s="62"/>
      <c r="BI90" s="56">
        <f>IF(OR(ISBLANK(R90:R94),ISBLANK(AN90:AN94),ISBLANK(X90:X94),ISBLANK(AT90:AT94)),"·",bdRateExtend(R90:R94,X90:X94,AN90:AN94,AT90:AT94))</f>
        <v>3.1474111497202362E-2</v>
      </c>
      <c r="BJ90" s="56">
        <f>IF(OR(ISBLANK(R90:R94),ISBLANK(AN90:AN94),ISBLANK(Y90:Y94),ISBLANK(AU90:AU94)),"·",bdRateExtend(R90:R94,Y90:Y94,AN90:AN94,AU90:AU94))</f>
        <v>3.1474111497202362E-2</v>
      </c>
      <c r="BK90" s="56">
        <f>IF(OR(ISBLANK(R90:R94),ISBLANK(AN90:AN94),ISBLANK(Z90:Z94),ISBLANK(AV90:AV94)),"·",bdRateExtend(R90:R94,Z90:Z94,AN90:AN94,AV90:AV94))</f>
        <v>3.1474111497202362E-2</v>
      </c>
      <c r="BL90" s="62"/>
      <c r="BN90" s="56">
        <f>IF(OR(ISBLANK(P90:P94),ISBLANK(AL90:AL94),ISBLANK(T90:T94),ISBLANK(AP90:AP94)),"·",bdRateExtend(P90:P94,T90:T94,AL90:AL94,AP90:AP94))</f>
        <v>6.4339989765684891E-3</v>
      </c>
      <c r="BO90" s="56">
        <f>IF(OR(ISBLANK(P90:P94),ISBLANK(AL90:AL94),ISBLANK(U90:U94),ISBLANK(AQ90:AQ94)),"·",bdRateExtend(P90:P94,U90:U94,AL90:AL94,AQ90:AQ94))</f>
        <v>6.7179525834131226E-3</v>
      </c>
      <c r="BP90" s="56">
        <f>IF(OR(ISBLANK(P90:P94),ISBLANK(AL90:AL94),ISBLANK(V90:V94),ISBLANK(AR90:AR94)),"·",bdRateExtend(P90:P94,V90:V94,AL90:AL94,AR90:AR94))</f>
        <v>6.950902820441307E-3</v>
      </c>
      <c r="BQ90" s="62"/>
      <c r="BS90" s="56">
        <f>IF(OR(ISBLANK(P90:P94),ISBLANK(AL90:AL94),ISBLANK(X90:X94),ISBLANK(AT90:AT94)),"·",bdRateExtend(P90:P94,X90:X94,AL90:AL94,AT90:AT94))</f>
        <v>1.0894212292649197E-2</v>
      </c>
      <c r="BT90" s="56">
        <f>IF(OR(ISBLANK(P90:P94),ISBLANK(AL90:AL94),ISBLANK(Y90:Y94),ISBLANK(AU90:AU94)),"·",bdRateExtend(P90:P94,Y90:Y94,AL90:AL94,AU90:AU94))</f>
        <v>1.0894212292649197E-2</v>
      </c>
      <c r="BU90" s="56">
        <f>IF(OR(ISBLANK(P90:P94),ISBLANK(AL90:AL94),ISBLANK(Z90:Z94),ISBLANK(AV90:AV94)),"·",bdRateExtend(P90:P94,Z90:Z94,AL90:AL94,AV90:AV94))</f>
        <v>1.0894212292649197E-2</v>
      </c>
      <c r="BV90" s="62"/>
      <c r="BX90">
        <f t="shared" si="36"/>
        <v>0</v>
      </c>
      <c r="BY90">
        <f t="shared" si="37"/>
        <v>180464</v>
      </c>
      <c r="BZ90">
        <f t="shared" si="38"/>
        <v>0</v>
      </c>
      <c r="CA90">
        <f t="shared" si="39"/>
        <v>180464</v>
      </c>
      <c r="CB90">
        <f t="shared" si="40"/>
        <v>0</v>
      </c>
      <c r="CC90">
        <f t="shared" si="41"/>
        <v>0.16029999999999944</v>
      </c>
      <c r="CD90">
        <f t="shared" si="42"/>
        <v>0.1583000000000041</v>
      </c>
      <c r="CE90">
        <f t="shared" si="43"/>
        <v>0.16519999999999868</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18.667076259597359</v>
      </c>
      <c r="K91" s="18">
        <f t="shared" si="27"/>
        <v>9.6524220815512738</v>
      </c>
      <c r="L91" s="18">
        <f t="shared" si="28"/>
        <v>9.0141388837139242</v>
      </c>
      <c r="M91" s="19"/>
      <c r="N91" s="18">
        <f t="shared" si="29"/>
        <v>18.667076259597359</v>
      </c>
      <c r="O91" s="20">
        <v>1009132</v>
      </c>
      <c r="P91" s="21">
        <v>18837544</v>
      </c>
      <c r="Q91" s="21">
        <v>9740568</v>
      </c>
      <c r="R91" s="21">
        <v>9096456</v>
      </c>
      <c r="S91" s="37"/>
      <c r="T91" s="38">
        <v>48.590600000000002</v>
      </c>
      <c r="U91" s="38">
        <v>50.481200000000001</v>
      </c>
      <c r="V91" s="38">
        <v>50.151800000000001</v>
      </c>
      <c r="W91" s="39"/>
      <c r="X91" s="38">
        <v>42.110199999999999</v>
      </c>
      <c r="Y91" s="38">
        <v>42.110199999999999</v>
      </c>
      <c r="Z91" s="38">
        <v>42.110199999999999</v>
      </c>
      <c r="AA91" s="39"/>
      <c r="AB91" s="49">
        <v>2.218</v>
      </c>
      <c r="AC91" s="49">
        <v>1.984</v>
      </c>
      <c r="AE91" s="17" t="str">
        <f t="shared" si="30"/>
        <v>·</v>
      </c>
      <c r="AF91" s="18">
        <f t="shared" si="31"/>
        <v>18.846795067444102</v>
      </c>
      <c r="AG91" s="18">
        <f t="shared" si="32"/>
        <v>9.6524220815512738</v>
      </c>
      <c r="AH91" s="18">
        <f t="shared" si="33"/>
        <v>9.1938576915606678</v>
      </c>
      <c r="AI91" s="19"/>
      <c r="AJ91" s="18">
        <f t="shared" si="34"/>
        <v>18.846795067444102</v>
      </c>
      <c r="AK91" s="20">
        <v>1009132</v>
      </c>
      <c r="AL91" s="21">
        <v>19018904</v>
      </c>
      <c r="AM91" s="21">
        <v>9740568</v>
      </c>
      <c r="AN91" s="21">
        <v>9277816</v>
      </c>
      <c r="AO91" s="37"/>
      <c r="AP91" s="38">
        <v>48.723799999999997</v>
      </c>
      <c r="AQ91" s="38">
        <v>50.607100000000003</v>
      </c>
      <c r="AR91" s="38">
        <v>50.266100000000002</v>
      </c>
      <c r="AS91" s="39"/>
      <c r="AT91" s="38">
        <v>42.110199999999999</v>
      </c>
      <c r="AU91" s="38">
        <v>42.110199999999999</v>
      </c>
      <c r="AV91" s="38">
        <v>42.110199999999999</v>
      </c>
      <c r="AW91" s="39"/>
      <c r="AX91" s="49">
        <v>2.3119999999999998</v>
      </c>
      <c r="AY91" s="49">
        <v>1.968</v>
      </c>
      <c r="BA91" s="53">
        <f t="shared" si="35"/>
        <v>-4.9307845176123077E-3</v>
      </c>
      <c r="BB91" s="53"/>
      <c r="BD91" s="54"/>
      <c r="BE91" s="54"/>
      <c r="BF91" s="54"/>
      <c r="BG91" s="61"/>
      <c r="BI91" s="54"/>
      <c r="BJ91" s="54"/>
      <c r="BK91" s="54"/>
      <c r="BL91" s="61"/>
      <c r="BN91" s="54"/>
      <c r="BO91" s="54"/>
      <c r="BP91" s="54"/>
      <c r="BQ91" s="61"/>
      <c r="BS91" s="54"/>
      <c r="BT91" s="54"/>
      <c r="BU91" s="54"/>
      <c r="BV91" s="61"/>
      <c r="BX91">
        <f t="shared" si="36"/>
        <v>0</v>
      </c>
      <c r="BY91">
        <f t="shared" si="37"/>
        <v>181360</v>
      </c>
      <c r="BZ91">
        <f t="shared" si="38"/>
        <v>0</v>
      </c>
      <c r="CA91">
        <f t="shared" si="39"/>
        <v>181360</v>
      </c>
      <c r="CB91">
        <f t="shared" si="40"/>
        <v>0</v>
      </c>
      <c r="CC91">
        <f t="shared" si="41"/>
        <v>0.1331999999999951</v>
      </c>
      <c r="CD91">
        <f t="shared" si="42"/>
        <v>0.12590000000000146</v>
      </c>
      <c r="CE91">
        <f t="shared" si="43"/>
        <v>0.11430000000000007</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15.714844044188471</v>
      </c>
      <c r="K92" s="23">
        <f t="shared" si="27"/>
        <v>9.6524220815512738</v>
      </c>
      <c r="L92" s="23">
        <f t="shared" si="28"/>
        <v>6.0619066683050384</v>
      </c>
      <c r="M92" s="24"/>
      <c r="N92" s="23">
        <f t="shared" si="29"/>
        <v>15.714844044188471</v>
      </c>
      <c r="O92" s="25">
        <v>1009132</v>
      </c>
      <c r="P92" s="26">
        <v>15858352</v>
      </c>
      <c r="Q92" s="26">
        <v>9740568</v>
      </c>
      <c r="R92" s="26">
        <v>6117264</v>
      </c>
      <c r="S92" s="40"/>
      <c r="T92" s="41">
        <v>41.3371</v>
      </c>
      <c r="U92" s="41">
        <v>44.135399999999997</v>
      </c>
      <c r="V92" s="41">
        <v>43.9955</v>
      </c>
      <c r="W92" s="42"/>
      <c r="X92" s="41">
        <v>34.151400000000002</v>
      </c>
      <c r="Y92" s="41">
        <v>34.151400000000002</v>
      </c>
      <c r="Z92" s="41">
        <v>34.151400000000002</v>
      </c>
      <c r="AA92" s="42"/>
      <c r="AB92" s="50">
        <v>2.1560000000000001</v>
      </c>
      <c r="AC92" s="50">
        <v>1.9530000000000001</v>
      </c>
      <c r="AE92" s="22" t="str">
        <f t="shared" si="30"/>
        <v>·</v>
      </c>
      <c r="AF92" s="23">
        <f t="shared" si="31"/>
        <v>15.911591347811783</v>
      </c>
      <c r="AG92" s="23">
        <f t="shared" si="32"/>
        <v>9.6524220815512738</v>
      </c>
      <c r="AH92" s="23">
        <f t="shared" si="33"/>
        <v>6.25865397192835</v>
      </c>
      <c r="AI92" s="24"/>
      <c r="AJ92" s="23">
        <f t="shared" si="34"/>
        <v>15.911591347811783</v>
      </c>
      <c r="AK92" s="25">
        <v>1009132</v>
      </c>
      <c r="AL92" s="26">
        <v>16056896</v>
      </c>
      <c r="AM92" s="26">
        <v>9740568</v>
      </c>
      <c r="AN92" s="26">
        <v>6315808</v>
      </c>
      <c r="AO92" s="40"/>
      <c r="AP92" s="41">
        <v>41.525700000000001</v>
      </c>
      <c r="AQ92" s="41">
        <v>44.278100000000002</v>
      </c>
      <c r="AR92" s="41">
        <v>44.110700000000001</v>
      </c>
      <c r="AS92" s="42"/>
      <c r="AT92" s="41">
        <v>34.151400000000002</v>
      </c>
      <c r="AU92" s="41">
        <v>34.151400000000002</v>
      </c>
      <c r="AV92" s="41">
        <v>34.151400000000002</v>
      </c>
      <c r="AW92" s="42"/>
      <c r="AX92" s="50">
        <v>2.2810000000000001</v>
      </c>
      <c r="AY92" s="50">
        <v>1.9530000000000001</v>
      </c>
      <c r="BA92" s="55">
        <f t="shared" si="35"/>
        <v>-7.5948884905544523E-3</v>
      </c>
      <c r="BB92" s="55"/>
      <c r="BD92" s="56"/>
      <c r="BE92" s="56"/>
      <c r="BF92" s="56"/>
      <c r="BG92" s="62"/>
      <c r="BI92" s="56"/>
      <c r="BJ92" s="56"/>
      <c r="BK92" s="56"/>
      <c r="BL92" s="62"/>
      <c r="BN92" s="56"/>
      <c r="BO92" s="56"/>
      <c r="BP92" s="56"/>
      <c r="BQ92" s="62"/>
      <c r="BS92" s="56"/>
      <c r="BT92" s="56"/>
      <c r="BU92" s="56"/>
      <c r="BV92" s="62"/>
      <c r="BX92">
        <f t="shared" si="36"/>
        <v>0</v>
      </c>
      <c r="BY92">
        <f t="shared" si="37"/>
        <v>198544</v>
      </c>
      <c r="BZ92">
        <f t="shared" si="38"/>
        <v>0</v>
      </c>
      <c r="CA92">
        <f t="shared" si="39"/>
        <v>198544</v>
      </c>
      <c r="CB92">
        <f t="shared" si="40"/>
        <v>0</v>
      </c>
      <c r="CC92">
        <f t="shared" si="41"/>
        <v>0.18860000000000099</v>
      </c>
      <c r="CD92">
        <f t="shared" si="42"/>
        <v>0.14270000000000493</v>
      </c>
      <c r="CE92">
        <f t="shared" si="43"/>
        <v>0.11520000000000152</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13.577997724777333</v>
      </c>
      <c r="K93" s="18">
        <f t="shared" si="27"/>
        <v>9.6524220815512738</v>
      </c>
      <c r="L93" s="18">
        <f t="shared" si="28"/>
        <v>3.9250603488939011</v>
      </c>
      <c r="M93" s="19"/>
      <c r="N93" s="18">
        <f t="shared" si="29"/>
        <v>13.577997724777333</v>
      </c>
      <c r="O93" s="20">
        <v>1009132</v>
      </c>
      <c r="P93" s="21">
        <v>13701992</v>
      </c>
      <c r="Q93" s="21">
        <v>9740568</v>
      </c>
      <c r="R93" s="21">
        <v>3960904</v>
      </c>
      <c r="S93" s="37"/>
      <c r="T93" s="38">
        <v>35.461100000000002</v>
      </c>
      <c r="U93" s="38">
        <v>39.136200000000002</v>
      </c>
      <c r="V93" s="38">
        <v>39.127899999999997</v>
      </c>
      <c r="W93" s="39"/>
      <c r="X93" s="38">
        <v>28.130800000000001</v>
      </c>
      <c r="Y93" s="38">
        <v>28.130800000000001</v>
      </c>
      <c r="Z93" s="38">
        <v>28.130800000000001</v>
      </c>
      <c r="AA93" s="39"/>
      <c r="AB93" s="49">
        <v>2.1709999999999998</v>
      </c>
      <c r="AC93" s="49">
        <v>1.875</v>
      </c>
      <c r="AE93" s="17" t="str">
        <f t="shared" si="30"/>
        <v>·</v>
      </c>
      <c r="AF93" s="18">
        <f t="shared" si="31"/>
        <v>13.742297340684866</v>
      </c>
      <c r="AG93" s="18">
        <f t="shared" si="32"/>
        <v>9.6524220815512738</v>
      </c>
      <c r="AH93" s="18">
        <f t="shared" si="33"/>
        <v>4.0893599648014334</v>
      </c>
      <c r="AI93" s="19"/>
      <c r="AJ93" s="18">
        <f t="shared" si="34"/>
        <v>13.742297340684866</v>
      </c>
      <c r="AK93" s="20">
        <v>1009132</v>
      </c>
      <c r="AL93" s="21">
        <v>13867792</v>
      </c>
      <c r="AM93" s="21">
        <v>9740568</v>
      </c>
      <c r="AN93" s="21">
        <v>4126704</v>
      </c>
      <c r="AO93" s="37"/>
      <c r="AP93" s="38">
        <v>35.664700000000003</v>
      </c>
      <c r="AQ93" s="38">
        <v>39.2819</v>
      </c>
      <c r="AR93" s="38">
        <v>39.251100000000001</v>
      </c>
      <c r="AS93" s="39"/>
      <c r="AT93" s="38">
        <v>28.130800000000001</v>
      </c>
      <c r="AU93" s="38">
        <v>28.130800000000001</v>
      </c>
      <c r="AV93" s="38">
        <v>28.130800000000001</v>
      </c>
      <c r="AW93" s="39"/>
      <c r="AX93" s="49">
        <v>2.234</v>
      </c>
      <c r="AY93" s="49">
        <v>1.9059999999999999</v>
      </c>
      <c r="BA93" s="53">
        <f t="shared" si="35"/>
        <v>-8.4991947354320363E-3</v>
      </c>
      <c r="BB93" s="53"/>
      <c r="BD93" s="54"/>
      <c r="BE93" s="54"/>
      <c r="BF93" s="54"/>
      <c r="BG93" s="61"/>
      <c r="BI93" s="54"/>
      <c r="BJ93" s="54"/>
      <c r="BK93" s="54"/>
      <c r="BL93" s="61"/>
      <c r="BN93" s="54"/>
      <c r="BO93" s="54"/>
      <c r="BP93" s="54"/>
      <c r="BQ93" s="61"/>
      <c r="BS93" s="54"/>
      <c r="BT93" s="54"/>
      <c r="BU93" s="54"/>
      <c r="BV93" s="61"/>
      <c r="BX93">
        <f t="shared" si="36"/>
        <v>0</v>
      </c>
      <c r="BY93">
        <f t="shared" si="37"/>
        <v>165800</v>
      </c>
      <c r="BZ93">
        <f t="shared" si="38"/>
        <v>0</v>
      </c>
      <c r="CA93">
        <f t="shared" si="39"/>
        <v>165800</v>
      </c>
      <c r="CB93">
        <f t="shared" si="40"/>
        <v>0</v>
      </c>
      <c r="CC93">
        <f t="shared" si="41"/>
        <v>0.20360000000000156</v>
      </c>
      <c r="CD93">
        <f t="shared" si="42"/>
        <v>0.14569999999999794</v>
      </c>
      <c r="CE93">
        <f t="shared" si="43"/>
        <v>0.1232000000000042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11.800240206434838</v>
      </c>
      <c r="K94" s="33">
        <f t="shared" si="27"/>
        <v>9.6524220815512738</v>
      </c>
      <c r="L94" s="33">
        <f t="shared" si="28"/>
        <v>2.1473028305514044</v>
      </c>
      <c r="M94" s="34"/>
      <c r="N94" s="33">
        <f t="shared" si="29"/>
        <v>11.800240206434838</v>
      </c>
      <c r="O94" s="35">
        <v>1009132</v>
      </c>
      <c r="P94" s="36">
        <v>11908000</v>
      </c>
      <c r="Q94" s="36">
        <v>9740568</v>
      </c>
      <c r="R94" s="36">
        <v>2166912</v>
      </c>
      <c r="S94" s="46"/>
      <c r="T94" s="47">
        <v>29.061399999999999</v>
      </c>
      <c r="U94" s="47">
        <v>34.125300000000003</v>
      </c>
      <c r="V94" s="47">
        <v>34.431899999999999</v>
      </c>
      <c r="W94" s="48"/>
      <c r="X94" s="47">
        <v>21.686399999999999</v>
      </c>
      <c r="Y94" s="47">
        <v>21.686399999999999</v>
      </c>
      <c r="Z94" s="47">
        <v>21.686399999999999</v>
      </c>
      <c r="AA94" s="48"/>
      <c r="AB94" s="52">
        <v>2.125</v>
      </c>
      <c r="AC94" s="52">
        <v>1.89</v>
      </c>
      <c r="AE94" s="32" t="str">
        <f t="shared" si="30"/>
        <v>·</v>
      </c>
      <c r="AF94" s="33">
        <f t="shared" si="31"/>
        <v>11.9102753653635</v>
      </c>
      <c r="AG94" s="33">
        <f t="shared" si="32"/>
        <v>9.6524220815512738</v>
      </c>
      <c r="AH94" s="33">
        <f t="shared" si="33"/>
        <v>2.2573379894800678</v>
      </c>
      <c r="AI94" s="34"/>
      <c r="AJ94" s="33">
        <f t="shared" si="34"/>
        <v>11.9102753653635</v>
      </c>
      <c r="AK94" s="35">
        <v>1009132</v>
      </c>
      <c r="AL94" s="36">
        <v>12019040</v>
      </c>
      <c r="AM94" s="36">
        <v>9740568</v>
      </c>
      <c r="AN94" s="36">
        <v>2277952</v>
      </c>
      <c r="AO94" s="46"/>
      <c r="AP94" s="47">
        <v>29.378299999999999</v>
      </c>
      <c r="AQ94" s="47">
        <v>34.3538</v>
      </c>
      <c r="AR94" s="47">
        <v>34.7042</v>
      </c>
      <c r="AS94" s="48"/>
      <c r="AT94" s="47">
        <v>21.686399999999999</v>
      </c>
      <c r="AU94" s="47">
        <v>21.686399999999999</v>
      </c>
      <c r="AV94" s="47">
        <v>21.686399999999999</v>
      </c>
      <c r="AW94" s="48"/>
      <c r="AX94" s="52">
        <v>2.2029999999999998</v>
      </c>
      <c r="AY94" s="52">
        <v>1.921</v>
      </c>
      <c r="BA94" s="59">
        <f t="shared" si="35"/>
        <v>-7.5570993050224633E-3</v>
      </c>
      <c r="BB94" s="59"/>
      <c r="BD94" s="60"/>
      <c r="BE94" s="60"/>
      <c r="BF94" s="60"/>
      <c r="BG94" s="64"/>
      <c r="BI94" s="60"/>
      <c r="BJ94" s="60"/>
      <c r="BK94" s="60"/>
      <c r="BL94" s="64"/>
      <c r="BN94" s="60"/>
      <c r="BO94" s="60"/>
      <c r="BP94" s="60"/>
      <c r="BQ94" s="64"/>
      <c r="BS94" s="60"/>
      <c r="BT94" s="60"/>
      <c r="BU94" s="60"/>
      <c r="BV94" s="64"/>
      <c r="BX94">
        <f t="shared" si="36"/>
        <v>0</v>
      </c>
      <c r="BY94">
        <f t="shared" si="37"/>
        <v>111040</v>
      </c>
      <c r="BZ94">
        <f t="shared" si="38"/>
        <v>0</v>
      </c>
      <c r="CA94">
        <f t="shared" si="39"/>
        <v>111040</v>
      </c>
      <c r="CB94">
        <f t="shared" si="40"/>
        <v>0</v>
      </c>
      <c r="CC94">
        <f t="shared" si="41"/>
        <v>0.3169000000000004</v>
      </c>
      <c r="CD94">
        <f t="shared" si="42"/>
        <v>0.22849999999999682</v>
      </c>
      <c r="CE94">
        <f t="shared" si="43"/>
        <v>0.27230000000000132</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7.1652340448713243</v>
      </c>
      <c r="K95" s="18">
        <f t="shared" si="27"/>
        <v>3.8442702874789405</v>
      </c>
      <c r="L95" s="18">
        <f t="shared" si="28"/>
        <v>3.3207138669693341</v>
      </c>
      <c r="M95" s="19"/>
      <c r="N95" s="18">
        <f t="shared" si="29"/>
        <v>7.1652340448713243</v>
      </c>
      <c r="O95" s="20">
        <v>4001754</v>
      </c>
      <c r="P95" s="21">
        <v>28673504</v>
      </c>
      <c r="Q95" s="21">
        <v>15383824</v>
      </c>
      <c r="R95" s="21">
        <v>13288680</v>
      </c>
      <c r="S95" s="37"/>
      <c r="T95" s="38">
        <v>52.438499999999998</v>
      </c>
      <c r="U95" s="38">
        <v>57.095100000000002</v>
      </c>
      <c r="V95" s="38">
        <v>56.724499999999999</v>
      </c>
      <c r="W95" s="39"/>
      <c r="X95" s="38">
        <v>48.130800000000001</v>
      </c>
      <c r="Y95" s="38">
        <v>48.130800000000001</v>
      </c>
      <c r="Z95" s="38">
        <v>48.130800000000001</v>
      </c>
      <c r="AA95" s="39"/>
      <c r="AB95" s="49">
        <v>6.593</v>
      </c>
      <c r="AC95" s="49">
        <v>5.2649999999999997</v>
      </c>
      <c r="AE95" s="17" t="str">
        <f t="shared" si="30"/>
        <v>·</v>
      </c>
      <c r="AF95" s="18">
        <f t="shared" si="31"/>
        <v>7.1668133523449971</v>
      </c>
      <c r="AG95" s="18">
        <f t="shared" si="32"/>
        <v>3.8442702874789405</v>
      </c>
      <c r="AH95" s="18">
        <f t="shared" si="33"/>
        <v>3.3222931744430069</v>
      </c>
      <c r="AI95" s="19"/>
      <c r="AJ95" s="18">
        <f t="shared" si="34"/>
        <v>7.1668133523449971</v>
      </c>
      <c r="AK95" s="20">
        <v>4001754</v>
      </c>
      <c r="AL95" s="21">
        <v>28679824</v>
      </c>
      <c r="AM95" s="21">
        <v>15383824</v>
      </c>
      <c r="AN95" s="21">
        <v>13295000</v>
      </c>
      <c r="AO95" s="37"/>
      <c r="AP95" s="38">
        <v>52.4405</v>
      </c>
      <c r="AQ95" s="38">
        <v>57.101799999999997</v>
      </c>
      <c r="AR95" s="38">
        <v>56.726700000000001</v>
      </c>
      <c r="AS95" s="39"/>
      <c r="AT95" s="38">
        <v>48.130800000000001</v>
      </c>
      <c r="AU95" s="38">
        <v>48.130800000000001</v>
      </c>
      <c r="AV95" s="38">
        <v>48.130800000000001</v>
      </c>
      <c r="AW95" s="39"/>
      <c r="AX95" s="49">
        <v>6.6870000000000003</v>
      </c>
      <c r="AY95" s="49">
        <v>5.25</v>
      </c>
      <c r="BA95" s="53">
        <f t="shared" si="35"/>
        <v>-1.182290311354528E-4</v>
      </c>
      <c r="BB95" s="53">
        <f t="array" ref="BB95">AVERAGE(AM95:AM99/AL95:AL99)-AVERAGE(Q95:Q99/P95:P99)</f>
        <v>-1.8649469097020699E-5</v>
      </c>
      <c r="BD95" s="54">
        <f>IF(OR(ISBLANK(R95:R99),ISBLANK(AN95:AN99),ISBLANK(T95:T99),ISBLANK(AP95:AP99)),"·",bdRateExtend(R95:R99,T95:T99,AN95:AN99,AP95:AP99))</f>
        <v>-1.151471367647372E-3</v>
      </c>
      <c r="BE95" s="54">
        <f>IF(OR(ISBLANK(R95:R99),ISBLANK(AN95:AN99),ISBLANK(U95:U99),ISBLANK(AQ95:AQ99)),"·",bdRateExtend(R95:R99,U95:U99,AN95:AN99,AQ95:AQ99))</f>
        <v>-4.6351409359461915E-3</v>
      </c>
      <c r="BF95" s="54">
        <f>IF(OR(ISBLANK(R95:R99),ISBLANK(AN95:AN99),ISBLANK(V95:V99),ISBLANK(AR95:AR99)),"·",bdRateExtend(R95:R99,V95:V99,AN95:AN99,AR95:AR99))</f>
        <v>-3.766546091758971E-3</v>
      </c>
      <c r="BG95" s="61"/>
      <c r="BI95" s="54">
        <f>IF(OR(ISBLANK(R95:R99),ISBLANK(AN95:AN99),ISBLANK(X95:X99),ISBLANK(AT95:AT99)),"·",bdRateExtend(R95:R99,X95:X99,AN95:AN99,AT95:AT99))</f>
        <v>-8.227454045683924E-5</v>
      </c>
      <c r="BJ95" s="54">
        <f>IF(OR(ISBLANK(R95:R99),ISBLANK(AN95:AN99),ISBLANK(Y95:Y99),ISBLANK(AU95:AU99)),"·",bdRateExtend(R95:R99,Y95:Y99,AN95:AN99,AU95:AU99))</f>
        <v>-8.227454045683924E-5</v>
      </c>
      <c r="BK95" s="54">
        <f>IF(OR(ISBLANK(R95:R99),ISBLANK(AN95:AN99),ISBLANK(Z95:Z99),ISBLANK(AV95:AV99)),"·",bdRateExtend(R95:R99,Z95:Z99,AN95:AN99,AV95:AV99))</f>
        <v>-8.227454045683924E-5</v>
      </c>
      <c r="BL95" s="61"/>
      <c r="BN95" s="54">
        <f>IF(OR(ISBLANK(P95:P99),ISBLANK(AL95:AL99),ISBLANK(T95:T99),ISBLANK(AP95:AP99)),"·",bdRateExtend(P95:P99,T95:T99,AL95:AL99,AP95:AP99))</f>
        <v>-2.5585376814407645E-5</v>
      </c>
      <c r="BO95" s="54">
        <f>IF(OR(ISBLANK(P95:P99),ISBLANK(AL95:AL99),ISBLANK(U95:U99),ISBLANK(AQ95:AQ99)),"·",bdRateExtend(P95:P99,U95:U99,AL95:AL99,AQ95:AQ99))</f>
        <v>-3.4493961031611953E-4</v>
      </c>
      <c r="BP95" s="54">
        <f>IF(OR(ISBLANK(P95:P99),ISBLANK(AL95:AL99),ISBLANK(V95:V99),ISBLANK(AR95:AR99)),"·",bdRateExtend(P95:P99,V95:V99,AL95:AL99,AR95:AR99))</f>
        <v>-5.2509942721701286E-4</v>
      </c>
      <c r="BQ95" s="61"/>
      <c r="BS95" s="54">
        <f>IF(OR(ISBLANK(P95:P99),ISBLANK(AL95:AL99),ISBLANK(X95:X99),ISBLANK(AT95:AT99)),"·",bdRateExtend(P95:P99,X95:X99,AL95:AL99,AT95:AT99))</f>
        <v>3.8995338736746987E-5</v>
      </c>
      <c r="BT95" s="54">
        <f>IF(OR(ISBLANK(P95:P99),ISBLANK(AL95:AL99),ISBLANK(Y95:Y99),ISBLANK(AU95:AU99)),"·",bdRateExtend(P95:P99,Y95:Y99,AL95:AL99,AU95:AU99))</f>
        <v>3.8995338736746987E-5</v>
      </c>
      <c r="BU95" s="54">
        <f>IF(OR(ISBLANK(P95:P99),ISBLANK(AL95:AL99),ISBLANK(Z95:Z99),ISBLANK(AV95:AV99)),"·",bdRateExtend(P95:P99,Z95:Z99,AL95:AL99,AV95:AV99))</f>
        <v>3.8995338736746987E-5</v>
      </c>
      <c r="BV95" s="61"/>
      <c r="BX95">
        <f t="shared" si="36"/>
        <v>0</v>
      </c>
      <c r="BY95">
        <f t="shared" si="37"/>
        <v>6320</v>
      </c>
      <c r="BZ95">
        <f t="shared" si="38"/>
        <v>0</v>
      </c>
      <c r="CA95">
        <f t="shared" si="39"/>
        <v>6320</v>
      </c>
      <c r="CB95">
        <f t="shared" si="40"/>
        <v>0</v>
      </c>
      <c r="CC95">
        <f t="shared" si="41"/>
        <v>2.0000000000024443E-3</v>
      </c>
      <c r="CD95">
        <f t="shared" si="42"/>
        <v>6.6999999999950433E-3</v>
      </c>
      <c r="CE95">
        <f t="shared" si="43"/>
        <v>2.2000000000019782E-3</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6.058359409398979</v>
      </c>
      <c r="K96" s="23">
        <f t="shared" si="27"/>
        <v>3.8442702874789405</v>
      </c>
      <c r="L96" s="23">
        <f t="shared" si="28"/>
        <v>2.2138392314969884</v>
      </c>
      <c r="M96" s="24"/>
      <c r="N96" s="23">
        <f t="shared" si="29"/>
        <v>6.058359409398979</v>
      </c>
      <c r="O96" s="25">
        <v>4001754</v>
      </c>
      <c r="P96" s="26">
        <v>24244064</v>
      </c>
      <c r="Q96" s="26">
        <v>15383824</v>
      </c>
      <c r="R96" s="26">
        <v>8859240</v>
      </c>
      <c r="S96" s="40"/>
      <c r="T96" s="41">
        <v>47.724400000000003</v>
      </c>
      <c r="U96" s="41">
        <v>52.87</v>
      </c>
      <c r="V96" s="41">
        <v>52.886699999999998</v>
      </c>
      <c r="W96" s="42"/>
      <c r="X96" s="41">
        <v>42.110199999999999</v>
      </c>
      <c r="Y96" s="41">
        <v>42.110199999999999</v>
      </c>
      <c r="Z96" s="41">
        <v>42.110199999999999</v>
      </c>
      <c r="AA96" s="42"/>
      <c r="AB96" s="50">
        <v>6.593</v>
      </c>
      <c r="AC96" s="50">
        <v>5.25</v>
      </c>
      <c r="AE96" s="22" t="str">
        <f t="shared" si="30"/>
        <v>·</v>
      </c>
      <c r="AF96" s="23">
        <f t="shared" si="31"/>
        <v>6.059506906221622</v>
      </c>
      <c r="AG96" s="23">
        <f t="shared" si="32"/>
        <v>3.8442702874789405</v>
      </c>
      <c r="AH96" s="23">
        <f t="shared" si="33"/>
        <v>2.2149867283196318</v>
      </c>
      <c r="AI96" s="24"/>
      <c r="AJ96" s="23">
        <f t="shared" si="34"/>
        <v>6.059506906221622</v>
      </c>
      <c r="AK96" s="25">
        <v>4001754</v>
      </c>
      <c r="AL96" s="26">
        <v>24248656</v>
      </c>
      <c r="AM96" s="26">
        <v>15383824</v>
      </c>
      <c r="AN96" s="26">
        <v>8863832</v>
      </c>
      <c r="AO96" s="40"/>
      <c r="AP96" s="41">
        <v>47.722900000000003</v>
      </c>
      <c r="AQ96" s="41">
        <v>52.870899999999999</v>
      </c>
      <c r="AR96" s="41">
        <v>52.891399999999997</v>
      </c>
      <c r="AS96" s="42"/>
      <c r="AT96" s="41">
        <v>42.110199999999999</v>
      </c>
      <c r="AU96" s="41">
        <v>42.110199999999999</v>
      </c>
      <c r="AV96" s="41">
        <v>42.110199999999999</v>
      </c>
      <c r="AW96" s="42"/>
      <c r="AX96" s="50">
        <v>6.64</v>
      </c>
      <c r="AY96" s="50">
        <v>5.25</v>
      </c>
      <c r="BA96" s="55">
        <f t="shared" si="35"/>
        <v>-1.2016364338640617E-4</v>
      </c>
      <c r="BB96" s="55"/>
      <c r="BD96" s="56"/>
      <c r="BE96" s="56"/>
      <c r="BF96" s="56"/>
      <c r="BG96" s="62"/>
      <c r="BI96" s="56"/>
      <c r="BJ96" s="56"/>
      <c r="BK96" s="56"/>
      <c r="BL96" s="62"/>
      <c r="BN96" s="56"/>
      <c r="BO96" s="56"/>
      <c r="BP96" s="56"/>
      <c r="BQ96" s="62"/>
      <c r="BS96" s="56"/>
      <c r="BT96" s="56"/>
      <c r="BU96" s="56"/>
      <c r="BV96" s="62"/>
      <c r="BX96">
        <f t="shared" si="36"/>
        <v>0</v>
      </c>
      <c r="BY96">
        <f t="shared" si="37"/>
        <v>4592</v>
      </c>
      <c r="BZ96">
        <f t="shared" si="38"/>
        <v>0</v>
      </c>
      <c r="CA96">
        <f t="shared" si="39"/>
        <v>4592</v>
      </c>
      <c r="CB96">
        <f t="shared" si="40"/>
        <v>0</v>
      </c>
      <c r="CC96">
        <f t="shared" si="41"/>
        <v>-1.5000000000000568E-3</v>
      </c>
      <c r="CD96">
        <f t="shared" si="42"/>
        <v>9.0000000000145519E-4</v>
      </c>
      <c r="CE96">
        <f t="shared" si="43"/>
        <v>4.6999999999997044E-3</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4.8828248812895545</v>
      </c>
      <c r="K97" s="18">
        <f t="shared" si="27"/>
        <v>3.8442702874789405</v>
      </c>
      <c r="L97" s="18">
        <f t="shared" si="28"/>
        <v>1.0383047033875645</v>
      </c>
      <c r="M97" s="19"/>
      <c r="N97" s="18">
        <f t="shared" si="29"/>
        <v>4.8828248812895545</v>
      </c>
      <c r="O97" s="20">
        <v>4001754</v>
      </c>
      <c r="P97" s="21">
        <v>19539864</v>
      </c>
      <c r="Q97" s="21">
        <v>15383824</v>
      </c>
      <c r="R97" s="21">
        <v>4155040</v>
      </c>
      <c r="S97" s="37"/>
      <c r="T97" s="38">
        <v>40.820099999999996</v>
      </c>
      <c r="U97" s="38">
        <v>48.0929</v>
      </c>
      <c r="V97" s="38">
        <v>48.212200000000003</v>
      </c>
      <c r="W97" s="39"/>
      <c r="X97" s="38">
        <v>34.151400000000002</v>
      </c>
      <c r="Y97" s="38">
        <v>34.151400000000002</v>
      </c>
      <c r="Z97" s="38">
        <v>34.151400000000002</v>
      </c>
      <c r="AA97" s="39"/>
      <c r="AB97" s="49">
        <v>6.5149999999999997</v>
      </c>
      <c r="AC97" s="49">
        <v>5.109</v>
      </c>
      <c r="AE97" s="17" t="str">
        <f t="shared" si="30"/>
        <v>·</v>
      </c>
      <c r="AF97" s="18">
        <f t="shared" si="31"/>
        <v>4.88229511359269</v>
      </c>
      <c r="AG97" s="18">
        <f t="shared" si="32"/>
        <v>3.8442702874789405</v>
      </c>
      <c r="AH97" s="18">
        <f t="shared" si="33"/>
        <v>1.0377749356906996</v>
      </c>
      <c r="AI97" s="19"/>
      <c r="AJ97" s="18">
        <f t="shared" si="34"/>
        <v>4.88229511359269</v>
      </c>
      <c r="AK97" s="20">
        <v>4001754</v>
      </c>
      <c r="AL97" s="21">
        <v>19537744</v>
      </c>
      <c r="AM97" s="21">
        <v>15383824</v>
      </c>
      <c r="AN97" s="21">
        <v>4152920</v>
      </c>
      <c r="AO97" s="37"/>
      <c r="AP97" s="38">
        <v>40.816099999999999</v>
      </c>
      <c r="AQ97" s="38">
        <v>48.114899999999999</v>
      </c>
      <c r="AR97" s="38">
        <v>48.241999999999997</v>
      </c>
      <c r="AS97" s="39"/>
      <c r="AT97" s="38">
        <v>34.151400000000002</v>
      </c>
      <c r="AU97" s="38">
        <v>34.151400000000002</v>
      </c>
      <c r="AV97" s="38">
        <v>34.151400000000002</v>
      </c>
      <c r="AW97" s="39"/>
      <c r="AX97" s="49">
        <v>6.609</v>
      </c>
      <c r="AY97" s="49">
        <v>5.14</v>
      </c>
      <c r="BA97" s="53">
        <f t="shared" si="35"/>
        <v>8.5428781544827359E-5</v>
      </c>
      <c r="BB97" s="53"/>
      <c r="BD97" s="54"/>
      <c r="BE97" s="54"/>
      <c r="BF97" s="54"/>
      <c r="BG97" s="61"/>
      <c r="BI97" s="54"/>
      <c r="BJ97" s="54"/>
      <c r="BK97" s="54"/>
      <c r="BL97" s="61"/>
      <c r="BN97" s="54"/>
      <c r="BO97" s="54"/>
      <c r="BP97" s="54"/>
      <c r="BQ97" s="61"/>
      <c r="BS97" s="54"/>
      <c r="BT97" s="54"/>
      <c r="BU97" s="54"/>
      <c r="BV97" s="61"/>
      <c r="BX97">
        <f t="shared" si="36"/>
        <v>0</v>
      </c>
      <c r="BY97">
        <f t="shared" si="37"/>
        <v>-2120</v>
      </c>
      <c r="BZ97">
        <f t="shared" si="38"/>
        <v>0</v>
      </c>
      <c r="CA97">
        <f t="shared" si="39"/>
        <v>-2120</v>
      </c>
      <c r="CB97">
        <f t="shared" si="40"/>
        <v>0</v>
      </c>
      <c r="CC97">
        <f t="shared" si="41"/>
        <v>-3.9999999999977831E-3</v>
      </c>
      <c r="CD97">
        <f t="shared" si="42"/>
        <v>2.1999999999998465E-2</v>
      </c>
      <c r="CE97">
        <f t="shared" si="43"/>
        <v>2.9799999999994498E-2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4.325911087987917</v>
      </c>
      <c r="K98" s="23">
        <f t="shared" si="27"/>
        <v>3.8442702874789405</v>
      </c>
      <c r="L98" s="23">
        <f t="shared" si="28"/>
        <v>0.48139091008592733</v>
      </c>
      <c r="M98" s="24"/>
      <c r="N98" s="23">
        <f t="shared" si="29"/>
        <v>4.325911087987917</v>
      </c>
      <c r="O98" s="25">
        <v>4001754</v>
      </c>
      <c r="P98" s="26">
        <v>17311232</v>
      </c>
      <c r="Q98" s="26">
        <v>15383824</v>
      </c>
      <c r="R98" s="26">
        <v>1926408</v>
      </c>
      <c r="S98" s="40"/>
      <c r="T98" s="41">
        <v>35.389699999999998</v>
      </c>
      <c r="U98" s="41">
        <v>43.611800000000002</v>
      </c>
      <c r="V98" s="41">
        <v>43.589199999999998</v>
      </c>
      <c r="W98" s="42"/>
      <c r="X98" s="41">
        <v>28.130800000000001</v>
      </c>
      <c r="Y98" s="41">
        <v>28.130800000000001</v>
      </c>
      <c r="Z98" s="41">
        <v>28.130800000000001</v>
      </c>
      <c r="AA98" s="42"/>
      <c r="AB98" s="50">
        <v>6.5309999999999997</v>
      </c>
      <c r="AC98" s="50">
        <v>5.109</v>
      </c>
      <c r="AE98" s="22" t="str">
        <f t="shared" si="30"/>
        <v>·</v>
      </c>
      <c r="AF98" s="23">
        <f t="shared" si="31"/>
        <v>4.3258571116565383</v>
      </c>
      <c r="AG98" s="23">
        <f t="shared" si="32"/>
        <v>3.8442702874789405</v>
      </c>
      <c r="AH98" s="23">
        <f t="shared" si="33"/>
        <v>0.48133693375454861</v>
      </c>
      <c r="AI98" s="24"/>
      <c r="AJ98" s="23">
        <f t="shared" si="34"/>
        <v>4.3258571116565383</v>
      </c>
      <c r="AK98" s="25">
        <v>4001754</v>
      </c>
      <c r="AL98" s="26">
        <v>17311016</v>
      </c>
      <c r="AM98" s="26">
        <v>15383824</v>
      </c>
      <c r="AN98" s="26">
        <v>1926192</v>
      </c>
      <c r="AO98" s="40"/>
      <c r="AP98" s="41">
        <v>35.404899999999998</v>
      </c>
      <c r="AQ98" s="41">
        <v>43.608699999999999</v>
      </c>
      <c r="AR98" s="41">
        <v>43.623600000000003</v>
      </c>
      <c r="AS98" s="42"/>
      <c r="AT98" s="41">
        <v>28.130800000000001</v>
      </c>
      <c r="AU98" s="41">
        <v>28.130800000000001</v>
      </c>
      <c r="AV98" s="41">
        <v>28.130800000000001</v>
      </c>
      <c r="AW98" s="42"/>
      <c r="AX98" s="50">
        <v>6.609</v>
      </c>
      <c r="AY98" s="50">
        <v>5.2030000000000003</v>
      </c>
      <c r="BA98" s="55">
        <f t="shared" si="35"/>
        <v>1.1088365153288926E-5</v>
      </c>
      <c r="BB98" s="55"/>
      <c r="BD98" s="56"/>
      <c r="BE98" s="56"/>
      <c r="BF98" s="56"/>
      <c r="BG98" s="62"/>
      <c r="BI98" s="56"/>
      <c r="BJ98" s="56"/>
      <c r="BK98" s="56"/>
      <c r="BL98" s="62"/>
      <c r="BN98" s="56"/>
      <c r="BO98" s="56"/>
      <c r="BP98" s="56"/>
      <c r="BQ98" s="62"/>
      <c r="BS98" s="56"/>
      <c r="BT98" s="56"/>
      <c r="BU98" s="56"/>
      <c r="BV98" s="62"/>
      <c r="BX98">
        <f t="shared" si="36"/>
        <v>0</v>
      </c>
      <c r="BY98">
        <f t="shared" si="37"/>
        <v>-216</v>
      </c>
      <c r="BZ98">
        <f t="shared" si="38"/>
        <v>0</v>
      </c>
      <c r="CA98">
        <f t="shared" si="39"/>
        <v>-216</v>
      </c>
      <c r="CB98">
        <f t="shared" si="40"/>
        <v>0</v>
      </c>
      <c r="CC98">
        <f t="shared" si="41"/>
        <v>1.5200000000000102E-2</v>
      </c>
      <c r="CD98">
        <f t="shared" si="42"/>
        <v>-3.1000000000034333E-3</v>
      </c>
      <c r="CE98">
        <f t="shared" si="43"/>
        <v>3.4400000000005093E-2</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3.9953460407611261</v>
      </c>
      <c r="K99" s="28">
        <f t="shared" si="27"/>
        <v>3.8442702874789405</v>
      </c>
      <c r="L99" s="28">
        <f t="shared" si="28"/>
        <v>0.15082586285913627</v>
      </c>
      <c r="M99" s="29"/>
      <c r="N99" s="28">
        <f t="shared" si="29"/>
        <v>3.9953460407611261</v>
      </c>
      <c r="O99" s="30">
        <v>4001754</v>
      </c>
      <c r="P99" s="31">
        <v>15988392</v>
      </c>
      <c r="Q99" s="31">
        <v>15383824</v>
      </c>
      <c r="R99" s="31">
        <v>603568</v>
      </c>
      <c r="S99" s="43"/>
      <c r="T99" s="44">
        <v>29.303799999999999</v>
      </c>
      <c r="U99" s="44">
        <v>39.352699999999999</v>
      </c>
      <c r="V99" s="44">
        <v>38.635800000000003</v>
      </c>
      <c r="W99" s="45"/>
      <c r="X99" s="44">
        <v>21.686399999999999</v>
      </c>
      <c r="Y99" s="44">
        <v>21.686399999999999</v>
      </c>
      <c r="Z99" s="44">
        <v>21.686399999999999</v>
      </c>
      <c r="AA99" s="45"/>
      <c r="AB99" s="51">
        <v>6.5780000000000003</v>
      </c>
      <c r="AC99" s="51">
        <v>5.109</v>
      </c>
      <c r="AE99" s="27" t="str">
        <f t="shared" si="30"/>
        <v>·</v>
      </c>
      <c r="AF99" s="28">
        <f t="shared" si="31"/>
        <v>3.9951441292993022</v>
      </c>
      <c r="AG99" s="28">
        <f t="shared" si="32"/>
        <v>3.8442702874789405</v>
      </c>
      <c r="AH99" s="28">
        <f t="shared" si="33"/>
        <v>0.15062395139731227</v>
      </c>
      <c r="AI99" s="29"/>
      <c r="AJ99" s="28">
        <f t="shared" si="34"/>
        <v>3.9951441292993022</v>
      </c>
      <c r="AK99" s="30">
        <v>4001754</v>
      </c>
      <c r="AL99" s="31">
        <v>15987584</v>
      </c>
      <c r="AM99" s="31">
        <v>15383824</v>
      </c>
      <c r="AN99" s="31">
        <v>602760</v>
      </c>
      <c r="AO99" s="43"/>
      <c r="AP99" s="44">
        <v>29.325600000000001</v>
      </c>
      <c r="AQ99" s="44">
        <v>39.485199999999999</v>
      </c>
      <c r="AR99" s="44">
        <v>38.643000000000001</v>
      </c>
      <c r="AS99" s="45"/>
      <c r="AT99" s="44">
        <v>21.686399999999999</v>
      </c>
      <c r="AU99" s="44">
        <v>21.686399999999999</v>
      </c>
      <c r="AV99" s="44">
        <v>21.686399999999999</v>
      </c>
      <c r="AW99" s="45"/>
      <c r="AX99" s="51">
        <v>6.5149999999999997</v>
      </c>
      <c r="AY99" s="51">
        <v>5.125</v>
      </c>
      <c r="BA99" s="57">
        <f t="shared" si="35"/>
        <v>4.8628182338639192E-5</v>
      </c>
      <c r="BB99" s="57"/>
      <c r="BD99" s="58"/>
      <c r="BE99" s="58"/>
      <c r="BF99" s="58"/>
      <c r="BG99" s="63"/>
      <c r="BI99" s="58"/>
      <c r="BJ99" s="58"/>
      <c r="BK99" s="58"/>
      <c r="BL99" s="63"/>
      <c r="BN99" s="58"/>
      <c r="BO99" s="58"/>
      <c r="BP99" s="58"/>
      <c r="BQ99" s="63"/>
      <c r="BS99" s="58"/>
      <c r="BT99" s="58"/>
      <c r="BU99" s="58"/>
      <c r="BV99" s="63"/>
      <c r="BX99">
        <f t="shared" si="36"/>
        <v>0</v>
      </c>
      <c r="BY99">
        <f t="shared" si="37"/>
        <v>-808</v>
      </c>
      <c r="BZ99">
        <f t="shared" si="38"/>
        <v>0</v>
      </c>
      <c r="CA99">
        <f t="shared" si="39"/>
        <v>-808</v>
      </c>
      <c r="CB99">
        <f t="shared" si="40"/>
        <v>0</v>
      </c>
      <c r="CC99">
        <f t="shared" si="41"/>
        <v>2.1800000000002484E-2</v>
      </c>
      <c r="CD99">
        <f t="shared" si="42"/>
        <v>0.13250000000000028</v>
      </c>
      <c r="CE99">
        <f t="shared" si="43"/>
        <v>7.1999999999974307E-3</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5.1977364609568895</v>
      </c>
      <c r="K100" s="23">
        <f t="shared" si="27"/>
        <v>1.0349474929092244</v>
      </c>
      <c r="L100" s="23">
        <f t="shared" si="28"/>
        <v>4.162296814499431</v>
      </c>
      <c r="M100" s="24"/>
      <c r="N100" s="23">
        <f t="shared" si="29"/>
        <v>5.1977364609568895</v>
      </c>
      <c r="O100" s="25">
        <v>1089091</v>
      </c>
      <c r="P100" s="26">
        <v>5660808</v>
      </c>
      <c r="Q100" s="26">
        <v>1127152</v>
      </c>
      <c r="R100" s="26">
        <v>4533120</v>
      </c>
      <c r="S100" s="40"/>
      <c r="T100" s="41">
        <v>52.467100000000002</v>
      </c>
      <c r="U100" s="41">
        <v>56.989199999999997</v>
      </c>
      <c r="V100" s="41">
        <v>56.630299999999998</v>
      </c>
      <c r="W100" s="42"/>
      <c r="X100" s="41">
        <v>48.130800000000001</v>
      </c>
      <c r="Y100" s="41">
        <v>48.130800000000001</v>
      </c>
      <c r="Z100" s="41">
        <v>48.130800000000001</v>
      </c>
      <c r="AA100" s="42"/>
      <c r="AB100" s="50">
        <v>1.2649999999999999</v>
      </c>
      <c r="AC100" s="50">
        <v>1.0149999999999999</v>
      </c>
      <c r="AE100" s="22" t="str">
        <f t="shared" si="30"/>
        <v>·</v>
      </c>
      <c r="AF100" s="23">
        <f t="shared" si="31"/>
        <v>5.2048249411665326</v>
      </c>
      <c r="AG100" s="23">
        <f t="shared" si="32"/>
        <v>1.0349474929092244</v>
      </c>
      <c r="AH100" s="23">
        <f t="shared" si="33"/>
        <v>4.1693852947090742</v>
      </c>
      <c r="AI100" s="24"/>
      <c r="AJ100" s="23">
        <f t="shared" si="34"/>
        <v>5.2048249411665326</v>
      </c>
      <c r="AK100" s="25">
        <v>1089091</v>
      </c>
      <c r="AL100" s="26">
        <v>5668528</v>
      </c>
      <c r="AM100" s="26">
        <v>1127152</v>
      </c>
      <c r="AN100" s="26">
        <v>4540840</v>
      </c>
      <c r="AO100" s="40"/>
      <c r="AP100" s="41">
        <v>52.473100000000002</v>
      </c>
      <c r="AQ100" s="41">
        <v>56.994599999999998</v>
      </c>
      <c r="AR100" s="41">
        <v>56.636000000000003</v>
      </c>
      <c r="AS100" s="42"/>
      <c r="AT100" s="41">
        <v>48.130800000000001</v>
      </c>
      <c r="AU100" s="41">
        <v>48.130800000000001</v>
      </c>
      <c r="AV100" s="41">
        <v>48.130800000000001</v>
      </c>
      <c r="AW100" s="42"/>
      <c r="AX100" s="50">
        <v>1.3280000000000001</v>
      </c>
      <c r="AY100" s="50">
        <v>1.0149999999999999</v>
      </c>
      <c r="BA100" s="55">
        <f t="shared" si="35"/>
        <v>-2.7117588434211193E-4</v>
      </c>
      <c r="BB100" s="55">
        <f t="array" ref="BB100">AVERAGE(AM100:AM104/AL100:AL104)-AVERAGE(Q100:Q104/P100:P104)</f>
        <v>2.959313016544507E-4</v>
      </c>
      <c r="BD100" s="56">
        <f>IF(OR(ISBLANK(R100:R104),ISBLANK(AN100:AN104),ISBLANK(T100:T104),ISBLANK(AP100:AP104)),"·",bdRateExtend(R100:R104,T100:T104,AN100:AN104,AP100:AP104))</f>
        <v>-1.6548951687113123E-3</v>
      </c>
      <c r="BE100" s="56">
        <f>IF(OR(ISBLANK(R100:R104),ISBLANK(AN100:AN104),ISBLANK(U100:U104),ISBLANK(AQ100:AQ104)),"·",bdRateExtend(R100:R104,U100:U104,AN100:AN104,AQ100:AQ104))</f>
        <v>3.8606127007456692E-4</v>
      </c>
      <c r="BF100" s="56">
        <f>IF(OR(ISBLANK(R100:R104),ISBLANK(AN100:AN104),ISBLANK(V100:V104),ISBLANK(AR100:AR104)),"·",bdRateExtend(R100:R104,V100:V104,AN100:AN104,AR100:AR104))</f>
        <v>-1.2831748035567525E-2</v>
      </c>
      <c r="BG100" s="62"/>
      <c r="BI100" s="56">
        <f>IF(OR(ISBLANK(R100:R104),ISBLANK(AN100:AN104),ISBLANK(X100:X104),ISBLANK(AT100:AT104)),"·",bdRateExtend(R100:R104,X100:X104,AN100:AN104,AT100:AT104))</f>
        <v>-4.950581708221824E-4</v>
      </c>
      <c r="BJ100" s="56">
        <f>IF(OR(ISBLANK(R100:R104),ISBLANK(AN100:AN104),ISBLANK(Y100:Y104),ISBLANK(AU100:AU104)),"·",bdRateExtend(R100:R104,Y100:Y104,AN100:AN104,AU100:AU104))</f>
        <v>-4.950581708221824E-4</v>
      </c>
      <c r="BK100" s="56">
        <f>IF(OR(ISBLANK(R100:R104),ISBLANK(AN100:AN104),ISBLANK(Z100:Z104),ISBLANK(AV100:AV104)),"·",bdRateExtend(R100:R104,Z100:Z104,AN100:AN104,AV100:AV104))</f>
        <v>-4.950581708221824E-4</v>
      </c>
      <c r="BL100" s="62"/>
      <c r="BN100" s="56">
        <f>IF(OR(ISBLANK(P100:P104),ISBLANK(AL100:AL104),ISBLANK(T100:T104),ISBLANK(AP100:AP104)),"·",bdRateExtend(P100:P104,T100:T104,AL100:AL104,AP100:AP104))</f>
        <v>-2.7323330447270866E-4</v>
      </c>
      <c r="BO100" s="56">
        <f>IF(OR(ISBLANK(P100:P104),ISBLANK(AL100:AL104),ISBLANK(U100:U104),ISBLANK(AQ100:AQ104)),"·",bdRateExtend(P100:P104,U100:U104,AL100:AL104,AQ100:AQ104))</f>
        <v>1.2097777457296122E-3</v>
      </c>
      <c r="BP100" s="56">
        <f>IF(OR(ISBLANK(P100:P104),ISBLANK(AL100:AL104),ISBLANK(V100:V104),ISBLANK(AR100:AR104)),"·",bdRateExtend(P100:P104,V100:V104,AL100:AL104,AR100:AR104))</f>
        <v>-3.497853988423727E-3</v>
      </c>
      <c r="BQ100" s="62"/>
      <c r="BS100" s="56">
        <f>IF(OR(ISBLANK(P100:P104),ISBLANK(AL100:AL104),ISBLANK(X100:X104),ISBLANK(AT100:AT104)),"·",bdRateExtend(P100:P104,X100:X104,AL100:AL104,AT100:AT104))</f>
        <v>2.9402878743667316E-4</v>
      </c>
      <c r="BT100" s="56">
        <f>IF(OR(ISBLANK(P100:P104),ISBLANK(AL100:AL104),ISBLANK(Y100:Y104),ISBLANK(AU100:AU104)),"·",bdRateExtend(P100:P104,Y100:Y104,AL100:AL104,AU100:AU104))</f>
        <v>2.9402878743667316E-4</v>
      </c>
      <c r="BU100" s="56">
        <f>IF(OR(ISBLANK(P100:P104),ISBLANK(AL100:AL104),ISBLANK(Z100:Z104),ISBLANK(AV100:AV104)),"·",bdRateExtend(P100:P104,Z100:Z104,AL100:AL104,AV100:AV104))</f>
        <v>2.9402878743667316E-4</v>
      </c>
      <c r="BV100" s="62"/>
      <c r="BX100">
        <f t="shared" si="36"/>
        <v>0</v>
      </c>
      <c r="BY100">
        <f t="shared" si="37"/>
        <v>7720</v>
      </c>
      <c r="BZ100">
        <f t="shared" si="38"/>
        <v>0</v>
      </c>
      <c r="CA100">
        <f t="shared" si="39"/>
        <v>7720</v>
      </c>
      <c r="CB100">
        <f t="shared" si="40"/>
        <v>0</v>
      </c>
      <c r="CC100">
        <f t="shared" si="41"/>
        <v>6.0000000000002274E-3</v>
      </c>
      <c r="CD100">
        <f t="shared" si="42"/>
        <v>5.4000000000016257E-3</v>
      </c>
      <c r="CE100">
        <f t="shared" si="43"/>
        <v>5.7000000000044793E-3</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3.9400417412319082</v>
      </c>
      <c r="K101" s="18">
        <f t="shared" si="27"/>
        <v>1.0349474929092244</v>
      </c>
      <c r="L101" s="18">
        <f t="shared" si="28"/>
        <v>2.9046020947744493</v>
      </c>
      <c r="M101" s="19"/>
      <c r="N101" s="18">
        <f t="shared" si="29"/>
        <v>3.9400417412319082</v>
      </c>
      <c r="O101" s="20">
        <v>1089091</v>
      </c>
      <c r="P101" s="21">
        <v>4291064</v>
      </c>
      <c r="Q101" s="21">
        <v>1127152</v>
      </c>
      <c r="R101" s="21">
        <v>3163376</v>
      </c>
      <c r="S101" s="37"/>
      <c r="T101" s="38">
        <v>47.655500000000004</v>
      </c>
      <c r="U101" s="38">
        <v>52.6541</v>
      </c>
      <c r="V101" s="38">
        <v>52.572800000000001</v>
      </c>
      <c r="W101" s="39"/>
      <c r="X101" s="38">
        <v>42.110199999999999</v>
      </c>
      <c r="Y101" s="38">
        <v>42.110199999999999</v>
      </c>
      <c r="Z101" s="38">
        <v>42.110199999999999</v>
      </c>
      <c r="AA101" s="39"/>
      <c r="AB101" s="49">
        <v>1.3280000000000001</v>
      </c>
      <c r="AC101" s="49">
        <v>1.0149999999999999</v>
      </c>
      <c r="AE101" s="17" t="str">
        <f t="shared" si="30"/>
        <v>·</v>
      </c>
      <c r="AF101" s="18">
        <f t="shared" si="31"/>
        <v>3.9450367324677185</v>
      </c>
      <c r="AG101" s="18">
        <f t="shared" si="32"/>
        <v>1.0349474929092244</v>
      </c>
      <c r="AH101" s="18">
        <f t="shared" si="33"/>
        <v>2.90959708601026</v>
      </c>
      <c r="AI101" s="19"/>
      <c r="AJ101" s="18">
        <f t="shared" si="34"/>
        <v>3.9450367324677185</v>
      </c>
      <c r="AK101" s="20">
        <v>1089091</v>
      </c>
      <c r="AL101" s="21">
        <v>4296504</v>
      </c>
      <c r="AM101" s="21">
        <v>1127152</v>
      </c>
      <c r="AN101" s="21">
        <v>3168816</v>
      </c>
      <c r="AO101" s="37"/>
      <c r="AP101" s="38">
        <v>47.655799999999999</v>
      </c>
      <c r="AQ101" s="38">
        <v>52.638800000000003</v>
      </c>
      <c r="AR101" s="38">
        <v>52.598500000000001</v>
      </c>
      <c r="AS101" s="39"/>
      <c r="AT101" s="38">
        <v>42.110199999999999</v>
      </c>
      <c r="AU101" s="38">
        <v>42.110199999999999</v>
      </c>
      <c r="AV101" s="38">
        <v>42.110199999999999</v>
      </c>
      <c r="AW101" s="39"/>
      <c r="AX101" s="49">
        <v>1.375</v>
      </c>
      <c r="AY101" s="49">
        <v>1.0149999999999999</v>
      </c>
      <c r="BA101" s="53">
        <f t="shared" si="35"/>
        <v>-3.3258386290452302E-4</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5440</v>
      </c>
      <c r="BZ101">
        <f t="shared" si="38"/>
        <v>0</v>
      </c>
      <c r="CA101">
        <f t="shared" si="39"/>
        <v>5440</v>
      </c>
      <c r="CB101">
        <f t="shared" si="40"/>
        <v>0</v>
      </c>
      <c r="CC101">
        <f t="shared" si="41"/>
        <v>2.9999999999574811E-4</v>
      </c>
      <c r="CD101">
        <f t="shared" si="42"/>
        <v>-1.5299999999996317E-2</v>
      </c>
      <c r="CE101">
        <f t="shared" si="43"/>
        <v>2.57000000000005E-2</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2.5804565458717406</v>
      </c>
      <c r="K102" s="23">
        <f t="shared" si="27"/>
        <v>1.0349474929092244</v>
      </c>
      <c r="L102" s="23">
        <f t="shared" si="28"/>
        <v>1.5450168994142821</v>
      </c>
      <c r="M102" s="24"/>
      <c r="N102" s="23">
        <f t="shared" si="29"/>
        <v>2.5804565458717406</v>
      </c>
      <c r="O102" s="25">
        <v>1089091</v>
      </c>
      <c r="P102" s="26">
        <v>2810352</v>
      </c>
      <c r="Q102" s="26">
        <v>1127152</v>
      </c>
      <c r="R102" s="26">
        <v>1682664</v>
      </c>
      <c r="S102" s="40"/>
      <c r="T102" s="41">
        <v>40.593200000000003</v>
      </c>
      <c r="U102" s="41">
        <v>47.7575</v>
      </c>
      <c r="V102" s="41">
        <v>47.870899999999999</v>
      </c>
      <c r="W102" s="42"/>
      <c r="X102" s="41">
        <v>34.151400000000002</v>
      </c>
      <c r="Y102" s="41">
        <v>34.151400000000002</v>
      </c>
      <c r="Z102" s="41">
        <v>34.151400000000002</v>
      </c>
      <c r="AA102" s="42"/>
      <c r="AB102" s="50">
        <v>1.296</v>
      </c>
      <c r="AC102" s="50">
        <v>1.0149999999999999</v>
      </c>
      <c r="AE102" s="22" t="str">
        <f t="shared" si="30"/>
        <v>·</v>
      </c>
      <c r="AF102" s="23">
        <f t="shared" si="31"/>
        <v>2.5824912702427989</v>
      </c>
      <c r="AG102" s="23">
        <f t="shared" si="32"/>
        <v>1.0349474929092244</v>
      </c>
      <c r="AH102" s="23">
        <f t="shared" si="33"/>
        <v>1.5470516237853402</v>
      </c>
      <c r="AI102" s="24"/>
      <c r="AJ102" s="23">
        <f t="shared" si="34"/>
        <v>2.5824912702427989</v>
      </c>
      <c r="AK102" s="25">
        <v>1089091</v>
      </c>
      <c r="AL102" s="26">
        <v>2812568</v>
      </c>
      <c r="AM102" s="26">
        <v>1127152</v>
      </c>
      <c r="AN102" s="26">
        <v>1684880</v>
      </c>
      <c r="AO102" s="40"/>
      <c r="AP102" s="41">
        <v>40.613700000000001</v>
      </c>
      <c r="AQ102" s="41">
        <v>47.7194</v>
      </c>
      <c r="AR102" s="41">
        <v>47.898800000000001</v>
      </c>
      <c r="AS102" s="42"/>
      <c r="AT102" s="41">
        <v>34.151400000000002</v>
      </c>
      <c r="AU102" s="41">
        <v>34.151400000000002</v>
      </c>
      <c r="AV102" s="41">
        <v>34.151400000000002</v>
      </c>
      <c r="AW102" s="42"/>
      <c r="AX102" s="50">
        <v>1.2809999999999999</v>
      </c>
      <c r="AY102" s="50">
        <v>1</v>
      </c>
      <c r="BA102" s="55">
        <f t="shared" si="35"/>
        <v>-3.1600102515721984E-4</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2216</v>
      </c>
      <c r="BZ102">
        <f t="shared" si="38"/>
        <v>0</v>
      </c>
      <c r="CA102">
        <f t="shared" si="39"/>
        <v>2216</v>
      </c>
      <c r="CB102">
        <f t="shared" si="40"/>
        <v>0</v>
      </c>
      <c r="CC102">
        <f t="shared" si="41"/>
        <v>2.0499999999998408E-2</v>
      </c>
      <c r="CD102">
        <f t="shared" si="42"/>
        <v>-3.8100000000000023E-2</v>
      </c>
      <c r="CE102">
        <f t="shared" si="43"/>
        <v>2.7900000000002478E-2</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1.8350936698586253</v>
      </c>
      <c r="K103" s="18">
        <f t="shared" si="27"/>
        <v>1.0349474929092244</v>
      </c>
      <c r="L103" s="18">
        <f t="shared" si="28"/>
        <v>0.79965402340116665</v>
      </c>
      <c r="M103" s="19"/>
      <c r="N103" s="18">
        <f t="shared" si="29"/>
        <v>1.8350936698586253</v>
      </c>
      <c r="O103" s="20">
        <v>1089091</v>
      </c>
      <c r="P103" s="21">
        <v>1998584</v>
      </c>
      <c r="Q103" s="21">
        <v>1127152</v>
      </c>
      <c r="R103" s="21">
        <v>870896</v>
      </c>
      <c r="S103" s="37"/>
      <c r="T103" s="38">
        <v>35.143300000000004</v>
      </c>
      <c r="U103" s="38">
        <v>43.241300000000003</v>
      </c>
      <c r="V103" s="38">
        <v>43.429200000000002</v>
      </c>
      <c r="W103" s="39"/>
      <c r="X103" s="38">
        <v>28.130800000000001</v>
      </c>
      <c r="Y103" s="38">
        <v>28.130800000000001</v>
      </c>
      <c r="Z103" s="38">
        <v>28.130800000000001</v>
      </c>
      <c r="AA103" s="39"/>
      <c r="AB103" s="49">
        <v>1.296</v>
      </c>
      <c r="AC103" s="49">
        <v>1.0309999999999999</v>
      </c>
      <c r="AE103" s="17" t="str">
        <f t="shared" si="30"/>
        <v>·</v>
      </c>
      <c r="AF103" s="18">
        <f t="shared" si="31"/>
        <v>1.8340432525840358</v>
      </c>
      <c r="AG103" s="18">
        <f t="shared" si="32"/>
        <v>1.0349474929092244</v>
      </c>
      <c r="AH103" s="18">
        <f t="shared" si="33"/>
        <v>0.7986036061265771</v>
      </c>
      <c r="AI103" s="19"/>
      <c r="AJ103" s="18">
        <f t="shared" si="34"/>
        <v>1.8340432525840358</v>
      </c>
      <c r="AK103" s="20">
        <v>1089091</v>
      </c>
      <c r="AL103" s="21">
        <v>1997440</v>
      </c>
      <c r="AM103" s="21">
        <v>1127152</v>
      </c>
      <c r="AN103" s="21">
        <v>869752</v>
      </c>
      <c r="AO103" s="37"/>
      <c r="AP103" s="38">
        <v>35.149900000000002</v>
      </c>
      <c r="AQ103" s="38">
        <v>43.237099999999998</v>
      </c>
      <c r="AR103" s="38">
        <v>43.411799999999999</v>
      </c>
      <c r="AS103" s="39"/>
      <c r="AT103" s="38">
        <v>28.130800000000001</v>
      </c>
      <c r="AU103" s="38">
        <v>28.130800000000001</v>
      </c>
      <c r="AV103" s="38">
        <v>28.130800000000001</v>
      </c>
      <c r="AW103" s="39"/>
      <c r="AX103" s="49">
        <v>1.2649999999999999</v>
      </c>
      <c r="AY103" s="49">
        <v>1.0149999999999999</v>
      </c>
      <c r="BA103" s="53">
        <f t="shared" si="35"/>
        <v>3.2300731782564096E-4</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-1144</v>
      </c>
      <c r="BZ103">
        <f t="shared" si="38"/>
        <v>0</v>
      </c>
      <c r="CA103">
        <f t="shared" si="39"/>
        <v>-1144</v>
      </c>
      <c r="CB103">
        <f t="shared" si="40"/>
        <v>0</v>
      </c>
      <c r="CC103">
        <f t="shared" si="41"/>
        <v>6.599999999998829E-3</v>
      </c>
      <c r="CD103">
        <f t="shared" si="42"/>
        <v>-4.2000000000044224E-3</v>
      </c>
      <c r="CE103">
        <f t="shared" si="43"/>
        <v>-1.740000000000208E-2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1.3232760164210338</v>
      </c>
      <c r="K104" s="33">
        <f t="shared" si="27"/>
        <v>1.0349474929092244</v>
      </c>
      <c r="L104" s="33">
        <f t="shared" si="28"/>
        <v>0.28783636996357514</v>
      </c>
      <c r="M104" s="34"/>
      <c r="N104" s="33">
        <f t="shared" si="29"/>
        <v>1.3232760164210338</v>
      </c>
      <c r="O104" s="35">
        <v>1089091</v>
      </c>
      <c r="P104" s="36">
        <v>1441168</v>
      </c>
      <c r="Q104" s="36">
        <v>1127152</v>
      </c>
      <c r="R104" s="36">
        <v>313480</v>
      </c>
      <c r="S104" s="46"/>
      <c r="T104" s="47">
        <v>29.213699999999999</v>
      </c>
      <c r="U104" s="47">
        <v>39.076999999999998</v>
      </c>
      <c r="V104" s="47">
        <v>38.042200000000001</v>
      </c>
      <c r="W104" s="48"/>
      <c r="X104" s="47">
        <v>21.686399999999999</v>
      </c>
      <c r="Y104" s="47">
        <v>21.686399999999999</v>
      </c>
      <c r="Z104" s="47">
        <v>21.686399999999999</v>
      </c>
      <c r="AA104" s="48"/>
      <c r="AB104" s="52">
        <v>1.296</v>
      </c>
      <c r="AC104" s="52">
        <v>0.98399999999999999</v>
      </c>
      <c r="AE104" s="32" t="str">
        <f t="shared" si="30"/>
        <v>·</v>
      </c>
      <c r="AF104" s="33">
        <f t="shared" si="31"/>
        <v>1.3197721769806197</v>
      </c>
      <c r="AG104" s="33">
        <f t="shared" si="32"/>
        <v>1.0349474929092244</v>
      </c>
      <c r="AH104" s="33">
        <f t="shared" si="33"/>
        <v>0.28433253052316104</v>
      </c>
      <c r="AI104" s="34"/>
      <c r="AJ104" s="33">
        <f t="shared" si="34"/>
        <v>1.3197721769806197</v>
      </c>
      <c r="AK104" s="35">
        <v>1089091</v>
      </c>
      <c r="AL104" s="36">
        <v>1437352</v>
      </c>
      <c r="AM104" s="36">
        <v>1127152</v>
      </c>
      <c r="AN104" s="36">
        <v>309664</v>
      </c>
      <c r="AO104" s="46"/>
      <c r="AP104" s="47">
        <v>29.225200000000001</v>
      </c>
      <c r="AQ104" s="47">
        <v>39.123199999999997</v>
      </c>
      <c r="AR104" s="47">
        <v>38.572899999999997</v>
      </c>
      <c r="AS104" s="48"/>
      <c r="AT104" s="47">
        <v>21.686399999999999</v>
      </c>
      <c r="AU104" s="47">
        <v>21.686399999999999</v>
      </c>
      <c r="AV104" s="47">
        <v>21.686399999999999</v>
      </c>
      <c r="AW104" s="48"/>
      <c r="AX104" s="52">
        <v>1.2809999999999999</v>
      </c>
      <c r="AY104" s="52">
        <v>0.96799999999999997</v>
      </c>
      <c r="BA104" s="59">
        <f t="shared" si="35"/>
        <v>2.0764099628503008E-3</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-3816</v>
      </c>
      <c r="BZ104">
        <f t="shared" si="38"/>
        <v>0</v>
      </c>
      <c r="CA104">
        <f t="shared" si="39"/>
        <v>-3816</v>
      </c>
      <c r="CB104">
        <f t="shared" si="40"/>
        <v>0</v>
      </c>
      <c r="CC104">
        <f t="shared" si="41"/>
        <v>1.150000000000162E-2</v>
      </c>
      <c r="CD104">
        <f t="shared" si="42"/>
        <v>4.6199999999998909E-2</v>
      </c>
      <c r="CE104">
        <f t="shared" si="43"/>
        <v>0.53069999999999595</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5.6907733174877766</v>
      </c>
      <c r="K105" s="18">
        <f t="shared" si="27"/>
        <v>1.0974786076994711</v>
      </c>
      <c r="L105" s="18">
        <f t="shared" si="28"/>
        <v>4.592990577324561</v>
      </c>
      <c r="M105" s="19"/>
      <c r="N105" s="18">
        <f t="shared" si="29"/>
        <v>5.6907733174877766</v>
      </c>
      <c r="O105" s="20">
        <v>3130215</v>
      </c>
      <c r="P105" s="21">
        <v>17813344</v>
      </c>
      <c r="Q105" s="21">
        <v>3435344</v>
      </c>
      <c r="R105" s="21">
        <v>14377048</v>
      </c>
      <c r="S105" s="37"/>
      <c r="T105" s="38">
        <v>52.790100000000002</v>
      </c>
      <c r="U105" s="38">
        <v>55.270699999999998</v>
      </c>
      <c r="V105" s="38">
        <v>56.254100000000001</v>
      </c>
      <c r="W105" s="39"/>
      <c r="X105" s="38">
        <v>48.130800000000001</v>
      </c>
      <c r="Y105" s="38">
        <v>48.130800000000001</v>
      </c>
      <c r="Z105" s="38">
        <v>48.130800000000001</v>
      </c>
      <c r="AA105" s="39"/>
      <c r="AB105" s="49">
        <v>4.1559999999999997</v>
      </c>
      <c r="AC105" s="49">
        <v>3.125</v>
      </c>
      <c r="AE105" s="17" t="str">
        <f t="shared" si="30"/>
        <v>·</v>
      </c>
      <c r="AF105" s="18">
        <f t="shared" si="31"/>
        <v>5.7094250714407799</v>
      </c>
      <c r="AG105" s="18">
        <f t="shared" si="32"/>
        <v>1.0974786076994711</v>
      </c>
      <c r="AH105" s="18">
        <f t="shared" si="33"/>
        <v>4.6116423312775643</v>
      </c>
      <c r="AI105" s="19"/>
      <c r="AJ105" s="18">
        <f t="shared" si="34"/>
        <v>5.7094250714407799</v>
      </c>
      <c r="AK105" s="20">
        <v>3130215</v>
      </c>
      <c r="AL105" s="21">
        <v>17871728</v>
      </c>
      <c r="AM105" s="21">
        <v>3435344</v>
      </c>
      <c r="AN105" s="21">
        <v>14435432</v>
      </c>
      <c r="AO105" s="37"/>
      <c r="AP105" s="38">
        <v>52.805100000000003</v>
      </c>
      <c r="AQ105" s="38">
        <v>55.288499999999999</v>
      </c>
      <c r="AR105" s="38">
        <v>56.263599999999997</v>
      </c>
      <c r="AS105" s="39"/>
      <c r="AT105" s="38">
        <v>48.130800000000001</v>
      </c>
      <c r="AU105" s="38">
        <v>48.130800000000001</v>
      </c>
      <c r="AV105" s="38">
        <v>48.130800000000001</v>
      </c>
      <c r="AW105" s="39"/>
      <c r="AX105" s="49">
        <v>4.218</v>
      </c>
      <c r="AY105" s="49">
        <v>3.2650000000000001</v>
      </c>
      <c r="BA105" s="53">
        <f t="shared" si="35"/>
        <v>-6.3001672248527707E-4</v>
      </c>
      <c r="BB105" s="53">
        <f t="array" ref="BB105">AVERAGE(AM105:AM109/AL105:AL109)-AVERAGE(Q105:Q109/P105:P109)</f>
        <v>-2.0148461549119867E-3</v>
      </c>
      <c r="BD105" s="54">
        <f>IF(OR(ISBLANK(R105:R109),ISBLANK(AN105:AN109),ISBLANK(T105:T109),ISBLANK(AP105:AP109)),"·",bdRateExtend(R105:R109,T105:T109,AN105:AN109,AP105:AP109))</f>
        <v>4.2478096090992068E-3</v>
      </c>
      <c r="BE105" s="54">
        <f>IF(OR(ISBLANK(R105:R109),ISBLANK(AN105:AN109),ISBLANK(U105:U109),ISBLANK(AQ105:AQ109)),"·",bdRateExtend(R105:R109,U105:U109,AN105:AN109,AQ105:AQ109))</f>
        <v>1.2731121645659371E-3</v>
      </c>
      <c r="BF105" s="54">
        <f>IF(OR(ISBLANK(R105:R109),ISBLANK(AN105:AN109),ISBLANK(V105:V109),ISBLANK(AR105:AR109)),"·",bdRateExtend(R105:R109,V105:V109,AN105:AN109,AR105:AR109))</f>
        <v>2.8756572820820558E-4</v>
      </c>
      <c r="BG105" s="61"/>
      <c r="BI105" s="54">
        <f>IF(OR(ISBLANK(R105:R109),ISBLANK(AN105:AN109),ISBLANK(X105:X109),ISBLANK(AT105:AT109)),"·",bdRateExtend(R105:R109,X105:X109,AN105:AN109,AT105:AT109))</f>
        <v>9.5748609319810107E-3</v>
      </c>
      <c r="BJ105" s="54">
        <f>IF(OR(ISBLANK(R105:R109),ISBLANK(AN105:AN109),ISBLANK(Y105:Y109),ISBLANK(AU105:AU109)),"·",bdRateExtend(R105:R109,Y105:Y109,AN105:AN109,AU105:AU109))</f>
        <v>9.5748609319810107E-3</v>
      </c>
      <c r="BK105" s="54">
        <f>IF(OR(ISBLANK(R105:R109),ISBLANK(AN105:AN109),ISBLANK(Z105:Z109),ISBLANK(AV105:AV109)),"·",bdRateExtend(R105:R109,Z105:Z109,AN105:AN109,AV105:AV109))</f>
        <v>9.5748609319810107E-3</v>
      </c>
      <c r="BL105" s="61"/>
      <c r="BN105" s="54">
        <f>IF(OR(ISBLANK(P105:P109),ISBLANK(AL105:AL109),ISBLANK(T105:T109),ISBLANK(AP105:AP109)),"·",bdRateExtend(P105:P109,T105:T109,AL105:AL109,AP105:AP109))</f>
        <v>3.0229206304501766E-3</v>
      </c>
      <c r="BO105" s="54">
        <f>IF(OR(ISBLANK(P105:P109),ISBLANK(AL105:AL109),ISBLANK(U105:U109),ISBLANK(AQ105:AQ109)),"·",bdRateExtend(P105:P109,U105:U109,AL105:AL109,AQ105:AQ109))</f>
        <v>1.1925083044399543E-3</v>
      </c>
      <c r="BP105" s="54">
        <f>IF(OR(ISBLANK(P105:P109),ISBLANK(AL105:AL109),ISBLANK(V105:V109),ISBLANK(AR105:AR109)),"·",bdRateExtend(P105:P109,V105:V109,AL105:AL109,AR105:AR109))</f>
        <v>1.6994360387574403E-3</v>
      </c>
      <c r="BQ105" s="61"/>
      <c r="BS105" s="54">
        <f>IF(OR(ISBLANK(P105:P109),ISBLANK(AL105:AL109),ISBLANK(X105:X109),ISBLANK(AT105:AT109)),"·",bdRateExtend(P105:P109,X105:X109,AL105:AL109,AT105:AT109))</f>
        <v>5.0280987420205925E-3</v>
      </c>
      <c r="BT105" s="54">
        <f>IF(OR(ISBLANK(P105:P109),ISBLANK(AL105:AL109),ISBLANK(Y105:Y109),ISBLANK(AU105:AU109)),"·",bdRateExtend(P105:P109,Y105:Y109,AL105:AL109,AU105:AU109))</f>
        <v>5.0280987420205925E-3</v>
      </c>
      <c r="BU105" s="54">
        <f>IF(OR(ISBLANK(P105:P109),ISBLANK(AL105:AL109),ISBLANK(Z105:Z109),ISBLANK(AV105:AV109)),"·",bdRateExtend(P105:P109,Z105:Z109,AL105:AL109,AV105:AV109))</f>
        <v>5.0280987420205925E-3</v>
      </c>
      <c r="BV105" s="61"/>
      <c r="BX105">
        <f t="shared" si="36"/>
        <v>0</v>
      </c>
      <c r="BY105">
        <f t="shared" si="37"/>
        <v>58384</v>
      </c>
      <c r="BZ105">
        <f t="shared" si="38"/>
        <v>0</v>
      </c>
      <c r="CA105">
        <f t="shared" si="39"/>
        <v>58384</v>
      </c>
      <c r="CB105">
        <f t="shared" si="40"/>
        <v>0</v>
      </c>
      <c r="CC105">
        <f t="shared" si="41"/>
        <v>1.5000000000000568E-2</v>
      </c>
      <c r="CD105">
        <f t="shared" si="42"/>
        <v>1.7800000000001148E-2</v>
      </c>
      <c r="CE105">
        <f t="shared" si="43"/>
        <v>9.4999999999956231E-3</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4.1468538103612689</v>
      </c>
      <c r="K106" s="23">
        <f t="shared" si="27"/>
        <v>1.0974786076994711</v>
      </c>
      <c r="L106" s="23">
        <f t="shared" si="28"/>
        <v>3.0490710701980537</v>
      </c>
      <c r="M106" s="24"/>
      <c r="N106" s="23">
        <f t="shared" si="29"/>
        <v>4.1468538103612689</v>
      </c>
      <c r="O106" s="25">
        <v>3130215</v>
      </c>
      <c r="P106" s="26">
        <v>12980544</v>
      </c>
      <c r="Q106" s="26">
        <v>3435344</v>
      </c>
      <c r="R106" s="26">
        <v>9544248</v>
      </c>
      <c r="S106" s="40"/>
      <c r="T106" s="41">
        <v>48.2864</v>
      </c>
      <c r="U106" s="41">
        <v>51.717399999999998</v>
      </c>
      <c r="V106" s="41">
        <v>51.6128</v>
      </c>
      <c r="W106" s="42"/>
      <c r="X106" s="41">
        <v>42.110199999999999</v>
      </c>
      <c r="Y106" s="41">
        <v>42.110199999999999</v>
      </c>
      <c r="Z106" s="41">
        <v>42.110199999999999</v>
      </c>
      <c r="AA106" s="42"/>
      <c r="AB106" s="50">
        <v>4.2030000000000003</v>
      </c>
      <c r="AC106" s="50">
        <v>3.218</v>
      </c>
      <c r="AE106" s="22" t="str">
        <f t="shared" si="30"/>
        <v>·</v>
      </c>
      <c r="AF106" s="23">
        <f t="shared" si="31"/>
        <v>4.1652218777304437</v>
      </c>
      <c r="AG106" s="23">
        <f t="shared" si="32"/>
        <v>1.0974786076994711</v>
      </c>
      <c r="AH106" s="23">
        <f t="shared" si="33"/>
        <v>3.0674391375672276</v>
      </c>
      <c r="AI106" s="24"/>
      <c r="AJ106" s="23">
        <f t="shared" si="34"/>
        <v>4.1652218777304437</v>
      </c>
      <c r="AK106" s="25">
        <v>3130215</v>
      </c>
      <c r="AL106" s="26">
        <v>13038040</v>
      </c>
      <c r="AM106" s="26">
        <v>3435344</v>
      </c>
      <c r="AN106" s="26">
        <v>9601744</v>
      </c>
      <c r="AO106" s="40"/>
      <c r="AP106" s="41">
        <v>48.296300000000002</v>
      </c>
      <c r="AQ106" s="41">
        <v>51.737099999999998</v>
      </c>
      <c r="AR106" s="41">
        <v>51.633600000000001</v>
      </c>
      <c r="AS106" s="42"/>
      <c r="AT106" s="41">
        <v>42.110199999999999</v>
      </c>
      <c r="AU106" s="41">
        <v>42.110199999999999</v>
      </c>
      <c r="AV106" s="41">
        <v>42.110199999999999</v>
      </c>
      <c r="AW106" s="42"/>
      <c r="AX106" s="50">
        <v>4.2649999999999997</v>
      </c>
      <c r="AY106" s="50">
        <v>3.125</v>
      </c>
      <c r="BA106" s="55">
        <f t="shared" si="35"/>
        <v>-1.1670854667405473E-3</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57496</v>
      </c>
      <c r="BZ106">
        <f t="shared" si="38"/>
        <v>0</v>
      </c>
      <c r="CA106">
        <f t="shared" si="39"/>
        <v>57496</v>
      </c>
      <c r="CB106">
        <f t="shared" si="40"/>
        <v>0</v>
      </c>
      <c r="CC106">
        <f t="shared" si="41"/>
        <v>9.9000000000017963E-3</v>
      </c>
      <c r="CD106">
        <f t="shared" si="42"/>
        <v>1.9700000000000273E-2</v>
      </c>
      <c r="CE106">
        <f t="shared" si="43"/>
        <v>2.0800000000001262E-2</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2.7399498117541445</v>
      </c>
      <c r="K107" s="18">
        <f t="shared" si="27"/>
        <v>1.0974786076994711</v>
      </c>
      <c r="L107" s="18">
        <f t="shared" si="28"/>
        <v>1.6421670715909291</v>
      </c>
      <c r="M107" s="19"/>
      <c r="N107" s="18">
        <f t="shared" si="29"/>
        <v>2.7399498117541445</v>
      </c>
      <c r="O107" s="20">
        <v>3130215</v>
      </c>
      <c r="P107" s="21">
        <v>8576632</v>
      </c>
      <c r="Q107" s="21">
        <v>3435344</v>
      </c>
      <c r="R107" s="21">
        <v>5140336</v>
      </c>
      <c r="S107" s="37"/>
      <c r="T107" s="38">
        <v>41.237499999999997</v>
      </c>
      <c r="U107" s="38">
        <v>45.7361</v>
      </c>
      <c r="V107" s="38">
        <v>46.255899999999997</v>
      </c>
      <c r="W107" s="39"/>
      <c r="X107" s="38">
        <v>34.151400000000002</v>
      </c>
      <c r="Y107" s="38">
        <v>34.151400000000002</v>
      </c>
      <c r="Z107" s="38">
        <v>34.151400000000002</v>
      </c>
      <c r="AA107" s="39"/>
      <c r="AB107" s="49">
        <v>4.093</v>
      </c>
      <c r="AC107" s="49">
        <v>3</v>
      </c>
      <c r="AE107" s="17" t="str">
        <f t="shared" si="30"/>
        <v>·</v>
      </c>
      <c r="AF107" s="18">
        <f t="shared" si="31"/>
        <v>2.7568304413594595</v>
      </c>
      <c r="AG107" s="18">
        <f t="shared" si="32"/>
        <v>1.0974786076994711</v>
      </c>
      <c r="AH107" s="18">
        <f t="shared" si="33"/>
        <v>1.6590477011962437</v>
      </c>
      <c r="AI107" s="19"/>
      <c r="AJ107" s="18">
        <f t="shared" si="34"/>
        <v>2.7568304413594595</v>
      </c>
      <c r="AK107" s="20">
        <v>3130215</v>
      </c>
      <c r="AL107" s="21">
        <v>8629472</v>
      </c>
      <c r="AM107" s="21">
        <v>3435344</v>
      </c>
      <c r="AN107" s="21">
        <v>5193176</v>
      </c>
      <c r="AO107" s="37"/>
      <c r="AP107" s="38">
        <v>41.265000000000001</v>
      </c>
      <c r="AQ107" s="38">
        <v>45.698099999999997</v>
      </c>
      <c r="AR107" s="38">
        <v>46.286900000000003</v>
      </c>
      <c r="AS107" s="39"/>
      <c r="AT107" s="38">
        <v>34.151400000000002</v>
      </c>
      <c r="AU107" s="38">
        <v>34.151400000000002</v>
      </c>
      <c r="AV107" s="38">
        <v>34.151400000000002</v>
      </c>
      <c r="AW107" s="39"/>
      <c r="AX107" s="49">
        <v>4.0460000000000003</v>
      </c>
      <c r="AY107" s="49">
        <v>3.0619999999999998</v>
      </c>
      <c r="BA107" s="53">
        <f t="shared" si="35"/>
        <v>-2.4526300263494338E-3</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52840</v>
      </c>
      <c r="BZ107">
        <f t="shared" si="38"/>
        <v>0</v>
      </c>
      <c r="CA107">
        <f t="shared" si="39"/>
        <v>52840</v>
      </c>
      <c r="CB107">
        <f t="shared" si="40"/>
        <v>0</v>
      </c>
      <c r="CC107">
        <f t="shared" si="41"/>
        <v>2.7500000000003411E-2</v>
      </c>
      <c r="CD107">
        <f t="shared" si="42"/>
        <v>-3.8000000000003809E-2</v>
      </c>
      <c r="CE107">
        <f t="shared" si="43"/>
        <v>3.1000000000005912E-2</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1.9587306303241152</v>
      </c>
      <c r="K108" s="23">
        <f t="shared" si="27"/>
        <v>1.0974786076994711</v>
      </c>
      <c r="L108" s="23">
        <f t="shared" si="28"/>
        <v>0.86094789016089945</v>
      </c>
      <c r="M108" s="24"/>
      <c r="N108" s="23">
        <f t="shared" si="29"/>
        <v>1.9587306303241152</v>
      </c>
      <c r="O108" s="25">
        <v>3130215</v>
      </c>
      <c r="P108" s="26">
        <v>6131248</v>
      </c>
      <c r="Q108" s="26">
        <v>3435344</v>
      </c>
      <c r="R108" s="26">
        <v>2694952</v>
      </c>
      <c r="S108" s="40"/>
      <c r="T108" s="41">
        <v>35.708100000000002</v>
      </c>
      <c r="U108" s="41">
        <v>40.893099999999997</v>
      </c>
      <c r="V108" s="41">
        <v>41.252400000000002</v>
      </c>
      <c r="W108" s="42"/>
      <c r="X108" s="41">
        <v>28.130800000000001</v>
      </c>
      <c r="Y108" s="41">
        <v>28.130800000000001</v>
      </c>
      <c r="Z108" s="41">
        <v>28.130800000000001</v>
      </c>
      <c r="AA108" s="42"/>
      <c r="AB108" s="50">
        <v>4.1559999999999997</v>
      </c>
      <c r="AC108" s="50">
        <v>3.0619999999999998</v>
      </c>
      <c r="AE108" s="22" t="str">
        <f t="shared" si="30"/>
        <v>·</v>
      </c>
      <c r="AF108" s="23">
        <f t="shared" si="31"/>
        <v>1.9698378545882631</v>
      </c>
      <c r="AG108" s="23">
        <f t="shared" si="32"/>
        <v>1.0974786076994711</v>
      </c>
      <c r="AH108" s="23">
        <f t="shared" si="33"/>
        <v>0.87205511442504746</v>
      </c>
      <c r="AI108" s="24"/>
      <c r="AJ108" s="23">
        <f t="shared" si="34"/>
        <v>1.9698378545882631</v>
      </c>
      <c r="AK108" s="25">
        <v>3130215</v>
      </c>
      <c r="AL108" s="26">
        <v>6166016</v>
      </c>
      <c r="AM108" s="26">
        <v>3435344</v>
      </c>
      <c r="AN108" s="26">
        <v>2729720</v>
      </c>
      <c r="AO108" s="40"/>
      <c r="AP108" s="41">
        <v>35.732500000000002</v>
      </c>
      <c r="AQ108" s="41">
        <v>41.116500000000002</v>
      </c>
      <c r="AR108" s="41">
        <v>41.273499999999999</v>
      </c>
      <c r="AS108" s="42"/>
      <c r="AT108" s="41">
        <v>28.130800000000001</v>
      </c>
      <c r="AU108" s="41">
        <v>28.130800000000001</v>
      </c>
      <c r="AV108" s="41">
        <v>28.130800000000001</v>
      </c>
      <c r="AW108" s="42"/>
      <c r="AX108" s="50">
        <v>4.0460000000000003</v>
      </c>
      <c r="AY108" s="50">
        <v>3.0310000000000001</v>
      </c>
      <c r="BA108" s="55">
        <f t="shared" si="35"/>
        <v>-3.1593403230116834E-3</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34768</v>
      </c>
      <c r="BZ108">
        <f t="shared" si="38"/>
        <v>0</v>
      </c>
      <c r="CA108">
        <f t="shared" si="39"/>
        <v>34768</v>
      </c>
      <c r="CB108">
        <f t="shared" si="40"/>
        <v>0</v>
      </c>
      <c r="CC108">
        <f t="shared" si="41"/>
        <v>2.4399999999999977E-2</v>
      </c>
      <c r="CD108">
        <f t="shared" si="42"/>
        <v>0.22340000000000515</v>
      </c>
      <c r="CE108">
        <f t="shared" si="43"/>
        <v>2.109999999999701E-2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1.4540240846076069</v>
      </c>
      <c r="K109" s="28">
        <f t="shared" si="27"/>
        <v>1.0974786076994711</v>
      </c>
      <c r="L109" s="28">
        <f t="shared" si="28"/>
        <v>0.35624134444439121</v>
      </c>
      <c r="M109" s="29"/>
      <c r="N109" s="28">
        <f t="shared" si="29"/>
        <v>1.4540240846076069</v>
      </c>
      <c r="O109" s="30">
        <v>3130215</v>
      </c>
      <c r="P109" s="31">
        <v>4551408</v>
      </c>
      <c r="Q109" s="31">
        <v>3435344</v>
      </c>
      <c r="R109" s="31">
        <v>1115112</v>
      </c>
      <c r="S109" s="43"/>
      <c r="T109" s="44">
        <v>29.461400000000001</v>
      </c>
      <c r="U109" s="44">
        <v>35.177199999999999</v>
      </c>
      <c r="V109" s="44">
        <v>35.7166</v>
      </c>
      <c r="W109" s="45"/>
      <c r="X109" s="44">
        <v>21.686399999999999</v>
      </c>
      <c r="Y109" s="44">
        <v>21.686399999999999</v>
      </c>
      <c r="Z109" s="44">
        <v>21.686399999999999</v>
      </c>
      <c r="AA109" s="45"/>
      <c r="AB109" s="51">
        <v>3.984</v>
      </c>
      <c r="AC109" s="51">
        <v>2.968</v>
      </c>
      <c r="AE109" s="27" t="str">
        <f t="shared" si="30"/>
        <v>·</v>
      </c>
      <c r="AF109" s="28">
        <f t="shared" si="31"/>
        <v>1.4591764463463373</v>
      </c>
      <c r="AG109" s="28">
        <f t="shared" si="32"/>
        <v>1.0974786076994711</v>
      </c>
      <c r="AH109" s="28">
        <f t="shared" si="33"/>
        <v>0.36139370618312161</v>
      </c>
      <c r="AI109" s="29"/>
      <c r="AJ109" s="28">
        <f t="shared" si="34"/>
        <v>1.4591764463463373</v>
      </c>
      <c r="AK109" s="30">
        <v>3130215</v>
      </c>
      <c r="AL109" s="31">
        <v>4567536</v>
      </c>
      <c r="AM109" s="31">
        <v>3435344</v>
      </c>
      <c r="AN109" s="31">
        <v>1131240</v>
      </c>
      <c r="AO109" s="43"/>
      <c r="AP109" s="44">
        <v>29.697800000000001</v>
      </c>
      <c r="AQ109" s="44">
        <v>35.1173</v>
      </c>
      <c r="AR109" s="44">
        <v>36.128500000000003</v>
      </c>
      <c r="AS109" s="45"/>
      <c r="AT109" s="44">
        <v>21.686399999999999</v>
      </c>
      <c r="AU109" s="44">
        <v>21.686399999999999</v>
      </c>
      <c r="AV109" s="44">
        <v>21.686399999999999</v>
      </c>
      <c r="AW109" s="45"/>
      <c r="AX109" s="51">
        <v>4.0460000000000003</v>
      </c>
      <c r="AY109" s="51">
        <v>3.0459999999999998</v>
      </c>
      <c r="BA109" s="57">
        <f t="shared" si="35"/>
        <v>-2.6651582359729087E-3</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16128</v>
      </c>
      <c r="BZ109">
        <f t="shared" si="38"/>
        <v>0</v>
      </c>
      <c r="CA109">
        <f t="shared" si="39"/>
        <v>16128</v>
      </c>
      <c r="CB109">
        <f t="shared" si="40"/>
        <v>0</v>
      </c>
      <c r="CC109">
        <f t="shared" si="41"/>
        <v>0.23639999999999972</v>
      </c>
      <c r="CD109">
        <f t="shared" si="42"/>
        <v>-5.9899999999998954E-2</v>
      </c>
      <c r="CE109">
        <f t="shared" si="43"/>
        <v>0.41190000000000282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15.796470409570221</v>
      </c>
      <c r="K110" s="23">
        <f t="shared" si="27"/>
        <v>11.243005048644514</v>
      </c>
      <c r="L110" s="23">
        <f t="shared" si="28"/>
        <v>4.5531646375355921</v>
      </c>
      <c r="M110" s="24"/>
      <c r="N110" s="23">
        <f t="shared" si="29"/>
        <v>15.796470409570221</v>
      </c>
      <c r="O110" s="25">
        <v>1995189</v>
      </c>
      <c r="P110" s="26">
        <v>31516944</v>
      </c>
      <c r="Q110" s="26">
        <v>22431920</v>
      </c>
      <c r="R110" s="26">
        <v>9084424</v>
      </c>
      <c r="S110" s="40"/>
      <c r="T110" s="41">
        <v>53.42</v>
      </c>
      <c r="U110" s="41">
        <v>56.096800000000002</v>
      </c>
      <c r="V110" s="41">
        <v>55.376199999999997</v>
      </c>
      <c r="W110" s="42"/>
      <c r="X110" s="41">
        <v>48.130800000000001</v>
      </c>
      <c r="Y110" s="41">
        <v>48.130800000000001</v>
      </c>
      <c r="Z110" s="41">
        <v>48.130800000000001</v>
      </c>
      <c r="AA110" s="42"/>
      <c r="AB110" s="50">
        <v>4.984</v>
      </c>
      <c r="AC110" s="50">
        <v>4.6710000000000003</v>
      </c>
      <c r="AE110" s="22" t="str">
        <f t="shared" si="30"/>
        <v>·</v>
      </c>
      <c r="AF110" s="23">
        <f t="shared" si="31"/>
        <v>15.940504884499664</v>
      </c>
      <c r="AG110" s="23">
        <f t="shared" si="32"/>
        <v>11.243005048644514</v>
      </c>
      <c r="AH110" s="23">
        <f t="shared" si="33"/>
        <v>4.697199112465035</v>
      </c>
      <c r="AI110" s="24"/>
      <c r="AJ110" s="23">
        <f t="shared" si="34"/>
        <v>15.940504884499664</v>
      </c>
      <c r="AK110" s="25">
        <v>1995189</v>
      </c>
      <c r="AL110" s="26">
        <v>31804320</v>
      </c>
      <c r="AM110" s="26">
        <v>22431920</v>
      </c>
      <c r="AN110" s="26">
        <v>9371800</v>
      </c>
      <c r="AO110" s="40"/>
      <c r="AP110" s="41">
        <v>53.925899999999999</v>
      </c>
      <c r="AQ110" s="41">
        <v>56.451099999999997</v>
      </c>
      <c r="AR110" s="41">
        <v>55.817700000000002</v>
      </c>
      <c r="AS110" s="42"/>
      <c r="AT110" s="41">
        <v>48.130800000000001</v>
      </c>
      <c r="AU110" s="41">
        <v>48.130800000000001</v>
      </c>
      <c r="AV110" s="41">
        <v>48.130800000000001</v>
      </c>
      <c r="AW110" s="42"/>
      <c r="AX110" s="50">
        <v>5.0780000000000003</v>
      </c>
      <c r="AY110" s="50">
        <v>4.6710000000000003</v>
      </c>
      <c r="BA110" s="55">
        <f t="shared" si="35"/>
        <v>-6.43112170538096E-3</v>
      </c>
      <c r="BB110" s="55">
        <f t="array" ref="BB110">AVERAGE(AM110:AM114/AL110:AL114)-AVERAGE(Q110:Q114/P110:P114)</f>
        <v>-8.2929669997297006E-3</v>
      </c>
      <c r="BD110" s="56">
        <f>IF(OR(ISBLANK(R110:R114),ISBLANK(AN110:AN114),ISBLANK(T110:T114),ISBLANK(AP110:AP114)),"·",bdRateExtend(R110:R114,T110:T114,AN110:AN114,AP110:AP114))</f>
        <v>3.7485344147814459E-2</v>
      </c>
      <c r="BE110" s="56">
        <f>IF(OR(ISBLANK(R110:R114),ISBLANK(AN110:AN114),ISBLANK(U110:U114),ISBLANK(AQ110:AQ114)),"·",bdRateExtend(R110:R114,U110:U114,AN110:AN114,AQ110:AQ114))</f>
        <v>2.0847500536488983E-2</v>
      </c>
      <c r="BF110" s="56">
        <f>IF(OR(ISBLANK(R110:R114),ISBLANK(AN110:AN114),ISBLANK(V110:V114),ISBLANK(AR110:AR114)),"·",bdRateExtend(R110:R114,V110:V114,AN110:AN114,AR110:AR114))</f>
        <v>3.5625207551039262E-2</v>
      </c>
      <c r="BG110" s="62"/>
      <c r="BI110" s="56">
        <f>IF(OR(ISBLANK(R110:R114),ISBLANK(AN110:AN114),ISBLANK(X110:X114),ISBLANK(AT110:AT114)),"·",bdRateExtend(R110:R114,X110:X114,AN110:AN114,AT110:AT114))</f>
        <v>7.4191941131404926E-2</v>
      </c>
      <c r="BJ110" s="56">
        <f>IF(OR(ISBLANK(R110:R114),ISBLANK(AN110:AN114),ISBLANK(Y110:Y114),ISBLANK(AU110:AU114)),"·",bdRateExtend(R110:R114,Y110:Y114,AN110:AN114,AU110:AU114))</f>
        <v>7.4191941131404926E-2</v>
      </c>
      <c r="BK110" s="56">
        <f>IF(OR(ISBLANK(R110:R114),ISBLANK(AN110:AN114),ISBLANK(Z110:Z114),ISBLANK(AV110:AV114)),"·",bdRateExtend(R110:R114,Z110:Z114,AN110:AN114,AV110:AV114))</f>
        <v>7.4191941131404926E-2</v>
      </c>
      <c r="BL110" s="62"/>
      <c r="BN110" s="56">
        <f>IF(OR(ISBLANK(P110:P114),ISBLANK(AL110:AL114),ISBLANK(T110:T114),ISBLANK(AP110:AP114)),"·",bdRateExtend(P110:P114,T110:T114,AL110:AL114,AP110:AP114))</f>
        <v>5.3601716722175841E-3</v>
      </c>
      <c r="BO110" s="56">
        <f>IF(OR(ISBLANK(P110:P114),ISBLANK(AL110:AL114),ISBLANK(U110:U114),ISBLANK(AQ110:AQ114)),"·",bdRateExtend(P110:P114,U110:U114,AL110:AL114,AQ110:AQ114))</f>
        <v>3.8075034088320692E-3</v>
      </c>
      <c r="BP110" s="56">
        <f>IF(OR(ISBLANK(P110:P114),ISBLANK(AL110:AL114),ISBLANK(V110:V114),ISBLANK(AR110:AR114)),"·",bdRateExtend(P110:P114,V110:V114,AL110:AL114,AR110:AR114))</f>
        <v>5.2716320154670981E-3</v>
      </c>
      <c r="BQ110" s="62"/>
      <c r="BS110" s="56">
        <f>IF(OR(ISBLANK(P110:P114),ISBLANK(AL110:AL114),ISBLANK(X110:X114),ISBLANK(AT110:AT114)),"·",bdRateExtend(P110:P114,X110:X114,AL110:AL114,AT110:AT114))</f>
        <v>1.0288913399469468E-2</v>
      </c>
      <c r="BT110" s="56">
        <f>IF(OR(ISBLANK(P110:P114),ISBLANK(AL110:AL114),ISBLANK(Y110:Y114),ISBLANK(AU110:AU114)),"·",bdRateExtend(P110:P114,Y110:Y114,AL110:AL114,AU110:AU114))</f>
        <v>1.0288913399469468E-2</v>
      </c>
      <c r="BU110" s="56">
        <f>IF(OR(ISBLANK(P110:P114),ISBLANK(AL110:AL114),ISBLANK(Z110:Z114),ISBLANK(AV110:AV114)),"·",bdRateExtend(P110:P114,Z110:Z114,AL110:AL114,AV110:AV114))</f>
        <v>1.0288913399469468E-2</v>
      </c>
      <c r="BV110" s="62"/>
      <c r="BX110">
        <f t="shared" si="36"/>
        <v>0</v>
      </c>
      <c r="BY110">
        <f t="shared" si="37"/>
        <v>287376</v>
      </c>
      <c r="BZ110">
        <f t="shared" si="38"/>
        <v>0</v>
      </c>
      <c r="CA110">
        <f t="shared" si="39"/>
        <v>287376</v>
      </c>
      <c r="CB110">
        <f t="shared" si="40"/>
        <v>0</v>
      </c>
      <c r="CC110">
        <f t="shared" si="41"/>
        <v>0.50589999999999691</v>
      </c>
      <c r="CD110">
        <f t="shared" si="42"/>
        <v>0.35429999999999495</v>
      </c>
      <c r="CE110">
        <f t="shared" si="43"/>
        <v>0.44150000000000489</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14.646211461671049</v>
      </c>
      <c r="K111" s="18">
        <f t="shared" si="27"/>
        <v>11.243005048644514</v>
      </c>
      <c r="L111" s="18">
        <f t="shared" si="28"/>
        <v>3.4029056896364205</v>
      </c>
      <c r="M111" s="19"/>
      <c r="N111" s="18">
        <f t="shared" si="29"/>
        <v>14.646211461671049</v>
      </c>
      <c r="O111" s="20">
        <v>1995189</v>
      </c>
      <c r="P111" s="21">
        <v>29221960</v>
      </c>
      <c r="Q111" s="21">
        <v>22431920</v>
      </c>
      <c r="R111" s="21">
        <v>6789440</v>
      </c>
      <c r="S111" s="37"/>
      <c r="T111" s="38">
        <v>49.158900000000003</v>
      </c>
      <c r="U111" s="38">
        <v>51.991</v>
      </c>
      <c r="V111" s="38">
        <v>51.523600000000002</v>
      </c>
      <c r="W111" s="39"/>
      <c r="X111" s="38">
        <v>42.110199999999999</v>
      </c>
      <c r="Y111" s="38">
        <v>42.110199999999999</v>
      </c>
      <c r="Z111" s="38">
        <v>42.110199999999999</v>
      </c>
      <c r="AA111" s="39"/>
      <c r="AB111" s="49">
        <v>5.0460000000000003</v>
      </c>
      <c r="AC111" s="49">
        <v>4.593</v>
      </c>
      <c r="AE111" s="17" t="str">
        <f t="shared" si="30"/>
        <v>·</v>
      </c>
      <c r="AF111" s="18">
        <f t="shared" si="31"/>
        <v>14.788690194262298</v>
      </c>
      <c r="AG111" s="18">
        <f t="shared" si="32"/>
        <v>11.243005048644514</v>
      </c>
      <c r="AH111" s="18">
        <f t="shared" si="33"/>
        <v>3.5453844222276687</v>
      </c>
      <c r="AI111" s="19"/>
      <c r="AJ111" s="18">
        <f t="shared" si="34"/>
        <v>14.788690194262298</v>
      </c>
      <c r="AK111" s="20">
        <v>1995189</v>
      </c>
      <c r="AL111" s="21">
        <v>29506232</v>
      </c>
      <c r="AM111" s="21">
        <v>22431920</v>
      </c>
      <c r="AN111" s="21">
        <v>7073712</v>
      </c>
      <c r="AO111" s="37"/>
      <c r="AP111" s="38">
        <v>49.342500000000001</v>
      </c>
      <c r="AQ111" s="38">
        <v>52.213099999999997</v>
      </c>
      <c r="AR111" s="38">
        <v>51.681100000000001</v>
      </c>
      <c r="AS111" s="39"/>
      <c r="AT111" s="38">
        <v>42.110199999999999</v>
      </c>
      <c r="AU111" s="38">
        <v>42.110199999999999</v>
      </c>
      <c r="AV111" s="38">
        <v>42.110199999999999</v>
      </c>
      <c r="AW111" s="39"/>
      <c r="AX111" s="49">
        <v>5.0780000000000003</v>
      </c>
      <c r="AY111" s="49">
        <v>4.6710000000000003</v>
      </c>
      <c r="BA111" s="53">
        <f t="shared" si="35"/>
        <v>-7.3956685230823771E-3</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284272</v>
      </c>
      <c r="BZ111">
        <f t="shared" si="38"/>
        <v>0</v>
      </c>
      <c r="CA111">
        <f t="shared" si="39"/>
        <v>284272</v>
      </c>
      <c r="CB111">
        <f t="shared" si="40"/>
        <v>0</v>
      </c>
      <c r="CC111">
        <f t="shared" si="41"/>
        <v>0.18359999999999843</v>
      </c>
      <c r="CD111">
        <f t="shared" si="42"/>
        <v>0.22209999999999752</v>
      </c>
      <c r="CE111">
        <f t="shared" si="43"/>
        <v>0.15749999999999886</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13.387339244552772</v>
      </c>
      <c r="K112" s="23">
        <f t="shared" si="27"/>
        <v>11.243005048644514</v>
      </c>
      <c r="L112" s="23">
        <f t="shared" si="28"/>
        <v>2.1440334725181422</v>
      </c>
      <c r="M112" s="24"/>
      <c r="N112" s="23">
        <f t="shared" si="29"/>
        <v>13.387339244552772</v>
      </c>
      <c r="O112" s="25">
        <v>1995189</v>
      </c>
      <c r="P112" s="26">
        <v>26710272</v>
      </c>
      <c r="Q112" s="26">
        <v>22431920</v>
      </c>
      <c r="R112" s="26">
        <v>4277752</v>
      </c>
      <c r="S112" s="40"/>
      <c r="T112" s="41">
        <v>42.008800000000001</v>
      </c>
      <c r="U112" s="41">
        <v>45.976799999999997</v>
      </c>
      <c r="V112" s="41">
        <v>45.4756</v>
      </c>
      <c r="W112" s="42"/>
      <c r="X112" s="41">
        <v>34.151400000000002</v>
      </c>
      <c r="Y112" s="41">
        <v>34.151400000000002</v>
      </c>
      <c r="Z112" s="41">
        <v>34.151400000000002</v>
      </c>
      <c r="AA112" s="42"/>
      <c r="AB112" s="50">
        <v>4.9210000000000003</v>
      </c>
      <c r="AC112" s="50">
        <v>4.5780000000000003</v>
      </c>
      <c r="AE112" s="22" t="str">
        <f t="shared" si="30"/>
        <v>·</v>
      </c>
      <c r="AF112" s="23">
        <f t="shared" si="31"/>
        <v>13.532295937878567</v>
      </c>
      <c r="AG112" s="23">
        <f t="shared" si="32"/>
        <v>11.243005048644514</v>
      </c>
      <c r="AH112" s="23">
        <f t="shared" si="33"/>
        <v>2.2889901658439378</v>
      </c>
      <c r="AI112" s="24"/>
      <c r="AJ112" s="23">
        <f t="shared" si="34"/>
        <v>13.532295937878567</v>
      </c>
      <c r="AK112" s="25">
        <v>1995189</v>
      </c>
      <c r="AL112" s="26">
        <v>26999488</v>
      </c>
      <c r="AM112" s="26">
        <v>22431920</v>
      </c>
      <c r="AN112" s="26">
        <v>4566968</v>
      </c>
      <c r="AO112" s="40"/>
      <c r="AP112" s="41">
        <v>42.5</v>
      </c>
      <c r="AQ112" s="41">
        <v>46.392800000000001</v>
      </c>
      <c r="AR112" s="41">
        <v>45.858800000000002</v>
      </c>
      <c r="AS112" s="42"/>
      <c r="AT112" s="41">
        <v>34.151400000000002</v>
      </c>
      <c r="AU112" s="41">
        <v>34.151400000000002</v>
      </c>
      <c r="AV112" s="41">
        <v>34.151400000000002</v>
      </c>
      <c r="AW112" s="42"/>
      <c r="AX112" s="50">
        <v>5.0780000000000003</v>
      </c>
      <c r="AY112" s="50">
        <v>4.625</v>
      </c>
      <c r="BA112" s="55">
        <f t="shared" si="35"/>
        <v>-8.9961134476544968E-3</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289216</v>
      </c>
      <c r="BZ112">
        <f t="shared" si="38"/>
        <v>0</v>
      </c>
      <c r="CA112">
        <f t="shared" si="39"/>
        <v>289216</v>
      </c>
      <c r="CB112">
        <f t="shared" si="40"/>
        <v>0</v>
      </c>
      <c r="CC112">
        <f t="shared" si="41"/>
        <v>0.49119999999999919</v>
      </c>
      <c r="CD112">
        <f t="shared" si="42"/>
        <v>0.41600000000000392</v>
      </c>
      <c r="CE112">
        <f t="shared" si="43"/>
        <v>0.38320000000000221</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12.589103087476925</v>
      </c>
      <c r="K113" s="18">
        <f t="shared" si="27"/>
        <v>11.243005048644514</v>
      </c>
      <c r="L113" s="18">
        <f t="shared" si="28"/>
        <v>1.3457973154422964</v>
      </c>
      <c r="M113" s="19"/>
      <c r="N113" s="18">
        <f t="shared" si="29"/>
        <v>12.589103087476925</v>
      </c>
      <c r="O113" s="20">
        <v>1995189</v>
      </c>
      <c r="P113" s="21">
        <v>25117640</v>
      </c>
      <c r="Q113" s="21">
        <v>22431920</v>
      </c>
      <c r="R113" s="21">
        <v>2685120</v>
      </c>
      <c r="S113" s="37"/>
      <c r="T113" s="38">
        <v>36.417999999999999</v>
      </c>
      <c r="U113" s="38">
        <v>40.5976</v>
      </c>
      <c r="V113" s="38">
        <v>40.418900000000001</v>
      </c>
      <c r="W113" s="39"/>
      <c r="X113" s="38">
        <v>28.130800000000001</v>
      </c>
      <c r="Y113" s="38">
        <v>28.130800000000001</v>
      </c>
      <c r="Z113" s="38">
        <v>28.130800000000001</v>
      </c>
      <c r="AA113" s="39"/>
      <c r="AB113" s="49">
        <v>4.984</v>
      </c>
      <c r="AC113" s="49">
        <v>4.5780000000000003</v>
      </c>
      <c r="AE113" s="17" t="str">
        <f t="shared" si="30"/>
        <v>·</v>
      </c>
      <c r="AF113" s="18">
        <f t="shared" si="31"/>
        <v>12.727560145931037</v>
      </c>
      <c r="AG113" s="18">
        <f t="shared" si="32"/>
        <v>11.243005048644514</v>
      </c>
      <c r="AH113" s="18">
        <f t="shared" si="33"/>
        <v>1.4842543738964078</v>
      </c>
      <c r="AI113" s="19"/>
      <c r="AJ113" s="18">
        <f t="shared" si="34"/>
        <v>12.727560145931037</v>
      </c>
      <c r="AK113" s="20">
        <v>1995189</v>
      </c>
      <c r="AL113" s="21">
        <v>25393888</v>
      </c>
      <c r="AM113" s="21">
        <v>22431920</v>
      </c>
      <c r="AN113" s="21">
        <v>2961368</v>
      </c>
      <c r="AO113" s="37"/>
      <c r="AP113" s="38">
        <v>36.9358</v>
      </c>
      <c r="AQ113" s="38">
        <v>41.423699999999997</v>
      </c>
      <c r="AR113" s="38">
        <v>40.936300000000003</v>
      </c>
      <c r="AS113" s="39"/>
      <c r="AT113" s="38">
        <v>28.130800000000001</v>
      </c>
      <c r="AU113" s="38">
        <v>28.130800000000001</v>
      </c>
      <c r="AV113" s="38">
        <v>28.130800000000001</v>
      </c>
      <c r="AW113" s="39"/>
      <c r="AX113" s="49">
        <v>5.0460000000000003</v>
      </c>
      <c r="AY113" s="49">
        <v>4.6399999999999997</v>
      </c>
      <c r="BA113" s="53">
        <f t="shared" si="35"/>
        <v>-9.7153300375648621E-3</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276248</v>
      </c>
      <c r="BZ113">
        <f t="shared" si="38"/>
        <v>0</v>
      </c>
      <c r="CA113">
        <f t="shared" si="39"/>
        <v>276248</v>
      </c>
      <c r="CB113">
        <f t="shared" si="40"/>
        <v>0</v>
      </c>
      <c r="CC113">
        <f t="shared" si="41"/>
        <v>0.51780000000000115</v>
      </c>
      <c r="CD113">
        <f t="shared" si="42"/>
        <v>0.82609999999999673</v>
      </c>
      <c r="CE113">
        <f t="shared" si="43"/>
        <v>0.51740000000000208</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11.969797347519458</v>
      </c>
      <c r="K114" s="33">
        <f t="shared" si="27"/>
        <v>11.243005048644514</v>
      </c>
      <c r="L114" s="33">
        <f t="shared" si="28"/>
        <v>0.72649157548482879</v>
      </c>
      <c r="M114" s="34"/>
      <c r="N114" s="33">
        <f t="shared" si="29"/>
        <v>11.969797347519458</v>
      </c>
      <c r="O114" s="35">
        <v>1995189</v>
      </c>
      <c r="P114" s="36">
        <v>23882008</v>
      </c>
      <c r="Q114" s="36">
        <v>22431920</v>
      </c>
      <c r="R114" s="36">
        <v>1449488</v>
      </c>
      <c r="S114" s="46"/>
      <c r="T114" s="47">
        <v>29.818000000000001</v>
      </c>
      <c r="U114" s="47">
        <v>34.976199999999999</v>
      </c>
      <c r="V114" s="47">
        <v>34.218499999999999</v>
      </c>
      <c r="W114" s="48"/>
      <c r="X114" s="47">
        <v>21.686399999999999</v>
      </c>
      <c r="Y114" s="47">
        <v>21.686399999999999</v>
      </c>
      <c r="Z114" s="47">
        <v>21.686399999999999</v>
      </c>
      <c r="AA114" s="48"/>
      <c r="AB114" s="52">
        <v>4.968</v>
      </c>
      <c r="AC114" s="52">
        <v>4.5780000000000003</v>
      </c>
      <c r="AE114" s="32" t="str">
        <f t="shared" si="30"/>
        <v>·</v>
      </c>
      <c r="AF114" s="33">
        <f t="shared" si="31"/>
        <v>12.084645615026947</v>
      </c>
      <c r="AG114" s="33">
        <f t="shared" si="32"/>
        <v>11.243005048644514</v>
      </c>
      <c r="AH114" s="33">
        <f t="shared" si="33"/>
        <v>0.84133984299231801</v>
      </c>
      <c r="AI114" s="34"/>
      <c r="AJ114" s="33">
        <f t="shared" si="34"/>
        <v>12.084645615026947</v>
      </c>
      <c r="AK114" s="35">
        <v>1995189</v>
      </c>
      <c r="AL114" s="36">
        <v>24111152</v>
      </c>
      <c r="AM114" s="36">
        <v>22431920</v>
      </c>
      <c r="AN114" s="36">
        <v>1678632</v>
      </c>
      <c r="AO114" s="46"/>
      <c r="AP114" s="47">
        <v>30.827999999999999</v>
      </c>
      <c r="AQ114" s="47">
        <v>36.297400000000003</v>
      </c>
      <c r="AR114" s="47">
        <v>35.342500000000001</v>
      </c>
      <c r="AS114" s="48"/>
      <c r="AT114" s="47">
        <v>21.686399999999999</v>
      </c>
      <c r="AU114" s="47">
        <v>21.686399999999999</v>
      </c>
      <c r="AV114" s="47">
        <v>21.686399999999999</v>
      </c>
      <c r="AW114" s="48"/>
      <c r="AX114" s="52">
        <v>4.9370000000000003</v>
      </c>
      <c r="AY114" s="52">
        <v>4.625</v>
      </c>
      <c r="BA114" s="59">
        <f t="shared" si="35"/>
        <v>-8.9266012849659182E-3</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229144</v>
      </c>
      <c r="BZ114">
        <f t="shared" si="38"/>
        <v>0</v>
      </c>
      <c r="CA114">
        <f t="shared" si="39"/>
        <v>229144</v>
      </c>
      <c r="CB114">
        <f t="shared" si="40"/>
        <v>0</v>
      </c>
      <c r="CC114">
        <f t="shared" si="41"/>
        <v>1.009999999999998</v>
      </c>
      <c r="CD114">
        <f t="shared" si="42"/>
        <v>1.3212000000000046</v>
      </c>
      <c r="CE114">
        <f t="shared" si="43"/>
        <v>1.1240000000000023</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22.236696437851023</v>
      </c>
      <c r="K115" s="18">
        <f t="shared" si="27"/>
        <v>10.003965591943558</v>
      </c>
      <c r="L115" s="18">
        <f t="shared" si="28"/>
        <v>12.232217937487261</v>
      </c>
      <c r="M115" s="19"/>
      <c r="N115" s="18">
        <f t="shared" si="29"/>
        <v>22.236696437851023</v>
      </c>
      <c r="O115" s="20">
        <v>1481746</v>
      </c>
      <c r="P115" s="21">
        <v>32949136</v>
      </c>
      <c r="Q115" s="21">
        <v>14823336</v>
      </c>
      <c r="R115" s="21">
        <v>18125040</v>
      </c>
      <c r="S115" s="37"/>
      <c r="T115" s="38">
        <v>53.360999999999997</v>
      </c>
      <c r="U115" s="38">
        <v>54.907400000000003</v>
      </c>
      <c r="V115" s="38">
        <v>54.918900000000001</v>
      </c>
      <c r="W115" s="39"/>
      <c r="X115" s="38">
        <v>48.130800000000001</v>
      </c>
      <c r="Y115" s="38">
        <v>48.130800000000001</v>
      </c>
      <c r="Z115" s="38">
        <v>48.130800000000001</v>
      </c>
      <c r="AA115" s="39"/>
      <c r="AB115" s="49">
        <v>3.5459999999999998</v>
      </c>
      <c r="AC115" s="49">
        <v>3.0150000000000001</v>
      </c>
      <c r="AE115" s="17" t="str">
        <f t="shared" si="30"/>
        <v>·</v>
      </c>
      <c r="AF115" s="18">
        <f t="shared" si="31"/>
        <v>22.411106896863565</v>
      </c>
      <c r="AG115" s="18">
        <f t="shared" si="32"/>
        <v>10.003965591943558</v>
      </c>
      <c r="AH115" s="18">
        <f t="shared" si="33"/>
        <v>12.406628396499805</v>
      </c>
      <c r="AI115" s="19"/>
      <c r="AJ115" s="18">
        <f t="shared" si="34"/>
        <v>22.411106896863565</v>
      </c>
      <c r="AK115" s="20">
        <v>1481746</v>
      </c>
      <c r="AL115" s="21">
        <v>33207568</v>
      </c>
      <c r="AM115" s="21">
        <v>14823336</v>
      </c>
      <c r="AN115" s="21">
        <v>18383472</v>
      </c>
      <c r="AO115" s="37"/>
      <c r="AP115" s="38">
        <v>53.590699999999998</v>
      </c>
      <c r="AQ115" s="38">
        <v>55.127200000000002</v>
      </c>
      <c r="AR115" s="38">
        <v>55.134599999999999</v>
      </c>
      <c r="AS115" s="39"/>
      <c r="AT115" s="38">
        <v>48.130800000000001</v>
      </c>
      <c r="AU115" s="38">
        <v>48.130800000000001</v>
      </c>
      <c r="AV115" s="38">
        <v>48.130800000000001</v>
      </c>
      <c r="AW115" s="39"/>
      <c r="AX115" s="49">
        <v>3.7029999999999998</v>
      </c>
      <c r="AY115" s="49">
        <v>3</v>
      </c>
      <c r="BA115" s="53">
        <f t="shared" si="35"/>
        <v>-3.5011534039445236E-3</v>
      </c>
      <c r="BB115" s="53">
        <f t="array" ref="BB115">AVERAGE(AM115:AM119/AL115:AL119)-AVERAGE(Q115:Q119/P115:P119)</f>
        <v>-5.6605445190912596E-3</v>
      </c>
      <c r="BD115" s="54">
        <f>IF(OR(ISBLANK(R115:R119),ISBLANK(AN115:AN119),ISBLANK(T115:T119),ISBLANK(AP115:AP119)),"·",bdRateExtend(R115:R119,T115:T119,AN115:AN119,AP115:AP119))</f>
        <v>1.0099729579064576E-2</v>
      </c>
      <c r="BE115" s="54">
        <f>IF(OR(ISBLANK(R115:R119),ISBLANK(AN115:AN119),ISBLANK(U115:U119),ISBLANK(AQ115:AQ119)),"·",bdRateExtend(R115:R119,U115:U119,AN115:AN119,AQ115:AQ119))</f>
        <v>1.2138042001730964E-2</v>
      </c>
      <c r="BF115" s="54">
        <f>IF(OR(ISBLANK(R115:R119),ISBLANK(AN115:AN119),ISBLANK(V115:V119),ISBLANK(AR115:AR119)),"·",bdRateExtend(R115:R119,V115:V119,AN115:AN119,AR115:AR119))</f>
        <v>1.1200591460688969E-2</v>
      </c>
      <c r="BG115" s="61"/>
      <c r="BI115" s="54">
        <f>IF(OR(ISBLANK(R115:R119),ISBLANK(AN115:AN119),ISBLANK(X115:X119),ISBLANK(AT115:AT119)),"·",bdRateExtend(R115:R119,X115:X119,AN115:AN119,AT115:AT119))</f>
        <v>2.6790576363009855E-2</v>
      </c>
      <c r="BJ115" s="54">
        <f>IF(OR(ISBLANK(R115:R119),ISBLANK(AN115:AN119),ISBLANK(Y115:Y119),ISBLANK(AU115:AU119)),"·",bdRateExtend(R115:R119,Y115:Y119,AN115:AN119,AU115:AU119))</f>
        <v>2.6790576363009855E-2</v>
      </c>
      <c r="BK115" s="54">
        <f>IF(OR(ISBLANK(R115:R119),ISBLANK(AN115:AN119),ISBLANK(Z115:Z119),ISBLANK(AV115:AV119)),"·",bdRateExtend(R115:R119,Z115:Z119,AN115:AN119,AV115:AV119))</f>
        <v>2.6790576363009855E-2</v>
      </c>
      <c r="BL115" s="61"/>
      <c r="BN115" s="54">
        <f>IF(OR(ISBLANK(P115:P119),ISBLANK(AL115:AL119),ISBLANK(T115:T119),ISBLANK(AP115:AP119)),"·",bdRateExtend(P115:P119,T115:T119,AL115:AL119,AP115:AP119))</f>
        <v>3.9012763199017808E-3</v>
      </c>
      <c r="BO115" s="54">
        <f>IF(OR(ISBLANK(P115:P119),ISBLANK(AL115:AL119),ISBLANK(U115:U119),ISBLANK(AQ115:AQ119)),"·",bdRateExtend(P115:P119,U115:U119,AL115:AL119,AQ115:AQ119))</f>
        <v>4.8464569106172473E-3</v>
      </c>
      <c r="BP115" s="54">
        <f>IF(OR(ISBLANK(P115:P119),ISBLANK(AL115:AL119),ISBLANK(V115:V119),ISBLANK(AR115:AR119)),"·",bdRateExtend(P115:P119,V115:V119,AL115:AL119,AR115:AR119))</f>
        <v>4.4955183870254434E-3</v>
      </c>
      <c r="BQ115" s="61"/>
      <c r="BS115" s="54">
        <f>IF(OR(ISBLANK(P115:P119),ISBLANK(AL115:AL119),ISBLANK(X115:X119),ISBLANK(AT115:AT119)),"·",bdRateExtend(P115:P119,X115:X119,AL115:AL119,AT115:AT119))</f>
        <v>9.8579982846811465E-3</v>
      </c>
      <c r="BT115" s="54">
        <f>IF(OR(ISBLANK(P115:P119),ISBLANK(AL115:AL119),ISBLANK(Y115:Y119),ISBLANK(AU115:AU119)),"·",bdRateExtend(P115:P119,Y115:Y119,AL115:AL119,AU115:AU119))</f>
        <v>9.8579982846811465E-3</v>
      </c>
      <c r="BU115" s="54">
        <f>IF(OR(ISBLANK(P115:P119),ISBLANK(AL115:AL119),ISBLANK(Z115:Z119),ISBLANK(AV115:AV119)),"·",bdRateExtend(P115:P119,Z115:Z119,AL115:AL119,AV115:AV119))</f>
        <v>9.8579982846811465E-3</v>
      </c>
      <c r="BV115" s="61"/>
      <c r="BX115">
        <f t="shared" si="36"/>
        <v>0</v>
      </c>
      <c r="BY115">
        <f t="shared" si="37"/>
        <v>258432</v>
      </c>
      <c r="BZ115">
        <f t="shared" si="38"/>
        <v>0</v>
      </c>
      <c r="CA115">
        <f t="shared" si="39"/>
        <v>258432</v>
      </c>
      <c r="CB115">
        <f t="shared" si="40"/>
        <v>0</v>
      </c>
      <c r="CC115">
        <f t="shared" si="41"/>
        <v>0.22970000000000113</v>
      </c>
      <c r="CD115">
        <f t="shared" si="42"/>
        <v>0.21979999999999933</v>
      </c>
      <c r="CE115">
        <f t="shared" si="43"/>
        <v>0.21569999999999823</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19.419214899179753</v>
      </c>
      <c r="K116" s="23">
        <f t="shared" si="27"/>
        <v>10.003965591943558</v>
      </c>
      <c r="L116" s="23">
        <f t="shared" si="28"/>
        <v>9.4147363988159913</v>
      </c>
      <c r="M116" s="24"/>
      <c r="N116" s="23">
        <f t="shared" si="29"/>
        <v>19.419214899179753</v>
      </c>
      <c r="O116" s="25">
        <v>1481746</v>
      </c>
      <c r="P116" s="26">
        <v>28774344</v>
      </c>
      <c r="Q116" s="26">
        <v>14823336</v>
      </c>
      <c r="R116" s="26">
        <v>13950248</v>
      </c>
      <c r="S116" s="40"/>
      <c r="T116" s="41">
        <v>48.5672</v>
      </c>
      <c r="U116" s="41">
        <v>50.4467</v>
      </c>
      <c r="V116" s="41">
        <v>50.107500000000002</v>
      </c>
      <c r="W116" s="42"/>
      <c r="X116" s="41">
        <v>42.110199999999999</v>
      </c>
      <c r="Y116" s="41">
        <v>42.110199999999999</v>
      </c>
      <c r="Z116" s="41">
        <v>42.110199999999999</v>
      </c>
      <c r="AA116" s="42"/>
      <c r="AB116" s="50">
        <v>3.5310000000000001</v>
      </c>
      <c r="AC116" s="50">
        <v>2.9369999999999998</v>
      </c>
      <c r="AE116" s="22" t="str">
        <f t="shared" si="30"/>
        <v>·</v>
      </c>
      <c r="AF116" s="23">
        <f t="shared" si="31"/>
        <v>19.600498331022997</v>
      </c>
      <c r="AG116" s="23">
        <f t="shared" si="32"/>
        <v>10.003965591943558</v>
      </c>
      <c r="AH116" s="23">
        <f t="shared" si="33"/>
        <v>9.5960198306592357</v>
      </c>
      <c r="AI116" s="24"/>
      <c r="AJ116" s="23">
        <f t="shared" si="34"/>
        <v>19.600498331022997</v>
      </c>
      <c r="AK116" s="25">
        <v>1481746</v>
      </c>
      <c r="AL116" s="26">
        <v>29042960</v>
      </c>
      <c r="AM116" s="26">
        <v>14823336</v>
      </c>
      <c r="AN116" s="26">
        <v>14218864</v>
      </c>
      <c r="AO116" s="40"/>
      <c r="AP116" s="41">
        <v>48.761800000000001</v>
      </c>
      <c r="AQ116" s="41">
        <v>50.604199999999999</v>
      </c>
      <c r="AR116" s="41">
        <v>50.266800000000003</v>
      </c>
      <c r="AS116" s="42"/>
      <c r="AT116" s="41">
        <v>42.110199999999999</v>
      </c>
      <c r="AU116" s="41">
        <v>42.110199999999999</v>
      </c>
      <c r="AV116" s="41">
        <v>42.110199999999999</v>
      </c>
      <c r="AW116" s="42"/>
      <c r="AX116" s="50">
        <v>3.609</v>
      </c>
      <c r="AY116" s="50">
        <v>2.9529999999999998</v>
      </c>
      <c r="BA116" s="55">
        <f t="shared" si="35"/>
        <v>-4.7646556896009384E-3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268616</v>
      </c>
      <c r="BZ116">
        <f t="shared" si="38"/>
        <v>0</v>
      </c>
      <c r="CA116">
        <f t="shared" si="39"/>
        <v>268616</v>
      </c>
      <c r="CB116">
        <f t="shared" si="40"/>
        <v>0</v>
      </c>
      <c r="CC116">
        <f t="shared" si="41"/>
        <v>0.19460000000000122</v>
      </c>
      <c r="CD116">
        <f t="shared" si="42"/>
        <v>0.15749999999999886</v>
      </c>
      <c r="CE116">
        <f t="shared" si="43"/>
        <v>0.15930000000000177</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16.523582314377769</v>
      </c>
      <c r="K117" s="18">
        <f t="shared" si="27"/>
        <v>10.003965591943558</v>
      </c>
      <c r="L117" s="18">
        <f t="shared" si="28"/>
        <v>6.5191038140140076</v>
      </c>
      <c r="M117" s="19"/>
      <c r="N117" s="18">
        <f t="shared" si="29"/>
        <v>16.523582314377769</v>
      </c>
      <c r="O117" s="20">
        <v>1481746</v>
      </c>
      <c r="P117" s="21">
        <v>24483752</v>
      </c>
      <c r="Q117" s="21">
        <v>14823336</v>
      </c>
      <c r="R117" s="21">
        <v>9659656</v>
      </c>
      <c r="S117" s="37"/>
      <c r="T117" s="38">
        <v>41.215000000000003</v>
      </c>
      <c r="U117" s="38">
        <v>44.312100000000001</v>
      </c>
      <c r="V117" s="38">
        <v>43.895400000000002</v>
      </c>
      <c r="W117" s="39"/>
      <c r="X117" s="38">
        <v>34.151400000000002</v>
      </c>
      <c r="Y117" s="38">
        <v>34.151400000000002</v>
      </c>
      <c r="Z117" s="38">
        <v>34.151400000000002</v>
      </c>
      <c r="AA117" s="39"/>
      <c r="AB117" s="49">
        <v>3.4060000000000001</v>
      </c>
      <c r="AC117" s="49">
        <v>2.875</v>
      </c>
      <c r="AE117" s="17" t="str">
        <f t="shared" si="30"/>
        <v>·</v>
      </c>
      <c r="AF117" s="18">
        <f t="shared" si="31"/>
        <v>16.718444321766349</v>
      </c>
      <c r="AG117" s="18">
        <f t="shared" si="32"/>
        <v>10.003965591943558</v>
      </c>
      <c r="AH117" s="18">
        <f t="shared" si="33"/>
        <v>6.7139658214025886</v>
      </c>
      <c r="AI117" s="19"/>
      <c r="AJ117" s="18">
        <f t="shared" si="34"/>
        <v>16.718444321766349</v>
      </c>
      <c r="AK117" s="20">
        <v>1481746</v>
      </c>
      <c r="AL117" s="21">
        <v>24772488</v>
      </c>
      <c r="AM117" s="21">
        <v>14823336</v>
      </c>
      <c r="AN117" s="21">
        <v>9948392</v>
      </c>
      <c r="AO117" s="37"/>
      <c r="AP117" s="38">
        <v>41.4908</v>
      </c>
      <c r="AQ117" s="38">
        <v>44.458799999999997</v>
      </c>
      <c r="AR117" s="38">
        <v>44.0839</v>
      </c>
      <c r="AS117" s="39"/>
      <c r="AT117" s="38">
        <v>34.151400000000002</v>
      </c>
      <c r="AU117" s="38">
        <v>34.151400000000002</v>
      </c>
      <c r="AV117" s="38">
        <v>34.151400000000002</v>
      </c>
      <c r="AW117" s="39"/>
      <c r="AX117" s="49">
        <v>3.593</v>
      </c>
      <c r="AY117" s="49">
        <v>2.89</v>
      </c>
      <c r="BA117" s="53">
        <f t="shared" si="35"/>
        <v>-7.0566615764698915E-3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288736</v>
      </c>
      <c r="BZ117">
        <f t="shared" si="38"/>
        <v>0</v>
      </c>
      <c r="CA117">
        <f t="shared" si="39"/>
        <v>288736</v>
      </c>
      <c r="CB117">
        <f t="shared" si="40"/>
        <v>0</v>
      </c>
      <c r="CC117">
        <f t="shared" si="41"/>
        <v>0.27579999999999671</v>
      </c>
      <c r="CD117">
        <f t="shared" si="42"/>
        <v>0.14669999999999561</v>
      </c>
      <c r="CE117">
        <f t="shared" si="43"/>
        <v>0.18849999999999767</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14.431326286691512</v>
      </c>
      <c r="K118" s="23">
        <f t="shared" si="27"/>
        <v>10.003965591943558</v>
      </c>
      <c r="L118" s="23">
        <f t="shared" si="28"/>
        <v>4.4268477863277509</v>
      </c>
      <c r="M118" s="24"/>
      <c r="N118" s="23">
        <f t="shared" si="29"/>
        <v>14.431326286691512</v>
      </c>
      <c r="O118" s="25">
        <v>1481746</v>
      </c>
      <c r="P118" s="26">
        <v>21383560</v>
      </c>
      <c r="Q118" s="26">
        <v>14823336</v>
      </c>
      <c r="R118" s="26">
        <v>6559464</v>
      </c>
      <c r="S118" s="40"/>
      <c r="T118" s="41">
        <v>35.300800000000002</v>
      </c>
      <c r="U118" s="41">
        <v>39.534399999999998</v>
      </c>
      <c r="V118" s="41">
        <v>38.860399999999998</v>
      </c>
      <c r="W118" s="42"/>
      <c r="X118" s="41">
        <v>28.130800000000001</v>
      </c>
      <c r="Y118" s="41">
        <v>28.130800000000001</v>
      </c>
      <c r="Z118" s="41">
        <v>28.130800000000001</v>
      </c>
      <c r="AA118" s="42"/>
      <c r="AB118" s="50">
        <v>3.4209999999999998</v>
      </c>
      <c r="AC118" s="50">
        <v>2.8279999999999998</v>
      </c>
      <c r="AE118" s="22" t="str">
        <f t="shared" si="30"/>
        <v>·</v>
      </c>
      <c r="AF118" s="23">
        <f t="shared" si="31"/>
        <v>14.574773274231886</v>
      </c>
      <c r="AG118" s="23">
        <f t="shared" si="32"/>
        <v>10.003965591943558</v>
      </c>
      <c r="AH118" s="23">
        <f t="shared" si="33"/>
        <v>4.5702947738681257</v>
      </c>
      <c r="AI118" s="24"/>
      <c r="AJ118" s="23">
        <f t="shared" si="34"/>
        <v>14.574773274231886</v>
      </c>
      <c r="AK118" s="25">
        <v>1481746</v>
      </c>
      <c r="AL118" s="26">
        <v>21596112</v>
      </c>
      <c r="AM118" s="26">
        <v>14823336</v>
      </c>
      <c r="AN118" s="26">
        <v>6772016</v>
      </c>
      <c r="AO118" s="40"/>
      <c r="AP118" s="41">
        <v>35.584699999999998</v>
      </c>
      <c r="AQ118" s="41">
        <v>39.709699999999998</v>
      </c>
      <c r="AR118" s="41">
        <v>39.072800000000001</v>
      </c>
      <c r="AS118" s="42"/>
      <c r="AT118" s="41">
        <v>28.130800000000001</v>
      </c>
      <c r="AU118" s="41">
        <v>28.130800000000001</v>
      </c>
      <c r="AV118" s="41">
        <v>28.130800000000001</v>
      </c>
      <c r="AW118" s="42"/>
      <c r="AX118" s="50">
        <v>3.5</v>
      </c>
      <c r="AY118" s="50">
        <v>2.875</v>
      </c>
      <c r="BA118" s="55">
        <f t="shared" si="35"/>
        <v>-6.8226888868053726E-3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212552</v>
      </c>
      <c r="BZ118">
        <f t="shared" si="38"/>
        <v>0</v>
      </c>
      <c r="CA118">
        <f t="shared" si="39"/>
        <v>212552</v>
      </c>
      <c r="CB118">
        <f t="shared" si="40"/>
        <v>0</v>
      </c>
      <c r="CC118">
        <f t="shared" si="41"/>
        <v>0.2838999999999956</v>
      </c>
      <c r="CD118">
        <f t="shared" si="42"/>
        <v>0.17530000000000001</v>
      </c>
      <c r="CE118">
        <f t="shared" si="43"/>
        <v>0.21240000000000236</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12.595610853682075</v>
      </c>
      <c r="K119" s="28">
        <f t="shared" si="27"/>
        <v>10.003965591943558</v>
      </c>
      <c r="L119" s="28">
        <f t="shared" si="28"/>
        <v>2.591132353318315</v>
      </c>
      <c r="M119" s="29"/>
      <c r="N119" s="28">
        <f t="shared" si="29"/>
        <v>12.595610853682075</v>
      </c>
      <c r="O119" s="30">
        <v>1481746</v>
      </c>
      <c r="P119" s="31">
        <v>18663496</v>
      </c>
      <c r="Q119" s="31">
        <v>14823336</v>
      </c>
      <c r="R119" s="31">
        <v>3839400</v>
      </c>
      <c r="S119" s="43"/>
      <c r="T119" s="44">
        <v>28.7028</v>
      </c>
      <c r="U119" s="44">
        <v>35.239899999999999</v>
      </c>
      <c r="V119" s="44">
        <v>34.3065</v>
      </c>
      <c r="W119" s="45"/>
      <c r="X119" s="44">
        <v>21.686399999999999</v>
      </c>
      <c r="Y119" s="44">
        <v>21.686399999999999</v>
      </c>
      <c r="Z119" s="44">
        <v>21.686399999999999</v>
      </c>
      <c r="AA119" s="45"/>
      <c r="AB119" s="51">
        <v>3.359</v>
      </c>
      <c r="AC119" s="51">
        <v>2.8279999999999998</v>
      </c>
      <c r="AE119" s="27" t="str">
        <f t="shared" si="30"/>
        <v>·</v>
      </c>
      <c r="AF119" s="28">
        <f t="shared" si="31"/>
        <v>12.694024481928752</v>
      </c>
      <c r="AG119" s="28">
        <f t="shared" si="32"/>
        <v>10.003965591943558</v>
      </c>
      <c r="AH119" s="28">
        <f t="shared" si="33"/>
        <v>2.6895459815649914</v>
      </c>
      <c r="AI119" s="29"/>
      <c r="AJ119" s="28">
        <f t="shared" si="34"/>
        <v>12.694024481928752</v>
      </c>
      <c r="AK119" s="30">
        <v>1481746</v>
      </c>
      <c r="AL119" s="31">
        <v>18809320</v>
      </c>
      <c r="AM119" s="31">
        <v>14823336</v>
      </c>
      <c r="AN119" s="31">
        <v>3985224</v>
      </c>
      <c r="AO119" s="43"/>
      <c r="AP119" s="44">
        <v>29.083200000000001</v>
      </c>
      <c r="AQ119" s="44">
        <v>35.518700000000003</v>
      </c>
      <c r="AR119" s="44">
        <v>34.573599999999999</v>
      </c>
      <c r="AS119" s="45"/>
      <c r="AT119" s="44">
        <v>21.686399999999999</v>
      </c>
      <c r="AU119" s="44">
        <v>21.686399999999999</v>
      </c>
      <c r="AV119" s="44">
        <v>21.686399999999999</v>
      </c>
      <c r="AW119" s="45"/>
      <c r="AX119" s="51">
        <v>3.5</v>
      </c>
      <c r="AY119" s="51">
        <v>2.8119999999999998</v>
      </c>
      <c r="BA119" s="57">
        <f t="shared" si="35"/>
        <v>-6.1575630386351277E-3</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145824</v>
      </c>
      <c r="BZ119">
        <f t="shared" si="38"/>
        <v>0</v>
      </c>
      <c r="CA119">
        <f t="shared" si="39"/>
        <v>145824</v>
      </c>
      <c r="CB119">
        <f t="shared" si="40"/>
        <v>0</v>
      </c>
      <c r="CC119">
        <f t="shared" si="41"/>
        <v>0.38040000000000163</v>
      </c>
      <c r="CD119">
        <f t="shared" si="42"/>
        <v>0.27880000000000393</v>
      </c>
      <c r="CE119">
        <f t="shared" si="43"/>
        <v>0.26709999999999923</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46.636491932322457</v>
      </c>
      <c r="K120" s="23">
        <f t="shared" si="27"/>
        <v>34.420867765355247</v>
      </c>
      <c r="L120" s="23">
        <f t="shared" si="28"/>
        <v>12.215111933472368</v>
      </c>
      <c r="M120" s="24"/>
      <c r="N120" s="23">
        <f t="shared" si="29"/>
        <v>46.636491932322457</v>
      </c>
      <c r="O120" s="25">
        <v>1530552</v>
      </c>
      <c r="P120" s="26">
        <v>71379576</v>
      </c>
      <c r="Q120" s="26">
        <v>52682928</v>
      </c>
      <c r="R120" s="26">
        <v>18695864</v>
      </c>
      <c r="S120" s="40"/>
      <c r="T120" s="41">
        <v>53.366</v>
      </c>
      <c r="U120" s="41">
        <v>54.908200000000001</v>
      </c>
      <c r="V120" s="41">
        <v>54.924900000000001</v>
      </c>
      <c r="W120" s="42"/>
      <c r="X120" s="41">
        <v>48.130800000000001</v>
      </c>
      <c r="Y120" s="41">
        <v>48.130800000000001</v>
      </c>
      <c r="Z120" s="41">
        <v>48.130800000000001</v>
      </c>
      <c r="AA120" s="42"/>
      <c r="AB120" s="50">
        <v>6.4059999999999997</v>
      </c>
      <c r="AC120" s="50">
        <v>5.359</v>
      </c>
      <c r="AE120" s="22" t="str">
        <f t="shared" si="30"/>
        <v>·</v>
      </c>
      <c r="AF120" s="23">
        <f t="shared" si="31"/>
        <v>46.808513529759196</v>
      </c>
      <c r="AG120" s="23">
        <f t="shared" si="32"/>
        <v>34.420867765355247</v>
      </c>
      <c r="AH120" s="23">
        <f t="shared" si="33"/>
        <v>12.387133530909109</v>
      </c>
      <c r="AI120" s="24"/>
      <c r="AJ120" s="23">
        <f t="shared" si="34"/>
        <v>46.808513529759196</v>
      </c>
      <c r="AK120" s="25">
        <v>1530552</v>
      </c>
      <c r="AL120" s="26">
        <v>71642864</v>
      </c>
      <c r="AM120" s="26">
        <v>52682928</v>
      </c>
      <c r="AN120" s="26">
        <v>18959152</v>
      </c>
      <c r="AO120" s="40"/>
      <c r="AP120" s="41">
        <v>53.593000000000004</v>
      </c>
      <c r="AQ120" s="41">
        <v>55.121200000000002</v>
      </c>
      <c r="AR120" s="41">
        <v>55.1297</v>
      </c>
      <c r="AS120" s="42"/>
      <c r="AT120" s="41">
        <v>48.130800000000001</v>
      </c>
      <c r="AU120" s="41">
        <v>48.130800000000001</v>
      </c>
      <c r="AV120" s="41">
        <v>48.130800000000001</v>
      </c>
      <c r="AW120" s="42"/>
      <c r="AX120" s="50">
        <v>6.468</v>
      </c>
      <c r="AY120" s="50">
        <v>5.4530000000000003</v>
      </c>
      <c r="BA120" s="55">
        <f t="shared" si="35"/>
        <v>-2.7124020678755967E-3</v>
      </c>
      <c r="BB120" s="55">
        <f t="array" ref="BB120">AVERAGE(AM120:AM124/AL120:AL124)-AVERAGE(Q120:Q124/P120:P124)</f>
        <v>-3.1013781058187861E-3</v>
      </c>
      <c r="BD120" s="56">
        <f>IF(OR(ISBLANK(R120:R124),ISBLANK(AN120:AN124),ISBLANK(T120:T124),ISBLANK(AP120:AP124)),"·",bdRateExtend(R120:R124,T120:T124,AN120:AN124,AP120:AP124))</f>
        <v>1.0203186867955294E-2</v>
      </c>
      <c r="BE120" s="56">
        <f>IF(OR(ISBLANK(R120:R124),ISBLANK(AN120:AN124),ISBLANK(U120:U124),ISBLANK(AQ120:AQ124)),"·",bdRateExtend(R120:R124,U120:U124,AN120:AN124,AQ120:AQ124))</f>
        <v>1.2627548780225872E-2</v>
      </c>
      <c r="BF120" s="56">
        <f>IF(OR(ISBLANK(R120:R124),ISBLANK(AN120:AN124),ISBLANK(V120:V124),ISBLANK(AR120:AR124)),"·",bdRateExtend(R120:R124,V120:V124,AN120:AN124,AR120:AR124))</f>
        <v>1.0894073322197606E-2</v>
      </c>
      <c r="BG120" s="62"/>
      <c r="BI120" s="56">
        <f>IF(OR(ISBLANK(R120:R124),ISBLANK(AN120:AN124),ISBLANK(X120:X124),ISBLANK(AT120:AT124)),"·",bdRateExtend(R120:R124,X120:X124,AN120:AN124,AT120:AT124))</f>
        <v>2.6538541718194031E-2</v>
      </c>
      <c r="BJ120" s="56">
        <f>IF(OR(ISBLANK(R120:R124),ISBLANK(AN120:AN124),ISBLANK(Y120:Y124),ISBLANK(AU120:AU124)),"·",bdRateExtend(R120:R124,Y120:Y124,AN120:AN124,AU120:AU124))</f>
        <v>2.6538541718194031E-2</v>
      </c>
      <c r="BK120" s="56">
        <f>IF(OR(ISBLANK(R120:R124),ISBLANK(AN120:AN124),ISBLANK(Z120:Z124),ISBLANK(AV120:AV124)),"·",bdRateExtend(R120:R124,Z120:Z124,AN120:AN124,AV120:AV124))</f>
        <v>2.6538541718194031E-2</v>
      </c>
      <c r="BL120" s="62"/>
      <c r="BN120" s="56">
        <f>IF(OR(ISBLANK(P120:P124),ISBLANK(AL120:AL124),ISBLANK(T120:T124),ISBLANK(AP120:AP124)),"·",bdRateExtend(P120:P124,T120:T124,AL120:AL124,AP120:AP124))</f>
        <v>1.6083662257291298E-3</v>
      </c>
      <c r="BO120" s="56">
        <f>IF(OR(ISBLANK(P120:P124),ISBLANK(AL120:AL124),ISBLANK(U120:U124),ISBLANK(AQ120:AQ124)),"·",bdRateExtend(P120:P124,U120:U124,AL120:AL124,AQ120:AQ124))</f>
        <v>2.0423203438781901E-3</v>
      </c>
      <c r="BP120" s="56">
        <f>IF(OR(ISBLANK(P120:P124),ISBLANK(AL120:AL124),ISBLANK(V120:V124),ISBLANK(AR120:AR124)),"·",bdRateExtend(P120:P124,V120:V124,AL120:AL124,AR120:AR124))</f>
        <v>1.8301822843953541E-3</v>
      </c>
      <c r="BQ120" s="62"/>
      <c r="BS120" s="56">
        <f>IF(OR(ISBLANK(P120:P124),ISBLANK(AL120:AL124),ISBLANK(X120:X124),ISBLANK(AT120:AT124)),"·",bdRateExtend(P120:P124,X120:X124,AL120:AL124,AT120:AT124))</f>
        <v>3.9625799624447566E-3</v>
      </c>
      <c r="BT120" s="56">
        <f>IF(OR(ISBLANK(P120:P124),ISBLANK(AL120:AL124),ISBLANK(Y120:Y124),ISBLANK(AU120:AU124)),"·",bdRateExtend(P120:P124,Y120:Y124,AL120:AL124,AU120:AU124))</f>
        <v>3.9625799624447566E-3</v>
      </c>
      <c r="BU120" s="56">
        <f>IF(OR(ISBLANK(P120:P124),ISBLANK(AL120:AL124),ISBLANK(Z120:Z124),ISBLANK(AV120:AV124)),"·",bdRateExtend(P120:P124,Z120:Z124,AL120:AL124,AV120:AV124))</f>
        <v>3.9625799624447566E-3</v>
      </c>
      <c r="BV120" s="62"/>
      <c r="BX120">
        <f t="shared" si="36"/>
        <v>0</v>
      </c>
      <c r="BY120">
        <f t="shared" si="37"/>
        <v>263288</v>
      </c>
      <c r="BZ120">
        <f t="shared" si="38"/>
        <v>0</v>
      </c>
      <c r="CA120">
        <f t="shared" si="39"/>
        <v>263288</v>
      </c>
      <c r="CB120">
        <f t="shared" si="40"/>
        <v>0</v>
      </c>
      <c r="CC120">
        <f t="shared" si="41"/>
        <v>0.22700000000000387</v>
      </c>
      <c r="CD120">
        <f t="shared" si="42"/>
        <v>0.21300000000000097</v>
      </c>
      <c r="CE120">
        <f t="shared" si="43"/>
        <v>0.20479999999999876</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43.825239521427562</v>
      </c>
      <c r="K121" s="18">
        <f t="shared" si="27"/>
        <v>34.420867765355247</v>
      </c>
      <c r="L121" s="18">
        <f t="shared" si="28"/>
        <v>9.4038595225774753</v>
      </c>
      <c r="M121" s="19"/>
      <c r="N121" s="18">
        <f t="shared" si="29"/>
        <v>43.825239521427562</v>
      </c>
      <c r="O121" s="20">
        <v>1530552</v>
      </c>
      <c r="P121" s="21">
        <v>67076808</v>
      </c>
      <c r="Q121" s="21">
        <v>52682928</v>
      </c>
      <c r="R121" s="21">
        <v>14393096</v>
      </c>
      <c r="S121" s="37"/>
      <c r="T121" s="38">
        <v>48.567999999999998</v>
      </c>
      <c r="U121" s="38">
        <v>50.451300000000003</v>
      </c>
      <c r="V121" s="38">
        <v>50.100499999999997</v>
      </c>
      <c r="W121" s="39"/>
      <c r="X121" s="38">
        <v>42.110199999999999</v>
      </c>
      <c r="Y121" s="38">
        <v>42.110199999999999</v>
      </c>
      <c r="Z121" s="38">
        <v>42.110199999999999</v>
      </c>
      <c r="AA121" s="39"/>
      <c r="AB121" s="49">
        <v>6.343</v>
      </c>
      <c r="AC121" s="49">
        <v>5.359</v>
      </c>
      <c r="AE121" s="17" t="str">
        <f t="shared" si="30"/>
        <v>·</v>
      </c>
      <c r="AF121" s="18">
        <f t="shared" si="31"/>
        <v>44.001097643203238</v>
      </c>
      <c r="AG121" s="18">
        <f t="shared" si="32"/>
        <v>34.420867765355247</v>
      </c>
      <c r="AH121" s="18">
        <f t="shared" si="33"/>
        <v>9.5797176443531491</v>
      </c>
      <c r="AI121" s="19"/>
      <c r="AJ121" s="18">
        <f t="shared" si="34"/>
        <v>44.001097643203238</v>
      </c>
      <c r="AK121" s="20">
        <v>1530552</v>
      </c>
      <c r="AL121" s="21">
        <v>67345968</v>
      </c>
      <c r="AM121" s="21">
        <v>52682928</v>
      </c>
      <c r="AN121" s="21">
        <v>14662256</v>
      </c>
      <c r="AO121" s="37"/>
      <c r="AP121" s="38">
        <v>48.755400000000002</v>
      </c>
      <c r="AQ121" s="38">
        <v>50.604999999999997</v>
      </c>
      <c r="AR121" s="38">
        <v>50.2624</v>
      </c>
      <c r="AS121" s="39"/>
      <c r="AT121" s="38">
        <v>42.110199999999999</v>
      </c>
      <c r="AU121" s="38">
        <v>42.110199999999999</v>
      </c>
      <c r="AV121" s="38">
        <v>42.110199999999999</v>
      </c>
      <c r="AW121" s="39"/>
      <c r="AX121" s="49">
        <v>6.5149999999999997</v>
      </c>
      <c r="AY121" s="49">
        <v>5.4530000000000003</v>
      </c>
      <c r="BA121" s="53">
        <f t="shared" si="35"/>
        <v>-3.1390370125192746E-3</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269160</v>
      </c>
      <c r="BZ121">
        <f t="shared" si="38"/>
        <v>0</v>
      </c>
      <c r="CA121">
        <f t="shared" si="39"/>
        <v>269160</v>
      </c>
      <c r="CB121">
        <f t="shared" si="40"/>
        <v>0</v>
      </c>
      <c r="CC121">
        <f t="shared" si="41"/>
        <v>0.18740000000000379</v>
      </c>
      <c r="CD121">
        <f t="shared" si="42"/>
        <v>0.15369999999999351</v>
      </c>
      <c r="CE121">
        <f t="shared" si="43"/>
        <v>0.16190000000000282</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40.933932332909954</v>
      </c>
      <c r="K122" s="23">
        <f t="shared" si="27"/>
        <v>34.420867765355247</v>
      </c>
      <c r="L122" s="23">
        <f t="shared" si="28"/>
        <v>6.512552334059869</v>
      </c>
      <c r="M122" s="24"/>
      <c r="N122" s="23">
        <f t="shared" si="29"/>
        <v>40.933932332909954</v>
      </c>
      <c r="O122" s="25">
        <v>1530552</v>
      </c>
      <c r="P122" s="26">
        <v>62651512</v>
      </c>
      <c r="Q122" s="26">
        <v>52682928</v>
      </c>
      <c r="R122" s="26">
        <v>9967800</v>
      </c>
      <c r="S122" s="40"/>
      <c r="T122" s="41">
        <v>41.226300000000002</v>
      </c>
      <c r="U122" s="41">
        <v>44.307499999999997</v>
      </c>
      <c r="V122" s="41">
        <v>43.899299999999997</v>
      </c>
      <c r="W122" s="42"/>
      <c r="X122" s="41">
        <v>34.151400000000002</v>
      </c>
      <c r="Y122" s="41">
        <v>34.151400000000002</v>
      </c>
      <c r="Z122" s="41">
        <v>34.151400000000002</v>
      </c>
      <c r="AA122" s="42"/>
      <c r="AB122" s="50">
        <v>6.2809999999999997</v>
      </c>
      <c r="AC122" s="50">
        <v>5.2809999999999997</v>
      </c>
      <c r="AE122" s="22" t="str">
        <f t="shared" si="30"/>
        <v>·</v>
      </c>
      <c r="AF122" s="23">
        <f t="shared" si="31"/>
        <v>41.130138668924673</v>
      </c>
      <c r="AG122" s="23">
        <f t="shared" si="32"/>
        <v>34.420867765355247</v>
      </c>
      <c r="AH122" s="23">
        <f t="shared" si="33"/>
        <v>6.7087586700745874</v>
      </c>
      <c r="AI122" s="24"/>
      <c r="AJ122" s="23">
        <f t="shared" si="34"/>
        <v>41.130138668924673</v>
      </c>
      <c r="AK122" s="25">
        <v>1530552</v>
      </c>
      <c r="AL122" s="26">
        <v>62951816</v>
      </c>
      <c r="AM122" s="26">
        <v>52682928</v>
      </c>
      <c r="AN122" s="26">
        <v>10268104</v>
      </c>
      <c r="AO122" s="40"/>
      <c r="AP122" s="41">
        <v>41.4953</v>
      </c>
      <c r="AQ122" s="41">
        <v>44.453099999999999</v>
      </c>
      <c r="AR122" s="41">
        <v>44.077500000000001</v>
      </c>
      <c r="AS122" s="42"/>
      <c r="AT122" s="41">
        <v>34.151400000000002</v>
      </c>
      <c r="AU122" s="41">
        <v>34.151400000000002</v>
      </c>
      <c r="AV122" s="41">
        <v>34.151400000000002</v>
      </c>
      <c r="AW122" s="42"/>
      <c r="AX122" s="50">
        <v>6.4370000000000003</v>
      </c>
      <c r="AY122" s="50">
        <v>5.3120000000000003</v>
      </c>
      <c r="BA122" s="55">
        <f t="shared" si="35"/>
        <v>-4.0113559552487077E-3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300304</v>
      </c>
      <c r="BZ122">
        <f t="shared" si="38"/>
        <v>0</v>
      </c>
      <c r="CA122">
        <f t="shared" si="39"/>
        <v>300304</v>
      </c>
      <c r="CB122">
        <f t="shared" si="40"/>
        <v>0</v>
      </c>
      <c r="CC122">
        <f t="shared" si="41"/>
        <v>0.26899999999999835</v>
      </c>
      <c r="CD122">
        <f t="shared" si="42"/>
        <v>0.14560000000000173</v>
      </c>
      <c r="CE122">
        <f t="shared" si="43"/>
        <v>0.17820000000000391</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38.846878773148511</v>
      </c>
      <c r="K123" s="18">
        <f t="shared" si="27"/>
        <v>34.420867765355247</v>
      </c>
      <c r="L123" s="18">
        <f t="shared" si="28"/>
        <v>4.4254987742984229</v>
      </c>
      <c r="M123" s="19"/>
      <c r="N123" s="18">
        <f t="shared" si="29"/>
        <v>38.846878773148511</v>
      </c>
      <c r="O123" s="20">
        <v>1530552</v>
      </c>
      <c r="P123" s="21">
        <v>59457168</v>
      </c>
      <c r="Q123" s="21">
        <v>52682928</v>
      </c>
      <c r="R123" s="21">
        <v>6773456</v>
      </c>
      <c r="S123" s="37"/>
      <c r="T123" s="38">
        <v>35.296599999999998</v>
      </c>
      <c r="U123" s="38">
        <v>39.524700000000003</v>
      </c>
      <c r="V123" s="38">
        <v>38.855200000000004</v>
      </c>
      <c r="W123" s="39"/>
      <c r="X123" s="38">
        <v>28.130800000000001</v>
      </c>
      <c r="Y123" s="38">
        <v>28.130800000000001</v>
      </c>
      <c r="Z123" s="38">
        <v>28.130800000000001</v>
      </c>
      <c r="AA123" s="39"/>
      <c r="AB123" s="49">
        <v>6.25</v>
      </c>
      <c r="AC123" s="49">
        <v>5.234</v>
      </c>
      <c r="AE123" s="17" t="str">
        <f t="shared" si="30"/>
        <v>·</v>
      </c>
      <c r="AF123" s="18">
        <f t="shared" si="31"/>
        <v>38.989901682530224</v>
      </c>
      <c r="AG123" s="18">
        <f t="shared" si="32"/>
        <v>34.420867765355247</v>
      </c>
      <c r="AH123" s="18">
        <f t="shared" si="33"/>
        <v>4.5685216836801361</v>
      </c>
      <c r="AI123" s="19"/>
      <c r="AJ123" s="18">
        <f t="shared" si="34"/>
        <v>38.989901682530224</v>
      </c>
      <c r="AK123" s="20">
        <v>1530552</v>
      </c>
      <c r="AL123" s="21">
        <v>59676072</v>
      </c>
      <c r="AM123" s="21">
        <v>52682928</v>
      </c>
      <c r="AN123" s="21">
        <v>6992360</v>
      </c>
      <c r="AO123" s="37"/>
      <c r="AP123" s="38">
        <v>35.5807</v>
      </c>
      <c r="AQ123" s="38">
        <v>39.683199999999999</v>
      </c>
      <c r="AR123" s="38">
        <v>39.071800000000003</v>
      </c>
      <c r="AS123" s="39"/>
      <c r="AT123" s="38">
        <v>28.130800000000001</v>
      </c>
      <c r="AU123" s="38">
        <v>28.130800000000001</v>
      </c>
      <c r="AV123" s="38">
        <v>28.130800000000001</v>
      </c>
      <c r="AW123" s="39"/>
      <c r="AX123" s="49">
        <v>6.2960000000000003</v>
      </c>
      <c r="AY123" s="49">
        <v>5.3120000000000003</v>
      </c>
      <c r="BA123" s="53">
        <f t="shared" si="35"/>
        <v>-3.2502678551971087E-3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218904</v>
      </c>
      <c r="BZ123">
        <f t="shared" si="38"/>
        <v>0</v>
      </c>
      <c r="CA123">
        <f t="shared" si="39"/>
        <v>218904</v>
      </c>
      <c r="CB123">
        <f t="shared" si="40"/>
        <v>0</v>
      </c>
      <c r="CC123">
        <f t="shared" si="41"/>
        <v>0.28410000000000224</v>
      </c>
      <c r="CD123">
        <f t="shared" si="42"/>
        <v>0.15849999999999653</v>
      </c>
      <c r="CE123">
        <f t="shared" si="43"/>
        <v>0.21659999999999968</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37.012000899022055</v>
      </c>
      <c r="K124" s="33">
        <f t="shared" si="27"/>
        <v>34.420867765355247</v>
      </c>
      <c r="L124" s="33">
        <f t="shared" si="28"/>
        <v>2.590620900171964</v>
      </c>
      <c r="M124" s="34"/>
      <c r="N124" s="33">
        <f t="shared" si="29"/>
        <v>37.012000899022055</v>
      </c>
      <c r="O124" s="35">
        <v>1530552</v>
      </c>
      <c r="P124" s="36">
        <v>56648792</v>
      </c>
      <c r="Q124" s="36">
        <v>52682928</v>
      </c>
      <c r="R124" s="36">
        <v>3965080</v>
      </c>
      <c r="S124" s="46"/>
      <c r="T124" s="47">
        <v>28.7028</v>
      </c>
      <c r="U124" s="47">
        <v>35.177100000000003</v>
      </c>
      <c r="V124" s="47">
        <v>34.296900000000001</v>
      </c>
      <c r="W124" s="48"/>
      <c r="X124" s="47">
        <v>21.686399999999999</v>
      </c>
      <c r="Y124" s="47">
        <v>21.686399999999999</v>
      </c>
      <c r="Z124" s="47">
        <v>21.686399999999999</v>
      </c>
      <c r="AA124" s="48"/>
      <c r="AB124" s="52">
        <v>6.2960000000000003</v>
      </c>
      <c r="AC124" s="52">
        <v>5.2649999999999997</v>
      </c>
      <c r="AE124" s="32" t="str">
        <f t="shared" si="30"/>
        <v>·</v>
      </c>
      <c r="AF124" s="33">
        <f t="shared" si="31"/>
        <v>37.107516765193211</v>
      </c>
      <c r="AG124" s="33">
        <f t="shared" si="32"/>
        <v>34.420867765355247</v>
      </c>
      <c r="AH124" s="33">
        <f t="shared" si="33"/>
        <v>2.6861367663431235</v>
      </c>
      <c r="AI124" s="34"/>
      <c r="AJ124" s="33">
        <f t="shared" si="34"/>
        <v>37.107516765193211</v>
      </c>
      <c r="AK124" s="35">
        <v>1530552</v>
      </c>
      <c r="AL124" s="36">
        <v>56794984</v>
      </c>
      <c r="AM124" s="36">
        <v>52682928</v>
      </c>
      <c r="AN124" s="36">
        <v>4111272</v>
      </c>
      <c r="AO124" s="46"/>
      <c r="AP124" s="47">
        <v>29.069299999999998</v>
      </c>
      <c r="AQ124" s="47">
        <v>35.448700000000002</v>
      </c>
      <c r="AR124" s="47">
        <v>34.578699999999998</v>
      </c>
      <c r="AS124" s="48"/>
      <c r="AT124" s="47">
        <v>21.686399999999999</v>
      </c>
      <c r="AU124" s="47">
        <v>21.686399999999999</v>
      </c>
      <c r="AV124" s="47">
        <v>21.686399999999999</v>
      </c>
      <c r="AW124" s="48"/>
      <c r="AX124" s="52">
        <v>6.3120000000000003</v>
      </c>
      <c r="AY124" s="52">
        <v>5.359</v>
      </c>
      <c r="BA124" s="59">
        <f t="shared" si="35"/>
        <v>-2.3938276382537982E-3</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146192</v>
      </c>
      <c r="BZ124">
        <f t="shared" si="38"/>
        <v>0</v>
      </c>
      <c r="CA124">
        <f t="shared" si="39"/>
        <v>146192</v>
      </c>
      <c r="CB124">
        <f t="shared" si="40"/>
        <v>0</v>
      </c>
      <c r="CC124">
        <f t="shared" si="41"/>
        <v>0.36649999999999849</v>
      </c>
      <c r="CD124">
        <f t="shared" si="42"/>
        <v>0.2715999999999994</v>
      </c>
      <c r="CE124">
        <f t="shared" si="43"/>
        <v>0.28179999999999694</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41.107195376417828</v>
      </c>
      <c r="K125" s="18">
        <f t="shared" si="27"/>
        <v>35.39316950812097</v>
      </c>
      <c r="L125" s="18">
        <f t="shared" si="28"/>
        <v>5.7120309216726746</v>
      </c>
      <c r="M125" s="19"/>
      <c r="N125" s="18">
        <f t="shared" si="29"/>
        <v>41.107195376417828</v>
      </c>
      <c r="O125" s="20">
        <v>272689</v>
      </c>
      <c r="P125" s="21">
        <v>11209480</v>
      </c>
      <c r="Q125" s="21">
        <v>9651328</v>
      </c>
      <c r="R125" s="21">
        <v>1557608</v>
      </c>
      <c r="S125" s="37"/>
      <c r="T125" s="38">
        <v>52.905799999999999</v>
      </c>
      <c r="U125" s="38">
        <v>54.748800000000003</v>
      </c>
      <c r="V125" s="38">
        <v>56.313600000000001</v>
      </c>
      <c r="W125" s="39"/>
      <c r="X125" s="38">
        <v>48.130800000000001</v>
      </c>
      <c r="Y125" s="38">
        <v>48.130800000000001</v>
      </c>
      <c r="Z125" s="38">
        <v>48.130800000000001</v>
      </c>
      <c r="AA125" s="39"/>
      <c r="AB125" s="49">
        <v>1.125</v>
      </c>
      <c r="AC125" s="49">
        <v>0.95299999999999996</v>
      </c>
      <c r="AE125" s="17" t="str">
        <f t="shared" si="30"/>
        <v>·</v>
      </c>
      <c r="AF125" s="18">
        <f t="shared" si="31"/>
        <v>41.141872242738067</v>
      </c>
      <c r="AG125" s="18">
        <f t="shared" si="32"/>
        <v>35.39316950812097</v>
      </c>
      <c r="AH125" s="18">
        <f t="shared" si="33"/>
        <v>5.7467077879929152</v>
      </c>
      <c r="AI125" s="19"/>
      <c r="AJ125" s="18">
        <f t="shared" si="34"/>
        <v>41.141872242738067</v>
      </c>
      <c r="AK125" s="20">
        <v>272689</v>
      </c>
      <c r="AL125" s="21">
        <v>11218936</v>
      </c>
      <c r="AM125" s="21">
        <v>9651328</v>
      </c>
      <c r="AN125" s="21">
        <v>1567064</v>
      </c>
      <c r="AO125" s="37"/>
      <c r="AP125" s="38">
        <v>52.918799999999997</v>
      </c>
      <c r="AQ125" s="38">
        <v>54.755800000000001</v>
      </c>
      <c r="AR125" s="38">
        <v>56.319099999999999</v>
      </c>
      <c r="AS125" s="39"/>
      <c r="AT125" s="38">
        <v>48.130800000000001</v>
      </c>
      <c r="AU125" s="38">
        <v>48.130800000000001</v>
      </c>
      <c r="AV125" s="38">
        <v>48.130800000000001</v>
      </c>
      <c r="AW125" s="39"/>
      <c r="AX125" s="49">
        <v>1.0620000000000001</v>
      </c>
      <c r="AY125" s="49">
        <v>0.95299999999999996</v>
      </c>
      <c r="BA125" s="53">
        <f t="shared" si="35"/>
        <v>-7.257004659231292E-4</v>
      </c>
      <c r="BB125" s="53">
        <f t="array" ref="BB125">AVERAGE(AM125:AM129/AL125:AL129)-AVERAGE(Q125:Q129/P125:P129)</f>
        <v>-9.2928085198384913E-4</v>
      </c>
      <c r="BD125" s="54">
        <f>IF(OR(ISBLANK(R125:R129),ISBLANK(AN125:AN129),ISBLANK(T125:T129),ISBLANK(AP125:AP129)),"·",bdRateExtend(R125:R129,T125:T129,AN125:AN129,AP125:AP129))</f>
        <v>2.6121885589970528E-2</v>
      </c>
      <c r="BE125" s="54">
        <f>IF(OR(ISBLANK(R125:R129),ISBLANK(AN125:AN129),ISBLANK(U125:U129),ISBLANK(AQ125:AQ129)),"·",bdRateExtend(R125:R129,U125:U129,AN125:AN129,AQ125:AQ129))</f>
        <v>2.3561803043054441E-2</v>
      </c>
      <c r="BF125" s="54">
        <f>IF(OR(ISBLANK(R125:R129),ISBLANK(AN125:AN129),ISBLANK(V125:V129),ISBLANK(AR125:AR129)),"·",bdRateExtend(R125:R129,V125:V129,AN125:AN129,AR125:AR129))</f>
        <v>1.0444081300130748E-2</v>
      </c>
      <c r="BG125" s="61"/>
      <c r="BI125" s="54">
        <f>IF(OR(ISBLANK(R125:R129),ISBLANK(AN125:AN129),ISBLANK(X125:X129),ISBLANK(AT125:AT129)),"·",bdRateExtend(R125:R129,X125:X129,AN125:AN129,AT125:AT129))</f>
        <v>3.1050253876608203E-2</v>
      </c>
      <c r="BJ125" s="54">
        <f>IF(OR(ISBLANK(R125:R129),ISBLANK(AN125:AN129),ISBLANK(Y125:Y129),ISBLANK(AU125:AU129)),"·",bdRateExtend(R125:R129,Y125:Y129,AN125:AN129,AU125:AU129))</f>
        <v>3.1050253876608203E-2</v>
      </c>
      <c r="BK125" s="54">
        <f>IF(OR(ISBLANK(R125:R129),ISBLANK(AN125:AN129),ISBLANK(Z125:Z129),ISBLANK(AV125:AV129)),"·",bdRateExtend(R125:R129,Z125:Z129,AN125:AN129,AV125:AV129))</f>
        <v>3.1050253876608203E-2</v>
      </c>
      <c r="BL125" s="61"/>
      <c r="BN125" s="54">
        <f>IF(OR(ISBLANK(P125:P129),ISBLANK(AL125:AL129),ISBLANK(T125:T129),ISBLANK(AP125:AP129)),"·",bdRateExtend(P125:P129,T125:T129,AL125:AL129,AP125:AP129))</f>
        <v>9.2491030617947168E-4</v>
      </c>
      <c r="BO125" s="54">
        <f>IF(OR(ISBLANK(P125:P129),ISBLANK(AL125:AL129),ISBLANK(U125:U129),ISBLANK(AQ125:AQ129)),"·",bdRateExtend(P125:P129,U125:U129,AL125:AL129,AQ125:AQ129))</f>
        <v>9.5085426640340032E-4</v>
      </c>
      <c r="BP125" s="54">
        <f>IF(OR(ISBLANK(P125:P129),ISBLANK(AL125:AL129),ISBLANK(V125:V129),ISBLANK(AR125:AR129)),"·",bdRateExtend(P125:P129,V125:V129,AL125:AL129,AR125:AR129))</f>
        <v>6.7832359045771895E-4</v>
      </c>
      <c r="BQ125" s="61"/>
      <c r="BS125" s="54">
        <f>IF(OR(ISBLANK(P125:P129),ISBLANK(AL125:AL129),ISBLANK(X125:X129),ISBLANK(AT125:AT129)),"·",bdRateExtend(P125:P129,X125:X129,AL125:AL129,AT125:AT129))</f>
        <v>1.0449302434880625E-3</v>
      </c>
      <c r="BT125" s="54">
        <f>IF(OR(ISBLANK(P125:P129),ISBLANK(AL125:AL129),ISBLANK(Y125:Y129),ISBLANK(AU125:AU129)),"·",bdRateExtend(P125:P129,Y125:Y129,AL125:AL129,AU125:AU129))</f>
        <v>1.0449302434880625E-3</v>
      </c>
      <c r="BU125" s="54">
        <f>IF(OR(ISBLANK(P125:P129),ISBLANK(AL125:AL129),ISBLANK(Z125:Z129),ISBLANK(AV125:AV129)),"·",bdRateExtend(P125:P129,Z125:Z129,AL125:AL129,AV125:AV129))</f>
        <v>1.0449302434880625E-3</v>
      </c>
      <c r="BV125" s="61"/>
      <c r="BX125">
        <f t="shared" si="36"/>
        <v>0</v>
      </c>
      <c r="BY125">
        <f t="shared" si="37"/>
        <v>9456</v>
      </c>
      <c r="BZ125">
        <f t="shared" si="38"/>
        <v>0</v>
      </c>
      <c r="CA125">
        <f t="shared" si="39"/>
        <v>9456</v>
      </c>
      <c r="CB125">
        <f t="shared" si="40"/>
        <v>0</v>
      </c>
      <c r="CC125">
        <f t="shared" si="41"/>
        <v>1.2999999999998124E-2</v>
      </c>
      <c r="CD125">
        <f t="shared" si="42"/>
        <v>6.9999999999978968E-3</v>
      </c>
      <c r="CE125">
        <f t="shared" si="43"/>
        <v>5.49999999999784E-3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39.150270087902335</v>
      </c>
      <c r="K126" s="23">
        <f t="shared" si="27"/>
        <v>35.39316950812097</v>
      </c>
      <c r="L126" s="23">
        <f t="shared" si="28"/>
        <v>3.7551056331571866</v>
      </c>
      <c r="M126" s="24"/>
      <c r="N126" s="23">
        <f t="shared" si="29"/>
        <v>39.150270087902335</v>
      </c>
      <c r="O126" s="25">
        <v>272689</v>
      </c>
      <c r="P126" s="26">
        <v>10675848</v>
      </c>
      <c r="Q126" s="26">
        <v>9651328</v>
      </c>
      <c r="R126" s="26">
        <v>1023976</v>
      </c>
      <c r="S126" s="40"/>
      <c r="T126" s="41">
        <v>48.248600000000003</v>
      </c>
      <c r="U126" s="41">
        <v>51.232500000000002</v>
      </c>
      <c r="V126" s="41">
        <v>51.023899999999998</v>
      </c>
      <c r="W126" s="42"/>
      <c r="X126" s="41">
        <v>42.110199999999999</v>
      </c>
      <c r="Y126" s="41">
        <v>42.110199999999999</v>
      </c>
      <c r="Z126" s="41">
        <v>42.110199999999999</v>
      </c>
      <c r="AA126" s="42"/>
      <c r="AB126" s="50">
        <v>1.0780000000000001</v>
      </c>
      <c r="AC126" s="50">
        <v>0.92100000000000004</v>
      </c>
      <c r="AE126" s="22" t="str">
        <f t="shared" si="30"/>
        <v>·</v>
      </c>
      <c r="AF126" s="23">
        <f t="shared" si="31"/>
        <v>39.191049143896528</v>
      </c>
      <c r="AG126" s="23">
        <f t="shared" si="32"/>
        <v>35.39316950812097</v>
      </c>
      <c r="AH126" s="23">
        <f t="shared" si="33"/>
        <v>3.7958846891513778</v>
      </c>
      <c r="AI126" s="24"/>
      <c r="AJ126" s="23">
        <f t="shared" si="34"/>
        <v>39.191049143896528</v>
      </c>
      <c r="AK126" s="25">
        <v>272689</v>
      </c>
      <c r="AL126" s="26">
        <v>10686968</v>
      </c>
      <c r="AM126" s="26">
        <v>9651328</v>
      </c>
      <c r="AN126" s="26">
        <v>1035096</v>
      </c>
      <c r="AO126" s="40"/>
      <c r="AP126" s="41">
        <v>48.257199999999997</v>
      </c>
      <c r="AQ126" s="41">
        <v>51.241599999999998</v>
      </c>
      <c r="AR126" s="41">
        <v>51.031300000000002</v>
      </c>
      <c r="AS126" s="42"/>
      <c r="AT126" s="41">
        <v>42.110199999999999</v>
      </c>
      <c r="AU126" s="41">
        <v>42.110199999999999</v>
      </c>
      <c r="AV126" s="41">
        <v>42.110199999999999</v>
      </c>
      <c r="AW126" s="42"/>
      <c r="AX126" s="50">
        <v>1.046</v>
      </c>
      <c r="AY126" s="50">
        <v>0.90600000000000003</v>
      </c>
      <c r="BA126" s="55">
        <f t="shared" si="35"/>
        <v>-9.4066497100175894E-4</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11120</v>
      </c>
      <c r="BZ126">
        <f t="shared" si="38"/>
        <v>0</v>
      </c>
      <c r="CA126">
        <f t="shared" si="39"/>
        <v>11120</v>
      </c>
      <c r="CB126">
        <f t="shared" si="40"/>
        <v>0</v>
      </c>
      <c r="CC126">
        <f t="shared" si="41"/>
        <v>8.5999999999941679E-3</v>
      </c>
      <c r="CD126">
        <f t="shared" si="42"/>
        <v>9.0999999999965553E-3</v>
      </c>
      <c r="CE126">
        <f t="shared" si="43"/>
        <v>7.40000000000407E-3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37.191203165510892</v>
      </c>
      <c r="K127" s="18">
        <f t="shared" si="27"/>
        <v>35.39316950812097</v>
      </c>
      <c r="L127" s="18">
        <f t="shared" si="28"/>
        <v>1.7960387107657441</v>
      </c>
      <c r="M127" s="19"/>
      <c r="N127" s="18">
        <f t="shared" si="29"/>
        <v>37.191203165510892</v>
      </c>
      <c r="O127" s="20">
        <v>272689</v>
      </c>
      <c r="P127" s="21">
        <v>10141632</v>
      </c>
      <c r="Q127" s="21">
        <v>9651328</v>
      </c>
      <c r="R127" s="21">
        <v>489760</v>
      </c>
      <c r="S127" s="37"/>
      <c r="T127" s="38">
        <v>41.395200000000003</v>
      </c>
      <c r="U127" s="38">
        <v>46.292999999999999</v>
      </c>
      <c r="V127" s="38">
        <v>46.025199999999998</v>
      </c>
      <c r="W127" s="39"/>
      <c r="X127" s="38">
        <v>34.151400000000002</v>
      </c>
      <c r="Y127" s="38">
        <v>34.151400000000002</v>
      </c>
      <c r="Z127" s="38">
        <v>34.151400000000002</v>
      </c>
      <c r="AA127" s="39"/>
      <c r="AB127" s="49">
        <v>1.109</v>
      </c>
      <c r="AC127" s="49">
        <v>0.93700000000000006</v>
      </c>
      <c r="AE127" s="17" t="str">
        <f t="shared" si="30"/>
        <v>·</v>
      </c>
      <c r="AF127" s="18">
        <f t="shared" si="31"/>
        <v>37.234974641441347</v>
      </c>
      <c r="AG127" s="18">
        <f t="shared" si="32"/>
        <v>35.39316950812097</v>
      </c>
      <c r="AH127" s="18">
        <f t="shared" si="33"/>
        <v>1.8398101866961998</v>
      </c>
      <c r="AI127" s="19"/>
      <c r="AJ127" s="18">
        <f t="shared" si="34"/>
        <v>37.234974641441347</v>
      </c>
      <c r="AK127" s="20">
        <v>272689</v>
      </c>
      <c r="AL127" s="21">
        <v>10153568</v>
      </c>
      <c r="AM127" s="21">
        <v>9651328</v>
      </c>
      <c r="AN127" s="21">
        <v>501696</v>
      </c>
      <c r="AO127" s="37"/>
      <c r="AP127" s="38">
        <v>41.4221</v>
      </c>
      <c r="AQ127" s="38">
        <v>46.288600000000002</v>
      </c>
      <c r="AR127" s="38">
        <v>46.078499999999998</v>
      </c>
      <c r="AS127" s="39"/>
      <c r="AT127" s="38">
        <v>34.151400000000002</v>
      </c>
      <c r="AU127" s="38">
        <v>34.151400000000002</v>
      </c>
      <c r="AV127" s="38">
        <v>34.151400000000002</v>
      </c>
      <c r="AW127" s="39"/>
      <c r="AX127" s="49">
        <v>1.0620000000000001</v>
      </c>
      <c r="AY127" s="49">
        <v>0.92100000000000004</v>
      </c>
      <c r="BA127" s="53">
        <f t="shared" si="35"/>
        <v>-1.1187147292203159E-3</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11936</v>
      </c>
      <c r="BZ127">
        <f t="shared" si="38"/>
        <v>0</v>
      </c>
      <c r="CA127">
        <f t="shared" si="39"/>
        <v>11936</v>
      </c>
      <c r="CB127">
        <f t="shared" si="40"/>
        <v>0</v>
      </c>
      <c r="CC127">
        <f t="shared" si="41"/>
        <v>2.6899999999997704E-2</v>
      </c>
      <c r="CD127">
        <f t="shared" si="42"/>
        <v>-4.3999999999968509E-3</v>
      </c>
      <c r="CE127">
        <f t="shared" si="43"/>
        <v>5.3300000000000125E-2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36.238440127764598</v>
      </c>
      <c r="K128" s="23">
        <f t="shared" si="27"/>
        <v>35.39316950812097</v>
      </c>
      <c r="L128" s="23">
        <f t="shared" si="28"/>
        <v>0.84327567301944706</v>
      </c>
      <c r="M128" s="24"/>
      <c r="N128" s="23">
        <f t="shared" si="29"/>
        <v>36.238440127764598</v>
      </c>
      <c r="O128" s="25">
        <v>272689</v>
      </c>
      <c r="P128" s="26">
        <v>9881824</v>
      </c>
      <c r="Q128" s="26">
        <v>9651328</v>
      </c>
      <c r="R128" s="26">
        <v>229952</v>
      </c>
      <c r="S128" s="40"/>
      <c r="T128" s="41">
        <v>36.064900000000002</v>
      </c>
      <c r="U128" s="41">
        <v>42.298900000000003</v>
      </c>
      <c r="V128" s="41">
        <v>41.384700000000002</v>
      </c>
      <c r="W128" s="42"/>
      <c r="X128" s="41">
        <v>28.130800000000001</v>
      </c>
      <c r="Y128" s="41">
        <v>28.130800000000001</v>
      </c>
      <c r="Z128" s="41">
        <v>28.130800000000001</v>
      </c>
      <c r="AA128" s="42"/>
      <c r="AB128" s="50">
        <v>1.046</v>
      </c>
      <c r="AC128" s="50">
        <v>0.90600000000000003</v>
      </c>
      <c r="AE128" s="22" t="str">
        <f t="shared" si="30"/>
        <v>·</v>
      </c>
      <c r="AF128" s="23">
        <f t="shared" si="31"/>
        <v>36.276549475776434</v>
      </c>
      <c r="AG128" s="23">
        <f t="shared" si="32"/>
        <v>35.39316950812097</v>
      </c>
      <c r="AH128" s="23">
        <f t="shared" si="33"/>
        <v>0.88138502103128469</v>
      </c>
      <c r="AI128" s="24"/>
      <c r="AJ128" s="23">
        <f t="shared" si="34"/>
        <v>36.276549475776434</v>
      </c>
      <c r="AK128" s="25">
        <v>272689</v>
      </c>
      <c r="AL128" s="26">
        <v>9892216</v>
      </c>
      <c r="AM128" s="26">
        <v>9651328</v>
      </c>
      <c r="AN128" s="26">
        <v>240344</v>
      </c>
      <c r="AO128" s="40"/>
      <c r="AP128" s="41">
        <v>36.074199999999998</v>
      </c>
      <c r="AQ128" s="41">
        <v>42.289000000000001</v>
      </c>
      <c r="AR128" s="41">
        <v>41.503799999999998</v>
      </c>
      <c r="AS128" s="42"/>
      <c r="AT128" s="41">
        <v>28.130800000000001</v>
      </c>
      <c r="AU128" s="41">
        <v>28.130800000000001</v>
      </c>
      <c r="AV128" s="41">
        <v>28.130800000000001</v>
      </c>
      <c r="AW128" s="42"/>
      <c r="AX128" s="50">
        <v>1.093</v>
      </c>
      <c r="AY128" s="50">
        <v>0.93700000000000006</v>
      </c>
      <c r="BA128" s="55">
        <f t="shared" si="35"/>
        <v>-1.0260192476633234E-3</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10392</v>
      </c>
      <c r="BZ128">
        <f t="shared" si="38"/>
        <v>0</v>
      </c>
      <c r="CA128">
        <f t="shared" si="39"/>
        <v>10392</v>
      </c>
      <c r="CB128">
        <f t="shared" si="40"/>
        <v>0</v>
      </c>
      <c r="CC128">
        <f t="shared" si="41"/>
        <v>9.2999999999960892E-3</v>
      </c>
      <c r="CD128">
        <f t="shared" si="42"/>
        <v>-9.9000000000017963E-3</v>
      </c>
      <c r="CE128">
        <f t="shared" si="43"/>
        <v>0.11909999999999599</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35.697604230460342</v>
      </c>
      <c r="K129" s="28">
        <f t="shared" si="27"/>
        <v>35.39316950812097</v>
      </c>
      <c r="L129" s="28">
        <f t="shared" si="28"/>
        <v>0.30243977571519204</v>
      </c>
      <c r="M129" s="29"/>
      <c r="N129" s="28">
        <f t="shared" si="29"/>
        <v>35.697604230460342</v>
      </c>
      <c r="O129" s="30">
        <v>272689</v>
      </c>
      <c r="P129" s="31">
        <v>9734344</v>
      </c>
      <c r="Q129" s="31">
        <v>9651328</v>
      </c>
      <c r="R129" s="31">
        <v>82472</v>
      </c>
      <c r="S129" s="43"/>
      <c r="T129" s="44">
        <v>29.992799999999999</v>
      </c>
      <c r="U129" s="44">
        <v>36.580399999999997</v>
      </c>
      <c r="V129" s="44">
        <v>36.744399999999999</v>
      </c>
      <c r="W129" s="45"/>
      <c r="X129" s="44">
        <v>21.686399999999999</v>
      </c>
      <c r="Y129" s="44">
        <v>21.686399999999999</v>
      </c>
      <c r="Z129" s="44">
        <v>21.686399999999999</v>
      </c>
      <c r="AA129" s="45"/>
      <c r="AB129" s="51">
        <v>1.0620000000000001</v>
      </c>
      <c r="AC129" s="51">
        <v>0.92100000000000004</v>
      </c>
      <c r="AE129" s="27" t="str">
        <f t="shared" si="30"/>
        <v>·</v>
      </c>
      <c r="AF129" s="28">
        <f t="shared" si="31"/>
        <v>35.727704454525117</v>
      </c>
      <c r="AG129" s="28">
        <f t="shared" si="32"/>
        <v>35.39316950812097</v>
      </c>
      <c r="AH129" s="28">
        <f t="shared" si="33"/>
        <v>0.33253999977996912</v>
      </c>
      <c r="AI129" s="29"/>
      <c r="AJ129" s="28">
        <f t="shared" si="34"/>
        <v>35.727704454525117</v>
      </c>
      <c r="AK129" s="30">
        <v>272689</v>
      </c>
      <c r="AL129" s="31">
        <v>9742552</v>
      </c>
      <c r="AM129" s="31">
        <v>9651328</v>
      </c>
      <c r="AN129" s="31">
        <v>90680</v>
      </c>
      <c r="AO129" s="43"/>
      <c r="AP129" s="44">
        <v>30.234000000000002</v>
      </c>
      <c r="AQ129" s="44">
        <v>37.116999999999997</v>
      </c>
      <c r="AR129" s="44">
        <v>37.2607</v>
      </c>
      <c r="AS129" s="45"/>
      <c r="AT129" s="44">
        <v>21.686399999999999</v>
      </c>
      <c r="AU129" s="44">
        <v>21.686399999999999</v>
      </c>
      <c r="AV129" s="44">
        <v>21.686399999999999</v>
      </c>
      <c r="AW129" s="45"/>
      <c r="AX129" s="51">
        <v>1.0780000000000001</v>
      </c>
      <c r="AY129" s="51">
        <v>0.92100000000000004</v>
      </c>
      <c r="BA129" s="57">
        <f t="shared" si="35"/>
        <v>-8.3530484611060718E-4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8208</v>
      </c>
      <c r="BZ129">
        <f t="shared" si="38"/>
        <v>0</v>
      </c>
      <c r="CA129">
        <f t="shared" si="39"/>
        <v>8208</v>
      </c>
      <c r="CB129">
        <f t="shared" si="40"/>
        <v>0</v>
      </c>
      <c r="CC129">
        <f t="shared" si="41"/>
        <v>0.24120000000000275</v>
      </c>
      <c r="CD129">
        <f t="shared" si="42"/>
        <v>0.53659999999999997</v>
      </c>
      <c r="CE129">
        <f t="shared" si="43"/>
        <v>0.51630000000000109</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36.518740603497214</v>
      </c>
      <c r="K130" s="23">
        <f t="shared" si="27"/>
        <v>28.597982520165441</v>
      </c>
      <c r="L130" s="23">
        <f t="shared" si="28"/>
        <v>7.9203688107848462</v>
      </c>
      <c r="M130" s="24"/>
      <c r="N130" s="23">
        <f t="shared" si="29"/>
        <v>36.518740603497214</v>
      </c>
      <c r="O130" s="25">
        <v>1602990</v>
      </c>
      <c r="P130" s="26">
        <v>58539176</v>
      </c>
      <c r="Q130" s="26">
        <v>45842280</v>
      </c>
      <c r="R130" s="26">
        <v>12696272</v>
      </c>
      <c r="S130" s="40"/>
      <c r="T130" s="41">
        <v>53.428899999999999</v>
      </c>
      <c r="U130" s="41">
        <v>55.401299999999999</v>
      </c>
      <c r="V130" s="41">
        <v>54.7624</v>
      </c>
      <c r="W130" s="42"/>
      <c r="X130" s="41">
        <v>48.130800000000001</v>
      </c>
      <c r="Y130" s="41">
        <v>48.130800000000001</v>
      </c>
      <c r="Z130" s="41">
        <v>48.130800000000001</v>
      </c>
      <c r="AA130" s="42"/>
      <c r="AB130" s="50">
        <v>6.2649999999999997</v>
      </c>
      <c r="AC130" s="50">
        <v>5.468</v>
      </c>
      <c r="AE130" s="22" t="str">
        <f t="shared" si="30"/>
        <v>·</v>
      </c>
      <c r="AF130" s="23">
        <f t="shared" si="31"/>
        <v>36.639809356265481</v>
      </c>
      <c r="AG130" s="23">
        <f t="shared" si="32"/>
        <v>28.597982520165441</v>
      </c>
      <c r="AH130" s="23">
        <f t="shared" si="33"/>
        <v>8.0414375635531101</v>
      </c>
      <c r="AI130" s="24"/>
      <c r="AJ130" s="23">
        <f t="shared" si="34"/>
        <v>36.639809356265481</v>
      </c>
      <c r="AK130" s="25">
        <v>1602990</v>
      </c>
      <c r="AL130" s="26">
        <v>58733248</v>
      </c>
      <c r="AM130" s="26">
        <v>45842280</v>
      </c>
      <c r="AN130" s="26">
        <v>12890344</v>
      </c>
      <c r="AO130" s="40"/>
      <c r="AP130" s="41">
        <v>53.496099999999998</v>
      </c>
      <c r="AQ130" s="41">
        <v>55.466200000000001</v>
      </c>
      <c r="AR130" s="41">
        <v>54.8352</v>
      </c>
      <c r="AS130" s="42"/>
      <c r="AT130" s="41">
        <v>48.130800000000001</v>
      </c>
      <c r="AU130" s="41">
        <v>48.130800000000001</v>
      </c>
      <c r="AV130" s="41">
        <v>48.130800000000001</v>
      </c>
      <c r="AW130" s="42"/>
      <c r="AX130" s="50">
        <v>6.343</v>
      </c>
      <c r="AY130" s="50">
        <v>5.5149999999999997</v>
      </c>
      <c r="BA130" s="55">
        <f t="shared" si="35"/>
        <v>-2.58760789523238E-3</v>
      </c>
      <c r="BB130" s="55">
        <f t="array" ref="BB130">AVERAGE(AM130:AM134/AL130:AL134)-AVERAGE(Q130:Q134/P130:P134)</f>
        <v>-1.9617210493232395E-3</v>
      </c>
      <c r="BD130" s="56">
        <f>IF(OR(ISBLANK(R130:R134),ISBLANK(AN130:AN134),ISBLANK(T130:T134),ISBLANK(AP130:AP134)),"·",bdRateExtend(R130:R134,T130:T134,AN130:AN134,AP130:AP134))</f>
        <v>1.4160315684580205E-2</v>
      </c>
      <c r="BE130" s="56">
        <f>IF(OR(ISBLANK(R130:R134),ISBLANK(AN130:AN134),ISBLANK(U130:U134),ISBLANK(AQ130:AQ134)),"·",bdRateExtend(R130:R134,U130:U134,AN130:AN134,AQ130:AQ134))</f>
        <v>1.80487019425013E-2</v>
      </c>
      <c r="BF130" s="56">
        <f>IF(OR(ISBLANK(R130:R134),ISBLANK(AN130:AN134),ISBLANK(V130:V134),ISBLANK(AR130:AR134)),"·",bdRateExtend(R130:R134,V130:V134,AN130:AN134,AR130:AR134))</f>
        <v>7.0041216863356848E-3</v>
      </c>
      <c r="BG130" s="62"/>
      <c r="BI130" s="56">
        <f>IF(OR(ISBLANK(R130:R134),ISBLANK(AN130:AN134),ISBLANK(X130:X134),ISBLANK(AT130:AT134)),"·",bdRateExtend(R130:R134,X130:X134,AN130:AN134,AT130:AT134))</f>
        <v>2.2006375333214701E-2</v>
      </c>
      <c r="BJ130" s="56">
        <f>IF(OR(ISBLANK(R130:R134),ISBLANK(AN130:AN134),ISBLANK(Y130:Y134),ISBLANK(AU130:AU134)),"·",bdRateExtend(R130:R134,Y130:Y134,AN130:AN134,AU130:AU134))</f>
        <v>2.2006375333214701E-2</v>
      </c>
      <c r="BK130" s="56">
        <f>IF(OR(ISBLANK(R130:R134),ISBLANK(AN130:AN134),ISBLANK(Z130:Z134),ISBLANK(AV130:AV134)),"·",bdRateExtend(R130:R134,Z130:Z134,AN130:AN134,AV130:AV134))</f>
        <v>2.2006375333214701E-2</v>
      </c>
      <c r="BL130" s="62"/>
      <c r="BN130" s="56">
        <f>IF(OR(ISBLANK(P130:P134),ISBLANK(AL130:AL134),ISBLANK(T130:T134),ISBLANK(AP130:AP134)),"·",bdRateExtend(P130:P134,T130:T134,AL130:AL134,AP130:AP134))</f>
        <v>1.8254732347464664E-3</v>
      </c>
      <c r="BO130" s="56">
        <f>IF(OR(ISBLANK(P130:P134),ISBLANK(AL130:AL134),ISBLANK(U130:U134),ISBLANK(AQ130:AQ134)),"·",bdRateExtend(P130:P134,U130:U134,AL130:AL134,AQ130:AQ134))</f>
        <v>2.0938769790159739E-3</v>
      </c>
      <c r="BP130" s="56">
        <f>IF(OR(ISBLANK(P130:P134),ISBLANK(AL130:AL134),ISBLANK(V130:V134),ISBLANK(AR130:AR134)),"·",bdRateExtend(P130:P134,V130:V134,AL130:AL134,AR130:AR134))</f>
        <v>1.5535190502389273E-3</v>
      </c>
      <c r="BQ130" s="62"/>
      <c r="BS130" s="56">
        <f>IF(OR(ISBLANK(P130:P134),ISBLANK(AL130:AL134),ISBLANK(X130:X134),ISBLANK(AT130:AT134)),"·",bdRateExtend(P130:P134,X130:X134,AL130:AL134,AT130:AT134))</f>
        <v>2.5084502258365671E-3</v>
      </c>
      <c r="BT130" s="56">
        <f>IF(OR(ISBLANK(P130:P134),ISBLANK(AL130:AL134),ISBLANK(Y130:Y134),ISBLANK(AU130:AU134)),"·",bdRateExtend(P130:P134,Y130:Y134,AL130:AL134,AU130:AU134))</f>
        <v>2.5084502258365671E-3</v>
      </c>
      <c r="BU130" s="56">
        <f>IF(OR(ISBLANK(P130:P134),ISBLANK(AL130:AL134),ISBLANK(Z130:Z134),ISBLANK(AV130:AV134)),"·",bdRateExtend(P130:P134,Z130:Z134,AL130:AL134,AV130:AV134))</f>
        <v>2.5084502258365671E-3</v>
      </c>
      <c r="BV130" s="62"/>
      <c r="BX130">
        <f t="shared" si="36"/>
        <v>0</v>
      </c>
      <c r="BY130">
        <f t="shared" si="37"/>
        <v>194072</v>
      </c>
      <c r="BZ130">
        <f t="shared" si="38"/>
        <v>0</v>
      </c>
      <c r="CA130">
        <f t="shared" si="39"/>
        <v>194072</v>
      </c>
      <c r="CB130">
        <f t="shared" si="40"/>
        <v>0</v>
      </c>
      <c r="CC130">
        <f t="shared" si="41"/>
        <v>6.7199999999999704E-2</v>
      </c>
      <c r="CD130">
        <f t="shared" si="42"/>
        <v>6.4900000000001512E-2</v>
      </c>
      <c r="CE130">
        <f t="shared" si="43"/>
        <v>7.2800000000000864E-2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34.315148566117067</v>
      </c>
      <c r="K131" s="18">
        <f t="shared" si="27"/>
        <v>28.597982520165441</v>
      </c>
      <c r="L131" s="18">
        <f t="shared" si="28"/>
        <v>5.7167767734046997</v>
      </c>
      <c r="M131" s="19"/>
      <c r="N131" s="18">
        <f t="shared" si="29"/>
        <v>34.315148566117067</v>
      </c>
      <c r="O131" s="20">
        <v>1602990</v>
      </c>
      <c r="P131" s="21">
        <v>55006840</v>
      </c>
      <c r="Q131" s="21">
        <v>45842280</v>
      </c>
      <c r="R131" s="21">
        <v>9163936</v>
      </c>
      <c r="S131" s="37"/>
      <c r="T131" s="38">
        <v>48.344299999999997</v>
      </c>
      <c r="U131" s="38">
        <v>51.165799999999997</v>
      </c>
      <c r="V131" s="38">
        <v>50.476700000000001</v>
      </c>
      <c r="W131" s="39"/>
      <c r="X131" s="38">
        <v>42.110199999999999</v>
      </c>
      <c r="Y131" s="38">
        <v>42.110199999999999</v>
      </c>
      <c r="Z131" s="38">
        <v>42.110199999999999</v>
      </c>
      <c r="AA131" s="39"/>
      <c r="AB131" s="49">
        <v>6.2030000000000003</v>
      </c>
      <c r="AC131" s="49">
        <v>5.484</v>
      </c>
      <c r="AE131" s="17" t="str">
        <f t="shared" si="30"/>
        <v>·</v>
      </c>
      <c r="AF131" s="18">
        <f t="shared" si="31"/>
        <v>34.432758782026092</v>
      </c>
      <c r="AG131" s="18">
        <f t="shared" si="32"/>
        <v>28.597982520165441</v>
      </c>
      <c r="AH131" s="18">
        <f t="shared" si="33"/>
        <v>5.8343869893137201</v>
      </c>
      <c r="AI131" s="19"/>
      <c r="AJ131" s="18">
        <f t="shared" si="34"/>
        <v>34.432758782026092</v>
      </c>
      <c r="AK131" s="20">
        <v>1602990</v>
      </c>
      <c r="AL131" s="21">
        <v>55195368</v>
      </c>
      <c r="AM131" s="21">
        <v>45842280</v>
      </c>
      <c r="AN131" s="21">
        <v>9352464</v>
      </c>
      <c r="AO131" s="37"/>
      <c r="AP131" s="38">
        <v>48.390700000000002</v>
      </c>
      <c r="AQ131" s="38">
        <v>51.209299999999999</v>
      </c>
      <c r="AR131" s="38">
        <v>50.534799999999997</v>
      </c>
      <c r="AS131" s="39"/>
      <c r="AT131" s="38">
        <v>42.110199999999999</v>
      </c>
      <c r="AU131" s="38">
        <v>42.110199999999999</v>
      </c>
      <c r="AV131" s="38">
        <v>42.110199999999999</v>
      </c>
      <c r="AW131" s="39"/>
      <c r="AX131" s="49">
        <v>6.2960000000000003</v>
      </c>
      <c r="AY131" s="49">
        <v>5.5309999999999997</v>
      </c>
      <c r="BA131" s="53">
        <f t="shared" si="35"/>
        <v>-2.8465757153350868E-3</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188528</v>
      </c>
      <c r="BZ131">
        <f t="shared" si="38"/>
        <v>0</v>
      </c>
      <c r="CA131">
        <f t="shared" si="39"/>
        <v>188528</v>
      </c>
      <c r="CB131">
        <f t="shared" si="40"/>
        <v>0</v>
      </c>
      <c r="CC131">
        <f t="shared" si="41"/>
        <v>4.6400000000005548E-2</v>
      </c>
      <c r="CD131">
        <f t="shared" si="42"/>
        <v>4.3500000000001648E-2</v>
      </c>
      <c r="CE131">
        <f t="shared" si="43"/>
        <v>5.8099999999996044E-2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31.96315385623117</v>
      </c>
      <c r="K132" s="23">
        <f t="shared" si="27"/>
        <v>28.597982520165441</v>
      </c>
      <c r="L132" s="23">
        <f t="shared" si="28"/>
        <v>3.364782063518799</v>
      </c>
      <c r="M132" s="24"/>
      <c r="N132" s="23">
        <f t="shared" si="29"/>
        <v>31.96315385623117</v>
      </c>
      <c r="O132" s="25">
        <v>1602990</v>
      </c>
      <c r="P132" s="26">
        <v>51236616</v>
      </c>
      <c r="Q132" s="26">
        <v>45842280</v>
      </c>
      <c r="R132" s="26">
        <v>5393712</v>
      </c>
      <c r="S132" s="40"/>
      <c r="T132" s="41">
        <v>41.143999999999998</v>
      </c>
      <c r="U132" s="41">
        <v>45.72</v>
      </c>
      <c r="V132" s="41">
        <v>44.869799999999998</v>
      </c>
      <c r="W132" s="42"/>
      <c r="X132" s="41">
        <v>34.151400000000002</v>
      </c>
      <c r="Y132" s="41">
        <v>34.151400000000002</v>
      </c>
      <c r="Z132" s="41">
        <v>34.151400000000002</v>
      </c>
      <c r="AA132" s="42"/>
      <c r="AB132" s="50">
        <v>6.125</v>
      </c>
      <c r="AC132" s="50">
        <v>5.4210000000000003</v>
      </c>
      <c r="AE132" s="22" t="str">
        <f t="shared" si="30"/>
        <v>·</v>
      </c>
      <c r="AF132" s="23">
        <f t="shared" si="31"/>
        <v>32.057627308966367</v>
      </c>
      <c r="AG132" s="23">
        <f t="shared" si="32"/>
        <v>28.597982520165441</v>
      </c>
      <c r="AH132" s="23">
        <f t="shared" si="33"/>
        <v>3.4592555162540002</v>
      </c>
      <c r="AI132" s="24"/>
      <c r="AJ132" s="23">
        <f t="shared" si="34"/>
        <v>32.057627308966367</v>
      </c>
      <c r="AK132" s="25">
        <v>1602990</v>
      </c>
      <c r="AL132" s="26">
        <v>51388056</v>
      </c>
      <c r="AM132" s="26">
        <v>45842280</v>
      </c>
      <c r="AN132" s="26">
        <v>5545152</v>
      </c>
      <c r="AO132" s="40"/>
      <c r="AP132" s="41">
        <v>41.220599999999997</v>
      </c>
      <c r="AQ132" s="41">
        <v>45.7483</v>
      </c>
      <c r="AR132" s="41">
        <v>44.9056</v>
      </c>
      <c r="AS132" s="42"/>
      <c r="AT132" s="41">
        <v>34.151400000000002</v>
      </c>
      <c r="AU132" s="41">
        <v>34.151400000000002</v>
      </c>
      <c r="AV132" s="41">
        <v>34.151400000000002</v>
      </c>
      <c r="AW132" s="42"/>
      <c r="AX132" s="50">
        <v>6.2809999999999997</v>
      </c>
      <c r="AY132" s="50">
        <v>5.4370000000000003</v>
      </c>
      <c r="BA132" s="55">
        <f t="shared" si="35"/>
        <v>-2.6367210315197953E-3</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151440</v>
      </c>
      <c r="BZ132">
        <f t="shared" si="38"/>
        <v>0</v>
      </c>
      <c r="CA132">
        <f t="shared" si="39"/>
        <v>151440</v>
      </c>
      <c r="CB132">
        <f t="shared" si="40"/>
        <v>0</v>
      </c>
      <c r="CC132">
        <f t="shared" si="41"/>
        <v>7.6599999999999113E-2</v>
      </c>
      <c r="CD132">
        <f t="shared" si="42"/>
        <v>2.8300000000001546E-2</v>
      </c>
      <c r="CE132">
        <f t="shared" si="43"/>
        <v>3.580000000000183E-2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30.560195634408199</v>
      </c>
      <c r="K133" s="18">
        <f t="shared" ref="K133:K196" si="51">IF(Q133="","·",Q133/D133)</f>
        <v>28.597982520165441</v>
      </c>
      <c r="L133" s="18">
        <f t="shared" ref="L133:L196" si="52">IF(ISBLANK(R133),"·",R133/D133)</f>
        <v>1.9618238416958309</v>
      </c>
      <c r="M133" s="19"/>
      <c r="N133" s="18">
        <f t="shared" ref="N133:N196" si="53">IF(ISBLANK(P133),"·",P133/O133)</f>
        <v>30.560195634408199</v>
      </c>
      <c r="O133" s="20">
        <v>1602990</v>
      </c>
      <c r="P133" s="21">
        <v>48987688</v>
      </c>
      <c r="Q133" s="21">
        <v>45842280</v>
      </c>
      <c r="R133" s="21">
        <v>3144784</v>
      </c>
      <c r="S133" s="37"/>
      <c r="T133" s="38">
        <v>35.4709</v>
      </c>
      <c r="U133" s="38">
        <v>41.2791</v>
      </c>
      <c r="V133" s="38">
        <v>40.424399999999999</v>
      </c>
      <c r="W133" s="39"/>
      <c r="X133" s="38">
        <v>28.130800000000001</v>
      </c>
      <c r="Y133" s="38">
        <v>28.130800000000001</v>
      </c>
      <c r="Z133" s="38">
        <v>28.130800000000001</v>
      </c>
      <c r="AA133" s="39"/>
      <c r="AB133" s="49">
        <v>6.1870000000000003</v>
      </c>
      <c r="AC133" s="49">
        <v>5.468</v>
      </c>
      <c r="AE133" s="17" t="str">
        <f t="shared" ref="AE133:AE196" si="54">IF(OR(ISBLANK(AL133),ISBLANK(G133)),"·",AL133*G133/F133/1000000)</f>
        <v>·</v>
      </c>
      <c r="AF133" s="18">
        <f t="shared" ref="AF133:AF196" si="55">IF(ISBLANK(AL133),"·",AL133/D133)</f>
        <v>30.608495374269335</v>
      </c>
      <c r="AG133" s="18">
        <f t="shared" ref="AG133:AG196" si="56">IF(AM133="","·",AM133/D133)</f>
        <v>28.597982520165441</v>
      </c>
      <c r="AH133" s="18">
        <f t="shared" ref="AH133:AH196" si="57">IF(ISBLANK(AN133),"·",AN133/D133)</f>
        <v>2.0101235815569654</v>
      </c>
      <c r="AI133" s="19"/>
      <c r="AJ133" s="18">
        <f t="shared" ref="AJ133:AJ196" si="58">IF(ISBLANK(AL133),"·",AL133/AK133)</f>
        <v>30.608495374269335</v>
      </c>
      <c r="AK133" s="20">
        <v>1602990</v>
      </c>
      <c r="AL133" s="21">
        <v>49065112</v>
      </c>
      <c r="AM133" s="21">
        <v>45842280</v>
      </c>
      <c r="AN133" s="21">
        <v>3222208</v>
      </c>
      <c r="AO133" s="37"/>
      <c r="AP133" s="38">
        <v>35.568100000000001</v>
      </c>
      <c r="AQ133" s="38">
        <v>41.281100000000002</v>
      </c>
      <c r="AR133" s="38">
        <v>40.535899999999998</v>
      </c>
      <c r="AS133" s="39"/>
      <c r="AT133" s="38">
        <v>28.130800000000001</v>
      </c>
      <c r="AU133" s="38">
        <v>28.130800000000001</v>
      </c>
      <c r="AV133" s="38">
        <v>28.130800000000001</v>
      </c>
      <c r="AW133" s="39"/>
      <c r="AX133" s="49">
        <v>6.1710000000000003</v>
      </c>
      <c r="AY133" s="49">
        <v>5.4370000000000003</v>
      </c>
      <c r="BA133" s="53">
        <f t="shared" ref="BA133:BA196" si="59">(AM133/AL133)-(Q133/P133)</f>
        <v>-1.4766653236054639E-3</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77424</v>
      </c>
      <c r="BZ133">
        <f t="shared" si="38"/>
        <v>0</v>
      </c>
      <c r="CA133">
        <f t="shared" si="39"/>
        <v>77424</v>
      </c>
      <c r="CB133">
        <f t="shared" si="40"/>
        <v>0</v>
      </c>
      <c r="CC133">
        <f t="shared" si="41"/>
        <v>9.7200000000000841E-2</v>
      </c>
      <c r="CD133">
        <f t="shared" si="42"/>
        <v>2.0000000000024443E-3</v>
      </c>
      <c r="CE133">
        <f t="shared" si="43"/>
        <v>0.11149999999999949</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29.527011397451012</v>
      </c>
      <c r="K134" s="33">
        <f t="shared" si="51"/>
        <v>28.597982520165441</v>
      </c>
      <c r="L134" s="33">
        <f t="shared" si="52"/>
        <v>0.92863960473864471</v>
      </c>
      <c r="M134" s="34"/>
      <c r="N134" s="33">
        <f t="shared" si="53"/>
        <v>29.527011397451012</v>
      </c>
      <c r="O134" s="35">
        <v>1602990</v>
      </c>
      <c r="P134" s="36">
        <v>47331504</v>
      </c>
      <c r="Q134" s="36">
        <v>45842280</v>
      </c>
      <c r="R134" s="36">
        <v>1488600</v>
      </c>
      <c r="S134" s="46"/>
      <c r="T134" s="47">
        <v>29.2986</v>
      </c>
      <c r="U134" s="47">
        <v>36.664700000000003</v>
      </c>
      <c r="V134" s="47">
        <v>35.634</v>
      </c>
      <c r="W134" s="48"/>
      <c r="X134" s="47">
        <v>21.686399999999999</v>
      </c>
      <c r="Y134" s="47">
        <v>21.686399999999999</v>
      </c>
      <c r="Z134" s="47">
        <v>21.686399999999999</v>
      </c>
      <c r="AA134" s="48"/>
      <c r="AB134" s="52">
        <v>6.1559999999999997</v>
      </c>
      <c r="AC134" s="52">
        <v>5.39</v>
      </c>
      <c r="AE134" s="32" t="str">
        <f t="shared" si="54"/>
        <v>·</v>
      </c>
      <c r="AF134" s="33">
        <f t="shared" si="55"/>
        <v>29.534971521968323</v>
      </c>
      <c r="AG134" s="33">
        <f t="shared" si="56"/>
        <v>28.597982520165441</v>
      </c>
      <c r="AH134" s="33">
        <f t="shared" si="57"/>
        <v>0.93659972925595292</v>
      </c>
      <c r="AI134" s="34"/>
      <c r="AJ134" s="33">
        <f t="shared" si="58"/>
        <v>29.534971521968323</v>
      </c>
      <c r="AK134" s="35">
        <v>1602990</v>
      </c>
      <c r="AL134" s="36">
        <v>47344264</v>
      </c>
      <c r="AM134" s="36">
        <v>45842280</v>
      </c>
      <c r="AN134" s="36">
        <v>1501360</v>
      </c>
      <c r="AO134" s="46"/>
      <c r="AP134" s="47">
        <v>29.4527</v>
      </c>
      <c r="AQ134" s="47">
        <v>36.762500000000003</v>
      </c>
      <c r="AR134" s="47">
        <v>36.150500000000001</v>
      </c>
      <c r="AS134" s="48"/>
      <c r="AT134" s="47">
        <v>21.686399999999999</v>
      </c>
      <c r="AU134" s="47">
        <v>21.686399999999999</v>
      </c>
      <c r="AV134" s="47">
        <v>21.686399999999999</v>
      </c>
      <c r="AW134" s="48"/>
      <c r="AX134" s="52">
        <v>6.1870000000000003</v>
      </c>
      <c r="AY134" s="52">
        <v>5.4210000000000003</v>
      </c>
      <c r="BA134" s="59">
        <f t="shared" si="59"/>
        <v>-2.610352809233607E-4</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12760</v>
      </c>
      <c r="BZ134">
        <f t="shared" ref="BZ134:BZ197" si="62">AM134-Q134</f>
        <v>0</v>
      </c>
      <c r="CA134">
        <f t="shared" ref="CA134:CA197" si="63">AN134-R134</f>
        <v>12760</v>
      </c>
      <c r="CB134">
        <f t="shared" ref="CB134:CB197" si="64">AO134-S134</f>
        <v>0</v>
      </c>
      <c r="CC134">
        <f t="shared" ref="CC134:CC197" si="65">AP134-T134</f>
        <v>0.15409999999999968</v>
      </c>
      <c r="CD134">
        <f t="shared" ref="CD134:CD197" si="66">AQ134-U134</f>
        <v>9.7799999999999443E-2</v>
      </c>
      <c r="CE134">
        <f t="shared" ref="CE134:CE197" si="67">AR134-V134</f>
        <v>0.51650000000000063</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34.198053828576903</v>
      </c>
      <c r="K135" s="18">
        <f t="shared" si="51"/>
        <v>26.894269486911519</v>
      </c>
      <c r="L135" s="18">
        <f t="shared" si="52"/>
        <v>7.3036427888941997</v>
      </c>
      <c r="M135" s="19"/>
      <c r="N135" s="18">
        <f t="shared" si="53"/>
        <v>34.198053828576903</v>
      </c>
      <c r="O135" s="20">
        <v>8929532</v>
      </c>
      <c r="P135" s="21">
        <v>305372616</v>
      </c>
      <c r="Q135" s="21">
        <v>240153240</v>
      </c>
      <c r="R135" s="21">
        <v>65218112</v>
      </c>
      <c r="S135" s="37"/>
      <c r="T135" s="38">
        <v>53.146299999999997</v>
      </c>
      <c r="U135" s="38">
        <v>55.478099999999998</v>
      </c>
      <c r="V135" s="38">
        <v>55.265099999999997</v>
      </c>
      <c r="W135" s="39"/>
      <c r="X135" s="38">
        <v>48.130800000000001</v>
      </c>
      <c r="Y135" s="38">
        <v>48.130800000000001</v>
      </c>
      <c r="Z135" s="38">
        <v>48.130800000000001</v>
      </c>
      <c r="AA135" s="39"/>
      <c r="AB135" s="49">
        <v>32.045999999999999</v>
      </c>
      <c r="AC135" s="49">
        <v>27.984000000000002</v>
      </c>
      <c r="AE135" s="17" t="str">
        <f t="shared" si="54"/>
        <v>·</v>
      </c>
      <c r="AF135" s="18">
        <f t="shared" si="55"/>
        <v>34.248959967890812</v>
      </c>
      <c r="AG135" s="18">
        <f t="shared" si="56"/>
        <v>26.894269486911519</v>
      </c>
      <c r="AH135" s="18">
        <f t="shared" si="57"/>
        <v>7.354548928208108</v>
      </c>
      <c r="AI135" s="19"/>
      <c r="AJ135" s="18">
        <f t="shared" si="58"/>
        <v>34.248959967890812</v>
      </c>
      <c r="AK135" s="20">
        <v>8929532</v>
      </c>
      <c r="AL135" s="21">
        <v>305827184</v>
      </c>
      <c r="AM135" s="21">
        <v>240153240</v>
      </c>
      <c r="AN135" s="21">
        <v>65672680</v>
      </c>
      <c r="AO135" s="37"/>
      <c r="AP135" s="38">
        <v>53.179299999999998</v>
      </c>
      <c r="AQ135" s="38">
        <v>55.511200000000002</v>
      </c>
      <c r="AR135" s="38">
        <v>55.293500000000002</v>
      </c>
      <c r="AS135" s="39"/>
      <c r="AT135" s="38">
        <v>48.130800000000001</v>
      </c>
      <c r="AU135" s="38">
        <v>48.130800000000001</v>
      </c>
      <c r="AV135" s="38">
        <v>48.130800000000001</v>
      </c>
      <c r="AW135" s="39"/>
      <c r="AX135" s="49">
        <v>32.295999999999999</v>
      </c>
      <c r="AY135" s="49">
        <v>28.077999999999999</v>
      </c>
      <c r="BA135" s="53">
        <f t="shared" si="59"/>
        <v>-1.168910162863801E-3</v>
      </c>
      <c r="BB135" s="53">
        <f t="array" ref="BB135">AVERAGE(AM135:AM139/AL135:AL139)-AVERAGE(Q135:Q139/P135:P139)</f>
        <v>-1.1539861350791103E-3</v>
      </c>
      <c r="BD135" s="54">
        <f>IF(OR(ISBLANK(R135:R139),ISBLANK(AN135:AN139),ISBLANK(T135:T139),ISBLANK(AP135:AP139)),"·",bdRateExtend(R135:R139,T135:T139,AN135:AN139,AP135:AP139))</f>
        <v>9.4880125327829745E-3</v>
      </c>
      <c r="BE135" s="54">
        <f>IF(OR(ISBLANK(R135:R139),ISBLANK(AN135:AN139),ISBLANK(U135:U139),ISBLANK(AQ135:AQ139)),"·",bdRateExtend(R135:R139,U135:U139,AN135:AN139,AQ135:AQ139))</f>
        <v>1.379528292817489E-2</v>
      </c>
      <c r="BF135" s="54">
        <f>IF(OR(ISBLANK(R135:R139),ISBLANK(AN135:AN139),ISBLANK(V135:V139),ISBLANK(AR135:AR139)),"·",bdRateExtend(R135:R139,V135:V139,AN135:AN139,AR135:AR139))</f>
        <v>2.5686273428111583E-3</v>
      </c>
      <c r="BG135" s="61"/>
      <c r="BI135" s="54">
        <f>IF(OR(ISBLANK(R135:R139),ISBLANK(AN135:AN139),ISBLANK(X135:X139),ISBLANK(AT135:AT139)),"·",bdRateExtend(R135:R139,X135:X139,AN135:AN139,AT135:AT139))</f>
        <v>1.4734070315538528E-2</v>
      </c>
      <c r="BJ135" s="54">
        <f>IF(OR(ISBLANK(R135:R139),ISBLANK(AN135:AN139),ISBLANK(Y135:Y139),ISBLANK(AU135:AU139)),"·",bdRateExtend(R135:R139,Y135:Y139,AN135:AN139,AU135:AU139))</f>
        <v>1.4734070315538528E-2</v>
      </c>
      <c r="BK135" s="54">
        <f>IF(OR(ISBLANK(R135:R139),ISBLANK(AN135:AN139),ISBLANK(Z135:Z139),ISBLANK(AV135:AV139)),"·",bdRateExtend(R135:R139,Z135:Z139,AN135:AN139,AV135:AV139))</f>
        <v>1.4734070315538528E-2</v>
      </c>
      <c r="BL135" s="61"/>
      <c r="BN135" s="54">
        <f>IF(OR(ISBLANK(P135:P139),ISBLANK(AL135:AL139),ISBLANK(T135:T139),ISBLANK(AP135:AP139)),"·",bdRateExtend(P135:P139,T135:T139,AL135:AL139,AP135:AP139))</f>
        <v>1.0060539288510029E-3</v>
      </c>
      <c r="BO135" s="54">
        <f>IF(OR(ISBLANK(P135:P139),ISBLANK(AL135:AL139),ISBLANK(U135:U139),ISBLANK(AQ135:AQ139)),"·",bdRateExtend(P135:P139,U135:U139,AL135:AL139,AQ135:AQ139))</f>
        <v>1.2494206883926218E-3</v>
      </c>
      <c r="BP135" s="54">
        <f>IF(OR(ISBLANK(P135:P139),ISBLANK(AL135:AL139),ISBLANK(V135:V139),ISBLANK(AR135:AR139)),"·",bdRateExtend(P135:P139,V135:V139,AL135:AL139,AR135:AR139))</f>
        <v>6.8477521460152957E-4</v>
      </c>
      <c r="BQ135" s="61"/>
      <c r="BS135" s="54">
        <f>IF(OR(ISBLANK(P135:P139),ISBLANK(AL135:AL139),ISBLANK(X135:X139),ISBLANK(AT135:AT139)),"·",bdRateExtend(P135:P139,X135:X139,AL135:AL139,AT135:AT139))</f>
        <v>1.4168606022215702E-3</v>
      </c>
      <c r="BT135" s="54">
        <f>IF(OR(ISBLANK(P135:P139),ISBLANK(AL135:AL139),ISBLANK(Y135:Y139),ISBLANK(AU135:AU139)),"·",bdRateExtend(P135:P139,Y135:Y139,AL135:AL139,AU135:AU139))</f>
        <v>1.4168606022215702E-3</v>
      </c>
      <c r="BU135" s="54">
        <f>IF(OR(ISBLANK(P135:P139),ISBLANK(AL135:AL139),ISBLANK(Z135:Z139),ISBLANK(AV135:AV139)),"·",bdRateExtend(P135:P139,Z135:Z139,AL135:AL139,AV135:AV139))</f>
        <v>1.4168606022215702E-3</v>
      </c>
      <c r="BV135" s="61"/>
      <c r="BX135">
        <f t="shared" si="60"/>
        <v>0</v>
      </c>
      <c r="BY135">
        <f t="shared" si="61"/>
        <v>454568</v>
      </c>
      <c r="BZ135">
        <f t="shared" si="62"/>
        <v>0</v>
      </c>
      <c r="CA135">
        <f t="shared" si="63"/>
        <v>454568</v>
      </c>
      <c r="CB135">
        <f t="shared" si="64"/>
        <v>0</v>
      </c>
      <c r="CC135">
        <f t="shared" si="65"/>
        <v>3.3000000000001251E-2</v>
      </c>
      <c r="CD135">
        <f t="shared" si="66"/>
        <v>3.310000000000457E-2</v>
      </c>
      <c r="CE135">
        <f t="shared" si="67"/>
        <v>2.8400000000004866E-2</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32.125416651175001</v>
      </c>
      <c r="K136" s="23">
        <f t="shared" si="51"/>
        <v>26.894269486911519</v>
      </c>
      <c r="L136" s="23">
        <f t="shared" si="52"/>
        <v>5.2310056114922929</v>
      </c>
      <c r="M136" s="24"/>
      <c r="N136" s="23">
        <f t="shared" si="53"/>
        <v>32.125416651175001</v>
      </c>
      <c r="O136" s="25">
        <v>8929532</v>
      </c>
      <c r="P136" s="26">
        <v>286864936</v>
      </c>
      <c r="Q136" s="26">
        <v>240153240</v>
      </c>
      <c r="R136" s="26">
        <v>46710432</v>
      </c>
      <c r="S136" s="40"/>
      <c r="T136" s="41">
        <v>48.281700000000001</v>
      </c>
      <c r="U136" s="41">
        <v>51.1312</v>
      </c>
      <c r="V136" s="41">
        <v>50.891100000000002</v>
      </c>
      <c r="W136" s="42"/>
      <c r="X136" s="41">
        <v>42.110199999999999</v>
      </c>
      <c r="Y136" s="41">
        <v>42.110199999999999</v>
      </c>
      <c r="Z136" s="41">
        <v>42.110199999999999</v>
      </c>
      <c r="AA136" s="42"/>
      <c r="AB136" s="50">
        <v>31.765000000000001</v>
      </c>
      <c r="AC136" s="50">
        <v>27.920999999999999</v>
      </c>
      <c r="AE136" s="22" t="str">
        <f t="shared" si="54"/>
        <v>·</v>
      </c>
      <c r="AF136" s="23">
        <f t="shared" si="55"/>
        <v>32.180932214588623</v>
      </c>
      <c r="AG136" s="23">
        <f t="shared" si="56"/>
        <v>26.894269486911519</v>
      </c>
      <c r="AH136" s="23">
        <f t="shared" si="57"/>
        <v>5.2865211749059187</v>
      </c>
      <c r="AI136" s="24"/>
      <c r="AJ136" s="23">
        <f t="shared" si="58"/>
        <v>32.180932214588623</v>
      </c>
      <c r="AK136" s="25">
        <v>8929532</v>
      </c>
      <c r="AL136" s="26">
        <v>287360664</v>
      </c>
      <c r="AM136" s="26">
        <v>240153240</v>
      </c>
      <c r="AN136" s="26">
        <v>47206160</v>
      </c>
      <c r="AO136" s="40"/>
      <c r="AP136" s="41">
        <v>48.311300000000003</v>
      </c>
      <c r="AQ136" s="41">
        <v>51.150599999999997</v>
      </c>
      <c r="AR136" s="41">
        <v>50.9148</v>
      </c>
      <c r="AS136" s="42"/>
      <c r="AT136" s="41">
        <v>42.110199999999999</v>
      </c>
      <c r="AU136" s="41">
        <v>42.110199999999999</v>
      </c>
      <c r="AV136" s="41">
        <v>42.110199999999999</v>
      </c>
      <c r="AW136" s="42"/>
      <c r="AX136" s="50">
        <v>31.89</v>
      </c>
      <c r="AY136" s="50">
        <v>27.920999999999999</v>
      </c>
      <c r="BA136" s="55">
        <f t="shared" si="59"/>
        <v>-1.444199247921496E-3</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495728</v>
      </c>
      <c r="BZ136">
        <f t="shared" si="62"/>
        <v>0</v>
      </c>
      <c r="CA136">
        <f t="shared" si="63"/>
        <v>495728</v>
      </c>
      <c r="CB136">
        <f t="shared" si="64"/>
        <v>0</v>
      </c>
      <c r="CC136">
        <f t="shared" si="65"/>
        <v>2.9600000000002069E-2</v>
      </c>
      <c r="CD136">
        <f t="shared" si="66"/>
        <v>1.9399999999997419E-2</v>
      </c>
      <c r="CE136">
        <f t="shared" si="67"/>
        <v>2.3699999999998056E-2</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29.98352074890375</v>
      </c>
      <c r="K137" s="18">
        <f t="shared" si="51"/>
        <v>26.894269486911519</v>
      </c>
      <c r="L137" s="18">
        <f t="shared" si="52"/>
        <v>3.0891097092210433</v>
      </c>
      <c r="M137" s="19"/>
      <c r="N137" s="18">
        <f t="shared" si="53"/>
        <v>29.98352074890375</v>
      </c>
      <c r="O137" s="20">
        <v>8929532</v>
      </c>
      <c r="P137" s="21">
        <v>267738808</v>
      </c>
      <c r="Q137" s="21">
        <v>240153240</v>
      </c>
      <c r="R137" s="21">
        <v>27584304</v>
      </c>
      <c r="S137" s="37"/>
      <c r="T137" s="38">
        <v>41.038899999999998</v>
      </c>
      <c r="U137" s="38">
        <v>45.677999999999997</v>
      </c>
      <c r="V137" s="38">
        <v>45.692500000000003</v>
      </c>
      <c r="W137" s="39"/>
      <c r="X137" s="38">
        <v>34.151400000000002</v>
      </c>
      <c r="Y137" s="38">
        <v>34.151400000000002</v>
      </c>
      <c r="Z137" s="38">
        <v>34.151400000000002</v>
      </c>
      <c r="AA137" s="39"/>
      <c r="AB137" s="49">
        <v>31.468</v>
      </c>
      <c r="AC137" s="49">
        <v>27.562000000000001</v>
      </c>
      <c r="AE137" s="17" t="str">
        <f t="shared" si="54"/>
        <v>·</v>
      </c>
      <c r="AF137" s="18">
        <f t="shared" si="55"/>
        <v>30.03112817110684</v>
      </c>
      <c r="AG137" s="18">
        <f t="shared" si="56"/>
        <v>26.894269486911519</v>
      </c>
      <c r="AH137" s="18">
        <f t="shared" si="57"/>
        <v>3.1367171314241329</v>
      </c>
      <c r="AI137" s="19"/>
      <c r="AJ137" s="18">
        <f t="shared" si="58"/>
        <v>30.03112817110684</v>
      </c>
      <c r="AK137" s="20">
        <v>8929532</v>
      </c>
      <c r="AL137" s="21">
        <v>268163920</v>
      </c>
      <c r="AM137" s="21">
        <v>240153240</v>
      </c>
      <c r="AN137" s="21">
        <v>28009416</v>
      </c>
      <c r="AO137" s="37"/>
      <c r="AP137" s="38">
        <v>41.082599999999999</v>
      </c>
      <c r="AQ137" s="38">
        <v>45.688499999999998</v>
      </c>
      <c r="AR137" s="38">
        <v>45.744199999999999</v>
      </c>
      <c r="AS137" s="39"/>
      <c r="AT137" s="38">
        <v>34.151400000000002</v>
      </c>
      <c r="AU137" s="38">
        <v>34.151400000000002</v>
      </c>
      <c r="AV137" s="38">
        <v>34.151400000000002</v>
      </c>
      <c r="AW137" s="39"/>
      <c r="AX137" s="49">
        <v>31.702999999999999</v>
      </c>
      <c r="AY137" s="49">
        <v>27.920999999999999</v>
      </c>
      <c r="BA137" s="53">
        <f t="shared" si="59"/>
        <v>-1.421936307532623E-3</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425112</v>
      </c>
      <c r="BZ137">
        <f t="shared" si="62"/>
        <v>0</v>
      </c>
      <c r="CA137">
        <f t="shared" si="63"/>
        <v>425112</v>
      </c>
      <c r="CB137">
        <f t="shared" si="64"/>
        <v>0</v>
      </c>
      <c r="CC137">
        <f t="shared" si="65"/>
        <v>4.3700000000001182E-2</v>
      </c>
      <c r="CD137">
        <f t="shared" si="66"/>
        <v>1.0500000000000398E-2</v>
      </c>
      <c r="CE137">
        <f t="shared" si="67"/>
        <v>5.1699999999996749E-2</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28.69860324146887</v>
      </c>
      <c r="K138" s="23">
        <f t="shared" si="51"/>
        <v>26.894269486911519</v>
      </c>
      <c r="L138" s="23">
        <f t="shared" si="52"/>
        <v>1.8041922017861631</v>
      </c>
      <c r="M138" s="24"/>
      <c r="N138" s="23">
        <f t="shared" si="53"/>
        <v>28.69860324146887</v>
      </c>
      <c r="O138" s="25">
        <v>8929532</v>
      </c>
      <c r="P138" s="26">
        <v>256265096</v>
      </c>
      <c r="Q138" s="26">
        <v>240153240</v>
      </c>
      <c r="R138" s="26">
        <v>16110592</v>
      </c>
      <c r="S138" s="40"/>
      <c r="T138" s="41">
        <v>35.3536</v>
      </c>
      <c r="U138" s="41">
        <v>41.277299999999997</v>
      </c>
      <c r="V138" s="41">
        <v>41.275399999999998</v>
      </c>
      <c r="W138" s="42"/>
      <c r="X138" s="41">
        <v>28.130800000000001</v>
      </c>
      <c r="Y138" s="41">
        <v>28.130800000000001</v>
      </c>
      <c r="Z138" s="41">
        <v>28.130800000000001</v>
      </c>
      <c r="AA138" s="42"/>
      <c r="AB138" s="50">
        <v>31.359000000000002</v>
      </c>
      <c r="AC138" s="50">
        <v>27.515000000000001</v>
      </c>
      <c r="AE138" s="22" t="str">
        <f t="shared" si="54"/>
        <v>·</v>
      </c>
      <c r="AF138" s="23">
        <f t="shared" si="55"/>
        <v>28.731050182697146</v>
      </c>
      <c r="AG138" s="23">
        <f t="shared" si="56"/>
        <v>26.894269486911519</v>
      </c>
      <c r="AH138" s="23">
        <f t="shared" si="57"/>
        <v>1.836639143014438</v>
      </c>
      <c r="AI138" s="24"/>
      <c r="AJ138" s="23">
        <f t="shared" si="58"/>
        <v>28.731050182697146</v>
      </c>
      <c r="AK138" s="25">
        <v>8929532</v>
      </c>
      <c r="AL138" s="26">
        <v>256554832</v>
      </c>
      <c r="AM138" s="26">
        <v>240153240</v>
      </c>
      <c r="AN138" s="26">
        <v>16400328</v>
      </c>
      <c r="AO138" s="40"/>
      <c r="AP138" s="41">
        <v>35.412100000000002</v>
      </c>
      <c r="AQ138" s="41">
        <v>41.291200000000003</v>
      </c>
      <c r="AR138" s="41">
        <v>41.386200000000002</v>
      </c>
      <c r="AS138" s="42"/>
      <c r="AT138" s="41">
        <v>28.130800000000001</v>
      </c>
      <c r="AU138" s="41">
        <v>28.130800000000001</v>
      </c>
      <c r="AV138" s="41">
        <v>28.130800000000001</v>
      </c>
      <c r="AW138" s="42"/>
      <c r="AX138" s="50">
        <v>31.5</v>
      </c>
      <c r="AY138" s="50">
        <v>27.734000000000002</v>
      </c>
      <c r="BA138" s="55">
        <f t="shared" si="59"/>
        <v>-1.0583303570562697E-3</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289736</v>
      </c>
      <c r="BZ138">
        <f t="shared" si="62"/>
        <v>0</v>
      </c>
      <c r="CA138">
        <f t="shared" si="63"/>
        <v>289736</v>
      </c>
      <c r="CB138">
        <f t="shared" si="64"/>
        <v>0</v>
      </c>
      <c r="CC138">
        <f t="shared" si="65"/>
        <v>5.8500000000002217E-2</v>
      </c>
      <c r="CD138">
        <f t="shared" si="66"/>
        <v>1.3900000000006685E-2</v>
      </c>
      <c r="CE138">
        <f t="shared" si="67"/>
        <v>0.11080000000000467</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27.706570064366197</v>
      </c>
      <c r="K139" s="28">
        <f t="shared" si="51"/>
        <v>26.894269486911519</v>
      </c>
      <c r="L139" s="28">
        <f t="shared" si="52"/>
        <v>0.81215902468348844</v>
      </c>
      <c r="M139" s="29"/>
      <c r="N139" s="28">
        <f t="shared" si="53"/>
        <v>27.706570064366197</v>
      </c>
      <c r="O139" s="30">
        <v>8929532</v>
      </c>
      <c r="P139" s="31">
        <v>247406704</v>
      </c>
      <c r="Q139" s="31">
        <v>240153240</v>
      </c>
      <c r="R139" s="31">
        <v>7252200</v>
      </c>
      <c r="S139" s="43"/>
      <c r="T139" s="44">
        <v>29.224799999999998</v>
      </c>
      <c r="U139" s="44">
        <v>36.698599999999999</v>
      </c>
      <c r="V139" s="44">
        <v>36.810899999999997</v>
      </c>
      <c r="W139" s="45"/>
      <c r="X139" s="44">
        <v>21.686399999999999</v>
      </c>
      <c r="Y139" s="44">
        <v>21.686399999999999</v>
      </c>
      <c r="Z139" s="44">
        <v>21.686399999999999</v>
      </c>
      <c r="AA139" s="45"/>
      <c r="AB139" s="51">
        <v>31.077999999999999</v>
      </c>
      <c r="AC139" s="51">
        <v>27.437000000000001</v>
      </c>
      <c r="AE139" s="27" t="str">
        <f t="shared" si="54"/>
        <v>·</v>
      </c>
      <c r="AF139" s="28">
        <f t="shared" si="55"/>
        <v>27.725894705344022</v>
      </c>
      <c r="AG139" s="28">
        <f t="shared" si="56"/>
        <v>26.894269486911519</v>
      </c>
      <c r="AH139" s="28">
        <f t="shared" si="57"/>
        <v>0.83148366566131349</v>
      </c>
      <c r="AI139" s="29"/>
      <c r="AJ139" s="28">
        <f t="shared" si="58"/>
        <v>27.725894705344022</v>
      </c>
      <c r="AK139" s="30">
        <v>8929532</v>
      </c>
      <c r="AL139" s="31">
        <v>247579264</v>
      </c>
      <c r="AM139" s="31">
        <v>240153240</v>
      </c>
      <c r="AN139" s="31">
        <v>7424760</v>
      </c>
      <c r="AO139" s="43"/>
      <c r="AP139" s="44">
        <v>29.3582</v>
      </c>
      <c r="AQ139" s="44">
        <v>36.666800000000002</v>
      </c>
      <c r="AR139" s="44">
        <v>37.103400000000001</v>
      </c>
      <c r="AS139" s="45"/>
      <c r="AT139" s="44">
        <v>21.686399999999999</v>
      </c>
      <c r="AU139" s="44">
        <v>21.686399999999999</v>
      </c>
      <c r="AV139" s="44">
        <v>21.686399999999999</v>
      </c>
      <c r="AW139" s="45"/>
      <c r="AX139" s="51">
        <v>31.405999999999999</v>
      </c>
      <c r="AY139" s="51">
        <v>27.609000000000002</v>
      </c>
      <c r="BA139" s="57">
        <f t="shared" si="59"/>
        <v>-6.7655460002102874E-4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172560</v>
      </c>
      <c r="BZ139">
        <f t="shared" si="62"/>
        <v>0</v>
      </c>
      <c r="CA139">
        <f t="shared" si="63"/>
        <v>172560</v>
      </c>
      <c r="CB139">
        <f t="shared" si="64"/>
        <v>0</v>
      </c>
      <c r="CC139">
        <f t="shared" si="65"/>
        <v>0.13340000000000174</v>
      </c>
      <c r="CD139">
        <f t="shared" si="66"/>
        <v>-3.1799999999996942E-2</v>
      </c>
      <c r="CE139">
        <f t="shared" si="67"/>
        <v>0.29250000000000398</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12.098722706890532</v>
      </c>
      <c r="K140" s="23">
        <f t="shared" si="51"/>
        <v>5.9567277331480941</v>
      </c>
      <c r="L140" s="23">
        <f t="shared" si="52"/>
        <v>6.1418747837163226</v>
      </c>
      <c r="M140" s="24"/>
      <c r="N140" s="23">
        <f t="shared" si="53"/>
        <v>12.098722706890532</v>
      </c>
      <c r="O140" s="25">
        <v>19702134</v>
      </c>
      <c r="P140" s="26">
        <v>238370656</v>
      </c>
      <c r="Q140" s="26">
        <v>117360248</v>
      </c>
      <c r="R140" s="26">
        <v>121008040</v>
      </c>
      <c r="S140" s="40"/>
      <c r="T140" s="41">
        <v>53.107700000000001</v>
      </c>
      <c r="U140" s="41">
        <v>56.144199999999998</v>
      </c>
      <c r="V140" s="41">
        <v>55.138599999999997</v>
      </c>
      <c r="W140" s="42"/>
      <c r="X140" s="41">
        <v>48.130800000000001</v>
      </c>
      <c r="Y140" s="41">
        <v>48.130800000000001</v>
      </c>
      <c r="Z140" s="41">
        <v>48.130800000000001</v>
      </c>
      <c r="AA140" s="42"/>
      <c r="AB140" s="50">
        <v>37.39</v>
      </c>
      <c r="AC140" s="50">
        <v>32.280999999999999</v>
      </c>
      <c r="AE140" s="22" t="str">
        <f t="shared" si="54"/>
        <v>·</v>
      </c>
      <c r="AF140" s="23">
        <f t="shared" si="55"/>
        <v>12.101417643388274</v>
      </c>
      <c r="AG140" s="23">
        <f t="shared" si="56"/>
        <v>5.9567277331480941</v>
      </c>
      <c r="AH140" s="23">
        <f t="shared" si="57"/>
        <v>6.1445697202140641</v>
      </c>
      <c r="AI140" s="24"/>
      <c r="AJ140" s="23">
        <f t="shared" si="58"/>
        <v>12.101417643388274</v>
      </c>
      <c r="AK140" s="25">
        <v>19702134</v>
      </c>
      <c r="AL140" s="26">
        <v>238423752</v>
      </c>
      <c r="AM140" s="26">
        <v>117360248</v>
      </c>
      <c r="AN140" s="26">
        <v>121061136</v>
      </c>
      <c r="AO140" s="40"/>
      <c r="AP140" s="41">
        <v>53.1098</v>
      </c>
      <c r="AQ140" s="41">
        <v>56.145400000000002</v>
      </c>
      <c r="AR140" s="41">
        <v>55.139899999999997</v>
      </c>
      <c r="AS140" s="42"/>
      <c r="AT140" s="41">
        <v>48.130800000000001</v>
      </c>
      <c r="AU140" s="41">
        <v>48.130800000000001</v>
      </c>
      <c r="AV140" s="41">
        <v>48.130800000000001</v>
      </c>
      <c r="AW140" s="42"/>
      <c r="AX140" s="50">
        <v>37.875</v>
      </c>
      <c r="AY140" s="50">
        <v>32.328000000000003</v>
      </c>
      <c r="BA140" s="55">
        <f t="shared" si="59"/>
        <v>-1.0964289989706666E-4</v>
      </c>
      <c r="BB140" s="55">
        <f t="array" ref="BB140">AVERAGE(AM140:AM144/AL140:AL144)-AVERAGE(Q140:Q144/P140:P144)</f>
        <v>-3.1204864347600392E-5</v>
      </c>
      <c r="BD140" s="56">
        <f>IF(OR(ISBLANK(R140:R144),ISBLANK(AN140:AN144),ISBLANK(T140:T144),ISBLANK(AP140:AP144)),"·",bdRateExtend(R140:R144,T140:T144,AN140:AN144,AP140:AP144))</f>
        <v>-4.5998709145922412E-4</v>
      </c>
      <c r="BE140" s="56">
        <f>IF(OR(ISBLANK(R140:R144),ISBLANK(AN140:AN144),ISBLANK(U140:U144),ISBLANK(AQ140:AQ144)),"·",bdRateExtend(R140:R144,U140:U144,AN140:AN144,AQ140:AQ144))</f>
        <v>-1.8655356395574918E-3</v>
      </c>
      <c r="BF140" s="56">
        <f>IF(OR(ISBLANK(R140:R144),ISBLANK(AN140:AN144),ISBLANK(V140:V144),ISBLANK(AR140:AR144)),"·",bdRateExtend(R140:R144,V140:V144,AN140:AN144,AR140:AR144))</f>
        <v>-3.2021766926664252E-3</v>
      </c>
      <c r="BG140" s="62"/>
      <c r="BI140" s="56">
        <f>IF(OR(ISBLANK(R140:R144),ISBLANK(AN140:AN144),ISBLANK(X140:X144),ISBLANK(AT140:AT144)),"·",bdRateExtend(R140:R144,X140:X144,AN140:AN144,AT140:AT144))</f>
        <v>-8.7163024716008231E-5</v>
      </c>
      <c r="BJ140" s="56">
        <f>IF(OR(ISBLANK(R140:R144),ISBLANK(AN140:AN144),ISBLANK(Y140:Y144),ISBLANK(AU140:AU144)),"·",bdRateExtend(R140:R144,Y140:Y144,AN140:AN144,AU140:AU144))</f>
        <v>-8.7163024716008231E-5</v>
      </c>
      <c r="BK140" s="56">
        <f>IF(OR(ISBLANK(R140:R144),ISBLANK(AN140:AN144),ISBLANK(Z140:Z144),ISBLANK(AV140:AV144)),"·",bdRateExtend(R140:R144,Z140:Z144,AN140:AN144,AV140:AV144))</f>
        <v>-8.7163024716008231E-5</v>
      </c>
      <c r="BL140" s="62"/>
      <c r="BN140" s="56">
        <f>IF(OR(ISBLANK(P140:P144),ISBLANK(AL140:AL144),ISBLANK(T140:T144),ISBLANK(AP140:AP144)),"·",bdRateExtend(P140:P144,T140:T144,AL140:AL144,AP140:AP144))</f>
        <v>4.7529574915383677E-5</v>
      </c>
      <c r="BO140" s="56">
        <f>IF(OR(ISBLANK(P140:P144),ISBLANK(AL140:AL144),ISBLANK(U140:U144),ISBLANK(AQ140:AQ144)),"·",bdRateExtend(P140:P144,U140:U144,AL140:AL144,AQ140:AQ144))</f>
        <v>-9.9980585025916113E-5</v>
      </c>
      <c r="BP140" s="56">
        <f>IF(OR(ISBLANK(P140:P144),ISBLANK(AL140:AL144),ISBLANK(V140:V144),ISBLANK(AR140:AR144)),"·",bdRateExtend(P140:P144,V140:V144,AL140:AL144,AR140:AR144))</f>
        <v>-2.3246016750344545E-4</v>
      </c>
      <c r="BQ140" s="62"/>
      <c r="BS140" s="56">
        <f>IF(OR(ISBLANK(P140:P144),ISBLANK(AL140:AL144),ISBLANK(X140:X144),ISBLANK(AT140:AT144)),"·",bdRateExtend(P140:P144,X140:X144,AL140:AL144,AT140:AT144))</f>
        <v>9.0977922330592875E-5</v>
      </c>
      <c r="BT140" s="56">
        <f>IF(OR(ISBLANK(P140:P144),ISBLANK(AL140:AL144),ISBLANK(Y140:Y144),ISBLANK(AU140:AU144)),"·",bdRateExtend(P140:P144,Y140:Y144,AL140:AL144,AU140:AU144))</f>
        <v>9.0977922330592875E-5</v>
      </c>
      <c r="BU140" s="56">
        <f>IF(OR(ISBLANK(P140:P144),ISBLANK(AL140:AL144),ISBLANK(Z140:Z144),ISBLANK(AV140:AV144)),"·",bdRateExtend(P140:P144,Z140:Z144,AL140:AL144,AV140:AV144))</f>
        <v>9.0977922330592875E-5</v>
      </c>
      <c r="BV140" s="62"/>
      <c r="BX140">
        <f t="shared" si="60"/>
        <v>0</v>
      </c>
      <c r="BY140">
        <f t="shared" si="61"/>
        <v>53096</v>
      </c>
      <c r="BZ140">
        <f t="shared" si="62"/>
        <v>0</v>
      </c>
      <c r="CA140">
        <f t="shared" si="63"/>
        <v>53096</v>
      </c>
      <c r="CB140">
        <f t="shared" si="64"/>
        <v>0</v>
      </c>
      <c r="CC140">
        <f t="shared" si="65"/>
        <v>2.0999999999986585E-3</v>
      </c>
      <c r="CD140">
        <f t="shared" si="66"/>
        <v>1.2000000000043087E-3</v>
      </c>
      <c r="CE140">
        <f t="shared" si="67"/>
        <v>1.300000000000523E-3</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10.248664434015117</v>
      </c>
      <c r="K141" s="18">
        <f t="shared" si="51"/>
        <v>5.9567277331480941</v>
      </c>
      <c r="L141" s="18">
        <f t="shared" si="52"/>
        <v>4.2918165108409072</v>
      </c>
      <c r="M141" s="19"/>
      <c r="N141" s="18">
        <f t="shared" si="53"/>
        <v>10.248664434015117</v>
      </c>
      <c r="O141" s="20">
        <v>19702134</v>
      </c>
      <c r="P141" s="21">
        <v>201920560</v>
      </c>
      <c r="Q141" s="21">
        <v>117360248</v>
      </c>
      <c r="R141" s="21">
        <v>84557944</v>
      </c>
      <c r="S141" s="37"/>
      <c r="T141" s="38">
        <v>48.053699999999999</v>
      </c>
      <c r="U141" s="38">
        <v>51.211799999999997</v>
      </c>
      <c r="V141" s="38">
        <v>51.187899999999999</v>
      </c>
      <c r="W141" s="39"/>
      <c r="X141" s="38">
        <v>42.110199999999999</v>
      </c>
      <c r="Y141" s="38">
        <v>42.110199999999999</v>
      </c>
      <c r="Z141" s="38">
        <v>42.110199999999999</v>
      </c>
      <c r="AA141" s="39"/>
      <c r="AB141" s="49">
        <v>37.093000000000004</v>
      </c>
      <c r="AC141" s="49">
        <v>31.827999999999999</v>
      </c>
      <c r="AE141" s="17" t="str">
        <f t="shared" si="54"/>
        <v>·</v>
      </c>
      <c r="AF141" s="18">
        <f t="shared" si="55"/>
        <v>10.251346376996523</v>
      </c>
      <c r="AG141" s="18">
        <f t="shared" si="56"/>
        <v>5.9567277331480941</v>
      </c>
      <c r="AH141" s="18">
        <f t="shared" si="57"/>
        <v>4.2944984538223121</v>
      </c>
      <c r="AI141" s="19"/>
      <c r="AJ141" s="18">
        <f t="shared" si="58"/>
        <v>10.251346376996523</v>
      </c>
      <c r="AK141" s="20">
        <v>19702134</v>
      </c>
      <c r="AL141" s="21">
        <v>201973400</v>
      </c>
      <c r="AM141" s="21">
        <v>117360248</v>
      </c>
      <c r="AN141" s="21">
        <v>84610784</v>
      </c>
      <c r="AO141" s="37"/>
      <c r="AP141" s="38">
        <v>48.054699999999997</v>
      </c>
      <c r="AQ141" s="38">
        <v>51.212299999999999</v>
      </c>
      <c r="AR141" s="38">
        <v>51.189599999999999</v>
      </c>
      <c r="AS141" s="39"/>
      <c r="AT141" s="38">
        <v>42.110199999999999</v>
      </c>
      <c r="AU141" s="38">
        <v>42.110199999999999</v>
      </c>
      <c r="AV141" s="38">
        <v>42.110199999999999</v>
      </c>
      <c r="AW141" s="39"/>
      <c r="AX141" s="49">
        <v>37.515000000000001</v>
      </c>
      <c r="AY141" s="49">
        <v>31.718</v>
      </c>
      <c r="BA141" s="53">
        <f t="shared" si="59"/>
        <v>-1.5205794226780256E-4</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52840</v>
      </c>
      <c r="BZ141">
        <f t="shared" si="62"/>
        <v>0</v>
      </c>
      <c r="CA141">
        <f t="shared" si="63"/>
        <v>52840</v>
      </c>
      <c r="CB141">
        <f t="shared" si="64"/>
        <v>0</v>
      </c>
      <c r="CC141">
        <f t="shared" si="65"/>
        <v>9.9999999999766942E-4</v>
      </c>
      <c r="CD141">
        <f t="shared" si="66"/>
        <v>5.0000000000238742E-4</v>
      </c>
      <c r="CE141">
        <f t="shared" si="67"/>
        <v>1.6999999999995907E-3</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8.203345282292771</v>
      </c>
      <c r="K142" s="23">
        <f t="shared" si="51"/>
        <v>5.9567277331480941</v>
      </c>
      <c r="L142" s="23">
        <f t="shared" si="52"/>
        <v>2.2464973591185604</v>
      </c>
      <c r="M142" s="24"/>
      <c r="N142" s="23">
        <f t="shared" si="53"/>
        <v>8.203345282292771</v>
      </c>
      <c r="O142" s="25">
        <v>19702134</v>
      </c>
      <c r="P142" s="26">
        <v>161623408</v>
      </c>
      <c r="Q142" s="26">
        <v>117360248</v>
      </c>
      <c r="R142" s="26">
        <v>44260792</v>
      </c>
      <c r="S142" s="40"/>
      <c r="T142" s="41">
        <v>40.819600000000001</v>
      </c>
      <c r="U142" s="41">
        <v>46.092799999999997</v>
      </c>
      <c r="V142" s="41">
        <v>46.710299999999997</v>
      </c>
      <c r="W142" s="42"/>
      <c r="X142" s="41">
        <v>34.151400000000002</v>
      </c>
      <c r="Y142" s="41">
        <v>34.151400000000002</v>
      </c>
      <c r="Z142" s="41">
        <v>34.151400000000002</v>
      </c>
      <c r="AA142" s="42"/>
      <c r="AB142" s="50">
        <v>36.468000000000004</v>
      </c>
      <c r="AC142" s="50">
        <v>31.530999999999999</v>
      </c>
      <c r="AE142" s="22" t="str">
        <f t="shared" si="54"/>
        <v>·</v>
      </c>
      <c r="AF142" s="23">
        <f t="shared" si="55"/>
        <v>8.2047039168447444</v>
      </c>
      <c r="AG142" s="23">
        <f t="shared" si="56"/>
        <v>5.9567277331480941</v>
      </c>
      <c r="AH142" s="23">
        <f t="shared" si="57"/>
        <v>2.2478559936705333</v>
      </c>
      <c r="AI142" s="24"/>
      <c r="AJ142" s="23">
        <f t="shared" si="58"/>
        <v>8.2047039168447444</v>
      </c>
      <c r="AK142" s="25">
        <v>19702134</v>
      </c>
      <c r="AL142" s="26">
        <v>161650176</v>
      </c>
      <c r="AM142" s="26">
        <v>117360248</v>
      </c>
      <c r="AN142" s="26">
        <v>44287560</v>
      </c>
      <c r="AO142" s="40"/>
      <c r="AP142" s="41">
        <v>40.8217</v>
      </c>
      <c r="AQ142" s="41">
        <v>46.094900000000003</v>
      </c>
      <c r="AR142" s="41">
        <v>46.705100000000002</v>
      </c>
      <c r="AS142" s="42"/>
      <c r="AT142" s="41">
        <v>34.151400000000002</v>
      </c>
      <c r="AU142" s="41">
        <v>34.151400000000002</v>
      </c>
      <c r="AV142" s="41">
        <v>34.151400000000002</v>
      </c>
      <c r="AW142" s="42"/>
      <c r="AX142" s="50">
        <v>36.843000000000004</v>
      </c>
      <c r="AY142" s="50">
        <v>31.437000000000001</v>
      </c>
      <c r="BA142" s="55">
        <f t="shared" si="59"/>
        <v>-1.2024208555028171E-4</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26768</v>
      </c>
      <c r="BZ142">
        <f t="shared" si="62"/>
        <v>0</v>
      </c>
      <c r="CA142">
        <f t="shared" si="63"/>
        <v>26768</v>
      </c>
      <c r="CB142">
        <f t="shared" si="64"/>
        <v>0</v>
      </c>
      <c r="CC142">
        <f t="shared" si="65"/>
        <v>2.0999999999986585E-3</v>
      </c>
      <c r="CD142">
        <f t="shared" si="66"/>
        <v>2.1000000000057639E-3</v>
      </c>
      <c r="CE142">
        <f t="shared" si="67"/>
        <v>-5.1999999999949864E-3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7.0268002440750834</v>
      </c>
      <c r="K143" s="18">
        <f t="shared" si="51"/>
        <v>5.9567277331480941</v>
      </c>
      <c r="L143" s="18">
        <f t="shared" si="52"/>
        <v>1.069952320900873</v>
      </c>
      <c r="M143" s="19"/>
      <c r="N143" s="18">
        <f t="shared" si="53"/>
        <v>7.0268002440750834</v>
      </c>
      <c r="O143" s="20">
        <v>19702134</v>
      </c>
      <c r="P143" s="21">
        <v>138442960</v>
      </c>
      <c r="Q143" s="21">
        <v>117360248</v>
      </c>
      <c r="R143" s="21">
        <v>21080344</v>
      </c>
      <c r="S143" s="37"/>
      <c r="T143" s="38">
        <v>35.463999999999999</v>
      </c>
      <c r="U143" s="38">
        <v>41.847999999999999</v>
      </c>
      <c r="V143" s="38">
        <v>43.006300000000003</v>
      </c>
      <c r="W143" s="39"/>
      <c r="X143" s="38">
        <v>28.130800000000001</v>
      </c>
      <c r="Y143" s="38">
        <v>28.130800000000001</v>
      </c>
      <c r="Z143" s="38">
        <v>28.130800000000001</v>
      </c>
      <c r="AA143" s="39"/>
      <c r="AB143" s="49">
        <v>36.280999999999999</v>
      </c>
      <c r="AC143" s="49">
        <v>31.234000000000002</v>
      </c>
      <c r="AE143" s="17" t="str">
        <f t="shared" si="54"/>
        <v>·</v>
      </c>
      <c r="AF143" s="18">
        <f t="shared" si="55"/>
        <v>7.0258005554119167</v>
      </c>
      <c r="AG143" s="18">
        <f t="shared" si="56"/>
        <v>5.9567277331480941</v>
      </c>
      <c r="AH143" s="18">
        <f t="shared" si="57"/>
        <v>1.0689526322377059</v>
      </c>
      <c r="AI143" s="19"/>
      <c r="AJ143" s="18">
        <f t="shared" si="58"/>
        <v>7.0258005554119167</v>
      </c>
      <c r="AK143" s="20">
        <v>19702134</v>
      </c>
      <c r="AL143" s="21">
        <v>138423264</v>
      </c>
      <c r="AM143" s="21">
        <v>117360248</v>
      </c>
      <c r="AN143" s="21">
        <v>21060648</v>
      </c>
      <c r="AO143" s="37"/>
      <c r="AP143" s="38">
        <v>35.462600000000002</v>
      </c>
      <c r="AQ143" s="38">
        <v>41.8611</v>
      </c>
      <c r="AR143" s="38">
        <v>43.033099999999997</v>
      </c>
      <c r="AS143" s="39"/>
      <c r="AT143" s="38">
        <v>28.130800000000001</v>
      </c>
      <c r="AU143" s="38">
        <v>28.130800000000001</v>
      </c>
      <c r="AV143" s="38">
        <v>28.130800000000001</v>
      </c>
      <c r="AW143" s="39"/>
      <c r="AX143" s="49">
        <v>36.718000000000004</v>
      </c>
      <c r="AY143" s="49">
        <v>31.39</v>
      </c>
      <c r="BA143" s="53">
        <f t="shared" si="59"/>
        <v>1.206199356136306E-4</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-19696</v>
      </c>
      <c r="BZ143">
        <f t="shared" si="62"/>
        <v>0</v>
      </c>
      <c r="CA143">
        <f t="shared" si="63"/>
        <v>-19696</v>
      </c>
      <c r="CB143">
        <f t="shared" si="64"/>
        <v>0</v>
      </c>
      <c r="CC143">
        <f t="shared" si="65"/>
        <v>-1.3999999999967372E-3</v>
      </c>
      <c r="CD143">
        <f t="shared" si="66"/>
        <v>1.3100000000001444E-2</v>
      </c>
      <c r="CE143">
        <f t="shared" si="67"/>
        <v>2.6799999999994384E-2</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6.2639569906488299</v>
      </c>
      <c r="K144" s="33">
        <f t="shared" si="51"/>
        <v>5.9567277331480941</v>
      </c>
      <c r="L144" s="33">
        <f t="shared" si="52"/>
        <v>0.30710906747461975</v>
      </c>
      <c r="M144" s="34"/>
      <c r="N144" s="33">
        <f t="shared" si="53"/>
        <v>6.2639569906488299</v>
      </c>
      <c r="O144" s="35">
        <v>19702134</v>
      </c>
      <c r="P144" s="36">
        <v>123413320</v>
      </c>
      <c r="Q144" s="36">
        <v>117360248</v>
      </c>
      <c r="R144" s="36">
        <v>6050704</v>
      </c>
      <c r="S144" s="46"/>
      <c r="T144" s="47">
        <v>29.978899999999999</v>
      </c>
      <c r="U144" s="47">
        <v>37.7089</v>
      </c>
      <c r="V144" s="47">
        <v>38.258800000000001</v>
      </c>
      <c r="W144" s="48"/>
      <c r="X144" s="47">
        <v>21.686399999999999</v>
      </c>
      <c r="Y144" s="47">
        <v>21.686399999999999</v>
      </c>
      <c r="Z144" s="47">
        <v>21.686399999999999</v>
      </c>
      <c r="AA144" s="48"/>
      <c r="AB144" s="52">
        <v>35.905999999999999</v>
      </c>
      <c r="AC144" s="52">
        <v>30.875</v>
      </c>
      <c r="AE144" s="32" t="str">
        <f t="shared" si="54"/>
        <v>·</v>
      </c>
      <c r="AF144" s="33">
        <f t="shared" si="55"/>
        <v>6.2632634617143506</v>
      </c>
      <c r="AG144" s="33">
        <f t="shared" si="56"/>
        <v>5.9567277331480941</v>
      </c>
      <c r="AH144" s="33">
        <f t="shared" si="57"/>
        <v>0.30641553854013986</v>
      </c>
      <c r="AI144" s="34"/>
      <c r="AJ144" s="33">
        <f t="shared" si="58"/>
        <v>6.2632634617143506</v>
      </c>
      <c r="AK144" s="35">
        <v>19702134</v>
      </c>
      <c r="AL144" s="36">
        <v>123399656</v>
      </c>
      <c r="AM144" s="36">
        <v>117360248</v>
      </c>
      <c r="AN144" s="36">
        <v>6037040</v>
      </c>
      <c r="AO144" s="46"/>
      <c r="AP144" s="47">
        <v>29.9937</v>
      </c>
      <c r="AQ144" s="47">
        <v>37.7393</v>
      </c>
      <c r="AR144" s="47">
        <v>38.298999999999999</v>
      </c>
      <c r="AS144" s="48"/>
      <c r="AT144" s="47">
        <v>21.686399999999999</v>
      </c>
      <c r="AU144" s="47">
        <v>21.686399999999999</v>
      </c>
      <c r="AV144" s="47">
        <v>21.686399999999999</v>
      </c>
      <c r="AW144" s="48"/>
      <c r="AX144" s="52">
        <v>36.5</v>
      </c>
      <c r="AY144" s="52">
        <v>31.187000000000001</v>
      </c>
      <c r="BA144" s="59">
        <f t="shared" si="59"/>
        <v>1.0529867036346285E-4</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-13664</v>
      </c>
      <c r="BZ144">
        <f t="shared" si="62"/>
        <v>0</v>
      </c>
      <c r="CA144">
        <f t="shared" si="63"/>
        <v>-13664</v>
      </c>
      <c r="CB144">
        <f t="shared" si="64"/>
        <v>0</v>
      </c>
      <c r="CC144">
        <f t="shared" si="65"/>
        <v>1.4800000000001035E-2</v>
      </c>
      <c r="CD144">
        <f t="shared" si="66"/>
        <v>3.0400000000000205E-2</v>
      </c>
      <c r="CE144">
        <f t="shared" si="67"/>
        <v>4.0199999999998681E-2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28.499756602064387</v>
      </c>
      <c r="K145" s="18">
        <f t="shared" si="51"/>
        <v>22.383093894386754</v>
      </c>
      <c r="L145" s="18">
        <f t="shared" si="52"/>
        <v>6.116541782247082</v>
      </c>
      <c r="M145" s="19"/>
      <c r="N145" s="18">
        <f t="shared" si="53"/>
        <v>28.499756602064387</v>
      </c>
      <c r="O145" s="20">
        <v>19714629</v>
      </c>
      <c r="P145" s="21">
        <v>561862128</v>
      </c>
      <c r="Q145" s="21">
        <v>441274392</v>
      </c>
      <c r="R145" s="21">
        <v>120585352</v>
      </c>
      <c r="S145" s="37"/>
      <c r="T145" s="38">
        <v>53.104199999999999</v>
      </c>
      <c r="U145" s="38">
        <v>56.146099999999997</v>
      </c>
      <c r="V145" s="38">
        <v>55.145400000000002</v>
      </c>
      <c r="W145" s="39"/>
      <c r="X145" s="38">
        <v>48.130800000000001</v>
      </c>
      <c r="Y145" s="38">
        <v>48.130800000000001</v>
      </c>
      <c r="Z145" s="38">
        <v>48.130800000000001</v>
      </c>
      <c r="AA145" s="39"/>
      <c r="AB145" s="49">
        <v>62.578000000000003</v>
      </c>
      <c r="AC145" s="49">
        <v>55.609000000000002</v>
      </c>
      <c r="AE145" s="17" t="str">
        <f t="shared" si="54"/>
        <v>·</v>
      </c>
      <c r="AF145" s="18">
        <f t="shared" si="55"/>
        <v>28.50227493502414</v>
      </c>
      <c r="AG145" s="18">
        <f t="shared" si="56"/>
        <v>22.383093894386754</v>
      </c>
      <c r="AH145" s="18">
        <f t="shared" si="57"/>
        <v>6.1190601152068345</v>
      </c>
      <c r="AI145" s="19"/>
      <c r="AJ145" s="18">
        <f t="shared" si="58"/>
        <v>28.50227493502414</v>
      </c>
      <c r="AK145" s="20">
        <v>19714629</v>
      </c>
      <c r="AL145" s="21">
        <v>561911776</v>
      </c>
      <c r="AM145" s="21">
        <v>441274392</v>
      </c>
      <c r="AN145" s="21">
        <v>120635000</v>
      </c>
      <c r="AO145" s="37"/>
      <c r="AP145" s="38">
        <v>53.105499999999999</v>
      </c>
      <c r="AQ145" s="38">
        <v>56.147500000000001</v>
      </c>
      <c r="AR145" s="38">
        <v>55.1462</v>
      </c>
      <c r="AS145" s="39"/>
      <c r="AT145" s="38">
        <v>48.130800000000001</v>
      </c>
      <c r="AU145" s="38">
        <v>48.130800000000001</v>
      </c>
      <c r="AV145" s="38">
        <v>48.130800000000001</v>
      </c>
      <c r="AW145" s="39"/>
      <c r="AX145" s="49">
        <v>62.545999999999999</v>
      </c>
      <c r="AY145" s="49">
        <v>56.186999999999998</v>
      </c>
      <c r="BA145" s="53">
        <f t="shared" si="59"/>
        <v>-6.9392508944776665E-5</v>
      </c>
      <c r="BB145" s="53">
        <f t="array" ref="BB145">AVERAGE(AM145:AM149/AL145:AL149)-AVERAGE(Q145:Q149/P145:P149)</f>
        <v>-3.4312257194635265E-5</v>
      </c>
      <c r="BD145" s="54">
        <f>IF(OR(ISBLANK(R145:R149),ISBLANK(AN145:AN149),ISBLANK(T145:T149),ISBLANK(AP145:AP149)),"·",bdRateExtend(R145:R149,T145:T149,AN145:AN149,AP145:AP149))</f>
        <v>-5.8366129615361473E-4</v>
      </c>
      <c r="BE145" s="54">
        <f>IF(OR(ISBLANK(R145:R149),ISBLANK(AN145:AN149),ISBLANK(U145:U149),ISBLANK(AQ145:AQ149)),"·",bdRateExtend(R145:R149,U145:U149,AN145:AN149,AQ145:AQ149))</f>
        <v>-1.4622770357305415E-3</v>
      </c>
      <c r="BF145" s="54">
        <f>IF(OR(ISBLANK(R145:R149),ISBLANK(AN145:AN149),ISBLANK(V145:V149),ISBLANK(AR145:AR149)),"·",bdRateExtend(R145:R149,V145:V149,AN145:AN149,AR145:AR149))</f>
        <v>-3.276502937213932E-4</v>
      </c>
      <c r="BG145" s="61"/>
      <c r="BI145" s="54">
        <f>IF(OR(ISBLANK(R145:R149),ISBLANK(AN145:AN149),ISBLANK(X145:X149),ISBLANK(AT145:AT149)),"·",bdRateExtend(R145:R149,X145:X149,AN145:AN149,AT145:AT149))</f>
        <v>1.2074713772602941E-4</v>
      </c>
      <c r="BJ145" s="54">
        <f>IF(OR(ISBLANK(R145:R149),ISBLANK(AN145:AN149),ISBLANK(Y145:Y149),ISBLANK(AU145:AU149)),"·",bdRateExtend(R145:R149,Y145:Y149,AN145:AN149,AU145:AU149))</f>
        <v>1.2074713772602941E-4</v>
      </c>
      <c r="BK145" s="54">
        <f>IF(OR(ISBLANK(R145:R149),ISBLANK(AN145:AN149),ISBLANK(Z145:Z149),ISBLANK(AV145:AV149)),"·",bdRateExtend(R145:R149,Z145:Z149,AN145:AN149,AV145:AV149))</f>
        <v>1.2074713772602941E-4</v>
      </c>
      <c r="BL145" s="61"/>
      <c r="BN145" s="54">
        <f>IF(OR(ISBLANK(P145:P149),ISBLANK(AL145:AL149),ISBLANK(T145:T149),ISBLANK(AP145:AP149)),"·",bdRateExtend(P145:P149,T145:T149,AL145:AL149,AP145:AP149))</f>
        <v>2.8525021048553256E-5</v>
      </c>
      <c r="BO145" s="54">
        <f>IF(OR(ISBLANK(P145:P149),ISBLANK(AL145:AL149),ISBLANK(U145:U149),ISBLANK(AQ145:AQ149)),"·",bdRateExtend(P145:P149,U145:U149,AL145:AL149,AQ145:AQ149))</f>
        <v>9.9609361268182539E-6</v>
      </c>
      <c r="BP145" s="54">
        <f>IF(OR(ISBLANK(P145:P149),ISBLANK(AL145:AL149),ISBLANK(V145:V149),ISBLANK(AR145:AR149)),"·",bdRateExtend(P145:P149,V145:V149,AL145:AL149,AR145:AR149))</f>
        <v>2.9485739830636959E-5</v>
      </c>
      <c r="BQ145" s="61"/>
      <c r="BS145" s="54">
        <f>IF(OR(ISBLANK(P145:P149),ISBLANK(AL145:AL149),ISBLANK(X145:X149),ISBLANK(AT145:AT149)),"·",bdRateExtend(P145:P149,X145:X149,AL145:AL149,AT145:AT149))</f>
        <v>5.1139827642154856E-5</v>
      </c>
      <c r="BT145" s="54">
        <f>IF(OR(ISBLANK(P145:P149),ISBLANK(AL145:AL149),ISBLANK(Y145:Y149),ISBLANK(AU145:AU149)),"·",bdRateExtend(P145:P149,Y145:Y149,AL145:AL149,AU145:AU149))</f>
        <v>5.1139827642154856E-5</v>
      </c>
      <c r="BU145" s="54">
        <f>IF(OR(ISBLANK(P145:P149),ISBLANK(AL145:AL149),ISBLANK(Z145:Z149),ISBLANK(AV145:AV149)),"·",bdRateExtend(P145:P149,Z145:Z149,AL145:AL149,AV145:AV149))</f>
        <v>5.1139827642154856E-5</v>
      </c>
      <c r="BV145" s="61"/>
      <c r="BX145">
        <f t="shared" si="60"/>
        <v>0</v>
      </c>
      <c r="BY145">
        <f t="shared" si="61"/>
        <v>49648</v>
      </c>
      <c r="BZ145">
        <f t="shared" si="62"/>
        <v>0</v>
      </c>
      <c r="CA145">
        <f t="shared" si="63"/>
        <v>49648</v>
      </c>
      <c r="CB145">
        <f t="shared" si="64"/>
        <v>0</v>
      </c>
      <c r="CC145">
        <f t="shared" si="65"/>
        <v>1.300000000000523E-3</v>
      </c>
      <c r="CD145">
        <f t="shared" si="66"/>
        <v>1.4000000000038426E-3</v>
      </c>
      <c r="CE145">
        <f t="shared" si="67"/>
        <v>7.9999999999813554E-4</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26.650468340033182</v>
      </c>
      <c r="K146" s="23">
        <f t="shared" si="51"/>
        <v>22.383093894386754</v>
      </c>
      <c r="L146" s="23">
        <f t="shared" si="52"/>
        <v>4.2672535202158759</v>
      </c>
      <c r="M146" s="24"/>
      <c r="N146" s="23">
        <f t="shared" si="53"/>
        <v>26.650468340033182</v>
      </c>
      <c r="O146" s="25">
        <v>19714629</v>
      </c>
      <c r="P146" s="26">
        <v>525404096</v>
      </c>
      <c r="Q146" s="26">
        <v>441274392</v>
      </c>
      <c r="R146" s="26">
        <v>84127320</v>
      </c>
      <c r="S146" s="40"/>
      <c r="T146" s="41">
        <v>48.046199999999999</v>
      </c>
      <c r="U146" s="41">
        <v>51.224299999999999</v>
      </c>
      <c r="V146" s="41">
        <v>51.210900000000002</v>
      </c>
      <c r="W146" s="42"/>
      <c r="X146" s="41">
        <v>42.110199999999999</v>
      </c>
      <c r="Y146" s="41">
        <v>42.110199999999999</v>
      </c>
      <c r="Z146" s="41">
        <v>42.110199999999999</v>
      </c>
      <c r="AA146" s="42"/>
      <c r="AB146" s="50">
        <v>62.015000000000001</v>
      </c>
      <c r="AC146" s="50">
        <v>55.375</v>
      </c>
      <c r="AE146" s="22" t="str">
        <f t="shared" si="54"/>
        <v>·</v>
      </c>
      <c r="AF146" s="23">
        <f t="shared" si="55"/>
        <v>26.653043889387927</v>
      </c>
      <c r="AG146" s="23">
        <f t="shared" si="56"/>
        <v>22.383093894386754</v>
      </c>
      <c r="AH146" s="23">
        <f t="shared" si="57"/>
        <v>4.2698290695706218</v>
      </c>
      <c r="AI146" s="24"/>
      <c r="AJ146" s="23">
        <f t="shared" si="58"/>
        <v>26.653043889387927</v>
      </c>
      <c r="AK146" s="25">
        <v>19714629</v>
      </c>
      <c r="AL146" s="26">
        <v>525454872</v>
      </c>
      <c r="AM146" s="26">
        <v>441274392</v>
      </c>
      <c r="AN146" s="26">
        <v>84178096</v>
      </c>
      <c r="AO146" s="40"/>
      <c r="AP146" s="41">
        <v>48.047899999999998</v>
      </c>
      <c r="AQ146" s="41">
        <v>51.2239</v>
      </c>
      <c r="AR146" s="41">
        <v>51.210999999999999</v>
      </c>
      <c r="AS146" s="42"/>
      <c r="AT146" s="41">
        <v>42.110199999999999</v>
      </c>
      <c r="AU146" s="41">
        <v>42.110199999999999</v>
      </c>
      <c r="AV146" s="41">
        <v>42.110199999999999</v>
      </c>
      <c r="AW146" s="42"/>
      <c r="AX146" s="50">
        <v>62.25</v>
      </c>
      <c r="AY146" s="50">
        <v>55.968000000000004</v>
      </c>
      <c r="BA146" s="55">
        <f t="shared" si="59"/>
        <v>-8.1159307591449625E-5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50776</v>
      </c>
      <c r="BZ146">
        <f t="shared" si="62"/>
        <v>0</v>
      </c>
      <c r="CA146">
        <f t="shared" si="63"/>
        <v>50776</v>
      </c>
      <c r="CB146">
        <f t="shared" si="64"/>
        <v>0</v>
      </c>
      <c r="CC146">
        <f t="shared" si="65"/>
        <v>1.6999999999995907E-3</v>
      </c>
      <c r="CD146">
        <f t="shared" si="66"/>
        <v>-3.9999999999906777E-4</v>
      </c>
      <c r="CE146">
        <f t="shared" si="67"/>
        <v>9.9999999996214228E-5</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24.610477021910988</v>
      </c>
      <c r="K147" s="18">
        <f t="shared" si="51"/>
        <v>22.383093894386754</v>
      </c>
      <c r="L147" s="18">
        <f t="shared" si="52"/>
        <v>2.2272622020936836</v>
      </c>
      <c r="M147" s="19"/>
      <c r="N147" s="18">
        <f t="shared" si="53"/>
        <v>24.610477021910988</v>
      </c>
      <c r="O147" s="20">
        <v>19714629</v>
      </c>
      <c r="P147" s="21">
        <v>485186424</v>
      </c>
      <c r="Q147" s="21">
        <v>441274392</v>
      </c>
      <c r="R147" s="21">
        <v>43909648</v>
      </c>
      <c r="S147" s="37"/>
      <c r="T147" s="38">
        <v>40.8185</v>
      </c>
      <c r="U147" s="38">
        <v>46.124499999999998</v>
      </c>
      <c r="V147" s="38">
        <v>46.747900000000001</v>
      </c>
      <c r="W147" s="39"/>
      <c r="X147" s="38">
        <v>34.151400000000002</v>
      </c>
      <c r="Y147" s="38">
        <v>34.151400000000002</v>
      </c>
      <c r="Z147" s="38">
        <v>34.151400000000002</v>
      </c>
      <c r="AA147" s="39"/>
      <c r="AB147" s="49">
        <v>61.515000000000001</v>
      </c>
      <c r="AC147" s="49">
        <v>54.953000000000003</v>
      </c>
      <c r="AE147" s="17" t="str">
        <f t="shared" si="54"/>
        <v>·</v>
      </c>
      <c r="AF147" s="18">
        <f t="shared" si="55"/>
        <v>24.612099370472556</v>
      </c>
      <c r="AG147" s="18">
        <f t="shared" si="56"/>
        <v>22.383093894386754</v>
      </c>
      <c r="AH147" s="18">
        <f t="shared" si="57"/>
        <v>2.2288845506552519</v>
      </c>
      <c r="AI147" s="19"/>
      <c r="AJ147" s="18">
        <f t="shared" si="58"/>
        <v>24.612099370472556</v>
      </c>
      <c r="AK147" s="20">
        <v>19714629</v>
      </c>
      <c r="AL147" s="21">
        <v>485218408</v>
      </c>
      <c r="AM147" s="21">
        <v>441274392</v>
      </c>
      <c r="AN147" s="21">
        <v>43941632</v>
      </c>
      <c r="AO147" s="37"/>
      <c r="AP147" s="38">
        <v>40.819200000000002</v>
      </c>
      <c r="AQ147" s="38">
        <v>46.128700000000002</v>
      </c>
      <c r="AR147" s="38">
        <v>46.743899999999996</v>
      </c>
      <c r="AS147" s="39"/>
      <c r="AT147" s="38">
        <v>34.151400000000002</v>
      </c>
      <c r="AU147" s="38">
        <v>34.151400000000002</v>
      </c>
      <c r="AV147" s="38">
        <v>34.151400000000002</v>
      </c>
      <c r="AW147" s="39"/>
      <c r="AX147" s="49">
        <v>61.64</v>
      </c>
      <c r="AY147" s="49">
        <v>55.5</v>
      </c>
      <c r="BA147" s="53">
        <f t="shared" si="59"/>
        <v>-5.9950884238935132E-5</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31984</v>
      </c>
      <c r="BZ147">
        <f t="shared" si="62"/>
        <v>0</v>
      </c>
      <c r="CA147">
        <f t="shared" si="63"/>
        <v>31984</v>
      </c>
      <c r="CB147">
        <f t="shared" si="64"/>
        <v>0</v>
      </c>
      <c r="CC147">
        <f t="shared" si="65"/>
        <v>7.0000000000192131E-4</v>
      </c>
      <c r="CD147">
        <f t="shared" si="66"/>
        <v>4.2000000000044224E-3</v>
      </c>
      <c r="CE147">
        <f t="shared" si="67"/>
        <v>-4.0000000000048885E-3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23.439510223600962</v>
      </c>
      <c r="K148" s="23">
        <f t="shared" si="51"/>
        <v>22.383093894386754</v>
      </c>
      <c r="L148" s="23">
        <f t="shared" si="52"/>
        <v>1.0562954037836574</v>
      </c>
      <c r="M148" s="24"/>
      <c r="N148" s="23">
        <f t="shared" si="53"/>
        <v>23.439510223600962</v>
      </c>
      <c r="O148" s="25">
        <v>19714629</v>
      </c>
      <c r="P148" s="26">
        <v>462101248</v>
      </c>
      <c r="Q148" s="26">
        <v>441274392</v>
      </c>
      <c r="R148" s="26">
        <v>20824472</v>
      </c>
      <c r="S148" s="40"/>
      <c r="T148" s="41">
        <v>35.466000000000001</v>
      </c>
      <c r="U148" s="41">
        <v>41.906700000000001</v>
      </c>
      <c r="V148" s="41">
        <v>43.08</v>
      </c>
      <c r="W148" s="42"/>
      <c r="X148" s="41">
        <v>28.130800000000001</v>
      </c>
      <c r="Y148" s="41">
        <v>28.130800000000001</v>
      </c>
      <c r="Z148" s="41">
        <v>28.130800000000001</v>
      </c>
      <c r="AA148" s="42"/>
      <c r="AB148" s="50">
        <v>61.061999999999998</v>
      </c>
      <c r="AC148" s="50">
        <v>54.795999999999999</v>
      </c>
      <c r="AE148" s="22" t="str">
        <f t="shared" si="54"/>
        <v>·</v>
      </c>
      <c r="AF148" s="23">
        <f t="shared" si="55"/>
        <v>23.439717176519022</v>
      </c>
      <c r="AG148" s="23">
        <f t="shared" si="56"/>
        <v>22.383093894386754</v>
      </c>
      <c r="AH148" s="23">
        <f t="shared" si="57"/>
        <v>1.0565023567017162</v>
      </c>
      <c r="AI148" s="24"/>
      <c r="AJ148" s="23">
        <f t="shared" si="58"/>
        <v>23.439717176519022</v>
      </c>
      <c r="AK148" s="25">
        <v>19714629</v>
      </c>
      <c r="AL148" s="26">
        <v>462105328</v>
      </c>
      <c r="AM148" s="26">
        <v>441274392</v>
      </c>
      <c r="AN148" s="26">
        <v>20828552</v>
      </c>
      <c r="AO148" s="40"/>
      <c r="AP148" s="41">
        <v>35.468400000000003</v>
      </c>
      <c r="AQ148" s="41">
        <v>41.910299999999999</v>
      </c>
      <c r="AR148" s="41">
        <v>43.091999999999999</v>
      </c>
      <c r="AS148" s="42"/>
      <c r="AT148" s="41">
        <v>28.130800000000001</v>
      </c>
      <c r="AU148" s="41">
        <v>28.130800000000001</v>
      </c>
      <c r="AV148" s="41">
        <v>28.130800000000001</v>
      </c>
      <c r="AW148" s="42"/>
      <c r="AX148" s="50">
        <v>61.39</v>
      </c>
      <c r="AY148" s="50">
        <v>55.359000000000002</v>
      </c>
      <c r="BA148" s="55">
        <f t="shared" si="59"/>
        <v>-8.4312267811803565E-6</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4080</v>
      </c>
      <c r="BZ148">
        <f t="shared" si="62"/>
        <v>0</v>
      </c>
      <c r="CA148">
        <f t="shared" si="63"/>
        <v>4080</v>
      </c>
      <c r="CB148">
        <f t="shared" si="64"/>
        <v>0</v>
      </c>
      <c r="CC148">
        <f t="shared" si="65"/>
        <v>2.400000000001512E-3</v>
      </c>
      <c r="CD148">
        <f t="shared" si="66"/>
        <v>3.5999999999987153E-3</v>
      </c>
      <c r="CE148">
        <f t="shared" si="67"/>
        <v>1.2000000000000455E-2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22.685514193546325</v>
      </c>
      <c r="K149" s="28">
        <f t="shared" si="51"/>
        <v>22.383093894386754</v>
      </c>
      <c r="L149" s="28">
        <f t="shared" si="52"/>
        <v>0.30229937372902121</v>
      </c>
      <c r="M149" s="29"/>
      <c r="N149" s="28">
        <f t="shared" si="53"/>
        <v>22.685514193546325</v>
      </c>
      <c r="O149" s="30">
        <v>19714629</v>
      </c>
      <c r="P149" s="31">
        <v>447236496</v>
      </c>
      <c r="Q149" s="31">
        <v>441274392</v>
      </c>
      <c r="R149" s="31">
        <v>5959720</v>
      </c>
      <c r="S149" s="43"/>
      <c r="T149" s="44">
        <v>30.000699999999998</v>
      </c>
      <c r="U149" s="44">
        <v>37.783999999999999</v>
      </c>
      <c r="V149" s="44">
        <v>38.441600000000001</v>
      </c>
      <c r="W149" s="45"/>
      <c r="X149" s="44">
        <v>21.686399999999999</v>
      </c>
      <c r="Y149" s="44">
        <v>21.686399999999999</v>
      </c>
      <c r="Z149" s="44">
        <v>21.686399999999999</v>
      </c>
      <c r="AA149" s="45"/>
      <c r="AB149" s="51">
        <v>61.295999999999999</v>
      </c>
      <c r="AC149" s="51">
        <v>54.718000000000004</v>
      </c>
      <c r="AE149" s="27" t="str">
        <f t="shared" si="54"/>
        <v>·</v>
      </c>
      <c r="AF149" s="28">
        <f t="shared" si="55"/>
        <v>22.684425053091285</v>
      </c>
      <c r="AG149" s="28">
        <f t="shared" si="56"/>
        <v>22.383093894386754</v>
      </c>
      <c r="AH149" s="28">
        <f t="shared" si="57"/>
        <v>0.30121023327398144</v>
      </c>
      <c r="AI149" s="29"/>
      <c r="AJ149" s="28">
        <f t="shared" si="58"/>
        <v>22.684425053091285</v>
      </c>
      <c r="AK149" s="30">
        <v>19714629</v>
      </c>
      <c r="AL149" s="31">
        <v>447215024</v>
      </c>
      <c r="AM149" s="31">
        <v>441274392</v>
      </c>
      <c r="AN149" s="31">
        <v>5938248</v>
      </c>
      <c r="AO149" s="43"/>
      <c r="AP149" s="44">
        <v>30.022600000000001</v>
      </c>
      <c r="AQ149" s="44">
        <v>37.8245</v>
      </c>
      <c r="AR149" s="44">
        <v>38.431199999999997</v>
      </c>
      <c r="AS149" s="45"/>
      <c r="AT149" s="44">
        <v>21.686399999999999</v>
      </c>
      <c r="AU149" s="44">
        <v>21.686399999999999</v>
      </c>
      <c r="AV149" s="44">
        <v>21.686399999999999</v>
      </c>
      <c r="AW149" s="45"/>
      <c r="AX149" s="51">
        <v>61.265000000000001</v>
      </c>
      <c r="AY149" s="51">
        <v>55.061999999999998</v>
      </c>
      <c r="BA149" s="57">
        <f t="shared" si="59"/>
        <v>4.7372641584164654E-5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-21472</v>
      </c>
      <c r="BZ149">
        <f t="shared" si="62"/>
        <v>0</v>
      </c>
      <c r="CA149">
        <f t="shared" si="63"/>
        <v>-21472</v>
      </c>
      <c r="CB149">
        <f t="shared" si="64"/>
        <v>0</v>
      </c>
      <c r="CC149">
        <f t="shared" si="65"/>
        <v>2.1900000000002251E-2</v>
      </c>
      <c r="CD149">
        <f t="shared" si="66"/>
        <v>4.0500000000001535E-2</v>
      </c>
      <c r="CE149">
        <f t="shared" si="67"/>
        <v>-1.0400000000004184E-2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36.111821095941039</v>
      </c>
      <c r="K150" s="23">
        <f t="shared" si="51"/>
        <v>29.969428575284358</v>
      </c>
      <c r="L150" s="23">
        <f t="shared" si="52"/>
        <v>6.14215456358425</v>
      </c>
      <c r="M150" s="24"/>
      <c r="N150" s="23">
        <f t="shared" si="53"/>
        <v>36.111821095941039</v>
      </c>
      <c r="O150" s="25">
        <v>3630907</v>
      </c>
      <c r="P150" s="26">
        <v>131118664</v>
      </c>
      <c r="Q150" s="26">
        <v>108816208</v>
      </c>
      <c r="R150" s="26">
        <v>22301592</v>
      </c>
      <c r="S150" s="40"/>
      <c r="T150" s="41">
        <v>52.915100000000002</v>
      </c>
      <c r="U150" s="41">
        <v>55.719200000000001</v>
      </c>
      <c r="V150" s="41">
        <v>55.848399999999998</v>
      </c>
      <c r="W150" s="42"/>
      <c r="X150" s="41">
        <v>48.130800000000001</v>
      </c>
      <c r="Y150" s="41">
        <v>48.130800000000001</v>
      </c>
      <c r="Z150" s="41">
        <v>48.130800000000001</v>
      </c>
      <c r="AA150" s="42"/>
      <c r="AB150" s="50">
        <v>13.515000000000001</v>
      </c>
      <c r="AC150" s="50">
        <v>11.484</v>
      </c>
      <c r="AE150" s="22" t="str">
        <f t="shared" si="54"/>
        <v>·</v>
      </c>
      <c r="AF150" s="23">
        <f t="shared" si="55"/>
        <v>36.126975436165125</v>
      </c>
      <c r="AG150" s="23">
        <f t="shared" si="56"/>
        <v>29.969428575284358</v>
      </c>
      <c r="AH150" s="23">
        <f t="shared" si="57"/>
        <v>6.1573089038083326</v>
      </c>
      <c r="AI150" s="24"/>
      <c r="AJ150" s="23">
        <f t="shared" si="58"/>
        <v>36.126975436165125</v>
      </c>
      <c r="AK150" s="25">
        <v>3630907</v>
      </c>
      <c r="AL150" s="26">
        <v>131173688</v>
      </c>
      <c r="AM150" s="26">
        <v>108816208</v>
      </c>
      <c r="AN150" s="26">
        <v>22356616</v>
      </c>
      <c r="AO150" s="40"/>
      <c r="AP150" s="41">
        <v>52.923299999999998</v>
      </c>
      <c r="AQ150" s="41">
        <v>55.724899999999998</v>
      </c>
      <c r="AR150" s="41">
        <v>55.8536</v>
      </c>
      <c r="AS150" s="42"/>
      <c r="AT150" s="41">
        <v>48.130800000000001</v>
      </c>
      <c r="AU150" s="41">
        <v>48.130800000000001</v>
      </c>
      <c r="AV150" s="41">
        <v>48.130800000000001</v>
      </c>
      <c r="AW150" s="42"/>
      <c r="AX150" s="50">
        <v>13.515000000000001</v>
      </c>
      <c r="AY150" s="50">
        <v>11.561999999999999</v>
      </c>
      <c r="BA150" s="55">
        <f t="shared" si="59"/>
        <v>-3.4812443013532146E-4</v>
      </c>
      <c r="BB150" s="55">
        <f t="array" ref="BB150">AVERAGE(AM150:AM154/AL150:AL154)-AVERAGE(Q150:Q154/P150:P154)</f>
        <v>-2.4683963162530631E-4</v>
      </c>
      <c r="BD150" s="56">
        <f>IF(OR(ISBLANK(R150:R154),ISBLANK(AN150:AN154),ISBLANK(T150:T154),ISBLANK(AP150:AP154)),"·",bdRateExtend(R150:R154,T150:T154,AN150:AN154,AP150:AP154))</f>
        <v>2.9920561488849806E-3</v>
      </c>
      <c r="BE150" s="56">
        <f>IF(OR(ISBLANK(R150:R154),ISBLANK(AN150:AN154),ISBLANK(U150:U154),ISBLANK(AQ150:AQ154)),"·",bdRateExtend(R150:R154,U150:U154,AN150:AN154,AQ150:AQ154))</f>
        <v>4.8402291140425824E-4</v>
      </c>
      <c r="BF150" s="56">
        <f>IF(OR(ISBLANK(R150:R154),ISBLANK(AN150:AN154),ISBLANK(V150:V154),ISBLANK(AR150:AR154)),"·",bdRateExtend(R150:R154,V150:V154,AN150:AN154,AR150:AR154))</f>
        <v>-1.2528790470505036E-2</v>
      </c>
      <c r="BG150" s="62"/>
      <c r="BI150" s="56">
        <f>IF(OR(ISBLANK(R150:R154),ISBLANK(AN150:AN154),ISBLANK(X150:X154),ISBLANK(AT150:AT154)),"·",bdRateExtend(R150:R154,X150:X154,AN150:AN154,AT150:AT154))</f>
        <v>4.4830932664079448E-3</v>
      </c>
      <c r="BJ150" s="56">
        <f>IF(OR(ISBLANK(R150:R154),ISBLANK(AN150:AN154),ISBLANK(Y150:Y154),ISBLANK(AU150:AU154)),"·",bdRateExtend(R150:R154,Y150:Y154,AN150:AN154,AU150:AU154))</f>
        <v>4.4830932664079448E-3</v>
      </c>
      <c r="BK150" s="56">
        <f>IF(OR(ISBLANK(R150:R154),ISBLANK(AN150:AN154),ISBLANK(Z150:Z154),ISBLANK(AV150:AV154)),"·",bdRateExtend(R150:R154,Z150:Z154,AN150:AN154,AV150:AV154))</f>
        <v>4.4830932664079448E-3</v>
      </c>
      <c r="BL150" s="62"/>
      <c r="BN150" s="56">
        <f>IF(OR(ISBLANK(P150:P154),ISBLANK(AL150:AL154),ISBLANK(T150:T154),ISBLANK(AP150:AP154)),"·",bdRateExtend(P150:P154,T150:T154,AL150:AL154,AP150:AP154))</f>
        <v>2.3109827749667744E-4</v>
      </c>
      <c r="BO150" s="56">
        <f>IF(OR(ISBLANK(P150:P154),ISBLANK(AL150:AL154),ISBLANK(U150:U154),ISBLANK(AQ150:AQ154)),"·",bdRateExtend(P150:P154,U150:U154,AL150:AL154,AQ150:AQ154))</f>
        <v>1.6068953731207536E-4</v>
      </c>
      <c r="BP150" s="56">
        <f>IF(OR(ISBLANK(P150:P154),ISBLANK(AL150:AL154),ISBLANK(V150:V154),ISBLANK(AR150:AR154)),"·",bdRateExtend(P150:P154,V150:V154,AL150:AL154,AR150:AR154))</f>
        <v>-1.5523004848683186E-4</v>
      </c>
      <c r="BQ150" s="62"/>
      <c r="BS150" s="56">
        <f>IF(OR(ISBLANK(P150:P154),ISBLANK(AL150:AL154),ISBLANK(X150:X154),ISBLANK(AT150:AT154)),"·",bdRateExtend(P150:P154,X150:X154,AL150:AL154,AT150:AT154))</f>
        <v>2.8596571016614725E-4</v>
      </c>
      <c r="BT150" s="56">
        <f>IF(OR(ISBLANK(P150:P154),ISBLANK(AL150:AL154),ISBLANK(Y150:Y154),ISBLANK(AU150:AU154)),"·",bdRateExtend(P150:P154,Y150:Y154,AL150:AL154,AU150:AU154))</f>
        <v>2.8596571016614725E-4</v>
      </c>
      <c r="BU150" s="56">
        <f>IF(OR(ISBLANK(P150:P154),ISBLANK(AL150:AL154),ISBLANK(Z150:Z154),ISBLANK(AV150:AV154)),"·",bdRateExtend(P150:P154,Z150:Z154,AL150:AL154,AV150:AV154))</f>
        <v>2.8596571016614725E-4</v>
      </c>
      <c r="BV150" s="62"/>
      <c r="BX150">
        <f t="shared" si="60"/>
        <v>0</v>
      </c>
      <c r="BY150">
        <f t="shared" si="61"/>
        <v>55024</v>
      </c>
      <c r="BZ150">
        <f t="shared" si="62"/>
        <v>0</v>
      </c>
      <c r="CA150">
        <f t="shared" si="63"/>
        <v>55024</v>
      </c>
      <c r="CB150">
        <f t="shared" si="64"/>
        <v>0</v>
      </c>
      <c r="CC150">
        <f t="shared" si="65"/>
        <v>8.1999999999951001E-3</v>
      </c>
      <c r="CD150">
        <f t="shared" si="66"/>
        <v>5.6999999999973738E-3</v>
      </c>
      <c r="CE150">
        <f t="shared" si="67"/>
        <v>5.2000000000020918E-3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34.208186549531561</v>
      </c>
      <c r="K151" s="18">
        <f t="shared" si="51"/>
        <v>29.969428575284358</v>
      </c>
      <c r="L151" s="18">
        <f t="shared" si="52"/>
        <v>4.2385200171747721</v>
      </c>
      <c r="M151" s="19"/>
      <c r="N151" s="18">
        <f t="shared" si="53"/>
        <v>34.208186549531561</v>
      </c>
      <c r="O151" s="20">
        <v>3630907</v>
      </c>
      <c r="P151" s="21">
        <v>124206744</v>
      </c>
      <c r="Q151" s="21">
        <v>108816208</v>
      </c>
      <c r="R151" s="21">
        <v>15389672</v>
      </c>
      <c r="S151" s="37"/>
      <c r="T151" s="38">
        <v>48.119900000000001</v>
      </c>
      <c r="U151" s="38">
        <v>51.1492</v>
      </c>
      <c r="V151" s="38">
        <v>51.277000000000001</v>
      </c>
      <c r="W151" s="39"/>
      <c r="X151" s="38">
        <v>42.110199999999999</v>
      </c>
      <c r="Y151" s="38">
        <v>42.110199999999999</v>
      </c>
      <c r="Z151" s="38">
        <v>42.110199999999999</v>
      </c>
      <c r="AA151" s="39"/>
      <c r="AB151" s="49">
        <v>13.359</v>
      </c>
      <c r="AC151" s="49">
        <v>11.484</v>
      </c>
      <c r="AE151" s="17" t="str">
        <f t="shared" si="54"/>
        <v>·</v>
      </c>
      <c r="AF151" s="18">
        <f t="shared" si="55"/>
        <v>34.222192967211775</v>
      </c>
      <c r="AG151" s="18">
        <f t="shared" si="56"/>
        <v>29.969428575284358</v>
      </c>
      <c r="AH151" s="18">
        <f t="shared" si="57"/>
        <v>4.2525264348549827</v>
      </c>
      <c r="AI151" s="19"/>
      <c r="AJ151" s="18">
        <f t="shared" si="58"/>
        <v>34.222192967211775</v>
      </c>
      <c r="AK151" s="20">
        <v>3630907</v>
      </c>
      <c r="AL151" s="21">
        <v>124257600</v>
      </c>
      <c r="AM151" s="21">
        <v>108816208</v>
      </c>
      <c r="AN151" s="21">
        <v>15440528</v>
      </c>
      <c r="AO151" s="37"/>
      <c r="AP151" s="38">
        <v>48.125900000000001</v>
      </c>
      <c r="AQ151" s="38">
        <v>51.154299999999999</v>
      </c>
      <c r="AR151" s="38">
        <v>51.2851</v>
      </c>
      <c r="AS151" s="39"/>
      <c r="AT151" s="38">
        <v>42.110199999999999</v>
      </c>
      <c r="AU151" s="38">
        <v>42.110199999999999</v>
      </c>
      <c r="AV151" s="38">
        <v>42.110199999999999</v>
      </c>
      <c r="AW151" s="39"/>
      <c r="AX151" s="49">
        <v>13.436999999999999</v>
      </c>
      <c r="AY151" s="49">
        <v>11.545999999999999</v>
      </c>
      <c r="BA151" s="53">
        <f t="shared" si="59"/>
        <v>-3.5856479571050315E-4</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50856</v>
      </c>
      <c r="BZ151">
        <f t="shared" si="62"/>
        <v>0</v>
      </c>
      <c r="CA151">
        <f t="shared" si="63"/>
        <v>50856</v>
      </c>
      <c r="CB151">
        <f t="shared" si="64"/>
        <v>0</v>
      </c>
      <c r="CC151">
        <f t="shared" si="65"/>
        <v>6.0000000000002274E-3</v>
      </c>
      <c r="CD151">
        <f t="shared" si="66"/>
        <v>5.0999999999987722E-3</v>
      </c>
      <c r="CE151">
        <f t="shared" si="67"/>
        <v>8.0999999999988859E-3</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32.161383367847208</v>
      </c>
      <c r="K152" s="23">
        <f t="shared" si="51"/>
        <v>29.969428575284358</v>
      </c>
      <c r="L152" s="23">
        <f t="shared" si="52"/>
        <v>2.191716835490416</v>
      </c>
      <c r="M152" s="24"/>
      <c r="N152" s="23">
        <f t="shared" si="53"/>
        <v>32.161383367847208</v>
      </c>
      <c r="O152" s="25">
        <v>3630907</v>
      </c>
      <c r="P152" s="26">
        <v>116774992</v>
      </c>
      <c r="Q152" s="26">
        <v>108816208</v>
      </c>
      <c r="R152" s="26">
        <v>7957920</v>
      </c>
      <c r="S152" s="40"/>
      <c r="T152" s="41">
        <v>41.031199999999998</v>
      </c>
      <c r="U152" s="41">
        <v>46.164099999999998</v>
      </c>
      <c r="V152" s="41">
        <v>46.732100000000003</v>
      </c>
      <c r="W152" s="42"/>
      <c r="X152" s="41">
        <v>34.151400000000002</v>
      </c>
      <c r="Y152" s="41">
        <v>34.151400000000002</v>
      </c>
      <c r="Z152" s="41">
        <v>34.151400000000002</v>
      </c>
      <c r="AA152" s="42"/>
      <c r="AB152" s="50">
        <v>13.295999999999999</v>
      </c>
      <c r="AC152" s="50">
        <v>11.359</v>
      </c>
      <c r="AE152" s="22" t="str">
        <f t="shared" si="54"/>
        <v>·</v>
      </c>
      <c r="AF152" s="23">
        <f t="shared" si="55"/>
        <v>32.169187478500554</v>
      </c>
      <c r="AG152" s="23">
        <f t="shared" si="56"/>
        <v>29.969428575284358</v>
      </c>
      <c r="AH152" s="23">
        <f t="shared" si="57"/>
        <v>2.1995209461437595</v>
      </c>
      <c r="AI152" s="24"/>
      <c r="AJ152" s="23">
        <f t="shared" si="58"/>
        <v>32.169187478500554</v>
      </c>
      <c r="AK152" s="25">
        <v>3630907</v>
      </c>
      <c r="AL152" s="26">
        <v>116803328</v>
      </c>
      <c r="AM152" s="26">
        <v>108816208</v>
      </c>
      <c r="AN152" s="26">
        <v>7986256</v>
      </c>
      <c r="AO152" s="40"/>
      <c r="AP152" s="41">
        <v>41.0364</v>
      </c>
      <c r="AQ152" s="41">
        <v>46.168900000000001</v>
      </c>
      <c r="AR152" s="41">
        <v>46.766500000000001</v>
      </c>
      <c r="AS152" s="42"/>
      <c r="AT152" s="41">
        <v>34.151400000000002</v>
      </c>
      <c r="AU152" s="41">
        <v>34.151400000000002</v>
      </c>
      <c r="AV152" s="41">
        <v>34.151400000000002</v>
      </c>
      <c r="AW152" s="42"/>
      <c r="AX152" s="50">
        <v>13.281000000000001</v>
      </c>
      <c r="AY152" s="50">
        <v>11.436999999999999</v>
      </c>
      <c r="BA152" s="55">
        <f t="shared" si="59"/>
        <v>-2.2606174115602506E-4</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28336</v>
      </c>
      <c r="BZ152">
        <f t="shared" si="62"/>
        <v>0</v>
      </c>
      <c r="CA152">
        <f t="shared" si="63"/>
        <v>28336</v>
      </c>
      <c r="CB152">
        <f t="shared" si="64"/>
        <v>0</v>
      </c>
      <c r="CC152">
        <f t="shared" si="65"/>
        <v>5.2000000000020918E-3</v>
      </c>
      <c r="CD152">
        <f t="shared" si="66"/>
        <v>4.8000000000030241E-3</v>
      </c>
      <c r="CE152">
        <f t="shared" si="67"/>
        <v>3.4399999999997988E-2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31.046677868642739</v>
      </c>
      <c r="K153" s="18">
        <f t="shared" si="51"/>
        <v>29.969428575284358</v>
      </c>
      <c r="L153" s="18">
        <f t="shared" si="52"/>
        <v>1.0770113362859473</v>
      </c>
      <c r="M153" s="19"/>
      <c r="N153" s="18">
        <f t="shared" si="53"/>
        <v>31.046677868642739</v>
      </c>
      <c r="O153" s="20">
        <v>3630907</v>
      </c>
      <c r="P153" s="21">
        <v>112727600</v>
      </c>
      <c r="Q153" s="21">
        <v>108816208</v>
      </c>
      <c r="R153" s="21">
        <v>3910528</v>
      </c>
      <c r="S153" s="37"/>
      <c r="T153" s="38">
        <v>35.573099999999997</v>
      </c>
      <c r="U153" s="38">
        <v>42.145600000000002</v>
      </c>
      <c r="V153" s="38">
        <v>42.835700000000003</v>
      </c>
      <c r="W153" s="39"/>
      <c r="X153" s="38">
        <v>28.130800000000001</v>
      </c>
      <c r="Y153" s="38">
        <v>28.130800000000001</v>
      </c>
      <c r="Z153" s="38">
        <v>28.130800000000001</v>
      </c>
      <c r="AA153" s="39"/>
      <c r="AB153" s="49">
        <v>13.170999999999999</v>
      </c>
      <c r="AC153" s="49">
        <v>11.25</v>
      </c>
      <c r="AE153" s="17" t="str">
        <f t="shared" si="54"/>
        <v>·</v>
      </c>
      <c r="AF153" s="18">
        <f t="shared" si="55"/>
        <v>31.053329650139759</v>
      </c>
      <c r="AG153" s="18">
        <f t="shared" si="56"/>
        <v>29.969428575284358</v>
      </c>
      <c r="AH153" s="18">
        <f t="shared" si="57"/>
        <v>1.0836631177829672</v>
      </c>
      <c r="AI153" s="19"/>
      <c r="AJ153" s="18">
        <f t="shared" si="58"/>
        <v>31.053329650139759</v>
      </c>
      <c r="AK153" s="20">
        <v>3630907</v>
      </c>
      <c r="AL153" s="21">
        <v>112751752</v>
      </c>
      <c r="AM153" s="21">
        <v>108816208</v>
      </c>
      <c r="AN153" s="21">
        <v>3934680</v>
      </c>
      <c r="AO153" s="37"/>
      <c r="AP153" s="38">
        <v>35.570599999999999</v>
      </c>
      <c r="AQ153" s="38">
        <v>42.186599999999999</v>
      </c>
      <c r="AR153" s="38">
        <v>42.941200000000002</v>
      </c>
      <c r="AS153" s="39"/>
      <c r="AT153" s="38">
        <v>28.130800000000001</v>
      </c>
      <c r="AU153" s="38">
        <v>28.130800000000001</v>
      </c>
      <c r="AV153" s="38">
        <v>28.130800000000001</v>
      </c>
      <c r="AW153" s="39"/>
      <c r="AX153" s="49">
        <v>13.327999999999999</v>
      </c>
      <c r="AY153" s="49">
        <v>11.452999999999999</v>
      </c>
      <c r="BA153" s="53">
        <f t="shared" si="59"/>
        <v>-2.0677266627544544E-4</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24152</v>
      </c>
      <c r="BZ153">
        <f t="shared" si="62"/>
        <v>0</v>
      </c>
      <c r="CA153">
        <f t="shared" si="63"/>
        <v>24152</v>
      </c>
      <c r="CB153">
        <f t="shared" si="64"/>
        <v>0</v>
      </c>
      <c r="CC153">
        <f t="shared" si="65"/>
        <v>-2.4999999999977263E-3</v>
      </c>
      <c r="CD153">
        <f t="shared" si="66"/>
        <v>4.0999999999996817E-2</v>
      </c>
      <c r="CE153">
        <f t="shared" si="67"/>
        <v>0.10549999999999926</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30.352235405643825</v>
      </c>
      <c r="K154" s="33">
        <f t="shared" si="51"/>
        <v>29.969428575284358</v>
      </c>
      <c r="L154" s="33">
        <f t="shared" si="52"/>
        <v>0.38256887328703271</v>
      </c>
      <c r="M154" s="34"/>
      <c r="N154" s="33">
        <f t="shared" si="53"/>
        <v>30.352235405643825</v>
      </c>
      <c r="O154" s="35">
        <v>3630907</v>
      </c>
      <c r="P154" s="36">
        <v>110206144</v>
      </c>
      <c r="Q154" s="36">
        <v>108816208</v>
      </c>
      <c r="R154" s="36">
        <v>1389072</v>
      </c>
      <c r="S154" s="46"/>
      <c r="T154" s="47">
        <v>29.463000000000001</v>
      </c>
      <c r="U154" s="47">
        <v>38.140700000000002</v>
      </c>
      <c r="V154" s="47">
        <v>37.133400000000002</v>
      </c>
      <c r="W154" s="48"/>
      <c r="X154" s="47">
        <v>21.686399999999999</v>
      </c>
      <c r="Y154" s="47">
        <v>21.686399999999999</v>
      </c>
      <c r="Z154" s="47">
        <v>21.686399999999999</v>
      </c>
      <c r="AA154" s="48"/>
      <c r="AB154" s="52">
        <v>13.125</v>
      </c>
      <c r="AC154" s="52">
        <v>11.234</v>
      </c>
      <c r="AE154" s="32" t="str">
        <f t="shared" si="54"/>
        <v>·</v>
      </c>
      <c r="AF154" s="33">
        <f t="shared" si="55"/>
        <v>30.355145973168689</v>
      </c>
      <c r="AG154" s="33">
        <f t="shared" si="56"/>
        <v>29.969428575284358</v>
      </c>
      <c r="AH154" s="33">
        <f t="shared" si="57"/>
        <v>0.38547944081189633</v>
      </c>
      <c r="AI154" s="34"/>
      <c r="AJ154" s="33">
        <f t="shared" si="58"/>
        <v>30.355145973168689</v>
      </c>
      <c r="AK154" s="35">
        <v>3630907</v>
      </c>
      <c r="AL154" s="36">
        <v>110216712</v>
      </c>
      <c r="AM154" s="36">
        <v>108816208</v>
      </c>
      <c r="AN154" s="36">
        <v>1399640</v>
      </c>
      <c r="AO154" s="46"/>
      <c r="AP154" s="47">
        <v>29.535</v>
      </c>
      <c r="AQ154" s="47">
        <v>38.188800000000001</v>
      </c>
      <c r="AR154" s="47">
        <v>37.614100000000001</v>
      </c>
      <c r="AS154" s="48"/>
      <c r="AT154" s="47">
        <v>21.686399999999999</v>
      </c>
      <c r="AU154" s="47">
        <v>21.686399999999999</v>
      </c>
      <c r="AV154" s="47">
        <v>21.686399999999999</v>
      </c>
      <c r="AW154" s="48"/>
      <c r="AX154" s="52">
        <v>13.093</v>
      </c>
      <c r="AY154" s="52">
        <v>11.359</v>
      </c>
      <c r="BA154" s="59">
        <f t="shared" si="59"/>
        <v>-9.467452484868133E-5</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10568</v>
      </c>
      <c r="BZ154">
        <f t="shared" si="62"/>
        <v>0</v>
      </c>
      <c r="CA154">
        <f t="shared" si="63"/>
        <v>10568</v>
      </c>
      <c r="CB154">
        <f t="shared" si="64"/>
        <v>0</v>
      </c>
      <c r="CC154">
        <f t="shared" si="65"/>
        <v>7.1999999999999176E-2</v>
      </c>
      <c r="CD154">
        <f t="shared" si="66"/>
        <v>4.8099999999998033E-2</v>
      </c>
      <c r="CE154">
        <f t="shared" si="67"/>
        <v>0.48069999999999879</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32.68266010652296</v>
      </c>
      <c r="K155" s="18">
        <f t="shared" si="51"/>
        <v>26.505209825756403</v>
      </c>
      <c r="L155" s="18">
        <f t="shared" si="52"/>
        <v>6.1773316414877852</v>
      </c>
      <c r="M155" s="19"/>
      <c r="N155" s="18">
        <f t="shared" si="53"/>
        <v>32.68266010652296</v>
      </c>
      <c r="O155" s="20">
        <v>14025709</v>
      </c>
      <c r="P155" s="21">
        <v>458397480</v>
      </c>
      <c r="Q155" s="21">
        <v>371754360</v>
      </c>
      <c r="R155" s="21">
        <v>86641456</v>
      </c>
      <c r="S155" s="37"/>
      <c r="T155" s="38">
        <v>52.799500000000002</v>
      </c>
      <c r="U155" s="38">
        <v>56.1706</v>
      </c>
      <c r="V155" s="38">
        <v>55.940899999999999</v>
      </c>
      <c r="W155" s="39"/>
      <c r="X155" s="38">
        <v>48.130800000000001</v>
      </c>
      <c r="Y155" s="38">
        <v>48.130800000000001</v>
      </c>
      <c r="Z155" s="38">
        <v>48.130800000000001</v>
      </c>
      <c r="AA155" s="39"/>
      <c r="AB155" s="49">
        <v>52.953000000000003</v>
      </c>
      <c r="AC155" s="49">
        <v>45.420999999999999</v>
      </c>
      <c r="AE155" s="17" t="str">
        <f t="shared" si="54"/>
        <v>·</v>
      </c>
      <c r="AF155" s="18">
        <f t="shared" si="55"/>
        <v>32.721880655017152</v>
      </c>
      <c r="AG155" s="18">
        <f t="shared" si="56"/>
        <v>26.505209825756403</v>
      </c>
      <c r="AH155" s="18">
        <f t="shared" si="57"/>
        <v>6.2165521899819822</v>
      </c>
      <c r="AI155" s="19"/>
      <c r="AJ155" s="18">
        <f t="shared" si="58"/>
        <v>32.721880655017152</v>
      </c>
      <c r="AK155" s="20">
        <v>14025709</v>
      </c>
      <c r="AL155" s="21">
        <v>458947576</v>
      </c>
      <c r="AM155" s="21">
        <v>371754360</v>
      </c>
      <c r="AN155" s="21">
        <v>87191552</v>
      </c>
      <c r="AO155" s="37"/>
      <c r="AP155" s="38">
        <v>52.821800000000003</v>
      </c>
      <c r="AQ155" s="38">
        <v>56.186199999999999</v>
      </c>
      <c r="AR155" s="38">
        <v>55.9557</v>
      </c>
      <c r="AS155" s="39"/>
      <c r="AT155" s="38">
        <v>48.130800000000001</v>
      </c>
      <c r="AU155" s="38">
        <v>48.130800000000001</v>
      </c>
      <c r="AV155" s="38">
        <v>48.130800000000001</v>
      </c>
      <c r="AW155" s="39"/>
      <c r="AX155" s="49">
        <v>53.328000000000003</v>
      </c>
      <c r="AY155" s="49">
        <v>45.795999999999999</v>
      </c>
      <c r="BA155" s="53">
        <f t="shared" si="59"/>
        <v>-9.7205145760514977E-4</v>
      </c>
      <c r="BB155" s="53">
        <f t="array" ref="BB155">AVERAGE(AM155:AM159/AL155:AL159)-AVERAGE(Q155:Q159/P155:P159)</f>
        <v>-9.6716984781930471E-4</v>
      </c>
      <c r="BD155" s="54">
        <f>IF(OR(ISBLANK(R155:R159),ISBLANK(AN155:AN159),ISBLANK(T155:T159),ISBLANK(AP155:AP159)),"·",bdRateExtend(R155:R159,T155:T159,AN155:AN159,AP155:AP159))</f>
        <v>1.0091552632313761E-2</v>
      </c>
      <c r="BE155" s="54">
        <f>IF(OR(ISBLANK(R155:R159),ISBLANK(AN155:AN159),ISBLANK(U155:U159),ISBLANK(AQ155:AQ159)),"·",bdRateExtend(R155:R159,U155:U159,AN155:AN159,AQ155:AQ159))</f>
        <v>7.6716516119934575E-3</v>
      </c>
      <c r="BF155" s="54">
        <f>IF(OR(ISBLANK(R155:R159),ISBLANK(AN155:AN159),ISBLANK(V155:V159),ISBLANK(AR155:AR159)),"·",bdRateExtend(R155:R159,V155:V159,AN155:AN159,AR155:AR159))</f>
        <v>5.8282533443310136E-3</v>
      </c>
      <c r="BG155" s="61"/>
      <c r="BI155" s="54">
        <f>IF(OR(ISBLANK(R155:R159),ISBLANK(AN155:AN159),ISBLANK(X155:X159),ISBLANK(AT155:AT159)),"·",bdRateExtend(R155:R159,X155:X159,AN155:AN159,AT155:AT159))</f>
        <v>1.452295296621231E-2</v>
      </c>
      <c r="BJ155" s="54">
        <f>IF(OR(ISBLANK(R155:R159),ISBLANK(AN155:AN159),ISBLANK(Y155:Y159),ISBLANK(AU155:AU159)),"·",bdRateExtend(R155:R159,Y155:Y159,AN155:AN159,AU155:AU159))</f>
        <v>1.452295296621231E-2</v>
      </c>
      <c r="BK155" s="54">
        <f>IF(OR(ISBLANK(R155:R159),ISBLANK(AN155:AN159),ISBLANK(Z155:Z159),ISBLANK(AV155:AV159)),"·",bdRateExtend(R155:R159,Z155:Z159,AN155:AN159,AV155:AV159))</f>
        <v>1.452295296621231E-2</v>
      </c>
      <c r="BL155" s="61"/>
      <c r="BN155" s="54">
        <f>IF(OR(ISBLANK(P155:P159),ISBLANK(AL155:AL159),ISBLANK(T155:T159),ISBLANK(AP155:AP159)),"·",bdRateExtend(P155:P159,T155:T159,AL155:AL159,AP155:AP159))</f>
        <v>8.379520695755982E-4</v>
      </c>
      <c r="BO155" s="54">
        <f>IF(OR(ISBLANK(P155:P159),ISBLANK(AL155:AL159),ISBLANK(U155:U159),ISBLANK(AQ155:AQ159)),"·",bdRateExtend(P155:P159,U155:U159,AL155:AL159,AQ155:AQ159))</f>
        <v>7.5870632862895526E-4</v>
      </c>
      <c r="BP155" s="54">
        <f>IF(OR(ISBLANK(P155:P159),ISBLANK(AL155:AL159),ISBLANK(V155:V159),ISBLANK(AR155:AR159)),"·",bdRateExtend(P155:P159,V155:V159,AL155:AL159,AR155:AR159))</f>
        <v>6.1591913199010584E-4</v>
      </c>
      <c r="BQ155" s="61"/>
      <c r="BS155" s="54">
        <f>IF(OR(ISBLANK(P155:P159),ISBLANK(AL155:AL159),ISBLANK(X155:X159),ISBLANK(AT155:AT159)),"·",bdRateExtend(P155:P159,X155:X159,AL155:AL159,AT155:AT159))</f>
        <v>1.108323997255356E-3</v>
      </c>
      <c r="BT155" s="54">
        <f>IF(OR(ISBLANK(P155:P159),ISBLANK(AL155:AL159),ISBLANK(Y155:Y159),ISBLANK(AU155:AU159)),"·",bdRateExtend(P155:P159,Y155:Y159,AL155:AL159,AU155:AU159))</f>
        <v>1.108323997255356E-3</v>
      </c>
      <c r="BU155" s="54">
        <f>IF(OR(ISBLANK(P155:P159),ISBLANK(AL155:AL159),ISBLANK(Z155:Z159),ISBLANK(AV155:AV159)),"·",bdRateExtend(P155:P159,Z155:Z159,AL155:AL159,AV155:AV159))</f>
        <v>1.108323997255356E-3</v>
      </c>
      <c r="BV155" s="61"/>
      <c r="BX155">
        <f t="shared" si="60"/>
        <v>0</v>
      </c>
      <c r="BY155">
        <f t="shared" si="61"/>
        <v>550096</v>
      </c>
      <c r="BZ155">
        <f t="shared" si="62"/>
        <v>0</v>
      </c>
      <c r="CA155">
        <f t="shared" si="63"/>
        <v>550096</v>
      </c>
      <c r="CB155">
        <f t="shared" si="64"/>
        <v>0</v>
      </c>
      <c r="CC155">
        <f t="shared" si="65"/>
        <v>2.2300000000001319E-2</v>
      </c>
      <c r="CD155">
        <f t="shared" si="66"/>
        <v>1.559999999999917E-2</v>
      </c>
      <c r="CE155">
        <f t="shared" si="67"/>
        <v>1.4800000000001035E-2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30.924741986305293</v>
      </c>
      <c r="K156" s="23">
        <f t="shared" si="51"/>
        <v>26.505209825756403</v>
      </c>
      <c r="L156" s="23">
        <f t="shared" si="52"/>
        <v>4.4194135212701191</v>
      </c>
      <c r="M156" s="24"/>
      <c r="N156" s="23">
        <f t="shared" si="53"/>
        <v>30.924741986305293</v>
      </c>
      <c r="O156" s="25">
        <v>14025709</v>
      </c>
      <c r="P156" s="26">
        <v>433741432</v>
      </c>
      <c r="Q156" s="26">
        <v>371754360</v>
      </c>
      <c r="R156" s="26">
        <v>61985408</v>
      </c>
      <c r="S156" s="40"/>
      <c r="T156" s="41">
        <v>47.974499999999999</v>
      </c>
      <c r="U156" s="41">
        <v>51.537399999999998</v>
      </c>
      <c r="V156" s="41">
        <v>51.741799999999998</v>
      </c>
      <c r="W156" s="42"/>
      <c r="X156" s="41">
        <v>42.110199999999999</v>
      </c>
      <c r="Y156" s="41">
        <v>42.110199999999999</v>
      </c>
      <c r="Z156" s="41">
        <v>42.110199999999999</v>
      </c>
      <c r="AA156" s="42"/>
      <c r="AB156" s="50">
        <v>52.686999999999998</v>
      </c>
      <c r="AC156" s="50">
        <v>45.186999999999998</v>
      </c>
      <c r="AE156" s="22" t="str">
        <f t="shared" si="54"/>
        <v>·</v>
      </c>
      <c r="AF156" s="23">
        <f t="shared" si="55"/>
        <v>30.962688303315005</v>
      </c>
      <c r="AG156" s="23">
        <f t="shared" si="56"/>
        <v>26.505209825756403</v>
      </c>
      <c r="AH156" s="23">
        <f t="shared" si="57"/>
        <v>4.4573598382798334</v>
      </c>
      <c r="AI156" s="24"/>
      <c r="AJ156" s="23">
        <f t="shared" si="58"/>
        <v>30.962688303315005</v>
      </c>
      <c r="AK156" s="25">
        <v>14025709</v>
      </c>
      <c r="AL156" s="26">
        <v>434273656</v>
      </c>
      <c r="AM156" s="26">
        <v>371754360</v>
      </c>
      <c r="AN156" s="26">
        <v>62517632</v>
      </c>
      <c r="AO156" s="40"/>
      <c r="AP156" s="41">
        <v>47.99</v>
      </c>
      <c r="AQ156" s="41">
        <v>51.55</v>
      </c>
      <c r="AR156" s="41">
        <v>51.757899999999999</v>
      </c>
      <c r="AS156" s="42"/>
      <c r="AT156" s="41">
        <v>42.110199999999999</v>
      </c>
      <c r="AU156" s="41">
        <v>42.110199999999999</v>
      </c>
      <c r="AV156" s="41">
        <v>42.110199999999999</v>
      </c>
      <c r="AW156" s="42"/>
      <c r="AX156" s="50">
        <v>52.936999999999998</v>
      </c>
      <c r="AY156" s="50">
        <v>45.718000000000004</v>
      </c>
      <c r="BA156" s="55">
        <f t="shared" si="59"/>
        <v>-1.0504034306231258E-3</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532224</v>
      </c>
      <c r="BZ156">
        <f t="shared" si="62"/>
        <v>0</v>
      </c>
      <c r="CA156">
        <f t="shared" si="63"/>
        <v>532224</v>
      </c>
      <c r="CB156">
        <f t="shared" si="64"/>
        <v>0</v>
      </c>
      <c r="CC156">
        <f t="shared" si="65"/>
        <v>1.5500000000002956E-2</v>
      </c>
      <c r="CD156">
        <f t="shared" si="66"/>
        <v>1.2599999999999056E-2</v>
      </c>
      <c r="CE156">
        <f t="shared" si="67"/>
        <v>1.6100000000001558E-2</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29.076282133045822</v>
      </c>
      <c r="K157" s="18">
        <f t="shared" si="51"/>
        <v>26.505209825756403</v>
      </c>
      <c r="L157" s="18">
        <f t="shared" si="52"/>
        <v>2.5709536680106511</v>
      </c>
      <c r="M157" s="19"/>
      <c r="N157" s="18">
        <f t="shared" si="53"/>
        <v>29.076282133045822</v>
      </c>
      <c r="O157" s="20">
        <v>14025709</v>
      </c>
      <c r="P157" s="21">
        <v>407815472</v>
      </c>
      <c r="Q157" s="21">
        <v>371754360</v>
      </c>
      <c r="R157" s="21">
        <v>36059448</v>
      </c>
      <c r="S157" s="37"/>
      <c r="T157" s="38">
        <v>40.985199999999999</v>
      </c>
      <c r="U157" s="38">
        <v>46.267099999999999</v>
      </c>
      <c r="V157" s="38">
        <v>46.920699999999997</v>
      </c>
      <c r="W157" s="39"/>
      <c r="X157" s="38">
        <v>34.151400000000002</v>
      </c>
      <c r="Y157" s="38">
        <v>34.151400000000002</v>
      </c>
      <c r="Z157" s="38">
        <v>34.151400000000002</v>
      </c>
      <c r="AA157" s="39"/>
      <c r="AB157" s="49">
        <v>52.530999999999999</v>
      </c>
      <c r="AC157" s="49">
        <v>45.045999999999999</v>
      </c>
      <c r="AE157" s="17" t="str">
        <f t="shared" si="54"/>
        <v>·</v>
      </c>
      <c r="AF157" s="18">
        <f t="shared" si="55"/>
        <v>29.11052952831119</v>
      </c>
      <c r="AG157" s="18">
        <f t="shared" si="56"/>
        <v>26.505209825756403</v>
      </c>
      <c r="AH157" s="18">
        <f t="shared" si="57"/>
        <v>2.605201063276017</v>
      </c>
      <c r="AI157" s="19"/>
      <c r="AJ157" s="18">
        <f t="shared" si="58"/>
        <v>29.11052952831119</v>
      </c>
      <c r="AK157" s="20">
        <v>14025709</v>
      </c>
      <c r="AL157" s="21">
        <v>408295816</v>
      </c>
      <c r="AM157" s="21">
        <v>371754360</v>
      </c>
      <c r="AN157" s="21">
        <v>36539792</v>
      </c>
      <c r="AO157" s="37"/>
      <c r="AP157" s="38">
        <v>41.015900000000002</v>
      </c>
      <c r="AQ157" s="38">
        <v>46.292499999999997</v>
      </c>
      <c r="AR157" s="38">
        <v>46.948999999999998</v>
      </c>
      <c r="AS157" s="39"/>
      <c r="AT157" s="38">
        <v>34.151400000000002</v>
      </c>
      <c r="AU157" s="38">
        <v>34.151400000000002</v>
      </c>
      <c r="AV157" s="38">
        <v>34.151400000000002</v>
      </c>
      <c r="AW157" s="39"/>
      <c r="AX157" s="49">
        <v>52.859000000000002</v>
      </c>
      <c r="AY157" s="49">
        <v>45.375</v>
      </c>
      <c r="BA157" s="53">
        <f t="shared" si="59"/>
        <v>-1.0724321205728415E-3</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480344</v>
      </c>
      <c r="BZ157">
        <f t="shared" si="62"/>
        <v>0</v>
      </c>
      <c r="CA157">
        <f t="shared" si="63"/>
        <v>480344</v>
      </c>
      <c r="CB157">
        <f t="shared" si="64"/>
        <v>0</v>
      </c>
      <c r="CC157">
        <f t="shared" si="65"/>
        <v>3.0700000000003058E-2</v>
      </c>
      <c r="CD157">
        <f t="shared" si="66"/>
        <v>2.5399999999997647E-2</v>
      </c>
      <c r="CE157">
        <f t="shared" si="67"/>
        <v>2.8300000000001546E-2</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28.005999554104537</v>
      </c>
      <c r="K158" s="23">
        <f t="shared" si="51"/>
        <v>26.505209825756403</v>
      </c>
      <c r="L158" s="23">
        <f t="shared" si="52"/>
        <v>1.5006710890693653</v>
      </c>
      <c r="M158" s="24"/>
      <c r="N158" s="23">
        <f t="shared" si="53"/>
        <v>28.005999554104537</v>
      </c>
      <c r="O158" s="25">
        <v>14025709</v>
      </c>
      <c r="P158" s="26">
        <v>392804000</v>
      </c>
      <c r="Q158" s="26">
        <v>371754360</v>
      </c>
      <c r="R158" s="26">
        <v>21047976</v>
      </c>
      <c r="S158" s="40"/>
      <c r="T158" s="41">
        <v>35.442999999999998</v>
      </c>
      <c r="U158" s="41">
        <v>41.585900000000002</v>
      </c>
      <c r="V158" s="41">
        <v>42.606099999999998</v>
      </c>
      <c r="W158" s="42"/>
      <c r="X158" s="41">
        <v>28.130800000000001</v>
      </c>
      <c r="Y158" s="41">
        <v>28.130800000000001</v>
      </c>
      <c r="Z158" s="41">
        <v>28.130800000000001</v>
      </c>
      <c r="AA158" s="42"/>
      <c r="AB158" s="50">
        <v>52.420999999999999</v>
      </c>
      <c r="AC158" s="50">
        <v>44.953000000000003</v>
      </c>
      <c r="AE158" s="22" t="str">
        <f t="shared" si="54"/>
        <v>·</v>
      </c>
      <c r="AF158" s="23">
        <f t="shared" si="55"/>
        <v>28.03322669820114</v>
      </c>
      <c r="AG158" s="23">
        <f t="shared" si="56"/>
        <v>26.505209825756403</v>
      </c>
      <c r="AH158" s="23">
        <f t="shared" si="57"/>
        <v>1.527898233165967</v>
      </c>
      <c r="AI158" s="24"/>
      <c r="AJ158" s="23">
        <f t="shared" si="58"/>
        <v>28.03322669820114</v>
      </c>
      <c r="AK158" s="25">
        <v>14025709</v>
      </c>
      <c r="AL158" s="26">
        <v>393185880</v>
      </c>
      <c r="AM158" s="26">
        <v>371754360</v>
      </c>
      <c r="AN158" s="26">
        <v>21429856</v>
      </c>
      <c r="AO158" s="40"/>
      <c r="AP158" s="41">
        <v>35.493299999999998</v>
      </c>
      <c r="AQ158" s="41">
        <v>41.66</v>
      </c>
      <c r="AR158" s="41">
        <v>42.728400000000001</v>
      </c>
      <c r="AS158" s="42"/>
      <c r="AT158" s="41">
        <v>28.130800000000001</v>
      </c>
      <c r="AU158" s="41">
        <v>28.130800000000001</v>
      </c>
      <c r="AV158" s="41">
        <v>28.130800000000001</v>
      </c>
      <c r="AW158" s="42"/>
      <c r="AX158" s="50">
        <v>52.375</v>
      </c>
      <c r="AY158" s="50">
        <v>45.203000000000003</v>
      </c>
      <c r="BA158" s="55">
        <f t="shared" si="59"/>
        <v>-9.1919820966035459E-4</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381880</v>
      </c>
      <c r="BZ158">
        <f t="shared" si="62"/>
        <v>0</v>
      </c>
      <c r="CA158">
        <f t="shared" si="63"/>
        <v>381880</v>
      </c>
      <c r="CB158">
        <f t="shared" si="64"/>
        <v>0</v>
      </c>
      <c r="CC158">
        <f t="shared" si="65"/>
        <v>5.0300000000000011E-2</v>
      </c>
      <c r="CD158">
        <f t="shared" si="66"/>
        <v>7.4099999999994282E-2</v>
      </c>
      <c r="CE158">
        <f t="shared" si="67"/>
        <v>0.12230000000000274</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27.175676324098838</v>
      </c>
      <c r="K159" s="28">
        <f t="shared" si="51"/>
        <v>26.505209825756403</v>
      </c>
      <c r="L159" s="28">
        <f t="shared" si="52"/>
        <v>0.67034785906366656</v>
      </c>
      <c r="M159" s="29"/>
      <c r="N159" s="28">
        <f t="shared" si="53"/>
        <v>27.175676324098838</v>
      </c>
      <c r="O159" s="30">
        <v>14025709</v>
      </c>
      <c r="P159" s="31">
        <v>381158128</v>
      </c>
      <c r="Q159" s="31">
        <v>371754360</v>
      </c>
      <c r="R159" s="31">
        <v>9402104</v>
      </c>
      <c r="S159" s="43"/>
      <c r="T159" s="44">
        <v>29.393000000000001</v>
      </c>
      <c r="U159" s="44">
        <v>36.930900000000001</v>
      </c>
      <c r="V159" s="44">
        <v>37.810299999999998</v>
      </c>
      <c r="W159" s="45"/>
      <c r="X159" s="44">
        <v>21.686399999999999</v>
      </c>
      <c r="Y159" s="44">
        <v>21.686399999999999</v>
      </c>
      <c r="Z159" s="44">
        <v>21.686399999999999</v>
      </c>
      <c r="AA159" s="45"/>
      <c r="AB159" s="51">
        <v>52.234000000000002</v>
      </c>
      <c r="AC159" s="51">
        <v>44.828000000000003</v>
      </c>
      <c r="AE159" s="27" t="str">
        <f t="shared" si="54"/>
        <v>·</v>
      </c>
      <c r="AF159" s="28">
        <f t="shared" si="55"/>
        <v>27.198592527479359</v>
      </c>
      <c r="AG159" s="28">
        <f t="shared" si="56"/>
        <v>26.505209825756403</v>
      </c>
      <c r="AH159" s="28">
        <f t="shared" si="57"/>
        <v>0.69326406244418737</v>
      </c>
      <c r="AI159" s="29"/>
      <c r="AJ159" s="28">
        <f t="shared" si="58"/>
        <v>27.198592527479359</v>
      </c>
      <c r="AK159" s="30">
        <v>14025709</v>
      </c>
      <c r="AL159" s="31">
        <v>381479544</v>
      </c>
      <c r="AM159" s="31">
        <v>371754360</v>
      </c>
      <c r="AN159" s="31">
        <v>9723520</v>
      </c>
      <c r="AO159" s="43"/>
      <c r="AP159" s="44">
        <v>29.525600000000001</v>
      </c>
      <c r="AQ159" s="44">
        <v>37.082700000000003</v>
      </c>
      <c r="AR159" s="44">
        <v>37.938499999999998</v>
      </c>
      <c r="AS159" s="45"/>
      <c r="AT159" s="44">
        <v>21.686399999999999</v>
      </c>
      <c r="AU159" s="44">
        <v>21.686399999999999</v>
      </c>
      <c r="AV159" s="44">
        <v>21.686399999999999</v>
      </c>
      <c r="AW159" s="45"/>
      <c r="AX159" s="51">
        <v>52.375</v>
      </c>
      <c r="AY159" s="51">
        <v>45.061999999999998</v>
      </c>
      <c r="BA159" s="57">
        <f t="shared" si="59"/>
        <v>-8.2176402063594001E-4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321416</v>
      </c>
      <c r="BZ159">
        <f t="shared" si="62"/>
        <v>0</v>
      </c>
      <c r="CA159">
        <f t="shared" si="63"/>
        <v>321416</v>
      </c>
      <c r="CB159">
        <f t="shared" si="64"/>
        <v>0</v>
      </c>
      <c r="CC159">
        <f t="shared" si="65"/>
        <v>0.13260000000000005</v>
      </c>
      <c r="CD159">
        <f t="shared" si="66"/>
        <v>0.15180000000000149</v>
      </c>
      <c r="CE159">
        <f t="shared" si="67"/>
        <v>0.12819999999999965</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33.623951000954392</v>
      </c>
      <c r="K160" s="23">
        <f t="shared" si="51"/>
        <v>27.063079412694506</v>
      </c>
      <c r="L160" s="23">
        <f t="shared" si="52"/>
        <v>6.5606668323643085</v>
      </c>
      <c r="M160" s="24"/>
      <c r="N160" s="23">
        <f t="shared" si="53"/>
        <v>33.623951000954392</v>
      </c>
      <c r="O160" s="25">
        <v>5001077</v>
      </c>
      <c r="P160" s="26">
        <v>168155968</v>
      </c>
      <c r="Q160" s="26">
        <v>135344544</v>
      </c>
      <c r="R160" s="26">
        <v>32810400</v>
      </c>
      <c r="S160" s="40"/>
      <c r="T160" s="41">
        <v>53.152200000000001</v>
      </c>
      <c r="U160" s="41">
        <v>55.808300000000003</v>
      </c>
      <c r="V160" s="41">
        <v>55.137099999999997</v>
      </c>
      <c r="W160" s="42"/>
      <c r="X160" s="41">
        <v>48.130800000000001</v>
      </c>
      <c r="Y160" s="41">
        <v>48.130800000000001</v>
      </c>
      <c r="Z160" s="41">
        <v>48.130800000000001</v>
      </c>
      <c r="AA160" s="42"/>
      <c r="AB160" s="50">
        <v>18.343</v>
      </c>
      <c r="AC160" s="50">
        <v>15.75</v>
      </c>
      <c r="AE160" s="22" t="str">
        <f t="shared" si="54"/>
        <v>·</v>
      </c>
      <c r="AF160" s="23">
        <f t="shared" si="55"/>
        <v>33.666463443774212</v>
      </c>
      <c r="AG160" s="23">
        <f t="shared" si="56"/>
        <v>27.063079412694506</v>
      </c>
      <c r="AH160" s="23">
        <f t="shared" si="57"/>
        <v>6.6031792751841252</v>
      </c>
      <c r="AI160" s="24"/>
      <c r="AJ160" s="23">
        <f t="shared" si="58"/>
        <v>33.666463443774212</v>
      </c>
      <c r="AK160" s="25">
        <v>5001077</v>
      </c>
      <c r="AL160" s="26">
        <v>168368576</v>
      </c>
      <c r="AM160" s="26">
        <v>135344544</v>
      </c>
      <c r="AN160" s="26">
        <v>33023008</v>
      </c>
      <c r="AO160" s="40"/>
      <c r="AP160" s="41">
        <v>53.174999999999997</v>
      </c>
      <c r="AQ160" s="41">
        <v>55.8354</v>
      </c>
      <c r="AR160" s="41">
        <v>55.1633</v>
      </c>
      <c r="AS160" s="42"/>
      <c r="AT160" s="41">
        <v>48.130800000000001</v>
      </c>
      <c r="AU160" s="41">
        <v>48.130800000000001</v>
      </c>
      <c r="AV160" s="41">
        <v>48.130800000000001</v>
      </c>
      <c r="AW160" s="42"/>
      <c r="AX160" s="50">
        <v>18.452999999999999</v>
      </c>
      <c r="AY160" s="50">
        <v>15.89</v>
      </c>
      <c r="BA160" s="55">
        <f t="shared" si="59"/>
        <v>-1.0163587515452654E-3</v>
      </c>
      <c r="BB160" s="55">
        <f t="array" ref="BB160">AVERAGE(AM160:AM164/AL160:AL164)-AVERAGE(Q160:Q164/P160:P164)</f>
        <v>-1.0614811278808478E-3</v>
      </c>
      <c r="BD160" s="56">
        <f>IF(OR(ISBLANK(R160:R164),ISBLANK(AN160:AN164),ISBLANK(T160:T164),ISBLANK(AP160:AP164)),"·",bdRateExtend(R160:R164,T160:T164,AN160:AN164,AP160:AP164))</f>
        <v>1.7736447426546009E-2</v>
      </c>
      <c r="BE160" s="56">
        <f>IF(OR(ISBLANK(R160:R164),ISBLANK(AN160:AN164),ISBLANK(U160:U164),ISBLANK(AQ160:AQ164)),"·",bdRateExtend(R160:R164,U160:U164,AN160:AN164,AQ160:AQ164))</f>
        <v>1.0998973932969669E-2</v>
      </c>
      <c r="BF160" s="56">
        <f>IF(OR(ISBLANK(R160:R164),ISBLANK(AN160:AN164),ISBLANK(V160:V164),ISBLANK(AR160:AR164)),"·",bdRateExtend(R160:R164,V160:V164,AN160:AN164,AR160:AR164))</f>
        <v>2.1222071779395169E-2</v>
      </c>
      <c r="BG160" s="62"/>
      <c r="BI160" s="56">
        <f>IF(OR(ISBLANK(R160:R164),ISBLANK(AN160:AN164),ISBLANK(X160:X164),ISBLANK(AT160:AT164)),"·",bdRateExtend(R160:R164,X160:X164,AN160:AN164,AT160:AT164))</f>
        <v>1.7856158195598049E-2</v>
      </c>
      <c r="BJ160" s="56">
        <f>IF(OR(ISBLANK(R160:R164),ISBLANK(AN160:AN164),ISBLANK(Y160:Y164),ISBLANK(AU160:AU164)),"·",bdRateExtend(R160:R164,Y160:Y164,AN160:AN164,AU160:AU164))</f>
        <v>1.7856158195598049E-2</v>
      </c>
      <c r="BK160" s="56">
        <f>IF(OR(ISBLANK(R160:R164),ISBLANK(AN160:AN164),ISBLANK(Z160:Z164),ISBLANK(AV160:AV164)),"·",bdRateExtend(R160:R164,Z160:Z164,AN160:AN164,AV160:AV164))</f>
        <v>1.7856158195598049E-2</v>
      </c>
      <c r="BL160" s="62"/>
      <c r="BN160" s="56">
        <f>IF(OR(ISBLANK(P160:P164),ISBLANK(AL160:AL164),ISBLANK(T160:T164),ISBLANK(AP160:AP164)),"·",bdRateExtend(P160:P164,T160:T164,AL160:AL164,AP160:AP164))</f>
        <v>1.1617847156368821E-3</v>
      </c>
      <c r="BO160" s="56">
        <f>IF(OR(ISBLANK(P160:P164),ISBLANK(AL160:AL164),ISBLANK(U160:U164),ISBLANK(AQ160:AQ164)),"·",bdRateExtend(P160:P164,U160:U164,AL160:AL164,AQ160:AQ164))</f>
        <v>9.2178267534848146E-4</v>
      </c>
      <c r="BP160" s="56">
        <f>IF(OR(ISBLANK(P160:P164),ISBLANK(AL160:AL164),ISBLANK(V160:V164),ISBLANK(AR160:AR164)),"·",bdRateExtend(P160:P164,V160:V164,AL160:AL164,AR160:AR164))</f>
        <v>1.3261733359466454E-3</v>
      </c>
      <c r="BQ160" s="62"/>
      <c r="BS160" s="56">
        <f>IF(OR(ISBLANK(P160:P164),ISBLANK(AL160:AL164),ISBLANK(X160:X164),ISBLANK(AT160:AT164)),"·",bdRateExtend(P160:P164,X160:X164,AL160:AL164,AT160:AT164))</f>
        <v>1.2795309880981875E-3</v>
      </c>
      <c r="BT160" s="56">
        <f>IF(OR(ISBLANK(P160:P164),ISBLANK(AL160:AL164),ISBLANK(Y160:Y164),ISBLANK(AU160:AU164)),"·",bdRateExtend(P160:P164,Y160:Y164,AL160:AL164,AU160:AU164))</f>
        <v>1.2795309880981875E-3</v>
      </c>
      <c r="BU160" s="56">
        <f>IF(OR(ISBLANK(P160:P164),ISBLANK(AL160:AL164),ISBLANK(Z160:Z164),ISBLANK(AV160:AV164)),"·",bdRateExtend(P160:P164,Z160:Z164,AL160:AL164,AV160:AV164))</f>
        <v>1.2795309880981875E-3</v>
      </c>
      <c r="BV160" s="62"/>
      <c r="BX160">
        <f t="shared" si="60"/>
        <v>0</v>
      </c>
      <c r="BY160">
        <f t="shared" si="61"/>
        <v>212608</v>
      </c>
      <c r="BZ160">
        <f t="shared" si="62"/>
        <v>0</v>
      </c>
      <c r="CA160">
        <f t="shared" si="63"/>
        <v>212608</v>
      </c>
      <c r="CB160">
        <f t="shared" si="64"/>
        <v>0</v>
      </c>
      <c r="CC160">
        <f t="shared" si="65"/>
        <v>2.2799999999996601E-2</v>
      </c>
      <c r="CD160">
        <f t="shared" si="66"/>
        <v>2.7099999999997237E-2</v>
      </c>
      <c r="CE160">
        <f t="shared" si="67"/>
        <v>2.6200000000002888E-2</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31.634960229566552</v>
      </c>
      <c r="K161" s="18">
        <f t="shared" si="51"/>
        <v>27.063079412694506</v>
      </c>
      <c r="L161" s="18">
        <f t="shared" si="52"/>
        <v>4.5716760609764657</v>
      </c>
      <c r="M161" s="19"/>
      <c r="N161" s="18">
        <f t="shared" si="53"/>
        <v>31.634960229566552</v>
      </c>
      <c r="O161" s="20">
        <v>5001077</v>
      </c>
      <c r="P161" s="21">
        <v>158208872</v>
      </c>
      <c r="Q161" s="21">
        <v>135344544</v>
      </c>
      <c r="R161" s="21">
        <v>22863304</v>
      </c>
      <c r="S161" s="37"/>
      <c r="T161" s="38">
        <v>48.282499999999999</v>
      </c>
      <c r="U161" s="38">
        <v>51.290999999999997</v>
      </c>
      <c r="V161" s="38">
        <v>51.0062</v>
      </c>
      <c r="W161" s="39"/>
      <c r="X161" s="38">
        <v>42.110199999999999</v>
      </c>
      <c r="Y161" s="38">
        <v>42.110199999999999</v>
      </c>
      <c r="Z161" s="38">
        <v>42.110199999999999</v>
      </c>
      <c r="AA161" s="39"/>
      <c r="AB161" s="49">
        <v>18.280999999999999</v>
      </c>
      <c r="AC161" s="49">
        <v>15.609</v>
      </c>
      <c r="AE161" s="17" t="str">
        <f t="shared" si="54"/>
        <v>·</v>
      </c>
      <c r="AF161" s="18">
        <f t="shared" si="55"/>
        <v>31.679629007911696</v>
      </c>
      <c r="AG161" s="18">
        <f t="shared" si="56"/>
        <v>27.063079412694506</v>
      </c>
      <c r="AH161" s="18">
        <f t="shared" si="57"/>
        <v>4.6163448393216102</v>
      </c>
      <c r="AI161" s="19"/>
      <c r="AJ161" s="18">
        <f t="shared" si="58"/>
        <v>31.679629007911696</v>
      </c>
      <c r="AK161" s="20">
        <v>5001077</v>
      </c>
      <c r="AL161" s="21">
        <v>158432264</v>
      </c>
      <c r="AM161" s="21">
        <v>135344544</v>
      </c>
      <c r="AN161" s="21">
        <v>23086696</v>
      </c>
      <c r="AO161" s="37"/>
      <c r="AP161" s="38">
        <v>48.302</v>
      </c>
      <c r="AQ161" s="38">
        <v>51.310499999999998</v>
      </c>
      <c r="AR161" s="38">
        <v>51.0336</v>
      </c>
      <c r="AS161" s="39"/>
      <c r="AT161" s="38">
        <v>42.110199999999999</v>
      </c>
      <c r="AU161" s="38">
        <v>42.110199999999999</v>
      </c>
      <c r="AV161" s="38">
        <v>42.110199999999999</v>
      </c>
      <c r="AW161" s="39"/>
      <c r="AX161" s="49">
        <v>18.359000000000002</v>
      </c>
      <c r="AY161" s="49">
        <v>15.75</v>
      </c>
      <c r="BA161" s="53">
        <f t="shared" si="59"/>
        <v>-1.2062405030854872E-3</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223392</v>
      </c>
      <c r="BZ161">
        <f t="shared" si="62"/>
        <v>0</v>
      </c>
      <c r="CA161">
        <f t="shared" si="63"/>
        <v>223392</v>
      </c>
      <c r="CB161">
        <f t="shared" si="64"/>
        <v>0</v>
      </c>
      <c r="CC161">
        <f t="shared" si="65"/>
        <v>1.9500000000000739E-2</v>
      </c>
      <c r="CD161">
        <f t="shared" si="66"/>
        <v>1.9500000000000739E-2</v>
      </c>
      <c r="CE161">
        <f t="shared" si="67"/>
        <v>2.7400000000000091E-2</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29.518510512835537</v>
      </c>
      <c r="K162" s="23">
        <f t="shared" si="51"/>
        <v>27.063079412694506</v>
      </c>
      <c r="L162" s="23">
        <f t="shared" si="52"/>
        <v>2.4552263442454496</v>
      </c>
      <c r="M162" s="24"/>
      <c r="N162" s="23">
        <f t="shared" si="53"/>
        <v>29.518510512835537</v>
      </c>
      <c r="O162" s="25">
        <v>5001077</v>
      </c>
      <c r="P162" s="26">
        <v>147624344</v>
      </c>
      <c r="Q162" s="26">
        <v>135344544</v>
      </c>
      <c r="R162" s="26">
        <v>12278776</v>
      </c>
      <c r="S162" s="40"/>
      <c r="T162" s="41">
        <v>41.316200000000002</v>
      </c>
      <c r="U162" s="41">
        <v>46.054099999999998</v>
      </c>
      <c r="V162" s="41">
        <v>46.060299999999998</v>
      </c>
      <c r="W162" s="42"/>
      <c r="X162" s="41">
        <v>34.151400000000002</v>
      </c>
      <c r="Y162" s="41">
        <v>34.151400000000002</v>
      </c>
      <c r="Z162" s="41">
        <v>34.151400000000002</v>
      </c>
      <c r="AA162" s="42"/>
      <c r="AB162" s="50">
        <v>18.062000000000001</v>
      </c>
      <c r="AC162" s="50">
        <v>15.468</v>
      </c>
      <c r="AE162" s="22" t="str">
        <f t="shared" si="54"/>
        <v>·</v>
      </c>
      <c r="AF162" s="23">
        <f t="shared" si="55"/>
        <v>29.558652266301838</v>
      </c>
      <c r="AG162" s="23">
        <f t="shared" si="56"/>
        <v>27.063079412694506</v>
      </c>
      <c r="AH162" s="23">
        <f t="shared" si="57"/>
        <v>2.4953680977117529</v>
      </c>
      <c r="AI162" s="24"/>
      <c r="AJ162" s="23">
        <f t="shared" si="58"/>
        <v>29.558652266301838</v>
      </c>
      <c r="AK162" s="25">
        <v>5001077</v>
      </c>
      <c r="AL162" s="26">
        <v>147825096</v>
      </c>
      <c r="AM162" s="26">
        <v>135344544</v>
      </c>
      <c r="AN162" s="26">
        <v>12479528</v>
      </c>
      <c r="AO162" s="40"/>
      <c r="AP162" s="41">
        <v>41.339100000000002</v>
      </c>
      <c r="AQ162" s="41">
        <v>46.0929</v>
      </c>
      <c r="AR162" s="41">
        <v>46.11</v>
      </c>
      <c r="AS162" s="42"/>
      <c r="AT162" s="41">
        <v>34.151400000000002</v>
      </c>
      <c r="AU162" s="41">
        <v>34.151400000000002</v>
      </c>
      <c r="AV162" s="41">
        <v>34.151400000000002</v>
      </c>
      <c r="AW162" s="42"/>
      <c r="AX162" s="50">
        <v>18.155999999999999</v>
      </c>
      <c r="AY162" s="50">
        <v>15.718</v>
      </c>
      <c r="BA162" s="55">
        <f t="shared" si="59"/>
        <v>-1.2450720483706545E-3</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200752</v>
      </c>
      <c r="BZ162">
        <f t="shared" si="62"/>
        <v>0</v>
      </c>
      <c r="CA162">
        <f t="shared" si="63"/>
        <v>200752</v>
      </c>
      <c r="CB162">
        <f t="shared" si="64"/>
        <v>0</v>
      </c>
      <c r="CC162">
        <f t="shared" si="65"/>
        <v>2.289999999999992E-2</v>
      </c>
      <c r="CD162">
        <f t="shared" si="66"/>
        <v>3.8800000000001944E-2</v>
      </c>
      <c r="CE162">
        <f t="shared" si="67"/>
        <v>4.970000000000141E-2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28.389748848098119</v>
      </c>
      <c r="K163" s="18">
        <f t="shared" si="51"/>
        <v>27.063079412694506</v>
      </c>
      <c r="L163" s="18">
        <f t="shared" si="52"/>
        <v>1.3264646795080339</v>
      </c>
      <c r="M163" s="19"/>
      <c r="N163" s="18">
        <f t="shared" si="53"/>
        <v>28.389748848098119</v>
      </c>
      <c r="O163" s="20">
        <v>5001077</v>
      </c>
      <c r="P163" s="21">
        <v>141979320</v>
      </c>
      <c r="Q163" s="21">
        <v>135344544</v>
      </c>
      <c r="R163" s="21">
        <v>6633752</v>
      </c>
      <c r="S163" s="37"/>
      <c r="T163" s="38">
        <v>35.917099999999998</v>
      </c>
      <c r="U163" s="38">
        <v>41.592300000000002</v>
      </c>
      <c r="V163" s="38">
        <v>41.721499999999999</v>
      </c>
      <c r="W163" s="39"/>
      <c r="X163" s="38">
        <v>28.130800000000001</v>
      </c>
      <c r="Y163" s="38">
        <v>28.130800000000001</v>
      </c>
      <c r="Z163" s="38">
        <v>28.130800000000001</v>
      </c>
      <c r="AA163" s="39"/>
      <c r="AB163" s="49">
        <v>18.030999999999999</v>
      </c>
      <c r="AC163" s="49">
        <v>15.406000000000001</v>
      </c>
      <c r="AE163" s="17" t="str">
        <f t="shared" si="54"/>
        <v>·</v>
      </c>
      <c r="AF163" s="18">
        <f t="shared" si="55"/>
        <v>28.426142608882046</v>
      </c>
      <c r="AG163" s="18">
        <f t="shared" si="56"/>
        <v>27.063079412694506</v>
      </c>
      <c r="AH163" s="18">
        <f t="shared" si="57"/>
        <v>1.362858440291961</v>
      </c>
      <c r="AI163" s="19"/>
      <c r="AJ163" s="18">
        <f t="shared" si="58"/>
        <v>28.426142608882046</v>
      </c>
      <c r="AK163" s="20">
        <v>5001077</v>
      </c>
      <c r="AL163" s="21">
        <v>142161328</v>
      </c>
      <c r="AM163" s="21">
        <v>135344544</v>
      </c>
      <c r="AN163" s="21">
        <v>6815760</v>
      </c>
      <c r="AO163" s="37"/>
      <c r="AP163" s="38">
        <v>35.905500000000004</v>
      </c>
      <c r="AQ163" s="38">
        <v>41.618699999999997</v>
      </c>
      <c r="AR163" s="38">
        <v>41.518999999999998</v>
      </c>
      <c r="AS163" s="39"/>
      <c r="AT163" s="38">
        <v>28.130800000000001</v>
      </c>
      <c r="AU163" s="38">
        <v>28.130800000000001</v>
      </c>
      <c r="AV163" s="38">
        <v>28.130800000000001</v>
      </c>
      <c r="AW163" s="39"/>
      <c r="AX163" s="49">
        <v>18.125</v>
      </c>
      <c r="AY163" s="49">
        <v>15.577999999999999</v>
      </c>
      <c r="BA163" s="53">
        <f t="shared" si="59"/>
        <v>-1.2204631386038001E-3</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182008</v>
      </c>
      <c r="BZ163">
        <f t="shared" si="62"/>
        <v>0</v>
      </c>
      <c r="CA163">
        <f t="shared" si="63"/>
        <v>182008</v>
      </c>
      <c r="CB163">
        <f t="shared" si="64"/>
        <v>0</v>
      </c>
      <c r="CC163">
        <f t="shared" si="65"/>
        <v>-1.1599999999994282E-2</v>
      </c>
      <c r="CD163">
        <f t="shared" si="66"/>
        <v>2.6399999999995316E-2</v>
      </c>
      <c r="CE163">
        <f t="shared" si="67"/>
        <v>-0.20250000000000057</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27.633386968446995</v>
      </c>
      <c r="K164" s="33">
        <f t="shared" si="51"/>
        <v>27.063079412694506</v>
      </c>
      <c r="L164" s="33">
        <f t="shared" si="52"/>
        <v>0.57010279985691081</v>
      </c>
      <c r="M164" s="34"/>
      <c r="N164" s="33">
        <f t="shared" si="53"/>
        <v>27.633386968446995</v>
      </c>
      <c r="O164" s="35">
        <v>5001077</v>
      </c>
      <c r="P164" s="36">
        <v>138196696</v>
      </c>
      <c r="Q164" s="36">
        <v>135344544</v>
      </c>
      <c r="R164" s="36">
        <v>2851128</v>
      </c>
      <c r="S164" s="46"/>
      <c r="T164" s="47">
        <v>30.004300000000001</v>
      </c>
      <c r="U164" s="47">
        <v>36.462299999999999</v>
      </c>
      <c r="V164" s="47">
        <v>36.731699999999996</v>
      </c>
      <c r="W164" s="48"/>
      <c r="X164" s="47">
        <v>21.686399999999999</v>
      </c>
      <c r="Y164" s="47">
        <v>21.686399999999999</v>
      </c>
      <c r="Z164" s="47">
        <v>21.686399999999999</v>
      </c>
      <c r="AA164" s="48"/>
      <c r="AB164" s="52">
        <v>18</v>
      </c>
      <c r="AC164" s="52">
        <v>15.343</v>
      </c>
      <c r="AE164" s="32" t="str">
        <f t="shared" si="54"/>
        <v>·</v>
      </c>
      <c r="AF164" s="33">
        <f t="shared" si="55"/>
        <v>27.650871202343016</v>
      </c>
      <c r="AG164" s="33">
        <f t="shared" si="56"/>
        <v>27.063079412694506</v>
      </c>
      <c r="AH164" s="33">
        <f t="shared" si="57"/>
        <v>0.58758703375292964</v>
      </c>
      <c r="AI164" s="34"/>
      <c r="AJ164" s="33">
        <f t="shared" si="58"/>
        <v>27.650871202343016</v>
      </c>
      <c r="AK164" s="35">
        <v>5001077</v>
      </c>
      <c r="AL164" s="36">
        <v>138284136</v>
      </c>
      <c r="AM164" s="36">
        <v>135344544</v>
      </c>
      <c r="AN164" s="36">
        <v>2938568</v>
      </c>
      <c r="AO164" s="46"/>
      <c r="AP164" s="47">
        <v>29.9878</v>
      </c>
      <c r="AQ164" s="47">
        <v>36.691800000000001</v>
      </c>
      <c r="AR164" s="47">
        <v>36.937899999999999</v>
      </c>
      <c r="AS164" s="48"/>
      <c r="AT164" s="47">
        <v>21.686399999999999</v>
      </c>
      <c r="AU164" s="47">
        <v>21.686399999999999</v>
      </c>
      <c r="AV164" s="47">
        <v>21.686399999999999</v>
      </c>
      <c r="AW164" s="48"/>
      <c r="AX164" s="52">
        <v>18.045999999999999</v>
      </c>
      <c r="AY164" s="52">
        <v>15.5</v>
      </c>
      <c r="BA164" s="59">
        <f t="shared" si="59"/>
        <v>-6.1927119779925377E-4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87440</v>
      </c>
      <c r="BZ164">
        <f t="shared" si="62"/>
        <v>0</v>
      </c>
      <c r="CA164">
        <f t="shared" si="63"/>
        <v>87440</v>
      </c>
      <c r="CB164">
        <f t="shared" si="64"/>
        <v>0</v>
      </c>
      <c r="CC164">
        <f t="shared" si="65"/>
        <v>-1.6500000000000625E-2</v>
      </c>
      <c r="CD164">
        <f t="shared" si="66"/>
        <v>0.22950000000000159</v>
      </c>
      <c r="CE164">
        <f t="shared" si="67"/>
        <v>0.2062000000000026</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11.781375612257358</v>
      </c>
      <c r="K165" s="18">
        <f t="shared" si="51"/>
        <v>4.0031617237838155</v>
      </c>
      <c r="L165" s="18">
        <f t="shared" si="52"/>
        <v>7.7781142610949496</v>
      </c>
      <c r="M165" s="19"/>
      <c r="N165" s="18">
        <f t="shared" si="53"/>
        <v>11.781375612257358</v>
      </c>
      <c r="O165" s="20">
        <v>71948094</v>
      </c>
      <c r="P165" s="21">
        <v>847647520</v>
      </c>
      <c r="Q165" s="21">
        <v>288019856</v>
      </c>
      <c r="R165" s="21">
        <v>559620496</v>
      </c>
      <c r="S165" s="37"/>
      <c r="T165" s="38">
        <v>52.878</v>
      </c>
      <c r="U165" s="38">
        <v>55.7851</v>
      </c>
      <c r="V165" s="38">
        <v>55.891599999999997</v>
      </c>
      <c r="W165" s="39"/>
      <c r="X165" s="38">
        <v>48.130800000000001</v>
      </c>
      <c r="Y165" s="38">
        <v>48.130800000000001</v>
      </c>
      <c r="Z165" s="38">
        <v>48.130800000000001</v>
      </c>
      <c r="AA165" s="39"/>
      <c r="AB165" s="49">
        <v>122.28100000000001</v>
      </c>
      <c r="AC165" s="49">
        <v>93.108999999999995</v>
      </c>
      <c r="AE165" s="17" t="str">
        <f t="shared" si="54"/>
        <v>·</v>
      </c>
      <c r="AF165" s="18">
        <f t="shared" si="55"/>
        <v>11.832306996207571</v>
      </c>
      <c r="AG165" s="18">
        <f t="shared" si="56"/>
        <v>4.0031617237838155</v>
      </c>
      <c r="AH165" s="18">
        <f t="shared" si="57"/>
        <v>7.8290456450451629</v>
      </c>
      <c r="AI165" s="19"/>
      <c r="AJ165" s="18">
        <f t="shared" si="58"/>
        <v>11.832306996207571</v>
      </c>
      <c r="AK165" s="20">
        <v>71948094</v>
      </c>
      <c r="AL165" s="21">
        <v>851311936</v>
      </c>
      <c r="AM165" s="21">
        <v>288019856</v>
      </c>
      <c r="AN165" s="21">
        <v>563284912</v>
      </c>
      <c r="AO165" s="37"/>
      <c r="AP165" s="38">
        <v>52.926600000000001</v>
      </c>
      <c r="AQ165" s="38">
        <v>55.8309</v>
      </c>
      <c r="AR165" s="38">
        <v>55.932299999999998</v>
      </c>
      <c r="AS165" s="39"/>
      <c r="AT165" s="38">
        <v>48.130800000000001</v>
      </c>
      <c r="AU165" s="38">
        <v>48.130800000000001</v>
      </c>
      <c r="AV165" s="38">
        <v>48.130800000000001</v>
      </c>
      <c r="AW165" s="39"/>
      <c r="AX165" s="49">
        <v>125.203</v>
      </c>
      <c r="AY165" s="49">
        <v>93.733999999999995</v>
      </c>
      <c r="BA165" s="53">
        <f t="shared" si="59"/>
        <v>-1.462591958810322E-3</v>
      </c>
      <c r="BB165" s="53">
        <f t="array" ref="BB165">AVERAGE(AM165:AM169/AL165:AL169)-AVERAGE(Q165:Q169/P165:P169)</f>
        <v>-1.9435966063178212E-3</v>
      </c>
      <c r="BD165" s="54">
        <f>IF(OR(ISBLANK(R165:R169),ISBLANK(AN165:AN169),ISBLANK(T165:T169),ISBLANK(AP165:AP169)),"·",bdRateExtend(R165:R169,T165:T169,AN165:AN169,AP165:AP169))</f>
        <v>3.0573222379386422E-3</v>
      </c>
      <c r="BE165" s="54">
        <f>IF(OR(ISBLANK(R165:R169),ISBLANK(AN165:AN169),ISBLANK(U165:U169),ISBLANK(AQ165:AQ169)),"·",bdRateExtend(R165:R169,U165:U169,AN165:AN169,AQ165:AQ169))</f>
        <v>-1.1589775627369736E-3</v>
      </c>
      <c r="BF165" s="54">
        <f>IF(OR(ISBLANK(R165:R169),ISBLANK(AN165:AN169),ISBLANK(V165:V169),ISBLANK(AR165:AR169)),"·",bdRateExtend(R165:R169,V165:V169,AN165:AN169,AR165:AR169))</f>
        <v>5.0684228477404503E-4</v>
      </c>
      <c r="BG165" s="61"/>
      <c r="BI165" s="54">
        <f>IF(OR(ISBLANK(R165:R169),ISBLANK(AN165:AN169),ISBLANK(X165:X169),ISBLANK(AT165:AT169)),"·",bdRateExtend(R165:R169,X165:X169,AN165:AN169,AT165:AT169))</f>
        <v>8.9055935205422099E-3</v>
      </c>
      <c r="BJ165" s="54">
        <f>IF(OR(ISBLANK(R165:R169),ISBLANK(AN165:AN169),ISBLANK(Y165:Y169),ISBLANK(AU165:AU169)),"·",bdRateExtend(R165:R169,Y165:Y169,AN165:AN169,AU165:AU169))</f>
        <v>8.9055935205422099E-3</v>
      </c>
      <c r="BK165" s="54">
        <f>IF(OR(ISBLANK(R165:R169),ISBLANK(AN165:AN169),ISBLANK(Z165:Z169),ISBLANK(AV165:AV169)),"·",bdRateExtend(R165:R169,Z165:Z169,AN165:AN169,AV165:AV169))</f>
        <v>8.9055935205422099E-3</v>
      </c>
      <c r="BL165" s="61"/>
      <c r="BN165" s="54">
        <f>IF(OR(ISBLANK(P165:P169),ISBLANK(AL165:AL169),ISBLANK(T165:T169),ISBLANK(AP165:AP169)),"·",bdRateExtend(P165:P169,T165:T169,AL165:AL169,AP165:AP169))</f>
        <v>1.8224168181830702E-3</v>
      </c>
      <c r="BO165" s="54">
        <f>IF(OR(ISBLANK(P165:P169),ISBLANK(AL165:AL169),ISBLANK(U165:U169),ISBLANK(AQ165:AQ169)),"·",bdRateExtend(P165:P169,U165:U169,AL165:AL169,AQ165:AQ169))</f>
        <v>7.5479967285496663E-4</v>
      </c>
      <c r="BP165" s="54">
        <f>IF(OR(ISBLANK(P165:P169),ISBLANK(AL165:AL169),ISBLANK(V165:V169),ISBLANK(AR165:AR169)),"·",bdRateExtend(P165:P169,V165:V169,AL165:AL169,AR165:AR169))</f>
        <v>1.1494401487637251E-3</v>
      </c>
      <c r="BQ165" s="61"/>
      <c r="BS165" s="54">
        <f>IF(OR(ISBLANK(P165:P169),ISBLANK(AL165:AL169),ISBLANK(X165:X169),ISBLANK(AT165:AT169)),"·",bdRateExtend(P165:P169,X165:X169,AL165:AL169,AT165:AT169))</f>
        <v>3.9226637359215388E-3</v>
      </c>
      <c r="BT165" s="54">
        <f>IF(OR(ISBLANK(P165:P169),ISBLANK(AL165:AL169),ISBLANK(Y165:Y169),ISBLANK(AU165:AU169)),"·",bdRateExtend(P165:P169,Y165:Y169,AL165:AL169,AU165:AU169))</f>
        <v>3.9226637359215388E-3</v>
      </c>
      <c r="BU165" s="54">
        <f>IF(OR(ISBLANK(P165:P169),ISBLANK(AL165:AL169),ISBLANK(Z165:Z169),ISBLANK(AV165:AV169)),"·",bdRateExtend(P165:P169,Z165:Z169,AL165:AL169,AV165:AV169))</f>
        <v>3.9226637359215388E-3</v>
      </c>
      <c r="BV165" s="61"/>
      <c r="BX165">
        <f t="shared" si="60"/>
        <v>0</v>
      </c>
      <c r="BY165">
        <f t="shared" si="61"/>
        <v>3664416</v>
      </c>
      <c r="BZ165">
        <f t="shared" si="62"/>
        <v>0</v>
      </c>
      <c r="CA165">
        <f t="shared" si="63"/>
        <v>3664416</v>
      </c>
      <c r="CB165">
        <f t="shared" si="64"/>
        <v>0</v>
      </c>
      <c r="CC165">
        <f t="shared" si="65"/>
        <v>4.8600000000000421E-2</v>
      </c>
      <c r="CD165">
        <f t="shared" si="66"/>
        <v>4.5799999999999841E-2</v>
      </c>
      <c r="CE165">
        <f t="shared" si="67"/>
        <v>4.0700000000001069E-2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9.6980477064479285</v>
      </c>
      <c r="K166" s="23">
        <f t="shared" si="51"/>
        <v>4.0031617237838155</v>
      </c>
      <c r="L166" s="23">
        <f t="shared" si="52"/>
        <v>5.6947863552855198</v>
      </c>
      <c r="M166" s="24"/>
      <c r="N166" s="23">
        <f t="shared" si="53"/>
        <v>9.6980477064479285</v>
      </c>
      <c r="O166" s="25">
        <v>71948094</v>
      </c>
      <c r="P166" s="26">
        <v>697756048</v>
      </c>
      <c r="Q166" s="26">
        <v>288019856</v>
      </c>
      <c r="R166" s="26">
        <v>409729024</v>
      </c>
      <c r="S166" s="40"/>
      <c r="T166" s="41">
        <v>48.107999999999997</v>
      </c>
      <c r="U166" s="41">
        <v>51.178600000000003</v>
      </c>
      <c r="V166" s="41">
        <v>51.0167</v>
      </c>
      <c r="W166" s="42"/>
      <c r="X166" s="41">
        <v>42.110199999999999</v>
      </c>
      <c r="Y166" s="41">
        <v>42.110199999999999</v>
      </c>
      <c r="Z166" s="41">
        <v>42.110199999999999</v>
      </c>
      <c r="AA166" s="42"/>
      <c r="AB166" s="50">
        <v>120.48399999999999</v>
      </c>
      <c r="AC166" s="50">
        <v>91.703000000000003</v>
      </c>
      <c r="AE166" s="22" t="str">
        <f t="shared" si="54"/>
        <v>·</v>
      </c>
      <c r="AF166" s="23">
        <f t="shared" si="55"/>
        <v>9.7441722917635598</v>
      </c>
      <c r="AG166" s="23">
        <f t="shared" si="56"/>
        <v>4.0031617237838155</v>
      </c>
      <c r="AH166" s="23">
        <f t="shared" si="57"/>
        <v>5.7409109406011503</v>
      </c>
      <c r="AI166" s="24"/>
      <c r="AJ166" s="23">
        <f t="shared" si="58"/>
        <v>9.7441722917635598</v>
      </c>
      <c r="AK166" s="25">
        <v>71948094</v>
      </c>
      <c r="AL166" s="26">
        <v>701074624</v>
      </c>
      <c r="AM166" s="26">
        <v>288019856</v>
      </c>
      <c r="AN166" s="26">
        <v>413047600</v>
      </c>
      <c r="AO166" s="40"/>
      <c r="AP166" s="41">
        <v>48.145200000000003</v>
      </c>
      <c r="AQ166" s="41">
        <v>51.209400000000002</v>
      </c>
      <c r="AR166" s="41">
        <v>51.047699999999999</v>
      </c>
      <c r="AS166" s="42"/>
      <c r="AT166" s="41">
        <v>42.110199999999999</v>
      </c>
      <c r="AU166" s="41">
        <v>42.110199999999999</v>
      </c>
      <c r="AV166" s="41">
        <v>42.110199999999999</v>
      </c>
      <c r="AW166" s="42"/>
      <c r="AX166" s="50">
        <v>123.812</v>
      </c>
      <c r="AY166" s="50">
        <v>93.343000000000004</v>
      </c>
      <c r="BA166" s="55">
        <f t="shared" si="59"/>
        <v>-1.9539180266794354E-3</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3318576</v>
      </c>
      <c r="BZ166">
        <f t="shared" si="62"/>
        <v>0</v>
      </c>
      <c r="CA166">
        <f t="shared" si="63"/>
        <v>3318576</v>
      </c>
      <c r="CB166">
        <f t="shared" si="64"/>
        <v>0</v>
      </c>
      <c r="CC166">
        <f t="shared" si="65"/>
        <v>3.7200000000005673E-2</v>
      </c>
      <c r="CD166">
        <f t="shared" si="66"/>
        <v>3.0799999999999272E-2</v>
      </c>
      <c r="CE166">
        <f t="shared" si="67"/>
        <v>3.0999999999998806E-2</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7.5390223401887475</v>
      </c>
      <c r="K167" s="18">
        <f t="shared" si="51"/>
        <v>4.0031617237838155</v>
      </c>
      <c r="L167" s="18">
        <f t="shared" si="52"/>
        <v>3.5357609890263388</v>
      </c>
      <c r="M167" s="19"/>
      <c r="N167" s="18">
        <f t="shared" si="53"/>
        <v>7.5390223401887475</v>
      </c>
      <c r="O167" s="20">
        <v>71948094</v>
      </c>
      <c r="P167" s="21">
        <v>542418288</v>
      </c>
      <c r="Q167" s="21">
        <v>288019856</v>
      </c>
      <c r="R167" s="21">
        <v>254391264</v>
      </c>
      <c r="S167" s="37"/>
      <c r="T167" s="38">
        <v>40.804400000000001</v>
      </c>
      <c r="U167" s="38">
        <v>45.7517</v>
      </c>
      <c r="V167" s="38">
        <v>45.670900000000003</v>
      </c>
      <c r="W167" s="39"/>
      <c r="X167" s="38">
        <v>34.151400000000002</v>
      </c>
      <c r="Y167" s="38">
        <v>34.151400000000002</v>
      </c>
      <c r="Z167" s="38">
        <v>34.151400000000002</v>
      </c>
      <c r="AA167" s="39"/>
      <c r="AB167" s="49">
        <v>119</v>
      </c>
      <c r="AC167" s="49">
        <v>90.5</v>
      </c>
      <c r="AE167" s="17" t="str">
        <f t="shared" si="54"/>
        <v>·</v>
      </c>
      <c r="AF167" s="18">
        <f t="shared" si="55"/>
        <v>7.5714546100415117</v>
      </c>
      <c r="AG167" s="18">
        <f t="shared" si="56"/>
        <v>4.0031617237838155</v>
      </c>
      <c r="AH167" s="18">
        <f t="shared" si="57"/>
        <v>3.5681932588791025</v>
      </c>
      <c r="AI167" s="19"/>
      <c r="AJ167" s="18">
        <f t="shared" si="58"/>
        <v>7.5714546100415117</v>
      </c>
      <c r="AK167" s="20">
        <v>71948094</v>
      </c>
      <c r="AL167" s="21">
        <v>544751728</v>
      </c>
      <c r="AM167" s="21">
        <v>288019856</v>
      </c>
      <c r="AN167" s="21">
        <v>256724704</v>
      </c>
      <c r="AO167" s="37"/>
      <c r="AP167" s="38">
        <v>40.854599999999998</v>
      </c>
      <c r="AQ167" s="38">
        <v>45.792200000000001</v>
      </c>
      <c r="AR167" s="38">
        <v>45.719299999999997</v>
      </c>
      <c r="AS167" s="39"/>
      <c r="AT167" s="38">
        <v>34.151400000000002</v>
      </c>
      <c r="AU167" s="38">
        <v>34.151400000000002</v>
      </c>
      <c r="AV167" s="38">
        <v>34.151400000000002</v>
      </c>
      <c r="AW167" s="39"/>
      <c r="AX167" s="49">
        <v>121.29600000000001</v>
      </c>
      <c r="AY167" s="49">
        <v>90.953000000000003</v>
      </c>
      <c r="BA167" s="53">
        <f t="shared" si="59"/>
        <v>-2.2745009734798094E-3</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2333440</v>
      </c>
      <c r="BZ167">
        <f t="shared" si="62"/>
        <v>0</v>
      </c>
      <c r="CA167">
        <f t="shared" si="63"/>
        <v>2333440</v>
      </c>
      <c r="CB167">
        <f t="shared" si="64"/>
        <v>0</v>
      </c>
      <c r="CC167">
        <f t="shared" si="65"/>
        <v>5.0199999999996692E-2</v>
      </c>
      <c r="CD167">
        <f t="shared" si="66"/>
        <v>4.0500000000001535E-2</v>
      </c>
      <c r="CE167">
        <f t="shared" si="67"/>
        <v>4.8399999999993781E-2</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6.125906601500799</v>
      </c>
      <c r="K168" s="23">
        <f t="shared" si="51"/>
        <v>4.0031617237838155</v>
      </c>
      <c r="L168" s="23">
        <f t="shared" si="52"/>
        <v>2.1226452503383899</v>
      </c>
      <c r="M168" s="24"/>
      <c r="N168" s="23">
        <f t="shared" si="53"/>
        <v>6.125906601500799</v>
      </c>
      <c r="O168" s="25">
        <v>71948094</v>
      </c>
      <c r="P168" s="26">
        <v>440747304</v>
      </c>
      <c r="Q168" s="26">
        <v>288019856</v>
      </c>
      <c r="R168" s="26">
        <v>152720280</v>
      </c>
      <c r="S168" s="40"/>
      <c r="T168" s="41">
        <v>35.196199999999997</v>
      </c>
      <c r="U168" s="41">
        <v>41.178899999999999</v>
      </c>
      <c r="V168" s="41">
        <v>40.906500000000001</v>
      </c>
      <c r="W168" s="42"/>
      <c r="X168" s="41">
        <v>28.130800000000001</v>
      </c>
      <c r="Y168" s="41">
        <v>28.130800000000001</v>
      </c>
      <c r="Z168" s="41">
        <v>28.130800000000001</v>
      </c>
      <c r="AA168" s="42"/>
      <c r="AB168" s="50">
        <v>118.375</v>
      </c>
      <c r="AC168" s="50">
        <v>89.546000000000006</v>
      </c>
      <c r="AE168" s="22" t="str">
        <f t="shared" si="54"/>
        <v>·</v>
      </c>
      <c r="AF168" s="23">
        <f t="shared" si="55"/>
        <v>6.1441386341659028</v>
      </c>
      <c r="AG168" s="23">
        <f t="shared" si="56"/>
        <v>4.0031617237838155</v>
      </c>
      <c r="AH168" s="23">
        <f t="shared" si="57"/>
        <v>2.1408772830034941</v>
      </c>
      <c r="AI168" s="24"/>
      <c r="AJ168" s="23">
        <f t="shared" si="58"/>
        <v>6.1441386341659028</v>
      </c>
      <c r="AK168" s="25">
        <v>71948094</v>
      </c>
      <c r="AL168" s="26">
        <v>442059064</v>
      </c>
      <c r="AM168" s="26">
        <v>288019856</v>
      </c>
      <c r="AN168" s="26">
        <v>154032040</v>
      </c>
      <c r="AO168" s="40"/>
      <c r="AP168" s="41">
        <v>35.253300000000003</v>
      </c>
      <c r="AQ168" s="41">
        <v>41.2652</v>
      </c>
      <c r="AR168" s="41">
        <v>40.9816</v>
      </c>
      <c r="AS168" s="42"/>
      <c r="AT168" s="41">
        <v>28.130800000000001</v>
      </c>
      <c r="AU168" s="41">
        <v>28.130800000000001</v>
      </c>
      <c r="AV168" s="41">
        <v>28.130800000000001</v>
      </c>
      <c r="AW168" s="42"/>
      <c r="AX168" s="50">
        <v>120.687</v>
      </c>
      <c r="AY168" s="50">
        <v>89.811999999999998</v>
      </c>
      <c r="BA168" s="55">
        <f t="shared" si="59"/>
        <v>-1.9391296562726312E-3</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1311760</v>
      </c>
      <c r="BZ168">
        <f t="shared" si="62"/>
        <v>0</v>
      </c>
      <c r="CA168">
        <f t="shared" si="63"/>
        <v>1311760</v>
      </c>
      <c r="CB168">
        <f t="shared" si="64"/>
        <v>0</v>
      </c>
      <c r="CC168">
        <f t="shared" si="65"/>
        <v>5.710000000000548E-2</v>
      </c>
      <c r="CD168">
        <f t="shared" si="66"/>
        <v>8.6300000000001376E-2</v>
      </c>
      <c r="CE168">
        <f t="shared" si="67"/>
        <v>7.5099999999999056E-2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4.913835132310802</v>
      </c>
      <c r="K169" s="28">
        <f t="shared" si="51"/>
        <v>4.0031617237838155</v>
      </c>
      <c r="L169" s="28">
        <f t="shared" si="52"/>
        <v>0.91057378114839294</v>
      </c>
      <c r="M169" s="29"/>
      <c r="N169" s="28">
        <f t="shared" si="53"/>
        <v>4.913835132310802</v>
      </c>
      <c r="O169" s="30">
        <v>71948094</v>
      </c>
      <c r="P169" s="31">
        <v>353541072</v>
      </c>
      <c r="Q169" s="31">
        <v>288019856</v>
      </c>
      <c r="R169" s="31">
        <v>65514048</v>
      </c>
      <c r="S169" s="43"/>
      <c r="T169" s="44">
        <v>29.486799999999999</v>
      </c>
      <c r="U169" s="44">
        <v>36.755400000000002</v>
      </c>
      <c r="V169" s="44">
        <v>36.318600000000004</v>
      </c>
      <c r="W169" s="45"/>
      <c r="X169" s="44">
        <v>21.686399999999999</v>
      </c>
      <c r="Y169" s="44">
        <v>21.686399999999999</v>
      </c>
      <c r="Z169" s="44">
        <v>21.686399999999999</v>
      </c>
      <c r="AA169" s="45"/>
      <c r="AB169" s="51">
        <v>116.73399999999999</v>
      </c>
      <c r="AC169" s="51">
        <v>88.561999999999998</v>
      </c>
      <c r="AE169" s="27" t="str">
        <f t="shared" si="54"/>
        <v>·</v>
      </c>
      <c r="AF169" s="28">
        <f t="shared" si="55"/>
        <v>4.9264606787220799</v>
      </c>
      <c r="AG169" s="28">
        <f t="shared" si="56"/>
        <v>4.0031617237838155</v>
      </c>
      <c r="AH169" s="28">
        <f t="shared" si="57"/>
        <v>0.92319932755967105</v>
      </c>
      <c r="AI169" s="29"/>
      <c r="AJ169" s="28">
        <f t="shared" si="58"/>
        <v>4.9264606787220799</v>
      </c>
      <c r="AK169" s="30">
        <v>71948094</v>
      </c>
      <c r="AL169" s="31">
        <v>354449456</v>
      </c>
      <c r="AM169" s="31">
        <v>288019856</v>
      </c>
      <c r="AN169" s="31">
        <v>66422432</v>
      </c>
      <c r="AO169" s="43"/>
      <c r="AP169" s="44">
        <v>29.616499999999998</v>
      </c>
      <c r="AQ169" s="44">
        <v>36.992600000000003</v>
      </c>
      <c r="AR169" s="44">
        <v>36.493699999999997</v>
      </c>
      <c r="AS169" s="45"/>
      <c r="AT169" s="44">
        <v>21.686399999999999</v>
      </c>
      <c r="AU169" s="44">
        <v>21.686399999999999</v>
      </c>
      <c r="AV169" s="44">
        <v>21.686399999999999</v>
      </c>
      <c r="AW169" s="45"/>
      <c r="AX169" s="51">
        <v>118.578</v>
      </c>
      <c r="AY169" s="51">
        <v>89.375</v>
      </c>
      <c r="BA169" s="57">
        <f t="shared" si="59"/>
        <v>-2.0878424163476295E-3</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908384</v>
      </c>
      <c r="BZ169">
        <f t="shared" si="62"/>
        <v>0</v>
      </c>
      <c r="CA169">
        <f t="shared" si="63"/>
        <v>908384</v>
      </c>
      <c r="CB169">
        <f t="shared" si="64"/>
        <v>0</v>
      </c>
      <c r="CC169">
        <f t="shared" si="65"/>
        <v>0.1296999999999997</v>
      </c>
      <c r="CD169">
        <f t="shared" si="66"/>
        <v>0.23720000000000141</v>
      </c>
      <c r="CE169">
        <f t="shared" si="67"/>
        <v>0.17509999999999337</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28.364155133118469</v>
      </c>
      <c r="K170" s="23">
        <f t="shared" si="51"/>
        <v>20.789421451349689</v>
      </c>
      <c r="L170" s="23">
        <f t="shared" si="52"/>
        <v>7.574634105286246</v>
      </c>
      <c r="M170" s="24"/>
      <c r="N170" s="23">
        <f t="shared" si="53"/>
        <v>28.364155133118469</v>
      </c>
      <c r="O170" s="25">
        <v>72145549</v>
      </c>
      <c r="P170" s="26">
        <v>2046347544</v>
      </c>
      <c r="Q170" s="26">
        <v>1499864224</v>
      </c>
      <c r="R170" s="26">
        <v>546476136</v>
      </c>
      <c r="S170" s="40"/>
      <c r="T170" s="41">
        <v>52.861400000000003</v>
      </c>
      <c r="U170" s="41">
        <v>55.816699999999997</v>
      </c>
      <c r="V170" s="41">
        <v>55.929000000000002</v>
      </c>
      <c r="W170" s="42"/>
      <c r="X170" s="41">
        <v>48.130800000000001</v>
      </c>
      <c r="Y170" s="41">
        <v>48.130800000000001</v>
      </c>
      <c r="Z170" s="41">
        <v>48.130800000000001</v>
      </c>
      <c r="AA170" s="42"/>
      <c r="AB170" s="50">
        <v>214.10900000000001</v>
      </c>
      <c r="AC170" s="50">
        <v>185.68700000000001</v>
      </c>
      <c r="AE170" s="22" t="str">
        <f t="shared" si="54"/>
        <v>·</v>
      </c>
      <c r="AF170" s="23">
        <f t="shared" si="55"/>
        <v>28.413986287636401</v>
      </c>
      <c r="AG170" s="23">
        <f t="shared" si="56"/>
        <v>20.789421451349689</v>
      </c>
      <c r="AH170" s="23">
        <f t="shared" si="57"/>
        <v>7.6244652598041771</v>
      </c>
      <c r="AI170" s="24"/>
      <c r="AJ170" s="23">
        <f t="shared" si="58"/>
        <v>28.413986287636401</v>
      </c>
      <c r="AK170" s="25">
        <v>72145549</v>
      </c>
      <c r="AL170" s="26">
        <v>2049942640</v>
      </c>
      <c r="AM170" s="26">
        <v>1499864224</v>
      </c>
      <c r="AN170" s="26">
        <v>550071232</v>
      </c>
      <c r="AO170" s="40"/>
      <c r="AP170" s="41">
        <v>52.906999999999996</v>
      </c>
      <c r="AQ170" s="41">
        <v>55.859900000000003</v>
      </c>
      <c r="AR170" s="41">
        <v>55.968400000000003</v>
      </c>
      <c r="AS170" s="42"/>
      <c r="AT170" s="41">
        <v>48.130800000000001</v>
      </c>
      <c r="AU170" s="41">
        <v>48.130800000000001</v>
      </c>
      <c r="AV170" s="41">
        <v>48.130800000000001</v>
      </c>
      <c r="AW170" s="42"/>
      <c r="AX170" s="50">
        <v>209.54599999999999</v>
      </c>
      <c r="AY170" s="50">
        <v>184.203</v>
      </c>
      <c r="BA170" s="55">
        <f t="shared" si="59"/>
        <v>-1.2854089937398561E-3</v>
      </c>
      <c r="BB170" s="55">
        <f t="array" ref="BB170">AVERAGE(AM170:AM174/AL170:AL174)-AVERAGE(Q170:Q174/P170:P174)</f>
        <v>-1.0097557468295992E-3</v>
      </c>
      <c r="BD170" s="56">
        <f>IF(OR(ISBLANK(R170:R174),ISBLANK(AN170:AN174),ISBLANK(T170:T174),ISBLANK(AP170:AP174)),"·",bdRateExtend(R170:R174,T170:T174,AN170:AN174,AP170:AP174))</f>
        <v>3.9431131996854329E-3</v>
      </c>
      <c r="BE170" s="56">
        <f>IF(OR(ISBLANK(R170:R174),ISBLANK(AN170:AN174),ISBLANK(U170:U174),ISBLANK(AQ170:AQ174)),"·",bdRateExtend(R170:R174,U170:U174,AN170:AN174,AQ170:AQ174))</f>
        <v>2.1664729852448605E-3</v>
      </c>
      <c r="BF170" s="56">
        <f>IF(OR(ISBLANK(R170:R174),ISBLANK(AN170:AN174),ISBLANK(V170:V174),ISBLANK(AR170:AR174)),"·",bdRateExtend(R170:R174,V170:V174,AN170:AN174,AR170:AR174))</f>
        <v>-1.293494800740258E-3</v>
      </c>
      <c r="BG170" s="62"/>
      <c r="BI170" s="56">
        <f>IF(OR(ISBLANK(R170:R174),ISBLANK(AN170:AN174),ISBLANK(X170:X174),ISBLANK(AT170:AT174)),"·",bdRateExtend(R170:R174,X170:X174,AN170:AN174,AT170:AT174))</f>
        <v>9.1437279797399462E-3</v>
      </c>
      <c r="BJ170" s="56">
        <f>IF(OR(ISBLANK(R170:R174),ISBLANK(AN170:AN174),ISBLANK(Y170:Y174),ISBLANK(AU170:AU174)),"·",bdRateExtend(R170:R174,Y170:Y174,AN170:AN174,AU170:AU174))</f>
        <v>9.1437279797399462E-3</v>
      </c>
      <c r="BK170" s="56">
        <f>IF(OR(ISBLANK(R170:R174),ISBLANK(AN170:AN174),ISBLANK(Z170:Z174),ISBLANK(AV170:AV174)),"·",bdRateExtend(R170:R174,Z170:Z174,AN170:AN174,AV170:AV174))</f>
        <v>9.1437279797399462E-3</v>
      </c>
      <c r="BL170" s="62"/>
      <c r="BN170" s="56">
        <f>IF(OR(ISBLANK(P170:P174),ISBLANK(AL170:AL174),ISBLANK(T170:T174),ISBLANK(AP170:AP174)),"·",bdRateExtend(P170:P174,T170:T174,AL170:AL174,AP170:AP174))</f>
        <v>7.0401209148629462E-4</v>
      </c>
      <c r="BO170" s="56">
        <f>IF(OR(ISBLANK(P170:P174),ISBLANK(AL170:AL174),ISBLANK(U170:U174),ISBLANK(AQ170:AQ174)),"·",bdRateExtend(P170:P174,U170:U174,AL170:AL174,AQ170:AQ174))</f>
        <v>5.7260061851982513E-4</v>
      </c>
      <c r="BP170" s="56">
        <f>IF(OR(ISBLANK(P170:P174),ISBLANK(AL170:AL174),ISBLANK(V170:V174),ISBLANK(AR170:AR174)),"·",bdRateExtend(P170:P174,V170:V174,AL170:AL174,AR170:AR174))</f>
        <v>3.9429863758910777E-4</v>
      </c>
      <c r="BQ170" s="62"/>
      <c r="BS170" s="56">
        <f>IF(OR(ISBLANK(P170:P174),ISBLANK(AL170:AL174),ISBLANK(X170:X174),ISBLANK(AT170:AT174)),"·",bdRateExtend(P170:P174,X170:X174,AL170:AL174,AT170:AT174))</f>
        <v>1.2627173122010671E-3</v>
      </c>
      <c r="BT170" s="56">
        <f>IF(OR(ISBLANK(P170:P174),ISBLANK(AL170:AL174),ISBLANK(Y170:Y174),ISBLANK(AU170:AU174)),"·",bdRateExtend(P170:P174,Y170:Y174,AL170:AL174,AU170:AU174))</f>
        <v>1.2627173122010671E-3</v>
      </c>
      <c r="BU170" s="56">
        <f>IF(OR(ISBLANK(P170:P174),ISBLANK(AL170:AL174),ISBLANK(Z170:Z174),ISBLANK(AV170:AV174)),"·",bdRateExtend(P170:P174,Z170:Z174,AL170:AL174,AV170:AV174))</f>
        <v>1.2627173122010671E-3</v>
      </c>
      <c r="BV170" s="62"/>
      <c r="BX170">
        <f t="shared" si="60"/>
        <v>0</v>
      </c>
      <c r="BY170">
        <f t="shared" si="61"/>
        <v>3595096</v>
      </c>
      <c r="BZ170">
        <f t="shared" si="62"/>
        <v>0</v>
      </c>
      <c r="CA170">
        <f t="shared" si="63"/>
        <v>3595096</v>
      </c>
      <c r="CB170">
        <f t="shared" si="64"/>
        <v>0</v>
      </c>
      <c r="CC170">
        <f t="shared" si="65"/>
        <v>4.5599999999993202E-2</v>
      </c>
      <c r="CD170">
        <f t="shared" si="66"/>
        <v>4.32000000000059E-2</v>
      </c>
      <c r="CE170">
        <f t="shared" si="67"/>
        <v>3.9400000000000546E-2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26.310262549946081</v>
      </c>
      <c r="K171" s="18">
        <f t="shared" si="51"/>
        <v>20.789421451349689</v>
      </c>
      <c r="L171" s="18">
        <f t="shared" si="52"/>
        <v>5.5207415221138589</v>
      </c>
      <c r="M171" s="19"/>
      <c r="N171" s="18">
        <f t="shared" si="53"/>
        <v>26.310262549946081</v>
      </c>
      <c r="O171" s="20">
        <v>72145549</v>
      </c>
      <c r="P171" s="21">
        <v>1898168336</v>
      </c>
      <c r="Q171" s="21">
        <v>1499864224</v>
      </c>
      <c r="R171" s="21">
        <v>398296928</v>
      </c>
      <c r="S171" s="37"/>
      <c r="T171" s="38">
        <v>48.060899999999997</v>
      </c>
      <c r="U171" s="38">
        <v>51.264499999999998</v>
      </c>
      <c r="V171" s="38">
        <v>51.117800000000003</v>
      </c>
      <c r="W171" s="39"/>
      <c r="X171" s="38">
        <v>42.110199999999999</v>
      </c>
      <c r="Y171" s="38">
        <v>42.110199999999999</v>
      </c>
      <c r="Z171" s="38">
        <v>42.110199999999999</v>
      </c>
      <c r="AA171" s="39"/>
      <c r="AB171" s="49">
        <v>206.43700000000001</v>
      </c>
      <c r="AC171" s="49">
        <v>181.453</v>
      </c>
      <c r="AE171" s="17" t="str">
        <f t="shared" si="54"/>
        <v>·</v>
      </c>
      <c r="AF171" s="18">
        <f t="shared" si="55"/>
        <v>26.355276109964873</v>
      </c>
      <c r="AG171" s="18">
        <f t="shared" si="56"/>
        <v>20.789421451349689</v>
      </c>
      <c r="AH171" s="18">
        <f t="shared" si="57"/>
        <v>5.5657550821326485</v>
      </c>
      <c r="AI171" s="19"/>
      <c r="AJ171" s="18">
        <f t="shared" si="58"/>
        <v>26.355276109964873</v>
      </c>
      <c r="AK171" s="20">
        <v>72145549</v>
      </c>
      <c r="AL171" s="21">
        <v>1901415864</v>
      </c>
      <c r="AM171" s="21">
        <v>1499864224</v>
      </c>
      <c r="AN171" s="21">
        <v>401544456</v>
      </c>
      <c r="AO171" s="37"/>
      <c r="AP171" s="38">
        <v>48.094900000000003</v>
      </c>
      <c r="AQ171" s="38">
        <v>51.295200000000001</v>
      </c>
      <c r="AR171" s="38">
        <v>51.148600000000002</v>
      </c>
      <c r="AS171" s="39"/>
      <c r="AT171" s="38">
        <v>42.110199999999999</v>
      </c>
      <c r="AU171" s="38">
        <v>42.110199999999999</v>
      </c>
      <c r="AV171" s="38">
        <v>42.110199999999999</v>
      </c>
      <c r="AW171" s="39"/>
      <c r="AX171" s="49">
        <v>207.375</v>
      </c>
      <c r="AY171" s="49">
        <v>182.09299999999999</v>
      </c>
      <c r="BA171" s="53">
        <f t="shared" si="59"/>
        <v>-1.3495625332323735E-3</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3247528</v>
      </c>
      <c r="BZ171">
        <f t="shared" si="62"/>
        <v>0</v>
      </c>
      <c r="CA171">
        <f t="shared" si="63"/>
        <v>3247528</v>
      </c>
      <c r="CB171">
        <f t="shared" si="64"/>
        <v>0</v>
      </c>
      <c r="CC171">
        <f t="shared" si="65"/>
        <v>3.4000000000006025E-2</v>
      </c>
      <c r="CD171">
        <f t="shared" si="66"/>
        <v>3.0700000000003058E-2</v>
      </c>
      <c r="CE171">
        <f t="shared" si="67"/>
        <v>3.0799999999999272E-2</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24.189174580957172</v>
      </c>
      <c r="K172" s="23">
        <f t="shared" si="51"/>
        <v>20.789421451349689</v>
      </c>
      <c r="L172" s="23">
        <f t="shared" si="52"/>
        <v>3.3996535531249474</v>
      </c>
      <c r="M172" s="24"/>
      <c r="N172" s="23">
        <f t="shared" si="53"/>
        <v>24.189174580957172</v>
      </c>
      <c r="O172" s="25">
        <v>72145549</v>
      </c>
      <c r="P172" s="26">
        <v>1745141280</v>
      </c>
      <c r="Q172" s="26">
        <v>1499864224</v>
      </c>
      <c r="R172" s="26">
        <v>245269872</v>
      </c>
      <c r="S172" s="40"/>
      <c r="T172" s="41">
        <v>40.776600000000002</v>
      </c>
      <c r="U172" s="41">
        <v>45.889000000000003</v>
      </c>
      <c r="V172" s="41">
        <v>45.835500000000003</v>
      </c>
      <c r="W172" s="42"/>
      <c r="X172" s="41">
        <v>34.151400000000002</v>
      </c>
      <c r="Y172" s="41">
        <v>34.151400000000002</v>
      </c>
      <c r="Z172" s="41">
        <v>34.151400000000002</v>
      </c>
      <c r="AA172" s="42"/>
      <c r="AB172" s="50">
        <v>203.96799999999999</v>
      </c>
      <c r="AC172" s="50">
        <v>179.84299999999999</v>
      </c>
      <c r="AE172" s="22" t="str">
        <f t="shared" si="54"/>
        <v>·</v>
      </c>
      <c r="AF172" s="23">
        <f t="shared" si="55"/>
        <v>24.22162154452522</v>
      </c>
      <c r="AG172" s="23">
        <f t="shared" si="56"/>
        <v>20.789421451349689</v>
      </c>
      <c r="AH172" s="23">
        <f t="shared" si="57"/>
        <v>3.4321005166929979</v>
      </c>
      <c r="AI172" s="24"/>
      <c r="AJ172" s="23">
        <f t="shared" si="58"/>
        <v>24.22162154452522</v>
      </c>
      <c r="AK172" s="25">
        <v>72145549</v>
      </c>
      <c r="AL172" s="26">
        <v>1747482184</v>
      </c>
      <c r="AM172" s="26">
        <v>1499864224</v>
      </c>
      <c r="AN172" s="26">
        <v>247610776</v>
      </c>
      <c r="AO172" s="40"/>
      <c r="AP172" s="41">
        <v>40.824199999999998</v>
      </c>
      <c r="AQ172" s="41">
        <v>45.929400000000001</v>
      </c>
      <c r="AR172" s="41">
        <v>45.877800000000001</v>
      </c>
      <c r="AS172" s="42"/>
      <c r="AT172" s="41">
        <v>34.151400000000002</v>
      </c>
      <c r="AU172" s="41">
        <v>34.151400000000002</v>
      </c>
      <c r="AV172" s="41">
        <v>34.151400000000002</v>
      </c>
      <c r="AW172" s="42"/>
      <c r="AX172" s="50">
        <v>205.65600000000001</v>
      </c>
      <c r="AY172" s="50">
        <v>181.59299999999999</v>
      </c>
      <c r="BA172" s="55">
        <f t="shared" si="59"/>
        <v>-1.1513098004442002E-3</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2340904</v>
      </c>
      <c r="BZ172">
        <f t="shared" si="62"/>
        <v>0</v>
      </c>
      <c r="CA172">
        <f t="shared" si="63"/>
        <v>2340904</v>
      </c>
      <c r="CB172">
        <f t="shared" si="64"/>
        <v>0</v>
      </c>
      <c r="CC172">
        <f t="shared" si="65"/>
        <v>4.7599999999995646E-2</v>
      </c>
      <c r="CD172">
        <f t="shared" si="66"/>
        <v>4.0399999999998215E-2</v>
      </c>
      <c r="CE172">
        <f t="shared" si="67"/>
        <v>4.229999999999734E-2</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22.797537683163238</v>
      </c>
      <c r="K173" s="18">
        <f t="shared" si="51"/>
        <v>20.789421451349689</v>
      </c>
      <c r="L173" s="18">
        <f t="shared" si="52"/>
        <v>2.008016655331017</v>
      </c>
      <c r="M173" s="19"/>
      <c r="N173" s="18">
        <f t="shared" si="53"/>
        <v>22.797537683163238</v>
      </c>
      <c r="O173" s="20">
        <v>72145549</v>
      </c>
      <c r="P173" s="21">
        <v>1644740872</v>
      </c>
      <c r="Q173" s="21">
        <v>1499864224</v>
      </c>
      <c r="R173" s="21">
        <v>144869464</v>
      </c>
      <c r="S173" s="37"/>
      <c r="T173" s="38">
        <v>35.194400000000002</v>
      </c>
      <c r="U173" s="38">
        <v>41.395200000000003</v>
      </c>
      <c r="V173" s="38">
        <v>41.136000000000003</v>
      </c>
      <c r="W173" s="39"/>
      <c r="X173" s="38">
        <v>28.130800000000001</v>
      </c>
      <c r="Y173" s="38">
        <v>28.130800000000001</v>
      </c>
      <c r="Z173" s="38">
        <v>28.130800000000001</v>
      </c>
      <c r="AA173" s="39"/>
      <c r="AB173" s="49">
        <v>203.85900000000001</v>
      </c>
      <c r="AC173" s="49">
        <v>180.10900000000001</v>
      </c>
      <c r="AE173" s="17" t="str">
        <f t="shared" si="54"/>
        <v>·</v>
      </c>
      <c r="AF173" s="18">
        <f t="shared" si="55"/>
        <v>22.815121137965143</v>
      </c>
      <c r="AG173" s="18">
        <f t="shared" si="56"/>
        <v>20.789421451349689</v>
      </c>
      <c r="AH173" s="18">
        <f t="shared" si="57"/>
        <v>2.0256001101329204</v>
      </c>
      <c r="AI173" s="19"/>
      <c r="AJ173" s="18">
        <f t="shared" si="58"/>
        <v>22.815121137965143</v>
      </c>
      <c r="AK173" s="20">
        <v>72145549</v>
      </c>
      <c r="AL173" s="21">
        <v>1646009440</v>
      </c>
      <c r="AM173" s="21">
        <v>1499864224</v>
      </c>
      <c r="AN173" s="21">
        <v>146138032</v>
      </c>
      <c r="AO173" s="37"/>
      <c r="AP173" s="38">
        <v>35.245399999999997</v>
      </c>
      <c r="AQ173" s="38">
        <v>41.467199999999998</v>
      </c>
      <c r="AR173" s="38">
        <v>41.226799999999997</v>
      </c>
      <c r="AS173" s="39"/>
      <c r="AT173" s="38">
        <v>28.130800000000001</v>
      </c>
      <c r="AU173" s="38">
        <v>28.130800000000001</v>
      </c>
      <c r="AV173" s="38">
        <v>28.130800000000001</v>
      </c>
      <c r="AW173" s="39"/>
      <c r="AX173" s="49">
        <v>204.59299999999999</v>
      </c>
      <c r="AY173" s="49">
        <v>180.60900000000001</v>
      </c>
      <c r="BA173" s="53">
        <f t="shared" si="59"/>
        <v>-7.0280669774869242E-4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1268568</v>
      </c>
      <c r="BZ173">
        <f t="shared" si="62"/>
        <v>0</v>
      </c>
      <c r="CA173">
        <f t="shared" si="63"/>
        <v>1268568</v>
      </c>
      <c r="CB173">
        <f t="shared" si="64"/>
        <v>0</v>
      </c>
      <c r="CC173">
        <f t="shared" si="65"/>
        <v>5.0999999999994827E-2</v>
      </c>
      <c r="CD173">
        <f t="shared" si="66"/>
        <v>7.1999999999995623E-2</v>
      </c>
      <c r="CE173">
        <f t="shared" si="67"/>
        <v>9.0799999999994441E-2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21.644767357720156</v>
      </c>
      <c r="K174" s="33">
        <f t="shared" si="51"/>
        <v>20.789421451349689</v>
      </c>
      <c r="L174" s="33">
        <f t="shared" si="52"/>
        <v>0.85524632988793248</v>
      </c>
      <c r="M174" s="34"/>
      <c r="N174" s="33">
        <f t="shared" si="53"/>
        <v>21.644767357720156</v>
      </c>
      <c r="O174" s="35">
        <v>72145549</v>
      </c>
      <c r="P174" s="36">
        <v>1561573624</v>
      </c>
      <c r="Q174" s="36">
        <v>1499864224</v>
      </c>
      <c r="R174" s="36">
        <v>61702216</v>
      </c>
      <c r="S174" s="46"/>
      <c r="T174" s="47">
        <v>29.510999999999999</v>
      </c>
      <c r="U174" s="47">
        <v>37.009399999999999</v>
      </c>
      <c r="V174" s="47">
        <v>36.590800000000002</v>
      </c>
      <c r="W174" s="48"/>
      <c r="X174" s="47">
        <v>21.686399999999999</v>
      </c>
      <c r="Y174" s="47">
        <v>21.686399999999999</v>
      </c>
      <c r="Z174" s="47">
        <v>21.686399999999999</v>
      </c>
      <c r="AA174" s="48"/>
      <c r="AB174" s="52">
        <v>202.28100000000001</v>
      </c>
      <c r="AC174" s="52">
        <v>178.46799999999999</v>
      </c>
      <c r="AE174" s="32" t="str">
        <f t="shared" si="54"/>
        <v>·</v>
      </c>
      <c r="AF174" s="33">
        <f t="shared" si="55"/>
        <v>21.657387512568516</v>
      </c>
      <c r="AG174" s="33">
        <f t="shared" si="56"/>
        <v>20.789421451349689</v>
      </c>
      <c r="AH174" s="33">
        <f t="shared" si="57"/>
        <v>0.86786648473629324</v>
      </c>
      <c r="AI174" s="34"/>
      <c r="AJ174" s="33">
        <f t="shared" si="58"/>
        <v>21.657387512568516</v>
      </c>
      <c r="AK174" s="35">
        <v>72145549</v>
      </c>
      <c r="AL174" s="36">
        <v>1562484112</v>
      </c>
      <c r="AM174" s="36">
        <v>1499864224</v>
      </c>
      <c r="AN174" s="36">
        <v>62612704</v>
      </c>
      <c r="AO174" s="46"/>
      <c r="AP174" s="47">
        <v>29.615400000000001</v>
      </c>
      <c r="AQ174" s="47">
        <v>37.106400000000001</v>
      </c>
      <c r="AR174" s="47">
        <v>36.839100000000002</v>
      </c>
      <c r="AS174" s="48"/>
      <c r="AT174" s="47">
        <v>21.686399999999999</v>
      </c>
      <c r="AU174" s="47">
        <v>21.686399999999999</v>
      </c>
      <c r="AV174" s="47">
        <v>21.686399999999999</v>
      </c>
      <c r="AW174" s="48"/>
      <c r="AX174" s="52">
        <v>203.96799999999999</v>
      </c>
      <c r="AY174" s="52">
        <v>180</v>
      </c>
      <c r="BA174" s="59">
        <f t="shared" si="59"/>
        <v>-5.5969070898309603E-4</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910488</v>
      </c>
      <c r="BZ174">
        <f t="shared" si="62"/>
        <v>0</v>
      </c>
      <c r="CA174">
        <f t="shared" si="63"/>
        <v>910488</v>
      </c>
      <c r="CB174">
        <f t="shared" si="64"/>
        <v>0</v>
      </c>
      <c r="CC174">
        <f t="shared" si="65"/>
        <v>0.10440000000000182</v>
      </c>
      <c r="CD174">
        <f t="shared" si="66"/>
        <v>9.7000000000001307E-2</v>
      </c>
      <c r="CE174">
        <f t="shared" si="67"/>
        <v>0.24830000000000041</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26.539526038102071</v>
      </c>
      <c r="K175" s="18">
        <f t="shared" si="51"/>
        <v>13.515159301498665</v>
      </c>
      <c r="L175" s="18">
        <f t="shared" si="52"/>
        <v>13.024145129637686</v>
      </c>
      <c r="M175" s="19"/>
      <c r="N175" s="18">
        <f t="shared" si="53"/>
        <v>26.539526038102071</v>
      </c>
      <c r="O175" s="20">
        <v>4187594</v>
      </c>
      <c r="P175" s="21">
        <v>111136760</v>
      </c>
      <c r="Q175" s="21">
        <v>56596000</v>
      </c>
      <c r="R175" s="21">
        <v>54539832</v>
      </c>
      <c r="S175" s="37"/>
      <c r="T175" s="38">
        <v>53.448500000000003</v>
      </c>
      <c r="U175" s="38">
        <v>55.1693</v>
      </c>
      <c r="V175" s="38">
        <v>54.661700000000003</v>
      </c>
      <c r="W175" s="39"/>
      <c r="X175" s="38">
        <v>48.130800000000001</v>
      </c>
      <c r="Y175" s="38">
        <v>48.130800000000001</v>
      </c>
      <c r="Z175" s="38">
        <v>48.130800000000001</v>
      </c>
      <c r="AA175" s="39"/>
      <c r="AB175" s="49">
        <v>11.545999999999999</v>
      </c>
      <c r="AC175" s="49">
        <v>10.25</v>
      </c>
      <c r="AE175" s="17" t="str">
        <f t="shared" si="54"/>
        <v>·</v>
      </c>
      <c r="AF175" s="18">
        <f t="shared" si="55"/>
        <v>26.893900411548969</v>
      </c>
      <c r="AG175" s="18">
        <f t="shared" si="56"/>
        <v>13.515159301498665</v>
      </c>
      <c r="AH175" s="18">
        <f t="shared" si="57"/>
        <v>13.378519503084588</v>
      </c>
      <c r="AI175" s="19"/>
      <c r="AJ175" s="18">
        <f t="shared" si="58"/>
        <v>26.893900411548969</v>
      </c>
      <c r="AK175" s="20">
        <v>4187594</v>
      </c>
      <c r="AL175" s="21">
        <v>112620736</v>
      </c>
      <c r="AM175" s="21">
        <v>56596000</v>
      </c>
      <c r="AN175" s="21">
        <v>56023808</v>
      </c>
      <c r="AO175" s="37"/>
      <c r="AP175" s="38">
        <v>53.9833</v>
      </c>
      <c r="AQ175" s="38">
        <v>55.601300000000002</v>
      </c>
      <c r="AR175" s="38">
        <v>55.1755</v>
      </c>
      <c r="AS175" s="39"/>
      <c r="AT175" s="38">
        <v>48.130800000000001</v>
      </c>
      <c r="AU175" s="38">
        <v>48.130800000000001</v>
      </c>
      <c r="AV175" s="38">
        <v>48.130800000000001</v>
      </c>
      <c r="AW175" s="39"/>
      <c r="AX175" s="49">
        <v>12.359</v>
      </c>
      <c r="AY175" s="49">
        <v>10.39</v>
      </c>
      <c r="BA175" s="53">
        <f t="shared" si="59"/>
        <v>-6.7102163431276285E-3</v>
      </c>
      <c r="BB175" s="53">
        <f t="array" ref="BB175">AVERAGE(AM175:AM179/AL175:AL179)-AVERAGE(Q175:Q179/P175:P179)</f>
        <v>-7.4115982818980797E-3</v>
      </c>
      <c r="BD175" s="54">
        <f>IF(OR(ISBLANK(R175:R179),ISBLANK(AN175:AN179),ISBLANK(T175:T179),ISBLANK(AP175:AP179)),"·",bdRateExtend(R175:R179,T175:T179,AN175:AN179,AP175:AP179))</f>
        <v>-4.595924207939639E-5</v>
      </c>
      <c r="BE175" s="54">
        <f>IF(OR(ISBLANK(R175:R179),ISBLANK(AN175:AN179),ISBLANK(U175:U179),ISBLANK(AQ175:AQ179)),"·",bdRateExtend(R175:R179,U175:U179,AN175:AN179,AQ175:AQ179))</f>
        <v>3.1545048336121262E-3</v>
      </c>
      <c r="BF175" s="54">
        <f>IF(OR(ISBLANK(R175:R179),ISBLANK(AN175:AN179),ISBLANK(V175:V179),ISBLANK(AR175:AR179)),"·",bdRateExtend(R175:R179,V175:V179,AN175:AN179,AR175:AR179))</f>
        <v>5.876683777400471E-3</v>
      </c>
      <c r="BG175" s="61"/>
      <c r="BI175" s="54">
        <f>IF(OR(ISBLANK(R175:R179),ISBLANK(AN175:AN179),ISBLANK(X175:X179),ISBLANK(AT175:AT179)),"·",bdRateExtend(R175:R179,X175:X179,AN175:AN179,AT175:AT179))</f>
        <v>3.5169512369959133E-2</v>
      </c>
      <c r="BJ175" s="54">
        <f>IF(OR(ISBLANK(R175:R179),ISBLANK(AN175:AN179),ISBLANK(Y175:Y179),ISBLANK(AU175:AU179)),"·",bdRateExtend(R175:R179,Y175:Y179,AN175:AN179,AU175:AU179))</f>
        <v>3.5169512369959133E-2</v>
      </c>
      <c r="BK175" s="54">
        <f>IF(OR(ISBLANK(R175:R179),ISBLANK(AN175:AN179),ISBLANK(Z175:Z179),ISBLANK(AV175:AV179)),"·",bdRateExtend(R175:R179,Z175:Z179,AN175:AN179,AV175:AV179))</f>
        <v>3.5169512369959133E-2</v>
      </c>
      <c r="BL175" s="61"/>
      <c r="BN175" s="54">
        <f>IF(OR(ISBLANK(P175:P179),ISBLANK(AL175:AL179),ISBLANK(T175:T179),ISBLANK(AP175:AP179)),"·",bdRateExtend(P175:P179,T175:T179,AL175:AL179,AP175:AP179))</f>
        <v>7.4639932798370445E-4</v>
      </c>
      <c r="BO175" s="54">
        <f>IF(OR(ISBLANK(P175:P179),ISBLANK(AL175:AL179),ISBLANK(U175:U179),ISBLANK(AQ175:AQ179)),"·",bdRateExtend(P175:P179,U175:U179,AL175:AL179,AQ175:AQ179))</f>
        <v>2.4480026521620513E-3</v>
      </c>
      <c r="BP175" s="54">
        <f>IF(OR(ISBLANK(P175:P179),ISBLANK(AL175:AL179),ISBLANK(V175:V179),ISBLANK(AR175:AR179)),"·",bdRateExtend(P175:P179,V175:V179,AL175:AL179,AR175:AR179))</f>
        <v>2.774828047473088E-3</v>
      </c>
      <c r="BQ175" s="61"/>
      <c r="BS175" s="54">
        <f>IF(OR(ISBLANK(P175:P179),ISBLANK(AL175:AL179),ISBLANK(X175:X179),ISBLANK(AT175:AT179)),"·",bdRateExtend(P175:P179,X175:X179,AL175:AL179,AT175:AT179))</f>
        <v>1.2141482161192485E-2</v>
      </c>
      <c r="BT175" s="54">
        <f>IF(OR(ISBLANK(P175:P179),ISBLANK(AL175:AL179),ISBLANK(Y175:Y179),ISBLANK(AU175:AU179)),"·",bdRateExtend(P175:P179,Y175:Y179,AL175:AL179,AU175:AU179))</f>
        <v>1.2141482161192485E-2</v>
      </c>
      <c r="BU175" s="54">
        <f>IF(OR(ISBLANK(P175:P179),ISBLANK(AL175:AL179),ISBLANK(Z175:Z179),ISBLANK(AV175:AV179)),"·",bdRateExtend(P175:P179,Z175:Z179,AL175:AL179,AV175:AV179))</f>
        <v>1.2141482161192485E-2</v>
      </c>
      <c r="BV175" s="61"/>
      <c r="BX175">
        <f t="shared" si="60"/>
        <v>0</v>
      </c>
      <c r="BY175">
        <f t="shared" si="61"/>
        <v>1483976</v>
      </c>
      <c r="BZ175">
        <f t="shared" si="62"/>
        <v>0</v>
      </c>
      <c r="CA175">
        <f t="shared" si="63"/>
        <v>1483976</v>
      </c>
      <c r="CB175">
        <f t="shared" si="64"/>
        <v>0</v>
      </c>
      <c r="CC175">
        <f t="shared" si="65"/>
        <v>0.53479999999999706</v>
      </c>
      <c r="CD175">
        <f t="shared" si="66"/>
        <v>0.43200000000000216</v>
      </c>
      <c r="CE175">
        <f t="shared" si="67"/>
        <v>0.51379999999999626</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23.705818663413883</v>
      </c>
      <c r="K176" s="23">
        <f t="shared" si="51"/>
        <v>13.515159301498665</v>
      </c>
      <c r="L176" s="23">
        <f t="shared" si="52"/>
        <v>10.190437754949501</v>
      </c>
      <c r="M176" s="24"/>
      <c r="N176" s="23">
        <f t="shared" si="53"/>
        <v>23.705818663413883</v>
      </c>
      <c r="O176" s="25">
        <v>4187594</v>
      </c>
      <c r="P176" s="26">
        <v>99270344</v>
      </c>
      <c r="Q176" s="26">
        <v>56596000</v>
      </c>
      <c r="R176" s="26">
        <v>42673416</v>
      </c>
      <c r="S176" s="40"/>
      <c r="T176" s="41">
        <v>48.596899999999998</v>
      </c>
      <c r="U176" s="41">
        <v>50.567599999999999</v>
      </c>
      <c r="V176" s="41">
        <v>49.957099999999997</v>
      </c>
      <c r="W176" s="42"/>
      <c r="X176" s="41">
        <v>42.110199999999999</v>
      </c>
      <c r="Y176" s="41">
        <v>42.110199999999999</v>
      </c>
      <c r="Z176" s="41">
        <v>42.110199999999999</v>
      </c>
      <c r="AA176" s="42"/>
      <c r="AB176" s="50">
        <v>11.420999999999999</v>
      </c>
      <c r="AC176" s="50">
        <v>10.202999999999999</v>
      </c>
      <c r="AE176" s="22" t="str">
        <f t="shared" si="54"/>
        <v>·</v>
      </c>
      <c r="AF176" s="23">
        <f t="shared" si="55"/>
        <v>24.037994132191422</v>
      </c>
      <c r="AG176" s="23">
        <f t="shared" si="56"/>
        <v>13.515159301498665</v>
      </c>
      <c r="AH176" s="23">
        <f t="shared" si="57"/>
        <v>10.522613223727037</v>
      </c>
      <c r="AI176" s="24"/>
      <c r="AJ176" s="23">
        <f t="shared" si="58"/>
        <v>24.037994132191422</v>
      </c>
      <c r="AK176" s="25">
        <v>4187594</v>
      </c>
      <c r="AL176" s="26">
        <v>100661360</v>
      </c>
      <c r="AM176" s="26">
        <v>56596000</v>
      </c>
      <c r="AN176" s="26">
        <v>44064432</v>
      </c>
      <c r="AO176" s="40"/>
      <c r="AP176" s="41">
        <v>49.045999999999999</v>
      </c>
      <c r="AQ176" s="41">
        <v>50.868400000000001</v>
      </c>
      <c r="AR176" s="41">
        <v>50.322699999999998</v>
      </c>
      <c r="AS176" s="42"/>
      <c r="AT176" s="41">
        <v>42.110199999999999</v>
      </c>
      <c r="AU176" s="41">
        <v>42.110199999999999</v>
      </c>
      <c r="AV176" s="41">
        <v>42.110199999999999</v>
      </c>
      <c r="AW176" s="42"/>
      <c r="AX176" s="50">
        <v>12.218</v>
      </c>
      <c r="AY176" s="50">
        <v>10.265000000000001</v>
      </c>
      <c r="BA176" s="55">
        <f t="shared" si="59"/>
        <v>-7.8783549369528805E-3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1391016</v>
      </c>
      <c r="BZ176">
        <f t="shared" si="62"/>
        <v>0</v>
      </c>
      <c r="CA176">
        <f t="shared" si="63"/>
        <v>1391016</v>
      </c>
      <c r="CB176">
        <f t="shared" si="64"/>
        <v>0</v>
      </c>
      <c r="CC176">
        <f t="shared" si="65"/>
        <v>0.44910000000000139</v>
      </c>
      <c r="CD176">
        <f t="shared" si="66"/>
        <v>0.3008000000000024</v>
      </c>
      <c r="CE176">
        <f t="shared" si="67"/>
        <v>0.36560000000000059</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20.785031213627683</v>
      </c>
      <c r="K177" s="18">
        <f t="shared" si="51"/>
        <v>13.515159301498665</v>
      </c>
      <c r="L177" s="18">
        <f t="shared" si="52"/>
        <v>7.2696503051632995</v>
      </c>
      <c r="M177" s="19"/>
      <c r="N177" s="18">
        <f t="shared" si="53"/>
        <v>20.785031213627683</v>
      </c>
      <c r="O177" s="20">
        <v>4187594</v>
      </c>
      <c r="P177" s="21">
        <v>87039272</v>
      </c>
      <c r="Q177" s="21">
        <v>56596000</v>
      </c>
      <c r="R177" s="21">
        <v>30442344</v>
      </c>
      <c r="S177" s="37"/>
      <c r="T177" s="38">
        <v>41.276400000000002</v>
      </c>
      <c r="U177" s="38">
        <v>44.522399999999998</v>
      </c>
      <c r="V177" s="38">
        <v>43.545400000000001</v>
      </c>
      <c r="W177" s="39"/>
      <c r="X177" s="38">
        <v>34.151400000000002</v>
      </c>
      <c r="Y177" s="38">
        <v>34.151400000000002</v>
      </c>
      <c r="Z177" s="38">
        <v>34.151400000000002</v>
      </c>
      <c r="AA177" s="39"/>
      <c r="AB177" s="49">
        <v>11.343</v>
      </c>
      <c r="AC177" s="49">
        <v>10.170999999999999</v>
      </c>
      <c r="AE177" s="17" t="str">
        <f t="shared" si="54"/>
        <v>·</v>
      </c>
      <c r="AF177" s="18">
        <f t="shared" si="55"/>
        <v>21.081281518695462</v>
      </c>
      <c r="AG177" s="18">
        <f t="shared" si="56"/>
        <v>13.515159301498665</v>
      </c>
      <c r="AH177" s="18">
        <f t="shared" si="57"/>
        <v>7.5659006102310782</v>
      </c>
      <c r="AI177" s="19"/>
      <c r="AJ177" s="18">
        <f t="shared" si="58"/>
        <v>21.081281518695462</v>
      </c>
      <c r="AK177" s="20">
        <v>4187594</v>
      </c>
      <c r="AL177" s="21">
        <v>88279848</v>
      </c>
      <c r="AM177" s="21">
        <v>56596000</v>
      </c>
      <c r="AN177" s="21">
        <v>31682920</v>
      </c>
      <c r="AO177" s="37"/>
      <c r="AP177" s="38">
        <v>41.9114</v>
      </c>
      <c r="AQ177" s="38">
        <v>44.8414</v>
      </c>
      <c r="AR177" s="38">
        <v>43.948300000000003</v>
      </c>
      <c r="AS177" s="39"/>
      <c r="AT177" s="38">
        <v>34.151400000000002</v>
      </c>
      <c r="AU177" s="38">
        <v>34.151400000000002</v>
      </c>
      <c r="AV177" s="38">
        <v>34.151400000000002</v>
      </c>
      <c r="AW177" s="39"/>
      <c r="AX177" s="49">
        <v>11.984</v>
      </c>
      <c r="AY177" s="49">
        <v>10</v>
      </c>
      <c r="BA177" s="53">
        <f t="shared" si="59"/>
        <v>-9.137603020747731E-3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1240576</v>
      </c>
      <c r="BZ177">
        <f t="shared" si="62"/>
        <v>0</v>
      </c>
      <c r="CA177">
        <f t="shared" si="63"/>
        <v>1240576</v>
      </c>
      <c r="CB177">
        <f t="shared" si="64"/>
        <v>0</v>
      </c>
      <c r="CC177">
        <f t="shared" si="65"/>
        <v>0.63499999999999801</v>
      </c>
      <c r="CD177">
        <f t="shared" si="66"/>
        <v>0.31900000000000261</v>
      </c>
      <c r="CE177">
        <f t="shared" si="67"/>
        <v>0.40290000000000248</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18.674996668731495</v>
      </c>
      <c r="K178" s="23">
        <f t="shared" si="51"/>
        <v>13.515159301498665</v>
      </c>
      <c r="L178" s="23">
        <f t="shared" si="52"/>
        <v>5.1596157602671129</v>
      </c>
      <c r="M178" s="24"/>
      <c r="N178" s="23">
        <f t="shared" si="53"/>
        <v>18.674996668731495</v>
      </c>
      <c r="O178" s="25">
        <v>4187594</v>
      </c>
      <c r="P178" s="26">
        <v>78203304</v>
      </c>
      <c r="Q178" s="26">
        <v>56596000</v>
      </c>
      <c r="R178" s="26">
        <v>21606376</v>
      </c>
      <c r="S178" s="40"/>
      <c r="T178" s="41">
        <v>35.347700000000003</v>
      </c>
      <c r="U178" s="41">
        <v>39.750100000000003</v>
      </c>
      <c r="V178" s="41">
        <v>38.411499999999997</v>
      </c>
      <c r="W178" s="42"/>
      <c r="X178" s="41">
        <v>28.130800000000001</v>
      </c>
      <c r="Y178" s="41">
        <v>28.130800000000001</v>
      </c>
      <c r="Z178" s="41">
        <v>28.130800000000001</v>
      </c>
      <c r="AA178" s="42"/>
      <c r="AB178" s="50">
        <v>11.234</v>
      </c>
      <c r="AC178" s="50">
        <v>10</v>
      </c>
      <c r="AE178" s="22" t="str">
        <f t="shared" si="54"/>
        <v>·</v>
      </c>
      <c r="AF178" s="23">
        <f t="shared" si="55"/>
        <v>18.841045239820289</v>
      </c>
      <c r="AG178" s="23">
        <f t="shared" si="56"/>
        <v>13.515159301498665</v>
      </c>
      <c r="AH178" s="23">
        <f t="shared" si="57"/>
        <v>5.3256643313559051</v>
      </c>
      <c r="AI178" s="24"/>
      <c r="AJ178" s="23">
        <f t="shared" si="58"/>
        <v>18.841045239820289</v>
      </c>
      <c r="AK178" s="25">
        <v>4187594</v>
      </c>
      <c r="AL178" s="26">
        <v>78898648</v>
      </c>
      <c r="AM178" s="26">
        <v>56596000</v>
      </c>
      <c r="AN178" s="26">
        <v>22301720</v>
      </c>
      <c r="AO178" s="40"/>
      <c r="AP178" s="41">
        <v>36.0381</v>
      </c>
      <c r="AQ178" s="41">
        <v>40.316099999999999</v>
      </c>
      <c r="AR178" s="41">
        <v>38.877200000000002</v>
      </c>
      <c r="AS178" s="42"/>
      <c r="AT178" s="41">
        <v>28.130800000000001</v>
      </c>
      <c r="AU178" s="41">
        <v>28.130800000000001</v>
      </c>
      <c r="AV178" s="41">
        <v>28.130800000000001</v>
      </c>
      <c r="AW178" s="42"/>
      <c r="AX178" s="50">
        <v>12</v>
      </c>
      <c r="AY178" s="50">
        <v>10.015000000000001</v>
      </c>
      <c r="BA178" s="55">
        <f t="shared" si="59"/>
        <v>-6.3780921021528991E-3</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695344</v>
      </c>
      <c r="BZ178">
        <f t="shared" si="62"/>
        <v>0</v>
      </c>
      <c r="CA178">
        <f t="shared" si="63"/>
        <v>695344</v>
      </c>
      <c r="CB178">
        <f t="shared" si="64"/>
        <v>0</v>
      </c>
      <c r="CC178">
        <f t="shared" si="65"/>
        <v>0.69039999999999679</v>
      </c>
      <c r="CD178">
        <f t="shared" si="66"/>
        <v>0.5659999999999954</v>
      </c>
      <c r="CE178">
        <f t="shared" si="67"/>
        <v>0.46570000000000533</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16.811115881816622</v>
      </c>
      <c r="K179" s="28">
        <f t="shared" si="51"/>
        <v>13.515159301498665</v>
      </c>
      <c r="L179" s="28">
        <f t="shared" si="52"/>
        <v>3.2957349733522401</v>
      </c>
      <c r="M179" s="29"/>
      <c r="N179" s="28">
        <f t="shared" si="53"/>
        <v>16.811115881816622</v>
      </c>
      <c r="O179" s="30">
        <v>4187594</v>
      </c>
      <c r="P179" s="31">
        <v>70398128</v>
      </c>
      <c r="Q179" s="31">
        <v>56596000</v>
      </c>
      <c r="R179" s="31">
        <v>13801200</v>
      </c>
      <c r="S179" s="43"/>
      <c r="T179" s="44">
        <v>28.661799999999999</v>
      </c>
      <c r="U179" s="44">
        <v>35.405099999999997</v>
      </c>
      <c r="V179" s="44">
        <v>33.648000000000003</v>
      </c>
      <c r="W179" s="45"/>
      <c r="X179" s="44">
        <v>21.686399999999999</v>
      </c>
      <c r="Y179" s="44">
        <v>21.686399999999999</v>
      </c>
      <c r="Z179" s="44">
        <v>21.686399999999999</v>
      </c>
      <c r="AA179" s="45"/>
      <c r="AB179" s="51">
        <v>11.218</v>
      </c>
      <c r="AC179" s="51">
        <v>9.9369999999999994</v>
      </c>
      <c r="AE179" s="27" t="str">
        <f t="shared" si="54"/>
        <v>·</v>
      </c>
      <c r="AF179" s="28">
        <f t="shared" si="55"/>
        <v>16.957792947453836</v>
      </c>
      <c r="AG179" s="28">
        <f t="shared" si="56"/>
        <v>13.515159301498665</v>
      </c>
      <c r="AH179" s="28">
        <f t="shared" si="57"/>
        <v>3.442412038989453</v>
      </c>
      <c r="AI179" s="29"/>
      <c r="AJ179" s="28">
        <f t="shared" si="58"/>
        <v>16.957792947453836</v>
      </c>
      <c r="AK179" s="30">
        <v>4187594</v>
      </c>
      <c r="AL179" s="31">
        <v>71012352</v>
      </c>
      <c r="AM179" s="31">
        <v>56596000</v>
      </c>
      <c r="AN179" s="31">
        <v>14415424</v>
      </c>
      <c r="AO179" s="43"/>
      <c r="AP179" s="44">
        <v>29.521799999999999</v>
      </c>
      <c r="AQ179" s="44">
        <v>36.174100000000003</v>
      </c>
      <c r="AR179" s="44">
        <v>34.243699999999997</v>
      </c>
      <c r="AS179" s="45"/>
      <c r="AT179" s="44">
        <v>21.686399999999999</v>
      </c>
      <c r="AU179" s="44">
        <v>21.686399999999999</v>
      </c>
      <c r="AV179" s="44">
        <v>21.686399999999999</v>
      </c>
      <c r="AW179" s="45"/>
      <c r="AX179" s="51">
        <v>11.781000000000001</v>
      </c>
      <c r="AY179" s="51">
        <v>10</v>
      </c>
      <c r="BA179" s="57">
        <f t="shared" si="59"/>
        <v>-6.9537250065089262E-3</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614224</v>
      </c>
      <c r="BZ179">
        <f t="shared" si="62"/>
        <v>0</v>
      </c>
      <c r="CA179">
        <f t="shared" si="63"/>
        <v>614224</v>
      </c>
      <c r="CB179">
        <f t="shared" si="64"/>
        <v>0</v>
      </c>
      <c r="CC179">
        <f t="shared" si="65"/>
        <v>0.85999999999999943</v>
      </c>
      <c r="CD179">
        <f t="shared" si="66"/>
        <v>0.76900000000000546</v>
      </c>
      <c r="CE179">
        <f t="shared" si="67"/>
        <v>0.59569999999999368</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44.862675733034692</v>
      </c>
      <c r="K180" s="23">
        <f t="shared" si="51"/>
        <v>31.85194537914472</v>
      </c>
      <c r="L180" s="23">
        <f t="shared" si="52"/>
        <v>13.010505803810785</v>
      </c>
      <c r="M180" s="24"/>
      <c r="N180" s="23">
        <f t="shared" si="53"/>
        <v>44.862675733034692</v>
      </c>
      <c r="O180" s="25">
        <v>4203962</v>
      </c>
      <c r="P180" s="26">
        <v>188600984</v>
      </c>
      <c r="Q180" s="26">
        <v>133904368</v>
      </c>
      <c r="R180" s="26">
        <v>54695672</v>
      </c>
      <c r="S180" s="40"/>
      <c r="T180" s="41">
        <v>53.448399999999999</v>
      </c>
      <c r="U180" s="41">
        <v>55.167900000000003</v>
      </c>
      <c r="V180" s="41">
        <v>54.654899999999998</v>
      </c>
      <c r="W180" s="42"/>
      <c r="X180" s="41">
        <v>48.130800000000001</v>
      </c>
      <c r="Y180" s="41">
        <v>48.130800000000001</v>
      </c>
      <c r="Z180" s="41">
        <v>48.130800000000001</v>
      </c>
      <c r="AA180" s="42"/>
      <c r="AB180" s="50">
        <v>16.920999999999999</v>
      </c>
      <c r="AC180" s="50">
        <v>14.452999999999999</v>
      </c>
      <c r="AE180" s="22" t="str">
        <f t="shared" si="54"/>
        <v>·</v>
      </c>
      <c r="AF180" s="23">
        <f t="shared" si="55"/>
        <v>45.214420111314041</v>
      </c>
      <c r="AG180" s="23">
        <f t="shared" si="56"/>
        <v>31.85194537914472</v>
      </c>
      <c r="AH180" s="23">
        <f t="shared" si="57"/>
        <v>13.362250182090133</v>
      </c>
      <c r="AI180" s="24"/>
      <c r="AJ180" s="23">
        <f t="shared" si="58"/>
        <v>45.214420111314041</v>
      </c>
      <c r="AK180" s="25">
        <v>4203962</v>
      </c>
      <c r="AL180" s="26">
        <v>190079704</v>
      </c>
      <c r="AM180" s="26">
        <v>133904368</v>
      </c>
      <c r="AN180" s="26">
        <v>56174392</v>
      </c>
      <c r="AO180" s="40"/>
      <c r="AP180" s="41">
        <v>53.976900000000001</v>
      </c>
      <c r="AQ180" s="41">
        <v>55.5931</v>
      </c>
      <c r="AR180" s="41">
        <v>55.168900000000001</v>
      </c>
      <c r="AS180" s="42"/>
      <c r="AT180" s="41">
        <v>48.130800000000001</v>
      </c>
      <c r="AU180" s="41">
        <v>48.130800000000001</v>
      </c>
      <c r="AV180" s="41">
        <v>48.130800000000001</v>
      </c>
      <c r="AW180" s="42"/>
      <c r="AX180" s="50">
        <v>17.545999999999999</v>
      </c>
      <c r="AY180" s="50">
        <v>14.545999999999999</v>
      </c>
      <c r="BA180" s="55">
        <f t="shared" si="59"/>
        <v>-5.5233299747321496E-3</v>
      </c>
      <c r="BB180" s="55">
        <f t="array" ref="BB180">AVERAGE(AM180:AM184/AL180:AL184)-AVERAGE(Q180:Q184/P180:P184)</f>
        <v>-5.0217048334184611E-3</v>
      </c>
      <c r="BD180" s="56">
        <f>IF(OR(ISBLANK(R180:R184),ISBLANK(AN180:AN184),ISBLANK(T180:T184),ISBLANK(AP180:AP184)),"·",bdRateExtend(R180:R184,T180:T184,AN180:AN184,AP180:AP184))</f>
        <v>2.8879744866650015E-6</v>
      </c>
      <c r="BE180" s="56">
        <f>IF(OR(ISBLANK(R180:R184),ISBLANK(AN180:AN184),ISBLANK(U180:U184),ISBLANK(AQ180:AQ184)),"·",bdRateExtend(R180:R184,U180:U184,AN180:AN184,AQ180:AQ184))</f>
        <v>2.9587544444931169E-3</v>
      </c>
      <c r="BF180" s="56">
        <f>IF(OR(ISBLANK(R180:R184),ISBLANK(AN180:AN184),ISBLANK(V180:V184),ISBLANK(AR180:AR184)),"·",bdRateExtend(R180:R184,V180:V184,AN180:AN184,AR180:AR184))</f>
        <v>5.3754204263207761E-3</v>
      </c>
      <c r="BG180" s="62"/>
      <c r="BI180" s="56">
        <f>IF(OR(ISBLANK(R180:R184),ISBLANK(AN180:AN184),ISBLANK(X180:X184),ISBLANK(AT180:AT184)),"·",bdRateExtend(R180:R184,X180:X184,AN180:AN184,AT180:AT184))</f>
        <v>3.4986878746577021E-2</v>
      </c>
      <c r="BJ180" s="56">
        <f>IF(OR(ISBLANK(R180:R184),ISBLANK(AN180:AN184),ISBLANK(Y180:Y184),ISBLANK(AU180:AU184)),"·",bdRateExtend(R180:R184,Y180:Y184,AN180:AN184,AU180:AU184))</f>
        <v>3.4986878746577021E-2</v>
      </c>
      <c r="BK180" s="56">
        <f>IF(OR(ISBLANK(R180:R184),ISBLANK(AN180:AN184),ISBLANK(Z180:Z184),ISBLANK(AV180:AV184)),"·",bdRateExtend(R180:R184,Z180:Z184,AN180:AN184,AV180:AV184))</f>
        <v>3.4986878746577021E-2</v>
      </c>
      <c r="BL180" s="62"/>
      <c r="BN180" s="56">
        <f>IF(OR(ISBLANK(P180:P184),ISBLANK(AL180:AL184),ISBLANK(T180:T184),ISBLANK(AP180:AP184)),"·",bdRateExtend(P180:P184,T180:T184,AL180:AL184,AP180:AP184))</f>
        <v>5.0325887456992291E-4</v>
      </c>
      <c r="BO180" s="56">
        <f>IF(OR(ISBLANK(P180:P184),ISBLANK(AL180:AL184),ISBLANK(U180:U184),ISBLANK(AQ180:AQ184)),"·",bdRateExtend(P180:P184,U180:U184,AL180:AL184,AQ180:AQ184))</f>
        <v>1.4082906464740752E-3</v>
      </c>
      <c r="BP180" s="56">
        <f>IF(OR(ISBLANK(P180:P184),ISBLANK(AL180:AL184),ISBLANK(V180:V184),ISBLANK(AR180:AR184)),"·",bdRateExtend(P180:P184,V180:V184,AL180:AL184,AR180:AR184))</f>
        <v>1.4852964743101715E-3</v>
      </c>
      <c r="BQ180" s="62"/>
      <c r="BS180" s="56">
        <f>IF(OR(ISBLANK(P180:P184),ISBLANK(AL180:AL184),ISBLANK(X180:X184),ISBLANK(AT180:AT184)),"·",bdRateExtend(P180:P184,X180:X184,AL180:AL184,AT180:AT184))</f>
        <v>6.5075310815132514E-3</v>
      </c>
      <c r="BT180" s="56">
        <f>IF(OR(ISBLANK(P180:P184),ISBLANK(AL180:AL184),ISBLANK(Y180:Y184),ISBLANK(AU180:AU184)),"·",bdRateExtend(P180:P184,Y180:Y184,AL180:AL184,AU180:AU184))</f>
        <v>6.5075310815132514E-3</v>
      </c>
      <c r="BU180" s="56">
        <f>IF(OR(ISBLANK(P180:P184),ISBLANK(AL180:AL184),ISBLANK(Z180:Z184),ISBLANK(AV180:AV184)),"·",bdRateExtend(P180:P184,Z180:Z184,AL180:AL184,AV180:AV184))</f>
        <v>6.5075310815132514E-3</v>
      </c>
      <c r="BV180" s="62"/>
      <c r="BX180">
        <f t="shared" si="60"/>
        <v>0</v>
      </c>
      <c r="BY180">
        <f t="shared" si="61"/>
        <v>1478720</v>
      </c>
      <c r="BZ180">
        <f t="shared" si="62"/>
        <v>0</v>
      </c>
      <c r="CA180">
        <f t="shared" si="63"/>
        <v>1478720</v>
      </c>
      <c r="CB180">
        <f t="shared" si="64"/>
        <v>0</v>
      </c>
      <c r="CC180">
        <f t="shared" si="65"/>
        <v>0.52850000000000108</v>
      </c>
      <c r="CD180">
        <f t="shared" si="66"/>
        <v>0.42519999999999669</v>
      </c>
      <c r="CE180">
        <f t="shared" si="67"/>
        <v>0.5140000000000029</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42.031919413163109</v>
      </c>
      <c r="K181" s="18">
        <f t="shared" si="51"/>
        <v>31.85194537914472</v>
      </c>
      <c r="L181" s="18">
        <f t="shared" si="52"/>
        <v>10.179749483939199</v>
      </c>
      <c r="M181" s="19"/>
      <c r="N181" s="18">
        <f t="shared" si="53"/>
        <v>42.031919413163109</v>
      </c>
      <c r="O181" s="20">
        <v>4203962</v>
      </c>
      <c r="P181" s="21">
        <v>176700592</v>
      </c>
      <c r="Q181" s="21">
        <v>133904368</v>
      </c>
      <c r="R181" s="21">
        <v>42795280</v>
      </c>
      <c r="S181" s="37"/>
      <c r="T181" s="38">
        <v>48.601399999999998</v>
      </c>
      <c r="U181" s="38">
        <v>50.564799999999998</v>
      </c>
      <c r="V181" s="38">
        <v>49.954599999999999</v>
      </c>
      <c r="W181" s="39"/>
      <c r="X181" s="38">
        <v>42.110199999999999</v>
      </c>
      <c r="Y181" s="38">
        <v>42.110199999999999</v>
      </c>
      <c r="Z181" s="38">
        <v>42.110199999999999</v>
      </c>
      <c r="AA181" s="39"/>
      <c r="AB181" s="49">
        <v>16.655999999999999</v>
      </c>
      <c r="AC181" s="49">
        <v>14.420999999999999</v>
      </c>
      <c r="AE181" s="17" t="str">
        <f t="shared" si="54"/>
        <v>·</v>
      </c>
      <c r="AF181" s="18">
        <f t="shared" si="55"/>
        <v>42.361815829924247</v>
      </c>
      <c r="AG181" s="18">
        <f t="shared" si="56"/>
        <v>31.85194537914472</v>
      </c>
      <c r="AH181" s="18">
        <f t="shared" si="57"/>
        <v>10.50964590070034</v>
      </c>
      <c r="AI181" s="19"/>
      <c r="AJ181" s="18">
        <f t="shared" si="58"/>
        <v>42.361815829924247</v>
      </c>
      <c r="AK181" s="20">
        <v>4203962</v>
      </c>
      <c r="AL181" s="21">
        <v>178087464</v>
      </c>
      <c r="AM181" s="21">
        <v>133904368</v>
      </c>
      <c r="AN181" s="21">
        <v>44182152</v>
      </c>
      <c r="AO181" s="37"/>
      <c r="AP181" s="38">
        <v>49.036499999999997</v>
      </c>
      <c r="AQ181" s="38">
        <v>50.863500000000002</v>
      </c>
      <c r="AR181" s="38">
        <v>50.322400000000002</v>
      </c>
      <c r="AS181" s="39"/>
      <c r="AT181" s="38">
        <v>42.110199999999999</v>
      </c>
      <c r="AU181" s="38">
        <v>42.110199999999999</v>
      </c>
      <c r="AV181" s="38">
        <v>42.110199999999999</v>
      </c>
      <c r="AW181" s="39"/>
      <c r="AX181" s="49">
        <v>17.295999999999999</v>
      </c>
      <c r="AY181" s="49">
        <v>14.420999999999999</v>
      </c>
      <c r="BA181" s="53">
        <f t="shared" si="59"/>
        <v>-5.9014641081213126E-3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1386872</v>
      </c>
      <c r="BZ181">
        <f t="shared" si="62"/>
        <v>0</v>
      </c>
      <c r="CA181">
        <f t="shared" si="63"/>
        <v>1386872</v>
      </c>
      <c r="CB181">
        <f t="shared" si="64"/>
        <v>0</v>
      </c>
      <c r="CC181">
        <f t="shared" si="65"/>
        <v>0.43509999999999849</v>
      </c>
      <c r="CD181">
        <f t="shared" si="66"/>
        <v>0.29870000000000374</v>
      </c>
      <c r="CE181">
        <f t="shared" si="67"/>
        <v>0.36780000000000257</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39.112374469607481</v>
      </c>
      <c r="K182" s="23">
        <f t="shared" si="51"/>
        <v>31.85194537914472</v>
      </c>
      <c r="L182" s="23">
        <f t="shared" si="52"/>
        <v>7.2602045403835715</v>
      </c>
      <c r="M182" s="24"/>
      <c r="N182" s="23">
        <f t="shared" si="53"/>
        <v>39.112374469607481</v>
      </c>
      <c r="O182" s="25">
        <v>4203962</v>
      </c>
      <c r="P182" s="26">
        <v>164426936</v>
      </c>
      <c r="Q182" s="26">
        <v>133904368</v>
      </c>
      <c r="R182" s="26">
        <v>30521624</v>
      </c>
      <c r="S182" s="40"/>
      <c r="T182" s="41">
        <v>41.275799999999997</v>
      </c>
      <c r="U182" s="41">
        <v>44.520499999999998</v>
      </c>
      <c r="V182" s="41">
        <v>43.540799999999997</v>
      </c>
      <c r="W182" s="42"/>
      <c r="X182" s="41">
        <v>34.151400000000002</v>
      </c>
      <c r="Y182" s="41">
        <v>34.151400000000002</v>
      </c>
      <c r="Z182" s="41">
        <v>34.151400000000002</v>
      </c>
      <c r="AA182" s="42"/>
      <c r="AB182" s="50">
        <v>16.593</v>
      </c>
      <c r="AC182" s="50">
        <v>14.343</v>
      </c>
      <c r="AE182" s="22" t="str">
        <f t="shared" si="54"/>
        <v>·</v>
      </c>
      <c r="AF182" s="23">
        <f t="shared" si="55"/>
        <v>39.408125953564756</v>
      </c>
      <c r="AG182" s="23">
        <f t="shared" si="56"/>
        <v>31.85194537914472</v>
      </c>
      <c r="AH182" s="23">
        <f t="shared" si="57"/>
        <v>7.5559560243408477</v>
      </c>
      <c r="AI182" s="24"/>
      <c r="AJ182" s="23">
        <f t="shared" si="58"/>
        <v>39.408125953564756</v>
      </c>
      <c r="AK182" s="25">
        <v>4203962</v>
      </c>
      <c r="AL182" s="26">
        <v>165670264</v>
      </c>
      <c r="AM182" s="26">
        <v>133904368</v>
      </c>
      <c r="AN182" s="26">
        <v>31764952</v>
      </c>
      <c r="AO182" s="40"/>
      <c r="AP182" s="41">
        <v>41.913400000000003</v>
      </c>
      <c r="AQ182" s="41">
        <v>44.848599999999998</v>
      </c>
      <c r="AR182" s="41">
        <v>43.947000000000003</v>
      </c>
      <c r="AS182" s="42"/>
      <c r="AT182" s="41">
        <v>34.151400000000002</v>
      </c>
      <c r="AU182" s="41">
        <v>34.151400000000002</v>
      </c>
      <c r="AV182" s="41">
        <v>34.151400000000002</v>
      </c>
      <c r="AW182" s="42"/>
      <c r="AX182" s="50">
        <v>17.343</v>
      </c>
      <c r="AY182" s="50">
        <v>14.281000000000001</v>
      </c>
      <c r="BA182" s="55">
        <f t="shared" si="59"/>
        <v>-6.1117126884455697E-3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1243328</v>
      </c>
      <c r="BZ182">
        <f t="shared" si="62"/>
        <v>0</v>
      </c>
      <c r="CA182">
        <f t="shared" si="63"/>
        <v>1243328</v>
      </c>
      <c r="CB182">
        <f t="shared" si="64"/>
        <v>0</v>
      </c>
      <c r="CC182">
        <f t="shared" si="65"/>
        <v>0.63760000000000616</v>
      </c>
      <c r="CD182">
        <f t="shared" si="66"/>
        <v>0.32809999999999917</v>
      </c>
      <c r="CE182">
        <f t="shared" si="67"/>
        <v>0.40620000000000545</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37.007546690479124</v>
      </c>
      <c r="K183" s="18">
        <f t="shared" si="51"/>
        <v>31.85194537914472</v>
      </c>
      <c r="L183" s="18">
        <f t="shared" si="52"/>
        <v>5.1553767612552157</v>
      </c>
      <c r="M183" s="19"/>
      <c r="N183" s="18">
        <f t="shared" si="53"/>
        <v>37.007546690479124</v>
      </c>
      <c r="O183" s="20">
        <v>4203962</v>
      </c>
      <c r="P183" s="21">
        <v>155578320</v>
      </c>
      <c r="Q183" s="21">
        <v>133904368</v>
      </c>
      <c r="R183" s="21">
        <v>21673008</v>
      </c>
      <c r="S183" s="37"/>
      <c r="T183" s="38">
        <v>35.3461</v>
      </c>
      <c r="U183" s="38">
        <v>39.741199999999999</v>
      </c>
      <c r="V183" s="38">
        <v>38.4071</v>
      </c>
      <c r="W183" s="39"/>
      <c r="X183" s="38">
        <v>28.130800000000001</v>
      </c>
      <c r="Y183" s="38">
        <v>28.130800000000001</v>
      </c>
      <c r="Z183" s="38">
        <v>28.130800000000001</v>
      </c>
      <c r="AA183" s="39"/>
      <c r="AB183" s="49">
        <v>16.452999999999999</v>
      </c>
      <c r="AC183" s="49">
        <v>14.156000000000001</v>
      </c>
      <c r="AE183" s="17" t="str">
        <f t="shared" si="54"/>
        <v>·</v>
      </c>
      <c r="AF183" s="18">
        <f t="shared" si="55"/>
        <v>37.170845978151085</v>
      </c>
      <c r="AG183" s="18">
        <f t="shared" si="56"/>
        <v>31.85194537914472</v>
      </c>
      <c r="AH183" s="18">
        <f t="shared" si="57"/>
        <v>5.3186760489271787</v>
      </c>
      <c r="AI183" s="19"/>
      <c r="AJ183" s="18">
        <f t="shared" si="58"/>
        <v>37.170845978151085</v>
      </c>
      <c r="AK183" s="20">
        <v>4203962</v>
      </c>
      <c r="AL183" s="21">
        <v>156264824</v>
      </c>
      <c r="AM183" s="21">
        <v>133904368</v>
      </c>
      <c r="AN183" s="21">
        <v>22359512</v>
      </c>
      <c r="AO183" s="37"/>
      <c r="AP183" s="38">
        <v>36.032899999999998</v>
      </c>
      <c r="AQ183" s="38">
        <v>40.317599999999999</v>
      </c>
      <c r="AR183" s="38">
        <v>38.879300000000001</v>
      </c>
      <c r="AS183" s="39"/>
      <c r="AT183" s="38">
        <v>28.130800000000001</v>
      </c>
      <c r="AU183" s="38">
        <v>28.130800000000001</v>
      </c>
      <c r="AV183" s="38">
        <v>28.130800000000001</v>
      </c>
      <c r="AW183" s="39"/>
      <c r="AX183" s="49">
        <v>16.937000000000001</v>
      </c>
      <c r="AY183" s="49">
        <v>14.25</v>
      </c>
      <c r="BA183" s="53">
        <f t="shared" si="59"/>
        <v>-3.7811813877304257E-3</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686504</v>
      </c>
      <c r="BZ183">
        <f t="shared" si="62"/>
        <v>0</v>
      </c>
      <c r="CA183">
        <f t="shared" si="63"/>
        <v>686504</v>
      </c>
      <c r="CB183">
        <f t="shared" si="64"/>
        <v>0</v>
      </c>
      <c r="CC183">
        <f t="shared" si="65"/>
        <v>0.68679999999999808</v>
      </c>
      <c r="CD183">
        <f t="shared" si="66"/>
        <v>0.57639999999999958</v>
      </c>
      <c r="CE183">
        <f t="shared" si="67"/>
        <v>0.47220000000000084</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35.142549813723342</v>
      </c>
      <c r="K184" s="33">
        <f t="shared" si="51"/>
        <v>31.85194537914472</v>
      </c>
      <c r="L184" s="33">
        <f t="shared" si="52"/>
        <v>3.2903798844994316</v>
      </c>
      <c r="M184" s="34"/>
      <c r="N184" s="33">
        <f t="shared" si="53"/>
        <v>35.142549813723342</v>
      </c>
      <c r="O184" s="35">
        <v>4203962</v>
      </c>
      <c r="P184" s="36">
        <v>147737944</v>
      </c>
      <c r="Q184" s="36">
        <v>133904368</v>
      </c>
      <c r="R184" s="36">
        <v>13832632</v>
      </c>
      <c r="S184" s="46"/>
      <c r="T184" s="47">
        <v>28.663</v>
      </c>
      <c r="U184" s="47">
        <v>35.392699999999998</v>
      </c>
      <c r="V184" s="47">
        <v>33.641100000000002</v>
      </c>
      <c r="W184" s="48"/>
      <c r="X184" s="47">
        <v>21.686399999999999</v>
      </c>
      <c r="Y184" s="47">
        <v>21.686399999999999</v>
      </c>
      <c r="Z184" s="47">
        <v>21.686399999999999</v>
      </c>
      <c r="AA184" s="48"/>
      <c r="AB184" s="52">
        <v>16.375</v>
      </c>
      <c r="AC184" s="52">
        <v>14.202999999999999</v>
      </c>
      <c r="AE184" s="32" t="str">
        <f t="shared" si="54"/>
        <v>·</v>
      </c>
      <c r="AF184" s="33">
        <f t="shared" si="55"/>
        <v>35.290149625519923</v>
      </c>
      <c r="AG184" s="33">
        <f t="shared" si="56"/>
        <v>31.85194537914472</v>
      </c>
      <c r="AH184" s="33">
        <f t="shared" si="57"/>
        <v>3.4379796962960181</v>
      </c>
      <c r="AI184" s="34"/>
      <c r="AJ184" s="33">
        <f t="shared" si="58"/>
        <v>35.290149625519923</v>
      </c>
      <c r="AK184" s="35">
        <v>4203962</v>
      </c>
      <c r="AL184" s="36">
        <v>148358448</v>
      </c>
      <c r="AM184" s="36">
        <v>133904368</v>
      </c>
      <c r="AN184" s="36">
        <v>14453136</v>
      </c>
      <c r="AO184" s="46"/>
      <c r="AP184" s="47">
        <v>29.521999999999998</v>
      </c>
      <c r="AQ184" s="47">
        <v>36.1175</v>
      </c>
      <c r="AR184" s="47">
        <v>34.247300000000003</v>
      </c>
      <c r="AS184" s="48"/>
      <c r="AT184" s="47">
        <v>21.686399999999999</v>
      </c>
      <c r="AU184" s="47">
        <v>21.686399999999999</v>
      </c>
      <c r="AV184" s="47">
        <v>21.686399999999999</v>
      </c>
      <c r="AW184" s="48"/>
      <c r="AX184" s="52">
        <v>16.920999999999999</v>
      </c>
      <c r="AY184" s="52">
        <v>14.265000000000001</v>
      </c>
      <c r="BA184" s="59">
        <f t="shared" si="59"/>
        <v>-3.790836008063736E-3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620504</v>
      </c>
      <c r="BZ184">
        <f t="shared" si="62"/>
        <v>0</v>
      </c>
      <c r="CA184">
        <f t="shared" si="63"/>
        <v>620504</v>
      </c>
      <c r="CB184">
        <f t="shared" si="64"/>
        <v>0</v>
      </c>
      <c r="CC184">
        <f t="shared" si="65"/>
        <v>0.85899999999999821</v>
      </c>
      <c r="CD184">
        <f t="shared" si="66"/>
        <v>0.72480000000000189</v>
      </c>
      <c r="CE184">
        <f t="shared" si="67"/>
        <v>0.60620000000000118</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44.230680859022094</v>
      </c>
      <c r="K185" s="18">
        <f t="shared" si="51"/>
        <v>32.437819058352986</v>
      </c>
      <c r="L185" s="18">
        <f t="shared" si="52"/>
        <v>11.792323501792515</v>
      </c>
      <c r="M185" s="19"/>
      <c r="N185" s="18">
        <f t="shared" si="53"/>
        <v>44.230680859022094</v>
      </c>
      <c r="O185" s="20">
        <v>1010591</v>
      </c>
      <c r="P185" s="21">
        <v>44699128</v>
      </c>
      <c r="Q185" s="21">
        <v>32781368</v>
      </c>
      <c r="R185" s="21">
        <v>11917216</v>
      </c>
      <c r="S185" s="37"/>
      <c r="T185" s="38">
        <v>53.5184</v>
      </c>
      <c r="U185" s="38">
        <v>55.046900000000001</v>
      </c>
      <c r="V185" s="38">
        <v>54.757800000000003</v>
      </c>
      <c r="W185" s="39"/>
      <c r="X185" s="38">
        <v>48.130800000000001</v>
      </c>
      <c r="Y185" s="38">
        <v>48.130800000000001</v>
      </c>
      <c r="Z185" s="38">
        <v>48.130800000000001</v>
      </c>
      <c r="AA185" s="39"/>
      <c r="AB185" s="49">
        <v>3.8279999999999998</v>
      </c>
      <c r="AC185" s="49">
        <v>3.3119999999999998</v>
      </c>
      <c r="AE185" s="17" t="str">
        <f t="shared" si="54"/>
        <v>·</v>
      </c>
      <c r="AF185" s="18">
        <f t="shared" si="55"/>
        <v>44.408786541736468</v>
      </c>
      <c r="AG185" s="18">
        <f t="shared" si="56"/>
        <v>32.437819058352986</v>
      </c>
      <c r="AH185" s="18">
        <f t="shared" si="57"/>
        <v>11.970429184506887</v>
      </c>
      <c r="AI185" s="19"/>
      <c r="AJ185" s="18">
        <f t="shared" si="58"/>
        <v>44.408786541736468</v>
      </c>
      <c r="AK185" s="20">
        <v>1010591</v>
      </c>
      <c r="AL185" s="21">
        <v>44879120</v>
      </c>
      <c r="AM185" s="21">
        <v>32781368</v>
      </c>
      <c r="AN185" s="21">
        <v>12097208</v>
      </c>
      <c r="AO185" s="37"/>
      <c r="AP185" s="38">
        <v>53.682899999999997</v>
      </c>
      <c r="AQ185" s="38">
        <v>55.208300000000001</v>
      </c>
      <c r="AR185" s="38">
        <v>54.914000000000001</v>
      </c>
      <c r="AS185" s="39"/>
      <c r="AT185" s="38">
        <v>48.130800000000001</v>
      </c>
      <c r="AU185" s="38">
        <v>48.130800000000001</v>
      </c>
      <c r="AV185" s="38">
        <v>48.130800000000001</v>
      </c>
      <c r="AW185" s="39"/>
      <c r="AX185" s="49">
        <v>3.89</v>
      </c>
      <c r="AY185" s="49">
        <v>3.375</v>
      </c>
      <c r="BA185" s="53">
        <f t="shared" si="59"/>
        <v>-2.9412835387622183E-3</v>
      </c>
      <c r="BB185" s="53">
        <f t="array" ref="BB185">AVERAGE(AM185:AM189/AL185:AL189)-AVERAGE(Q185:Q189/P185:P189)</f>
        <v>-3.4993250157667743E-3</v>
      </c>
      <c r="BD185" s="54">
        <f>IF(OR(ISBLANK(R185:R189),ISBLANK(AN185:AN189),ISBLANK(T185:T189),ISBLANK(AP185:AP189)),"·",bdRateExtend(R185:R189,T185:T189,AN185:AN189,AP185:AP189))</f>
        <v>1.8142265229541543E-2</v>
      </c>
      <c r="BE185" s="54">
        <f>IF(OR(ISBLANK(R185:R189),ISBLANK(AN185:AN189),ISBLANK(U185:U189),ISBLANK(AQ185:AQ189)),"·",bdRateExtend(R185:R189,U185:U189,AN185:AN189,AQ185:AQ189))</f>
        <v>1.9030538897405913E-2</v>
      </c>
      <c r="BF185" s="54">
        <f>IF(OR(ISBLANK(R185:R189),ISBLANK(AN185:AN189),ISBLANK(V185:V189),ISBLANK(AR185:AR189)),"·",bdRateExtend(R185:R189,V185:V189,AN185:AN189,AR185:AR189))</f>
        <v>1.8716072767186009E-2</v>
      </c>
      <c r="BG185" s="61"/>
      <c r="BI185" s="54">
        <f>IF(OR(ISBLANK(R185:R189),ISBLANK(AN185:AN189),ISBLANK(X185:X189),ISBLANK(AT185:AT189)),"·",bdRateExtend(R185:R189,X185:X189,AN185:AN189,AT185:AT189))</f>
        <v>3.1240039885966464E-2</v>
      </c>
      <c r="BJ185" s="54">
        <f>IF(OR(ISBLANK(R185:R189),ISBLANK(AN185:AN189),ISBLANK(Y185:Y189),ISBLANK(AU185:AU189)),"·",bdRateExtend(R185:R189,Y185:Y189,AN185:AN189,AU185:AU189))</f>
        <v>3.1240039885966464E-2</v>
      </c>
      <c r="BK185" s="54">
        <f>IF(OR(ISBLANK(R185:R189),ISBLANK(AN185:AN189),ISBLANK(Z185:Z189),ISBLANK(AV185:AV189)),"·",bdRateExtend(R185:R189,Z185:Z189,AN185:AN189,AV185:AV189))</f>
        <v>3.1240039885966464E-2</v>
      </c>
      <c r="BL185" s="61"/>
      <c r="BN185" s="54">
        <f>IF(OR(ISBLANK(P185:P189),ISBLANK(AL185:AL189),ISBLANK(T185:T189),ISBLANK(AP185:AP189)),"·",bdRateExtend(P185:P189,T185:T189,AL185:AL189,AP185:AP189))</f>
        <v>2.6017530825308555E-3</v>
      </c>
      <c r="BO185" s="54">
        <f>IF(OR(ISBLANK(P185:P189),ISBLANK(AL185:AL189),ISBLANK(U185:U189),ISBLANK(AQ185:AQ189)),"·",bdRateExtend(P185:P189,U185:U189,AL185:AL189,AQ185:AQ189))</f>
        <v>2.766753876406014E-3</v>
      </c>
      <c r="BP185" s="54">
        <f>IF(OR(ISBLANK(P185:P189),ISBLANK(AL185:AL189),ISBLANK(V185:V189),ISBLANK(AR185:AR189)),"·",bdRateExtend(P185:P189,V185:V189,AL185:AL189,AR185:AR189))</f>
        <v>2.8116711281049866E-3</v>
      </c>
      <c r="BQ185" s="61"/>
      <c r="BS185" s="54">
        <f>IF(OR(ISBLANK(P185:P189),ISBLANK(AL185:AL189),ISBLANK(X185:X189),ISBLANK(AT185:AT189)),"·",bdRateExtend(P185:P189,X185:X189,AL185:AL189,AT185:AT189))</f>
        <v>4.4012330779006348E-3</v>
      </c>
      <c r="BT185" s="54">
        <f>IF(OR(ISBLANK(P185:P189),ISBLANK(AL185:AL189),ISBLANK(Y185:Y189),ISBLANK(AU185:AU189)),"·",bdRateExtend(P185:P189,Y185:Y189,AL185:AL189,AU185:AU189))</f>
        <v>4.4012330779006348E-3</v>
      </c>
      <c r="BU185" s="54">
        <f>IF(OR(ISBLANK(P185:P189),ISBLANK(AL185:AL189),ISBLANK(Z185:Z189),ISBLANK(AV185:AV189)),"·",bdRateExtend(P185:P189,Z185:Z189,AL185:AL189,AV185:AV189))</f>
        <v>4.4012330779006348E-3</v>
      </c>
      <c r="BV185" s="61"/>
      <c r="BX185">
        <f t="shared" si="60"/>
        <v>0</v>
      </c>
      <c r="BY185">
        <f t="shared" si="61"/>
        <v>179992</v>
      </c>
      <c r="BZ185">
        <f t="shared" si="62"/>
        <v>0</v>
      </c>
      <c r="CA185">
        <f t="shared" si="63"/>
        <v>179992</v>
      </c>
      <c r="CB185">
        <f t="shared" si="64"/>
        <v>0</v>
      </c>
      <c r="CC185">
        <f t="shared" si="65"/>
        <v>0.16449999999999676</v>
      </c>
      <c r="CD185">
        <f t="shared" si="66"/>
        <v>0.16140000000000043</v>
      </c>
      <c r="CE185">
        <f t="shared" si="67"/>
        <v>0.15619999999999834</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41.446852386375895</v>
      </c>
      <c r="K186" s="23">
        <f t="shared" si="51"/>
        <v>32.437819058352986</v>
      </c>
      <c r="L186" s="23">
        <f t="shared" si="52"/>
        <v>9.0084950291463119</v>
      </c>
      <c r="M186" s="24"/>
      <c r="N186" s="23">
        <f t="shared" si="53"/>
        <v>41.446852386375895</v>
      </c>
      <c r="O186" s="25">
        <v>1010591</v>
      </c>
      <c r="P186" s="26">
        <v>41885816</v>
      </c>
      <c r="Q186" s="26">
        <v>32781368</v>
      </c>
      <c r="R186" s="26">
        <v>9103904</v>
      </c>
      <c r="S186" s="40"/>
      <c r="T186" s="41">
        <v>48.584800000000001</v>
      </c>
      <c r="U186" s="41">
        <v>50.483699999999999</v>
      </c>
      <c r="V186" s="41">
        <v>50.1541</v>
      </c>
      <c r="W186" s="42"/>
      <c r="X186" s="41">
        <v>42.110199999999999</v>
      </c>
      <c r="Y186" s="41">
        <v>42.110199999999999</v>
      </c>
      <c r="Z186" s="41">
        <v>42.110199999999999</v>
      </c>
      <c r="AA186" s="42"/>
      <c r="AB186" s="50">
        <v>3.734</v>
      </c>
      <c r="AC186" s="50">
        <v>3.3119999999999998</v>
      </c>
      <c r="AE186" s="22" t="str">
        <f t="shared" si="54"/>
        <v>·</v>
      </c>
      <c r="AF186" s="23">
        <f t="shared" si="55"/>
        <v>41.624031878376115</v>
      </c>
      <c r="AG186" s="23">
        <f t="shared" si="56"/>
        <v>32.437819058352986</v>
      </c>
      <c r="AH186" s="23">
        <f t="shared" si="57"/>
        <v>9.1856745211465363</v>
      </c>
      <c r="AI186" s="24"/>
      <c r="AJ186" s="23">
        <f t="shared" si="58"/>
        <v>41.624031878376115</v>
      </c>
      <c r="AK186" s="25">
        <v>1010591</v>
      </c>
      <c r="AL186" s="26">
        <v>42064872</v>
      </c>
      <c r="AM186" s="26">
        <v>32781368</v>
      </c>
      <c r="AN186" s="26">
        <v>9282960</v>
      </c>
      <c r="AO186" s="40"/>
      <c r="AP186" s="41">
        <v>48.720100000000002</v>
      </c>
      <c r="AQ186" s="41">
        <v>50.6006</v>
      </c>
      <c r="AR186" s="41">
        <v>50.259099999999997</v>
      </c>
      <c r="AS186" s="42"/>
      <c r="AT186" s="41">
        <v>42.110199999999999</v>
      </c>
      <c r="AU186" s="41">
        <v>42.110199999999999</v>
      </c>
      <c r="AV186" s="41">
        <v>42.110199999999999</v>
      </c>
      <c r="AW186" s="42"/>
      <c r="AX186" s="50">
        <v>3.89</v>
      </c>
      <c r="AY186" s="50">
        <v>3.343</v>
      </c>
      <c r="BA186" s="55">
        <f t="shared" si="59"/>
        <v>-3.3314200810882211E-3</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179056</v>
      </c>
      <c r="BZ186">
        <f t="shared" si="62"/>
        <v>0</v>
      </c>
      <c r="CA186">
        <f t="shared" si="63"/>
        <v>179056</v>
      </c>
      <c r="CB186">
        <f t="shared" si="64"/>
        <v>0</v>
      </c>
      <c r="CC186">
        <f t="shared" si="65"/>
        <v>0.13530000000000086</v>
      </c>
      <c r="CD186">
        <f t="shared" si="66"/>
        <v>0.11690000000000111</v>
      </c>
      <c r="CE186">
        <f t="shared" si="67"/>
        <v>0.10499999999999687</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38.49480551479283</v>
      </c>
      <c r="K187" s="18">
        <f t="shared" si="51"/>
        <v>32.437819058352986</v>
      </c>
      <c r="L187" s="18">
        <f t="shared" si="52"/>
        <v>6.0564481575632474</v>
      </c>
      <c r="M187" s="19"/>
      <c r="N187" s="18">
        <f t="shared" si="53"/>
        <v>38.49480551479283</v>
      </c>
      <c r="O187" s="20">
        <v>1010591</v>
      </c>
      <c r="P187" s="21">
        <v>38902504</v>
      </c>
      <c r="Q187" s="21">
        <v>32781368</v>
      </c>
      <c r="R187" s="21">
        <v>6120592</v>
      </c>
      <c r="S187" s="37"/>
      <c r="T187" s="38">
        <v>41.336599999999997</v>
      </c>
      <c r="U187" s="38">
        <v>44.137500000000003</v>
      </c>
      <c r="V187" s="38">
        <v>43.996000000000002</v>
      </c>
      <c r="W187" s="39"/>
      <c r="X187" s="38">
        <v>34.151400000000002</v>
      </c>
      <c r="Y187" s="38">
        <v>34.151400000000002</v>
      </c>
      <c r="Z187" s="38">
        <v>34.151400000000002</v>
      </c>
      <c r="AA187" s="39"/>
      <c r="AB187" s="49">
        <v>3.718</v>
      </c>
      <c r="AC187" s="49">
        <v>3.2959999999999998</v>
      </c>
      <c r="AE187" s="17" t="str">
        <f t="shared" si="54"/>
        <v>·</v>
      </c>
      <c r="AF187" s="18">
        <f t="shared" si="55"/>
        <v>38.689622211161584</v>
      </c>
      <c r="AG187" s="18">
        <f t="shared" si="56"/>
        <v>32.437819058352986</v>
      </c>
      <c r="AH187" s="18">
        <f t="shared" si="57"/>
        <v>6.2512648539320059</v>
      </c>
      <c r="AI187" s="19"/>
      <c r="AJ187" s="18">
        <f t="shared" si="58"/>
        <v>38.689622211161584</v>
      </c>
      <c r="AK187" s="20">
        <v>1010591</v>
      </c>
      <c r="AL187" s="21">
        <v>39099384</v>
      </c>
      <c r="AM187" s="21">
        <v>32781368</v>
      </c>
      <c r="AN187" s="21">
        <v>6317472</v>
      </c>
      <c r="AO187" s="37"/>
      <c r="AP187" s="38">
        <v>41.525500000000001</v>
      </c>
      <c r="AQ187" s="38">
        <v>44.276200000000003</v>
      </c>
      <c r="AR187" s="38">
        <v>44.109900000000003</v>
      </c>
      <c r="AS187" s="39"/>
      <c r="AT187" s="38">
        <v>34.151400000000002</v>
      </c>
      <c r="AU187" s="38">
        <v>34.151400000000002</v>
      </c>
      <c r="AV187" s="38">
        <v>34.151400000000002</v>
      </c>
      <c r="AW187" s="39"/>
      <c r="AX187" s="49">
        <v>3.7650000000000001</v>
      </c>
      <c r="AY187" s="49">
        <v>3.3279999999999998</v>
      </c>
      <c r="BA187" s="53">
        <f t="shared" si="59"/>
        <v>-4.2430798283289439E-3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196880</v>
      </c>
      <c r="BZ187">
        <f t="shared" si="62"/>
        <v>0</v>
      </c>
      <c r="CA187">
        <f t="shared" si="63"/>
        <v>196880</v>
      </c>
      <c r="CB187">
        <f t="shared" si="64"/>
        <v>0</v>
      </c>
      <c r="CC187">
        <f t="shared" si="65"/>
        <v>0.18890000000000384</v>
      </c>
      <c r="CD187">
        <f t="shared" si="66"/>
        <v>0.13870000000000005</v>
      </c>
      <c r="CE187">
        <f t="shared" si="67"/>
        <v>0.113900000000001</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36.359650936927004</v>
      </c>
      <c r="K188" s="23">
        <f t="shared" si="51"/>
        <v>32.437819058352986</v>
      </c>
      <c r="L188" s="23">
        <f t="shared" si="52"/>
        <v>3.9212935796974246</v>
      </c>
      <c r="M188" s="24"/>
      <c r="N188" s="23">
        <f t="shared" si="53"/>
        <v>36.359650936927004</v>
      </c>
      <c r="O188" s="25">
        <v>1010591</v>
      </c>
      <c r="P188" s="26">
        <v>36744736</v>
      </c>
      <c r="Q188" s="26">
        <v>32781368</v>
      </c>
      <c r="R188" s="26">
        <v>3962824</v>
      </c>
      <c r="S188" s="40"/>
      <c r="T188" s="41">
        <v>35.460299999999997</v>
      </c>
      <c r="U188" s="41">
        <v>39.152999999999999</v>
      </c>
      <c r="V188" s="41">
        <v>39.128799999999998</v>
      </c>
      <c r="W188" s="42"/>
      <c r="X188" s="41">
        <v>28.130800000000001</v>
      </c>
      <c r="Y188" s="41">
        <v>28.130800000000001</v>
      </c>
      <c r="Z188" s="41">
        <v>28.130800000000001</v>
      </c>
      <c r="AA188" s="42"/>
      <c r="AB188" s="50">
        <v>3.6709999999999998</v>
      </c>
      <c r="AC188" s="50">
        <v>3.234</v>
      </c>
      <c r="AE188" s="22" t="str">
        <f t="shared" si="54"/>
        <v>·</v>
      </c>
      <c r="AF188" s="23">
        <f t="shared" si="55"/>
        <v>36.520602301029797</v>
      </c>
      <c r="AG188" s="23">
        <f t="shared" si="56"/>
        <v>32.437819058352986</v>
      </c>
      <c r="AH188" s="23">
        <f t="shared" si="57"/>
        <v>4.0822449438002115</v>
      </c>
      <c r="AI188" s="24"/>
      <c r="AJ188" s="23">
        <f t="shared" si="58"/>
        <v>36.520602301029797</v>
      </c>
      <c r="AK188" s="25">
        <v>1010591</v>
      </c>
      <c r="AL188" s="26">
        <v>36907392</v>
      </c>
      <c r="AM188" s="26">
        <v>32781368</v>
      </c>
      <c r="AN188" s="26">
        <v>4125480</v>
      </c>
      <c r="AO188" s="40"/>
      <c r="AP188" s="41">
        <v>35.654400000000003</v>
      </c>
      <c r="AQ188" s="41">
        <v>39.2898</v>
      </c>
      <c r="AR188" s="41">
        <v>39.280099999999997</v>
      </c>
      <c r="AS188" s="42"/>
      <c r="AT188" s="41">
        <v>28.130800000000001</v>
      </c>
      <c r="AU188" s="41">
        <v>28.130800000000001</v>
      </c>
      <c r="AV188" s="41">
        <v>28.130800000000001</v>
      </c>
      <c r="AW188" s="42"/>
      <c r="AX188" s="50">
        <v>3.8119999999999998</v>
      </c>
      <c r="AY188" s="50">
        <v>3.2650000000000001</v>
      </c>
      <c r="BA188" s="55">
        <f t="shared" si="59"/>
        <v>-3.9317751380903987E-3</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162656</v>
      </c>
      <c r="BZ188">
        <f t="shared" si="62"/>
        <v>0</v>
      </c>
      <c r="CA188">
        <f t="shared" si="63"/>
        <v>162656</v>
      </c>
      <c r="CB188">
        <f t="shared" si="64"/>
        <v>0</v>
      </c>
      <c r="CC188">
        <f t="shared" si="65"/>
        <v>0.19410000000000593</v>
      </c>
      <c r="CD188">
        <f t="shared" si="66"/>
        <v>0.13680000000000092</v>
      </c>
      <c r="CE188">
        <f t="shared" si="67"/>
        <v>0.1512999999999991</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34.57021881255622</v>
      </c>
      <c r="K189" s="28">
        <f t="shared" si="51"/>
        <v>32.437819058352986</v>
      </c>
      <c r="L189" s="28">
        <f t="shared" si="52"/>
        <v>2.1318614553266357</v>
      </c>
      <c r="M189" s="29"/>
      <c r="N189" s="28">
        <f t="shared" si="53"/>
        <v>34.57021881255622</v>
      </c>
      <c r="O189" s="30">
        <v>1010591</v>
      </c>
      <c r="P189" s="31">
        <v>34936352</v>
      </c>
      <c r="Q189" s="31">
        <v>32781368</v>
      </c>
      <c r="R189" s="31">
        <v>2154440</v>
      </c>
      <c r="S189" s="43"/>
      <c r="T189" s="44">
        <v>29.058299999999999</v>
      </c>
      <c r="U189" s="44">
        <v>34.161200000000001</v>
      </c>
      <c r="V189" s="44">
        <v>34.548499999999997</v>
      </c>
      <c r="W189" s="45"/>
      <c r="X189" s="44">
        <v>21.686399999999999</v>
      </c>
      <c r="Y189" s="44">
        <v>21.686399999999999</v>
      </c>
      <c r="Z189" s="44">
        <v>21.686399999999999</v>
      </c>
      <c r="AA189" s="45"/>
      <c r="AB189" s="51">
        <v>3.718</v>
      </c>
      <c r="AC189" s="51">
        <v>3.2810000000000001</v>
      </c>
      <c r="AE189" s="27" t="str">
        <f t="shared" si="54"/>
        <v>·</v>
      </c>
      <c r="AF189" s="28">
        <f t="shared" si="55"/>
        <v>34.682921181763938</v>
      </c>
      <c r="AG189" s="28">
        <f t="shared" si="56"/>
        <v>32.437819058352986</v>
      </c>
      <c r="AH189" s="28">
        <f t="shared" si="57"/>
        <v>2.2445638245343567</v>
      </c>
      <c r="AI189" s="29"/>
      <c r="AJ189" s="28">
        <f t="shared" si="58"/>
        <v>34.682921181763938</v>
      </c>
      <c r="AK189" s="30">
        <v>1010591</v>
      </c>
      <c r="AL189" s="31">
        <v>35050248</v>
      </c>
      <c r="AM189" s="31">
        <v>32781368</v>
      </c>
      <c r="AN189" s="31">
        <v>2268336</v>
      </c>
      <c r="AO189" s="43"/>
      <c r="AP189" s="44">
        <v>29.362400000000001</v>
      </c>
      <c r="AQ189" s="44">
        <v>34.3874</v>
      </c>
      <c r="AR189" s="44">
        <v>34.764800000000001</v>
      </c>
      <c r="AS189" s="45"/>
      <c r="AT189" s="44">
        <v>21.686399999999999</v>
      </c>
      <c r="AU189" s="44">
        <v>21.686399999999999</v>
      </c>
      <c r="AV189" s="44">
        <v>21.686399999999999</v>
      </c>
      <c r="AW189" s="45"/>
      <c r="AX189" s="51">
        <v>3.7810000000000001</v>
      </c>
      <c r="AY189" s="51">
        <v>3.2959999999999998</v>
      </c>
      <c r="BA189" s="57">
        <f t="shared" si="59"/>
        <v>-3.0490664925639788E-3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113896</v>
      </c>
      <c r="BZ189">
        <f t="shared" si="62"/>
        <v>0</v>
      </c>
      <c r="CA189">
        <f t="shared" si="63"/>
        <v>113896</v>
      </c>
      <c r="CB189">
        <f t="shared" si="64"/>
        <v>0</v>
      </c>
      <c r="CC189">
        <f t="shared" si="65"/>
        <v>0.30410000000000181</v>
      </c>
      <c r="CD189">
        <f t="shared" si="66"/>
        <v>0.22619999999999862</v>
      </c>
      <c r="CE189">
        <f t="shared" si="67"/>
        <v>0.21630000000000393</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16.534812607419465</v>
      </c>
      <c r="K190" s="23">
        <f t="shared" si="51"/>
        <v>11.060105942794358</v>
      </c>
      <c r="L190" s="23">
        <f t="shared" si="52"/>
        <v>5.4745983819387876</v>
      </c>
      <c r="M190" s="24"/>
      <c r="N190" s="23">
        <f t="shared" si="53"/>
        <v>16.534812607419465</v>
      </c>
      <c r="O190" s="25">
        <v>47062002</v>
      </c>
      <c r="P190" s="26">
        <v>778161384</v>
      </c>
      <c r="Q190" s="26">
        <v>520510728</v>
      </c>
      <c r="R190" s="26">
        <v>257645560</v>
      </c>
      <c r="S190" s="40"/>
      <c r="T190" s="41">
        <v>52.8994</v>
      </c>
      <c r="U190" s="41">
        <v>55.920099999999998</v>
      </c>
      <c r="V190" s="41">
        <v>55.836599999999997</v>
      </c>
      <c r="W190" s="42"/>
      <c r="X190" s="41">
        <v>48.130800000000001</v>
      </c>
      <c r="Y190" s="41">
        <v>48.130800000000001</v>
      </c>
      <c r="Z190" s="41">
        <v>48.130800000000001</v>
      </c>
      <c r="AA190" s="42"/>
      <c r="AB190" s="50">
        <v>103.75</v>
      </c>
      <c r="AC190" s="50">
        <v>91.078000000000003</v>
      </c>
      <c r="AE190" s="22" t="str">
        <f t="shared" si="54"/>
        <v>·</v>
      </c>
      <c r="AF190" s="23">
        <f t="shared" si="55"/>
        <v>16.612484951235182</v>
      </c>
      <c r="AG190" s="23">
        <f t="shared" si="56"/>
        <v>11.060105942794358</v>
      </c>
      <c r="AH190" s="23">
        <f t="shared" si="57"/>
        <v>5.5522707257545054</v>
      </c>
      <c r="AI190" s="24"/>
      <c r="AJ190" s="23">
        <f t="shared" si="58"/>
        <v>16.612484951235182</v>
      </c>
      <c r="AK190" s="25">
        <v>47062002</v>
      </c>
      <c r="AL190" s="26">
        <v>781816800</v>
      </c>
      <c r="AM190" s="26">
        <v>520510728</v>
      </c>
      <c r="AN190" s="26">
        <v>261300976</v>
      </c>
      <c r="AO190" s="40"/>
      <c r="AP190" s="41">
        <v>52.950899999999997</v>
      </c>
      <c r="AQ190" s="41">
        <v>55.9709</v>
      </c>
      <c r="AR190" s="41">
        <v>55.880800000000001</v>
      </c>
      <c r="AS190" s="42"/>
      <c r="AT190" s="41">
        <v>48.130800000000001</v>
      </c>
      <c r="AU190" s="41">
        <v>48.130800000000001</v>
      </c>
      <c r="AV190" s="41">
        <v>48.130800000000001</v>
      </c>
      <c r="AW190" s="42"/>
      <c r="AX190" s="50">
        <v>105.015</v>
      </c>
      <c r="AY190" s="50">
        <v>91.671000000000006</v>
      </c>
      <c r="BA190" s="55">
        <f t="shared" si="59"/>
        <v>-3.1274604020895547E-3</v>
      </c>
      <c r="BB190" s="55">
        <f t="array" ref="BB190">AVERAGE(AM190:AM194/AL190:AL194)-AVERAGE(Q190:Q194/P190:P194)</f>
        <v>-4.2091271170757727E-3</v>
      </c>
      <c r="BD190" s="56">
        <f>IF(OR(ISBLANK(R190:R194),ISBLANK(AN190:AN194),ISBLANK(T190:T194),ISBLANK(AP190:AP194)),"·",bdRateExtend(R190:R194,T190:T194,AN190:AN194,AP190:AP194))</f>
        <v>2.7104133177694001E-2</v>
      </c>
      <c r="BE190" s="56">
        <f>IF(OR(ISBLANK(R190:R194),ISBLANK(AN190:AN194),ISBLANK(U190:U194),ISBLANK(AQ190:AQ194)),"·",bdRateExtend(R190:R194,U190:U194,AN190:AN194,AQ190:AQ194))</f>
        <v>2.718179487903094E-2</v>
      </c>
      <c r="BF190" s="56">
        <f>IF(OR(ISBLANK(R190:R194),ISBLANK(AN190:AN194),ISBLANK(V190:V194),ISBLANK(AR190:AR194)),"·",bdRateExtend(R190:R194,V190:V194,AN190:AN194,AR190:AR194))</f>
        <v>1.9111153780406509E-2</v>
      </c>
      <c r="BG190" s="62"/>
      <c r="BI190" s="56">
        <f>IF(OR(ISBLANK(R190:R194),ISBLANK(AN190:AN194),ISBLANK(X190:X194),ISBLANK(AT190:AT194)),"·",bdRateExtend(R190:R194,X190:X194,AN190:AN194,AT190:AT194))</f>
        <v>3.8588893088032927E-2</v>
      </c>
      <c r="BJ190" s="56">
        <f>IF(OR(ISBLANK(R190:R194),ISBLANK(AN190:AN194),ISBLANK(Y190:Y194),ISBLANK(AU190:AU194)),"·",bdRateExtend(R190:R194,Y190:Y194,AN190:AN194,AU190:AU194))</f>
        <v>3.8588893088032927E-2</v>
      </c>
      <c r="BK190" s="56">
        <f>IF(OR(ISBLANK(R190:R194),ISBLANK(AN190:AN194),ISBLANK(Z190:Z194),ISBLANK(AV190:AV194)),"·",bdRateExtend(R190:R194,Z190:Z194,AN190:AN194,AV190:AV194))</f>
        <v>3.8588893088032927E-2</v>
      </c>
      <c r="BL190" s="62"/>
      <c r="BN190" s="56">
        <f>IF(OR(ISBLANK(P190:P194),ISBLANK(AL190:AL194),ISBLANK(T190:T194),ISBLANK(AP190:AP194)),"·",bdRateExtend(P190:P194,T190:T194,AL190:AL194,AP190:AP194))</f>
        <v>3.9633677470276574E-3</v>
      </c>
      <c r="BO190" s="56">
        <f>IF(OR(ISBLANK(P190:P194),ISBLANK(AL190:AL194),ISBLANK(U190:U194),ISBLANK(AQ190:AQ194)),"·",bdRateExtend(P190:P194,U190:U194,AL190:AL194,AQ190:AQ194))</f>
        <v>3.9442444048727321E-3</v>
      </c>
      <c r="BP190" s="56">
        <f>IF(OR(ISBLANK(P190:P194),ISBLANK(AL190:AL194),ISBLANK(V190:V194),ISBLANK(AR190:AR194)),"·",bdRateExtend(P190:P194,V190:V194,AL190:AL194,AR190:AR194))</f>
        <v>3.2464694664255944E-3</v>
      </c>
      <c r="BQ190" s="62"/>
      <c r="BS190" s="56">
        <f>IF(OR(ISBLANK(P190:P194),ISBLANK(AL190:AL194),ISBLANK(X190:X194),ISBLANK(AT190:AT194)),"·",bdRateExtend(P190:P194,X190:X194,AL190:AL194,AT190:AT194))</f>
        <v>5.3052824355273032E-3</v>
      </c>
      <c r="BT190" s="56">
        <f>IF(OR(ISBLANK(P190:P194),ISBLANK(AL190:AL194),ISBLANK(Y190:Y194),ISBLANK(AU190:AU194)),"·",bdRateExtend(P190:P194,Y190:Y194,AL190:AL194,AU190:AU194))</f>
        <v>5.3052824355273032E-3</v>
      </c>
      <c r="BU190" s="56">
        <f>IF(OR(ISBLANK(P190:P194),ISBLANK(AL190:AL194),ISBLANK(Z190:Z194),ISBLANK(AV190:AV194)),"·",bdRateExtend(P190:P194,Z190:Z194,AL190:AL194,AV190:AV194))</f>
        <v>5.3052824355273032E-3</v>
      </c>
      <c r="BV190" s="62"/>
      <c r="BX190">
        <f t="shared" si="60"/>
        <v>0</v>
      </c>
      <c r="BY190">
        <f t="shared" si="61"/>
        <v>3655416</v>
      </c>
      <c r="BZ190">
        <f t="shared" si="62"/>
        <v>0</v>
      </c>
      <c r="CA190">
        <f t="shared" si="63"/>
        <v>3655416</v>
      </c>
      <c r="CB190">
        <f t="shared" si="64"/>
        <v>0</v>
      </c>
      <c r="CC190">
        <f t="shared" si="65"/>
        <v>5.1499999999997215E-2</v>
      </c>
      <c r="CD190">
        <f t="shared" si="66"/>
        <v>5.0800000000002399E-2</v>
      </c>
      <c r="CE190">
        <f t="shared" si="67"/>
        <v>4.420000000000357E-2</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14.858569255086088</v>
      </c>
      <c r="K191" s="18">
        <f t="shared" si="51"/>
        <v>11.060105942794358</v>
      </c>
      <c r="L191" s="18">
        <f t="shared" si="52"/>
        <v>3.7983550296054127</v>
      </c>
      <c r="M191" s="19"/>
      <c r="N191" s="18">
        <f t="shared" si="53"/>
        <v>14.858569255086088</v>
      </c>
      <c r="O191" s="20">
        <v>47062002</v>
      </c>
      <c r="P191" s="21">
        <v>699274016</v>
      </c>
      <c r="Q191" s="21">
        <v>520510728</v>
      </c>
      <c r="R191" s="21">
        <v>178758192</v>
      </c>
      <c r="S191" s="37"/>
      <c r="T191" s="38">
        <v>48.377200000000002</v>
      </c>
      <c r="U191" s="38">
        <v>51.375300000000003</v>
      </c>
      <c r="V191" s="38">
        <v>51.388199999999998</v>
      </c>
      <c r="W191" s="39"/>
      <c r="X191" s="38">
        <v>42.110199999999999</v>
      </c>
      <c r="Y191" s="38">
        <v>42.110199999999999</v>
      </c>
      <c r="Z191" s="38">
        <v>42.110199999999999</v>
      </c>
      <c r="AA191" s="39"/>
      <c r="AB191" s="49">
        <v>102.60899999999999</v>
      </c>
      <c r="AC191" s="49">
        <v>90.281000000000006</v>
      </c>
      <c r="AE191" s="17" t="str">
        <f t="shared" si="54"/>
        <v>·</v>
      </c>
      <c r="AF191" s="18">
        <f t="shared" si="55"/>
        <v>14.937430838577585</v>
      </c>
      <c r="AG191" s="18">
        <f t="shared" si="56"/>
        <v>11.060105942794358</v>
      </c>
      <c r="AH191" s="18">
        <f t="shared" si="57"/>
        <v>3.8772166130969099</v>
      </c>
      <c r="AI191" s="19"/>
      <c r="AJ191" s="18">
        <f t="shared" si="58"/>
        <v>14.937430838577585</v>
      </c>
      <c r="AK191" s="20">
        <v>47062002</v>
      </c>
      <c r="AL191" s="21">
        <v>702985400</v>
      </c>
      <c r="AM191" s="21">
        <v>520510728</v>
      </c>
      <c r="AN191" s="21">
        <v>182469576</v>
      </c>
      <c r="AO191" s="37"/>
      <c r="AP191" s="38">
        <v>48.417900000000003</v>
      </c>
      <c r="AQ191" s="38">
        <v>51.412300000000002</v>
      </c>
      <c r="AR191" s="38">
        <v>51.433700000000002</v>
      </c>
      <c r="AS191" s="39"/>
      <c r="AT191" s="38">
        <v>42.110199999999999</v>
      </c>
      <c r="AU191" s="38">
        <v>42.110199999999999</v>
      </c>
      <c r="AV191" s="38">
        <v>42.110199999999999</v>
      </c>
      <c r="AW191" s="39"/>
      <c r="AX191" s="49">
        <v>104.015</v>
      </c>
      <c r="AY191" s="49">
        <v>90.968000000000004</v>
      </c>
      <c r="BA191" s="53">
        <f t="shared" si="59"/>
        <v>-3.9298129539436788E-3</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3711384</v>
      </c>
      <c r="BZ191">
        <f t="shared" si="62"/>
        <v>0</v>
      </c>
      <c r="CA191">
        <f t="shared" si="63"/>
        <v>3711384</v>
      </c>
      <c r="CB191">
        <f t="shared" si="64"/>
        <v>0</v>
      </c>
      <c r="CC191">
        <f t="shared" si="65"/>
        <v>4.0700000000001069E-2</v>
      </c>
      <c r="CD191">
        <f t="shared" si="66"/>
        <v>3.6999999999999034E-2</v>
      </c>
      <c r="CE191">
        <f t="shared" si="67"/>
        <v>4.5500000000004093E-2</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13.190592274421306</v>
      </c>
      <c r="K192" s="23">
        <f t="shared" si="51"/>
        <v>11.060105942794358</v>
      </c>
      <c r="L192" s="23">
        <f t="shared" si="52"/>
        <v>2.1303780489406292</v>
      </c>
      <c r="M192" s="24"/>
      <c r="N192" s="23">
        <f t="shared" si="53"/>
        <v>13.190592274421306</v>
      </c>
      <c r="O192" s="25">
        <v>47062002</v>
      </c>
      <c r="P192" s="26">
        <v>620775680</v>
      </c>
      <c r="Q192" s="26">
        <v>520510728</v>
      </c>
      <c r="R192" s="26">
        <v>100259856</v>
      </c>
      <c r="S192" s="40"/>
      <c r="T192" s="41">
        <v>41.445500000000003</v>
      </c>
      <c r="U192" s="41">
        <v>45.759599999999999</v>
      </c>
      <c r="V192" s="41">
        <v>46.169699999999999</v>
      </c>
      <c r="W192" s="42"/>
      <c r="X192" s="41">
        <v>34.151400000000002</v>
      </c>
      <c r="Y192" s="41">
        <v>34.151400000000002</v>
      </c>
      <c r="Z192" s="41">
        <v>34.151400000000002</v>
      </c>
      <c r="AA192" s="42"/>
      <c r="AB192" s="50">
        <v>102</v>
      </c>
      <c r="AC192" s="50">
        <v>89.968000000000004</v>
      </c>
      <c r="AE192" s="22" t="str">
        <f t="shared" si="54"/>
        <v>·</v>
      </c>
      <c r="AF192" s="23">
        <f t="shared" si="55"/>
        <v>13.264834929886748</v>
      </c>
      <c r="AG192" s="23">
        <f t="shared" si="56"/>
        <v>11.060105942794358</v>
      </c>
      <c r="AH192" s="23">
        <f t="shared" si="57"/>
        <v>2.2046207044060728</v>
      </c>
      <c r="AI192" s="24"/>
      <c r="AJ192" s="23">
        <f t="shared" si="58"/>
        <v>13.264834929886748</v>
      </c>
      <c r="AK192" s="25">
        <v>47062002</v>
      </c>
      <c r="AL192" s="26">
        <v>624269688</v>
      </c>
      <c r="AM192" s="26">
        <v>520510728</v>
      </c>
      <c r="AN192" s="26">
        <v>103753864</v>
      </c>
      <c r="AO192" s="40"/>
      <c r="AP192" s="41">
        <v>41.522300000000001</v>
      </c>
      <c r="AQ192" s="41">
        <v>45.8232</v>
      </c>
      <c r="AR192" s="41">
        <v>46.263599999999997</v>
      </c>
      <c r="AS192" s="42"/>
      <c r="AT192" s="41">
        <v>34.151400000000002</v>
      </c>
      <c r="AU192" s="41">
        <v>34.151400000000002</v>
      </c>
      <c r="AV192" s="41">
        <v>34.151400000000002</v>
      </c>
      <c r="AW192" s="42"/>
      <c r="AX192" s="50">
        <v>103.062</v>
      </c>
      <c r="AY192" s="50">
        <v>90.358999999999995</v>
      </c>
      <c r="BA192" s="55">
        <f t="shared" si="59"/>
        <v>-4.6929576794643157E-3</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3494008</v>
      </c>
      <c r="BZ192">
        <f t="shared" si="62"/>
        <v>0</v>
      </c>
      <c r="CA192">
        <f t="shared" si="63"/>
        <v>3494008</v>
      </c>
      <c r="CB192">
        <f t="shared" si="64"/>
        <v>0</v>
      </c>
      <c r="CC192">
        <f t="shared" si="65"/>
        <v>7.6799999999998647E-2</v>
      </c>
      <c r="CD192">
        <f t="shared" si="66"/>
        <v>6.3600000000000989E-2</v>
      </c>
      <c r="CE192">
        <f t="shared" si="67"/>
        <v>9.3899999999997874E-2</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12.31259052685434</v>
      </c>
      <c r="K193" s="18">
        <f t="shared" si="51"/>
        <v>11.060105942794358</v>
      </c>
      <c r="L193" s="18">
        <f t="shared" si="52"/>
        <v>1.2523763013736644</v>
      </c>
      <c r="M193" s="19"/>
      <c r="N193" s="18">
        <f t="shared" si="53"/>
        <v>12.31259052685434</v>
      </c>
      <c r="O193" s="20">
        <v>47062002</v>
      </c>
      <c r="P193" s="21">
        <v>579455160</v>
      </c>
      <c r="Q193" s="21">
        <v>520510728</v>
      </c>
      <c r="R193" s="21">
        <v>58939336</v>
      </c>
      <c r="S193" s="37"/>
      <c r="T193" s="38">
        <v>35.805500000000002</v>
      </c>
      <c r="U193" s="38">
        <v>40.960500000000003</v>
      </c>
      <c r="V193" s="38">
        <v>41.622300000000003</v>
      </c>
      <c r="W193" s="39"/>
      <c r="X193" s="38">
        <v>28.130800000000001</v>
      </c>
      <c r="Y193" s="38">
        <v>28.130800000000001</v>
      </c>
      <c r="Z193" s="38">
        <v>28.130800000000001</v>
      </c>
      <c r="AA193" s="39"/>
      <c r="AB193" s="49">
        <v>101.39</v>
      </c>
      <c r="AC193" s="49">
        <v>89.14</v>
      </c>
      <c r="AE193" s="17" t="str">
        <f t="shared" si="54"/>
        <v>·</v>
      </c>
      <c r="AF193" s="18">
        <f t="shared" si="55"/>
        <v>12.378507314669699</v>
      </c>
      <c r="AG193" s="18">
        <f t="shared" si="56"/>
        <v>11.060105942794358</v>
      </c>
      <c r="AH193" s="18">
        <f t="shared" si="57"/>
        <v>1.3182930891890234</v>
      </c>
      <c r="AI193" s="19"/>
      <c r="AJ193" s="18">
        <f t="shared" si="58"/>
        <v>12.378507314669699</v>
      </c>
      <c r="AK193" s="20">
        <v>47062002</v>
      </c>
      <c r="AL193" s="21">
        <v>582557336</v>
      </c>
      <c r="AM193" s="21">
        <v>520510728</v>
      </c>
      <c r="AN193" s="21">
        <v>62041512</v>
      </c>
      <c r="AO193" s="37"/>
      <c r="AP193" s="38">
        <v>35.951999999999998</v>
      </c>
      <c r="AQ193" s="38">
        <v>41.110399999999998</v>
      </c>
      <c r="AR193" s="38">
        <v>41.839300000000001</v>
      </c>
      <c r="AS193" s="39"/>
      <c r="AT193" s="38">
        <v>28.130800000000001</v>
      </c>
      <c r="AU193" s="38">
        <v>28.130800000000001</v>
      </c>
      <c r="AV193" s="38">
        <v>28.130800000000001</v>
      </c>
      <c r="AW193" s="39"/>
      <c r="AX193" s="49">
        <v>102.625</v>
      </c>
      <c r="AY193" s="49">
        <v>89.796000000000006</v>
      </c>
      <c r="BA193" s="53">
        <f t="shared" si="59"/>
        <v>-4.7834100143100411E-3</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3102176</v>
      </c>
      <c r="BZ193">
        <f t="shared" si="62"/>
        <v>0</v>
      </c>
      <c r="CA193">
        <f t="shared" si="63"/>
        <v>3102176</v>
      </c>
      <c r="CB193">
        <f t="shared" si="64"/>
        <v>0</v>
      </c>
      <c r="CC193">
        <f t="shared" si="65"/>
        <v>0.14649999999999608</v>
      </c>
      <c r="CD193">
        <f t="shared" si="66"/>
        <v>0.14989999999999526</v>
      </c>
      <c r="CE193">
        <f t="shared" si="67"/>
        <v>0.21699999999999875</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11.68301051026261</v>
      </c>
      <c r="K194" s="33">
        <f t="shared" si="51"/>
        <v>11.060105942794358</v>
      </c>
      <c r="L194" s="33">
        <f t="shared" si="52"/>
        <v>0.62279628478193516</v>
      </c>
      <c r="M194" s="34"/>
      <c r="N194" s="33">
        <f t="shared" si="53"/>
        <v>11.68301051026261</v>
      </c>
      <c r="O194" s="35">
        <v>47062002</v>
      </c>
      <c r="P194" s="36">
        <v>549825864</v>
      </c>
      <c r="Q194" s="36">
        <v>520510728</v>
      </c>
      <c r="R194" s="36">
        <v>29310040</v>
      </c>
      <c r="S194" s="46"/>
      <c r="T194" s="47">
        <v>29.473500000000001</v>
      </c>
      <c r="U194" s="47">
        <v>35.696399999999997</v>
      </c>
      <c r="V194" s="47">
        <v>36.864600000000003</v>
      </c>
      <c r="W194" s="48"/>
      <c r="X194" s="47">
        <v>21.686399999999999</v>
      </c>
      <c r="Y194" s="47">
        <v>21.686399999999999</v>
      </c>
      <c r="Z194" s="47">
        <v>21.686399999999999</v>
      </c>
      <c r="AA194" s="48"/>
      <c r="AB194" s="52">
        <v>100.79600000000001</v>
      </c>
      <c r="AC194" s="52">
        <v>89.125</v>
      </c>
      <c r="AE194" s="32" t="str">
        <f t="shared" si="54"/>
        <v>·</v>
      </c>
      <c r="AF194" s="33">
        <f t="shared" si="55"/>
        <v>11.738959681315725</v>
      </c>
      <c r="AG194" s="33">
        <f t="shared" si="56"/>
        <v>11.060105942794358</v>
      </c>
      <c r="AH194" s="33">
        <f t="shared" si="57"/>
        <v>0.67874545583504931</v>
      </c>
      <c r="AI194" s="34"/>
      <c r="AJ194" s="33">
        <f t="shared" si="58"/>
        <v>11.738959681315725</v>
      </c>
      <c r="AK194" s="35">
        <v>47062002</v>
      </c>
      <c r="AL194" s="36">
        <v>552458944</v>
      </c>
      <c r="AM194" s="36">
        <v>520510728</v>
      </c>
      <c r="AN194" s="36">
        <v>31943120</v>
      </c>
      <c r="AO194" s="46"/>
      <c r="AP194" s="47">
        <v>29.915199999999999</v>
      </c>
      <c r="AQ194" s="47">
        <v>35.957999999999998</v>
      </c>
      <c r="AR194" s="47">
        <v>37.336199999999998</v>
      </c>
      <c r="AS194" s="48"/>
      <c r="AT194" s="47">
        <v>21.686399999999999</v>
      </c>
      <c r="AU194" s="47">
        <v>21.686399999999999</v>
      </c>
      <c r="AV194" s="47">
        <v>21.686399999999999</v>
      </c>
      <c r="AW194" s="48"/>
      <c r="AX194" s="52">
        <v>101.718</v>
      </c>
      <c r="AY194" s="52">
        <v>89.171000000000006</v>
      </c>
      <c r="BA194" s="59">
        <f t="shared" si="59"/>
        <v>-4.5119945355711621E-3</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2633080</v>
      </c>
      <c r="BZ194">
        <f t="shared" si="62"/>
        <v>0</v>
      </c>
      <c r="CA194">
        <f t="shared" si="63"/>
        <v>2633080</v>
      </c>
      <c r="CB194">
        <f t="shared" si="64"/>
        <v>0</v>
      </c>
      <c r="CC194">
        <f t="shared" si="65"/>
        <v>0.44169999999999732</v>
      </c>
      <c r="CD194">
        <f t="shared" si="66"/>
        <v>0.26160000000000139</v>
      </c>
      <c r="CE194">
        <f t="shared" si="67"/>
        <v>0.47159999999999513</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16.84318050279952</v>
      </c>
      <c r="K195" s="18">
        <f t="shared" si="51"/>
        <v>11.370199722417343</v>
      </c>
      <c r="L195" s="18">
        <f t="shared" si="52"/>
        <v>5.472872327744212</v>
      </c>
      <c r="M195" s="19"/>
      <c r="N195" s="18">
        <f t="shared" si="53"/>
        <v>16.84318050279952</v>
      </c>
      <c r="O195" s="20">
        <v>47062018</v>
      </c>
      <c r="P195" s="21">
        <v>792674064</v>
      </c>
      <c r="Q195" s="21">
        <v>535104544</v>
      </c>
      <c r="R195" s="21">
        <v>257564416</v>
      </c>
      <c r="S195" s="37"/>
      <c r="T195" s="38">
        <v>52.900500000000001</v>
      </c>
      <c r="U195" s="38">
        <v>55.926499999999997</v>
      </c>
      <c r="V195" s="38">
        <v>55.838999999999999</v>
      </c>
      <c r="W195" s="39"/>
      <c r="X195" s="38">
        <v>48.130800000000001</v>
      </c>
      <c r="Y195" s="38">
        <v>48.130800000000001</v>
      </c>
      <c r="Z195" s="38">
        <v>48.130800000000001</v>
      </c>
      <c r="AA195" s="39"/>
      <c r="AB195" s="49">
        <v>139.53100000000001</v>
      </c>
      <c r="AC195" s="49">
        <v>123.203</v>
      </c>
      <c r="AE195" s="17" t="str">
        <f t="shared" si="54"/>
        <v>·</v>
      </c>
      <c r="AF195" s="18">
        <f t="shared" si="55"/>
        <v>16.920702040443739</v>
      </c>
      <c r="AG195" s="18">
        <f t="shared" si="56"/>
        <v>11.370199722417343</v>
      </c>
      <c r="AH195" s="18">
        <f t="shared" si="57"/>
        <v>5.5503938653884326</v>
      </c>
      <c r="AI195" s="19"/>
      <c r="AJ195" s="18">
        <f t="shared" si="58"/>
        <v>16.920702040443739</v>
      </c>
      <c r="AK195" s="20">
        <v>47062018</v>
      </c>
      <c r="AL195" s="21">
        <v>796322384</v>
      </c>
      <c r="AM195" s="21">
        <v>535104544</v>
      </c>
      <c r="AN195" s="21">
        <v>261212736</v>
      </c>
      <c r="AO195" s="37"/>
      <c r="AP195" s="38">
        <v>52.951099999999997</v>
      </c>
      <c r="AQ195" s="38">
        <v>55.975000000000001</v>
      </c>
      <c r="AR195" s="38">
        <v>55.881399999999999</v>
      </c>
      <c r="AS195" s="39"/>
      <c r="AT195" s="38">
        <v>48.130800000000001</v>
      </c>
      <c r="AU195" s="38">
        <v>48.130800000000001</v>
      </c>
      <c r="AV195" s="38">
        <v>48.130800000000001</v>
      </c>
      <c r="AW195" s="39"/>
      <c r="AX195" s="49">
        <v>140.59299999999999</v>
      </c>
      <c r="AY195" s="49">
        <v>124.062</v>
      </c>
      <c r="BA195" s="53">
        <f t="shared" si="59"/>
        <v>-3.0927726124407862E-3</v>
      </c>
      <c r="BB195" s="53">
        <f t="array" ref="BB195">AVERAGE(AM195:AM199/AL195:AL199)-AVERAGE(Q195:Q199/P195:P199)</f>
        <v>-4.1313721991577124E-3</v>
      </c>
      <c r="BD195" s="54">
        <f>IF(OR(ISBLANK(R195:R199),ISBLANK(AN195:AN199),ISBLANK(T195:T199),ISBLANK(AP195:AP199)),"·",bdRateExtend(R195:R199,T195:T199,AN195:AN199,AP195:AP199))</f>
        <v>2.6843608273098285E-2</v>
      </c>
      <c r="BE195" s="54">
        <f>IF(OR(ISBLANK(R195:R199),ISBLANK(AN195:AN199),ISBLANK(U195:U199),ISBLANK(AQ195:AQ199)),"·",bdRateExtend(R195:R199,U195:U199,AN195:AN199,AQ195:AQ199))</f>
        <v>2.8801584228560717E-2</v>
      </c>
      <c r="BF195" s="54">
        <f>IF(OR(ISBLANK(R195:R199),ISBLANK(AN195:AN199),ISBLANK(V195:V199),ISBLANK(AR195:AR199)),"·",bdRateExtend(R195:R199,V195:V199,AN195:AN199,AR195:AR199))</f>
        <v>1.7461638998195639E-2</v>
      </c>
      <c r="BG195" s="61"/>
      <c r="BI195" s="54">
        <f>IF(OR(ISBLANK(R195:R199),ISBLANK(AN195:AN199),ISBLANK(X195:X199),ISBLANK(AT195:AT199)),"·",bdRateExtend(R195:R199,X195:X199,AN195:AN199,AT195:AT199))</f>
        <v>3.8521628490313597E-2</v>
      </c>
      <c r="BJ195" s="54">
        <f>IF(OR(ISBLANK(R195:R199),ISBLANK(AN195:AN199),ISBLANK(Y195:Y199),ISBLANK(AU195:AU199)),"·",bdRateExtend(R195:R199,Y195:Y199,AN195:AN199,AU195:AU199))</f>
        <v>3.8521628490313597E-2</v>
      </c>
      <c r="BK195" s="54">
        <f>IF(OR(ISBLANK(R195:R199),ISBLANK(AN195:AN199),ISBLANK(Z195:Z199),ISBLANK(AV195:AV199)),"·",bdRateExtend(R195:R199,Z195:Z199,AN195:AN199,AV195:AV199))</f>
        <v>3.8521628490313597E-2</v>
      </c>
      <c r="BL195" s="61"/>
      <c r="BN195" s="54">
        <f>IF(OR(ISBLANK(P195:P199),ISBLANK(AL195:AL199),ISBLANK(T195:T199),ISBLANK(AP195:AP199)),"·",bdRateExtend(P195:P199,T195:T199,AL195:AL199,AP195:AP199))</f>
        <v>3.8443495735023259E-3</v>
      </c>
      <c r="BO195" s="54">
        <f>IF(OR(ISBLANK(P195:P199),ISBLANK(AL195:AL199),ISBLANK(U195:U199),ISBLANK(AQ195:AQ199)),"·",bdRateExtend(P195:P199,U195:U199,AL195:AL199,AQ195:AQ199))</f>
        <v>3.9803712508050815E-3</v>
      </c>
      <c r="BP195" s="54">
        <f>IF(OR(ISBLANK(P195:P199),ISBLANK(AL195:AL199),ISBLANK(V195:V199),ISBLANK(AR195:AR199)),"·",bdRateExtend(P195:P199,V195:V199,AL195:AL199,AR195:AR199))</f>
        <v>2.9951740758662471E-3</v>
      </c>
      <c r="BQ195" s="61"/>
      <c r="BS195" s="54">
        <f>IF(OR(ISBLANK(P195:P199),ISBLANK(AL195:AL199),ISBLANK(X195:X199),ISBLANK(AT195:AT199)),"·",bdRateExtend(P195:P199,X195:X199,AL195:AL199,AT195:AT199))</f>
        <v>5.1784161570043175E-3</v>
      </c>
      <c r="BT195" s="54">
        <f>IF(OR(ISBLANK(P195:P199),ISBLANK(AL195:AL199),ISBLANK(Y195:Y199),ISBLANK(AU195:AU199)),"·",bdRateExtend(P195:P199,Y195:Y199,AL195:AL199,AU195:AU199))</f>
        <v>5.1784161570043175E-3</v>
      </c>
      <c r="BU195" s="54">
        <f>IF(OR(ISBLANK(P195:P199),ISBLANK(AL195:AL199),ISBLANK(Z195:Z199),ISBLANK(AV195:AV199)),"·",bdRateExtend(P195:P199,Z195:Z199,AL195:AL199,AV195:AV199))</f>
        <v>5.1784161570043175E-3</v>
      </c>
      <c r="BV195" s="61"/>
      <c r="BX195">
        <f t="shared" si="60"/>
        <v>0</v>
      </c>
      <c r="BY195">
        <f t="shared" si="61"/>
        <v>3648320</v>
      </c>
      <c r="BZ195">
        <f t="shared" si="62"/>
        <v>0</v>
      </c>
      <c r="CA195">
        <f t="shared" si="63"/>
        <v>3648320</v>
      </c>
      <c r="CB195">
        <f t="shared" si="64"/>
        <v>0</v>
      </c>
      <c r="CC195">
        <f t="shared" si="65"/>
        <v>5.0599999999995759E-2</v>
      </c>
      <c r="CD195">
        <f t="shared" si="66"/>
        <v>4.8500000000004206E-2</v>
      </c>
      <c r="CE195">
        <f t="shared" si="67"/>
        <v>4.2400000000000659E-2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15.167356911894428</v>
      </c>
      <c r="K196" s="23">
        <f t="shared" si="51"/>
        <v>11.370199722417343</v>
      </c>
      <c r="L196" s="23">
        <f t="shared" si="52"/>
        <v>3.7970487368391215</v>
      </c>
      <c r="M196" s="24"/>
      <c r="N196" s="23">
        <f t="shared" si="53"/>
        <v>15.167356911894428</v>
      </c>
      <c r="O196" s="25">
        <v>47062018</v>
      </c>
      <c r="P196" s="26">
        <v>713806424</v>
      </c>
      <c r="Q196" s="26">
        <v>535104544</v>
      </c>
      <c r="R196" s="26">
        <v>178696776</v>
      </c>
      <c r="S196" s="40"/>
      <c r="T196" s="41">
        <v>48.374299999999998</v>
      </c>
      <c r="U196" s="41">
        <v>51.377800000000001</v>
      </c>
      <c r="V196" s="41">
        <v>51.389400000000002</v>
      </c>
      <c r="W196" s="42"/>
      <c r="X196" s="41">
        <v>42.110199999999999</v>
      </c>
      <c r="Y196" s="41">
        <v>42.110199999999999</v>
      </c>
      <c r="Z196" s="41">
        <v>42.110199999999999</v>
      </c>
      <c r="AA196" s="42"/>
      <c r="AB196" s="50">
        <v>138.53100000000001</v>
      </c>
      <c r="AC196" s="50">
        <v>122.79600000000001</v>
      </c>
      <c r="AE196" s="22" t="str">
        <f t="shared" si="54"/>
        <v>·</v>
      </c>
      <c r="AF196" s="23">
        <f t="shared" si="55"/>
        <v>15.24614503355976</v>
      </c>
      <c r="AG196" s="23">
        <f t="shared" si="56"/>
        <v>11.370199722417343</v>
      </c>
      <c r="AH196" s="23">
        <f t="shared" si="57"/>
        <v>3.8758368585044525</v>
      </c>
      <c r="AI196" s="24"/>
      <c r="AJ196" s="23">
        <f t="shared" si="58"/>
        <v>15.24614503355976</v>
      </c>
      <c r="AK196" s="25">
        <v>47062018</v>
      </c>
      <c r="AL196" s="26">
        <v>717514352</v>
      </c>
      <c r="AM196" s="26">
        <v>535104544</v>
      </c>
      <c r="AN196" s="26">
        <v>182404704</v>
      </c>
      <c r="AO196" s="40"/>
      <c r="AP196" s="41">
        <v>48.416499999999999</v>
      </c>
      <c r="AQ196" s="41">
        <v>51.4161</v>
      </c>
      <c r="AR196" s="41">
        <v>51.433999999999997</v>
      </c>
      <c r="AS196" s="42"/>
      <c r="AT196" s="41">
        <v>42.110199999999999</v>
      </c>
      <c r="AU196" s="41">
        <v>42.110199999999999</v>
      </c>
      <c r="AV196" s="41">
        <v>42.110199999999999</v>
      </c>
      <c r="AW196" s="42"/>
      <c r="AX196" s="50">
        <v>139.73400000000001</v>
      </c>
      <c r="AY196" s="50">
        <v>123.60899999999999</v>
      </c>
      <c r="BA196" s="55">
        <f t="shared" si="59"/>
        <v>-3.8739934925843267E-3</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3707928</v>
      </c>
      <c r="BZ196">
        <f t="shared" si="62"/>
        <v>0</v>
      </c>
      <c r="CA196">
        <f t="shared" si="63"/>
        <v>3707928</v>
      </c>
      <c r="CB196">
        <f t="shared" si="64"/>
        <v>0</v>
      </c>
      <c r="CC196">
        <f t="shared" si="65"/>
        <v>4.2200000000001125E-2</v>
      </c>
      <c r="CD196">
        <f t="shared" si="66"/>
        <v>3.8299999999999557E-2</v>
      </c>
      <c r="CE196">
        <f t="shared" si="67"/>
        <v>4.4599999999995532E-2</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13.499490820814357</v>
      </c>
      <c r="K197" s="18">
        <f t="shared" ref="K197:K260" si="75">IF(Q197="","·",Q197/D197)</f>
        <v>11.370199722417343</v>
      </c>
      <c r="L197" s="18">
        <f t="shared" ref="L197:L249" si="76">IF(ISBLANK(R197),"·",R197/D197)</f>
        <v>2.1291826457590495</v>
      </c>
      <c r="M197" s="19"/>
      <c r="N197" s="18">
        <f t="shared" ref="N197:N260" si="77">IF(ISBLANK(P197),"·",P197/O197)</f>
        <v>13.499490820814357</v>
      </c>
      <c r="O197" s="20">
        <v>47062018</v>
      </c>
      <c r="P197" s="21">
        <v>635313280</v>
      </c>
      <c r="Q197" s="21">
        <v>535104544</v>
      </c>
      <c r="R197" s="21">
        <v>100203632</v>
      </c>
      <c r="S197" s="37"/>
      <c r="T197" s="38">
        <v>41.451500000000003</v>
      </c>
      <c r="U197" s="38">
        <v>45.764600000000002</v>
      </c>
      <c r="V197" s="38">
        <v>46.165700000000001</v>
      </c>
      <c r="W197" s="39"/>
      <c r="X197" s="38">
        <v>34.151400000000002</v>
      </c>
      <c r="Y197" s="38">
        <v>34.151400000000002</v>
      </c>
      <c r="Z197" s="38">
        <v>34.151400000000002</v>
      </c>
      <c r="AA197" s="39"/>
      <c r="AB197" s="49">
        <v>137.81200000000001</v>
      </c>
      <c r="AC197" s="49">
        <v>121.578</v>
      </c>
      <c r="AE197" s="17" t="str">
        <f t="shared" ref="AE197:AE260" si="78">IF(OR(ISBLANK(AL197),ISBLANK(G197)),"·",AL197*G197/F197/1000000)</f>
        <v>·</v>
      </c>
      <c r="AF197" s="18">
        <f t="shared" ref="AF197:AF260" si="79">IF(ISBLANK(AL197),"·",AL197/D197)</f>
        <v>13.574241546548217</v>
      </c>
      <c r="AG197" s="18">
        <f t="shared" ref="AG197:AG260" si="80">IF(AM197="","·",AM197/D197)</f>
        <v>11.370199722417343</v>
      </c>
      <c r="AH197" s="18">
        <f t="shared" ref="AH197:AH249" si="81">IF(ISBLANK(AN197),"·",AN197/D197)</f>
        <v>2.2039333714929095</v>
      </c>
      <c r="AI197" s="19"/>
      <c r="AJ197" s="18">
        <f t="shared" ref="AJ197:AJ260" si="82">IF(ISBLANK(AL197),"·",AL197/AK197)</f>
        <v>13.574241546548217</v>
      </c>
      <c r="AK197" s="20">
        <v>47062018</v>
      </c>
      <c r="AL197" s="21">
        <v>638831200</v>
      </c>
      <c r="AM197" s="21">
        <v>535104544</v>
      </c>
      <c r="AN197" s="21">
        <v>103721552</v>
      </c>
      <c r="AO197" s="37"/>
      <c r="AP197" s="38">
        <v>41.526899999999998</v>
      </c>
      <c r="AQ197" s="38">
        <v>45.826700000000002</v>
      </c>
      <c r="AR197" s="38">
        <v>46.264699999999998</v>
      </c>
      <c r="AS197" s="39"/>
      <c r="AT197" s="38">
        <v>34.151400000000002</v>
      </c>
      <c r="AU197" s="38">
        <v>34.151400000000002</v>
      </c>
      <c r="AV197" s="38">
        <v>34.151400000000002</v>
      </c>
      <c r="AW197" s="39"/>
      <c r="AX197" s="49">
        <v>138.78100000000001</v>
      </c>
      <c r="AY197" s="49">
        <v>122.593</v>
      </c>
      <c r="BA197" s="53">
        <f t="shared" ref="BA197:BA260" si="83">(AM197/AL197)-(Q197/P197)</f>
        <v>-4.6382114738463542E-3</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3517920</v>
      </c>
      <c r="BZ197">
        <f t="shared" si="62"/>
        <v>0</v>
      </c>
      <c r="CA197">
        <f t="shared" si="63"/>
        <v>3517920</v>
      </c>
      <c r="CB197">
        <f t="shared" si="64"/>
        <v>0</v>
      </c>
      <c r="CC197">
        <f t="shared" si="65"/>
        <v>7.5399999999994805E-2</v>
      </c>
      <c r="CD197">
        <f t="shared" si="66"/>
        <v>6.2100000000000932E-2</v>
      </c>
      <c r="CE197">
        <f t="shared" si="67"/>
        <v>9.8999999999996646E-2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12.623065844732794</v>
      </c>
      <c r="K198" s="23">
        <f t="shared" si="75"/>
        <v>11.370199722417343</v>
      </c>
      <c r="L198" s="23">
        <f t="shared" si="76"/>
        <v>1.252757669677488</v>
      </c>
      <c r="M198" s="24"/>
      <c r="N198" s="23">
        <f t="shared" si="77"/>
        <v>12.623065844732794</v>
      </c>
      <c r="O198" s="25">
        <v>47062018</v>
      </c>
      <c r="P198" s="26">
        <v>594066952</v>
      </c>
      <c r="Q198" s="26">
        <v>535104544</v>
      </c>
      <c r="R198" s="26">
        <v>58957304</v>
      </c>
      <c r="S198" s="40"/>
      <c r="T198" s="41">
        <v>35.7926</v>
      </c>
      <c r="U198" s="41">
        <v>40.969299999999997</v>
      </c>
      <c r="V198" s="41">
        <v>41.587899999999998</v>
      </c>
      <c r="W198" s="42"/>
      <c r="X198" s="41">
        <v>28.130800000000001</v>
      </c>
      <c r="Y198" s="41">
        <v>28.130800000000001</v>
      </c>
      <c r="Z198" s="41">
        <v>28.130800000000001</v>
      </c>
      <c r="AA198" s="42"/>
      <c r="AB198" s="50">
        <v>137.40600000000001</v>
      </c>
      <c r="AC198" s="50">
        <v>121.562</v>
      </c>
      <c r="AE198" s="22" t="str">
        <f t="shared" si="78"/>
        <v>·</v>
      </c>
      <c r="AF198" s="23">
        <f t="shared" si="79"/>
        <v>12.688135897614931</v>
      </c>
      <c r="AG198" s="23">
        <f t="shared" si="80"/>
        <v>11.370199722417343</v>
      </c>
      <c r="AH198" s="23">
        <f t="shared" si="81"/>
        <v>1.3178277225596233</v>
      </c>
      <c r="AI198" s="24"/>
      <c r="AJ198" s="23">
        <f t="shared" si="82"/>
        <v>12.688135897614931</v>
      </c>
      <c r="AK198" s="25">
        <v>47062018</v>
      </c>
      <c r="AL198" s="26">
        <v>597129280</v>
      </c>
      <c r="AM198" s="26">
        <v>535104544</v>
      </c>
      <c r="AN198" s="26">
        <v>62019632</v>
      </c>
      <c r="AO198" s="40"/>
      <c r="AP198" s="41">
        <v>35.947000000000003</v>
      </c>
      <c r="AQ198" s="41">
        <v>41.089300000000001</v>
      </c>
      <c r="AR198" s="41">
        <v>41.857300000000002</v>
      </c>
      <c r="AS198" s="42"/>
      <c r="AT198" s="41">
        <v>28.130800000000001</v>
      </c>
      <c r="AU198" s="41">
        <v>28.130800000000001</v>
      </c>
      <c r="AV198" s="41">
        <v>28.130800000000001</v>
      </c>
      <c r="AW198" s="42"/>
      <c r="AX198" s="50">
        <v>137.96799999999999</v>
      </c>
      <c r="AY198" s="50">
        <v>122.265</v>
      </c>
      <c r="BA198" s="55">
        <f t="shared" si="83"/>
        <v>-4.6194107837888021E-3</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3062328</v>
      </c>
      <c r="BZ198">
        <f t="shared" ref="BZ198:BZ261" si="86">AM198-Q198</f>
        <v>0</v>
      </c>
      <c r="CA198">
        <f t="shared" ref="CA198:CA261" si="87">AN198-R198</f>
        <v>3062328</v>
      </c>
      <c r="CB198">
        <f t="shared" ref="CB198:CB261" si="88">AO198-S198</f>
        <v>0</v>
      </c>
      <c r="CC198">
        <f t="shared" ref="CC198:CC261" si="89">AP198-T198</f>
        <v>0.15440000000000254</v>
      </c>
      <c r="CD198">
        <f t="shared" ref="CD198:CD261" si="90">AQ198-U198</f>
        <v>0.12000000000000455</v>
      </c>
      <c r="CE198">
        <f t="shared" ref="CE198:CE261" si="91">AR198-V198</f>
        <v>0.26940000000000452</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11.992627600456911</v>
      </c>
      <c r="K199" s="28">
        <f t="shared" si="75"/>
        <v>11.370199722417343</v>
      </c>
      <c r="L199" s="28">
        <f t="shared" si="76"/>
        <v>0.62231942540160523</v>
      </c>
      <c r="M199" s="29"/>
      <c r="N199" s="28">
        <f t="shared" si="77"/>
        <v>11.992627600456911</v>
      </c>
      <c r="O199" s="30">
        <v>47062018</v>
      </c>
      <c r="P199" s="31">
        <v>564397256</v>
      </c>
      <c r="Q199" s="31">
        <v>535104544</v>
      </c>
      <c r="R199" s="31">
        <v>29287608</v>
      </c>
      <c r="S199" s="43"/>
      <c r="T199" s="44">
        <v>29.462299999999999</v>
      </c>
      <c r="U199" s="44">
        <v>35.645499999999998</v>
      </c>
      <c r="V199" s="44">
        <v>36.975099999999998</v>
      </c>
      <c r="W199" s="45"/>
      <c r="X199" s="44">
        <v>21.686399999999999</v>
      </c>
      <c r="Y199" s="44">
        <v>21.686399999999999</v>
      </c>
      <c r="Z199" s="44">
        <v>21.686399999999999</v>
      </c>
      <c r="AA199" s="45"/>
      <c r="AB199" s="51">
        <v>136.67099999999999</v>
      </c>
      <c r="AC199" s="51">
        <v>121.062</v>
      </c>
      <c r="AE199" s="27" t="str">
        <f t="shared" si="78"/>
        <v>·</v>
      </c>
      <c r="AF199" s="28">
        <f t="shared" si="79"/>
        <v>12.04895786661762</v>
      </c>
      <c r="AG199" s="28">
        <f t="shared" si="80"/>
        <v>11.370199722417343</v>
      </c>
      <c r="AH199" s="28">
        <f t="shared" si="81"/>
        <v>0.67864969156231247</v>
      </c>
      <c r="AI199" s="29"/>
      <c r="AJ199" s="28">
        <f t="shared" si="82"/>
        <v>12.04895786661762</v>
      </c>
      <c r="AK199" s="30">
        <v>47062018</v>
      </c>
      <c r="AL199" s="31">
        <v>567048272</v>
      </c>
      <c r="AM199" s="31">
        <v>535104544</v>
      </c>
      <c r="AN199" s="31">
        <v>31938624</v>
      </c>
      <c r="AO199" s="43"/>
      <c r="AP199" s="44">
        <v>29.8993</v>
      </c>
      <c r="AQ199" s="44">
        <v>35.872799999999998</v>
      </c>
      <c r="AR199" s="44">
        <v>37.392600000000002</v>
      </c>
      <c r="AS199" s="45"/>
      <c r="AT199" s="44">
        <v>21.686399999999999</v>
      </c>
      <c r="AU199" s="44">
        <v>21.686399999999999</v>
      </c>
      <c r="AV199" s="44">
        <v>21.686399999999999</v>
      </c>
      <c r="AW199" s="45"/>
      <c r="AX199" s="51">
        <v>137.18700000000001</v>
      </c>
      <c r="AY199" s="51">
        <v>121.98399999999999</v>
      </c>
      <c r="BA199" s="57">
        <f t="shared" si="83"/>
        <v>-4.4324726331278486E-3</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2651016</v>
      </c>
      <c r="BZ199">
        <f t="shared" si="86"/>
        <v>0</v>
      </c>
      <c r="CA199">
        <f t="shared" si="87"/>
        <v>2651016</v>
      </c>
      <c r="CB199">
        <f t="shared" si="88"/>
        <v>0</v>
      </c>
      <c r="CC199">
        <f t="shared" si="89"/>
        <v>0.43700000000000117</v>
      </c>
      <c r="CD199">
        <f t="shared" si="90"/>
        <v>0.22729999999999961</v>
      </c>
      <c r="CE199">
        <f t="shared" si="91"/>
        <v>0.41750000000000398</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17.212059281087274</v>
      </c>
      <c r="K200" s="23">
        <f t="shared" si="75"/>
        <v>11.385743572624051</v>
      </c>
      <c r="L200" s="23">
        <f t="shared" si="76"/>
        <v>5.8262111904172249</v>
      </c>
      <c r="M200" s="24"/>
      <c r="N200" s="23">
        <f t="shared" si="77"/>
        <v>17.212059281087274</v>
      </c>
      <c r="O200" s="25">
        <v>43399204</v>
      </c>
      <c r="P200" s="26">
        <v>746989672</v>
      </c>
      <c r="Q200" s="26">
        <v>494132208</v>
      </c>
      <c r="R200" s="26">
        <v>252852928</v>
      </c>
      <c r="S200" s="40"/>
      <c r="T200" s="41">
        <v>52.935400000000001</v>
      </c>
      <c r="U200" s="41">
        <v>55.866300000000003</v>
      </c>
      <c r="V200" s="41">
        <v>55.752699999999997</v>
      </c>
      <c r="W200" s="42"/>
      <c r="X200" s="41">
        <v>48.130800000000001</v>
      </c>
      <c r="Y200" s="41">
        <v>48.130800000000001</v>
      </c>
      <c r="Z200" s="41">
        <v>48.130800000000001</v>
      </c>
      <c r="AA200" s="42"/>
      <c r="AB200" s="50">
        <v>98.936999999999998</v>
      </c>
      <c r="AC200" s="50">
        <v>87.531000000000006</v>
      </c>
      <c r="AE200" s="22" t="str">
        <f t="shared" si="78"/>
        <v>·</v>
      </c>
      <c r="AF200" s="23">
        <f t="shared" si="79"/>
        <v>17.304987437096774</v>
      </c>
      <c r="AG200" s="23">
        <f t="shared" si="80"/>
        <v>11.385743572624051</v>
      </c>
      <c r="AH200" s="23">
        <f t="shared" si="81"/>
        <v>5.9191393464267223</v>
      </c>
      <c r="AI200" s="24"/>
      <c r="AJ200" s="23">
        <f t="shared" si="82"/>
        <v>17.304987437096774</v>
      </c>
      <c r="AK200" s="25">
        <v>43399204</v>
      </c>
      <c r="AL200" s="26">
        <v>751022680</v>
      </c>
      <c r="AM200" s="26">
        <v>494132208</v>
      </c>
      <c r="AN200" s="26">
        <v>256885936</v>
      </c>
      <c r="AO200" s="40"/>
      <c r="AP200" s="41">
        <v>52.994500000000002</v>
      </c>
      <c r="AQ200" s="41">
        <v>55.927100000000003</v>
      </c>
      <c r="AR200" s="41">
        <v>55.807499999999997</v>
      </c>
      <c r="AS200" s="42"/>
      <c r="AT200" s="41">
        <v>48.130800000000001</v>
      </c>
      <c r="AU200" s="41">
        <v>48.130800000000001</v>
      </c>
      <c r="AV200" s="41">
        <v>48.130800000000001</v>
      </c>
      <c r="AW200" s="42"/>
      <c r="AX200" s="50">
        <v>100.17100000000001</v>
      </c>
      <c r="AY200" s="50">
        <v>88.14</v>
      </c>
      <c r="BA200" s="55">
        <f t="shared" si="83"/>
        <v>-3.5522587803710204E-3</v>
      </c>
      <c r="BB200" s="55">
        <f t="array" ref="BB200">AVERAGE(AM200:AM204/AL200:AL204)-AVERAGE(Q200:Q204/P200:P204)</f>
        <v>-5.0365951394920616E-3</v>
      </c>
      <c r="BD200" s="56">
        <f>IF(OR(ISBLANK(R200:R204),ISBLANK(AN200:AN204),ISBLANK(T200:T204),ISBLANK(AP200:AP204)),"·",bdRateExtend(R200:R204,T200:T204,AN200:AN204,AP200:AP204))</f>
        <v>3.2341571164359317E-2</v>
      </c>
      <c r="BE200" s="56">
        <f>IF(OR(ISBLANK(R200:R204),ISBLANK(AN200:AN204),ISBLANK(U200:U204),ISBLANK(AQ200:AQ204)),"·",bdRateExtend(R200:R204,U200:U204,AN200:AN204,AQ200:AQ204))</f>
        <v>3.1972776637866129E-2</v>
      </c>
      <c r="BF200" s="56">
        <f>IF(OR(ISBLANK(R200:R204),ISBLANK(AN200:AN204),ISBLANK(V200:V204),ISBLANK(AR200:AR204)),"·",bdRateExtend(R200:R204,V200:V204,AN200:AN204,AR200:AR204))</f>
        <v>2.4250656141555638E-2</v>
      </c>
      <c r="BG200" s="62"/>
      <c r="BI200" s="56">
        <f>IF(OR(ISBLANK(R200:R204),ISBLANK(AN200:AN204),ISBLANK(X200:X204),ISBLANK(AT200:AT204)),"·",bdRateExtend(R200:R204,X200:X204,AN200:AN204,AT200:AT204))</f>
        <v>4.5422347241531158E-2</v>
      </c>
      <c r="BJ200" s="56">
        <f>IF(OR(ISBLANK(R200:R204),ISBLANK(AN200:AN204),ISBLANK(Y200:Y204),ISBLANK(AU200:AU204)),"·",bdRateExtend(R200:R204,Y200:Y204,AN200:AN204,AU200:AU204))</f>
        <v>4.5422347241531158E-2</v>
      </c>
      <c r="BK200" s="56">
        <f>IF(OR(ISBLANK(R200:R204),ISBLANK(AN200:AN204),ISBLANK(Z200:Z204),ISBLANK(AV200:AV204)),"·",bdRateExtend(R200:R204,Z200:Z204,AN200:AN204,AV200:AV204))</f>
        <v>4.5422347241531158E-2</v>
      </c>
      <c r="BL200" s="62"/>
      <c r="BN200" s="56">
        <f>IF(OR(ISBLANK(P200:P204),ISBLANK(AL200:AL204),ISBLANK(T200:T204),ISBLANK(AP200:AP204)),"·",bdRateExtend(P200:P204,T200:T204,AL200:AL204,AP200:AP204))</f>
        <v>4.805665249262514E-3</v>
      </c>
      <c r="BO200" s="56">
        <f>IF(OR(ISBLANK(P200:P204),ISBLANK(AL200:AL204),ISBLANK(U200:U204),ISBLANK(AQ200:AQ204)),"·",bdRateExtend(P200:P204,U200:U204,AL200:AL204,AQ200:AQ204))</f>
        <v>4.7464198526177004E-3</v>
      </c>
      <c r="BP200" s="56">
        <f>IF(OR(ISBLANK(P200:P204),ISBLANK(AL200:AL204),ISBLANK(V200:V204),ISBLANK(AR200:AR204)),"·",bdRateExtend(P200:P204,V200:V204,AL200:AL204,AR200:AR204))</f>
        <v>3.9522550117452315E-3</v>
      </c>
      <c r="BQ200" s="62"/>
      <c r="BS200" s="56">
        <f>IF(OR(ISBLANK(P200:P204),ISBLANK(AL200:AL204),ISBLANK(X200:X204),ISBLANK(AT200:AT204)),"·",bdRateExtend(P200:P204,X200:X204,AL200:AL204,AT200:AT204))</f>
        <v>6.3633625838028784E-3</v>
      </c>
      <c r="BT200" s="56">
        <f>IF(OR(ISBLANK(P200:P204),ISBLANK(AL200:AL204),ISBLANK(Y200:Y204),ISBLANK(AU200:AU204)),"·",bdRateExtend(P200:P204,Y200:Y204,AL200:AL204,AU200:AU204))</f>
        <v>6.3633625838028784E-3</v>
      </c>
      <c r="BU200" s="56">
        <f>IF(OR(ISBLANK(P200:P204),ISBLANK(AL200:AL204),ISBLANK(Z200:Z204),ISBLANK(AV200:AV204)),"·",bdRateExtend(P200:P204,Z200:Z204,AL200:AL204,AV200:AV204))</f>
        <v>6.3633625838028784E-3</v>
      </c>
      <c r="BV200" s="62"/>
      <c r="BX200">
        <f t="shared" si="84"/>
        <v>0</v>
      </c>
      <c r="BY200">
        <f t="shared" si="85"/>
        <v>4033008</v>
      </c>
      <c r="BZ200">
        <f t="shared" si="86"/>
        <v>0</v>
      </c>
      <c r="CA200">
        <f t="shared" si="87"/>
        <v>4033008</v>
      </c>
      <c r="CB200">
        <f t="shared" si="88"/>
        <v>0</v>
      </c>
      <c r="CC200">
        <f t="shared" si="89"/>
        <v>5.9100000000000819E-2</v>
      </c>
      <c r="CD200">
        <f t="shared" si="90"/>
        <v>6.0800000000000409E-2</v>
      </c>
      <c r="CE200">
        <f t="shared" si="91"/>
        <v>5.4800000000000182E-2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15.464898388458922</v>
      </c>
      <c r="K201" s="18">
        <f t="shared" si="75"/>
        <v>11.385743572624051</v>
      </c>
      <c r="L201" s="18">
        <f t="shared" si="76"/>
        <v>4.0790502977888723</v>
      </c>
      <c r="M201" s="19"/>
      <c r="N201" s="18">
        <f t="shared" si="77"/>
        <v>15.464898388458922</v>
      </c>
      <c r="O201" s="20">
        <v>43399204</v>
      </c>
      <c r="P201" s="21">
        <v>671164280</v>
      </c>
      <c r="Q201" s="21">
        <v>494132208</v>
      </c>
      <c r="R201" s="21">
        <v>177027536</v>
      </c>
      <c r="S201" s="37"/>
      <c r="T201" s="38">
        <v>48.3752</v>
      </c>
      <c r="U201" s="38">
        <v>51.321800000000003</v>
      </c>
      <c r="V201" s="38">
        <v>51.282200000000003</v>
      </c>
      <c r="W201" s="39"/>
      <c r="X201" s="38">
        <v>42.110199999999999</v>
      </c>
      <c r="Y201" s="38">
        <v>42.110199999999999</v>
      </c>
      <c r="Z201" s="38">
        <v>42.110199999999999</v>
      </c>
      <c r="AA201" s="39"/>
      <c r="AB201" s="49">
        <v>97.968000000000004</v>
      </c>
      <c r="AC201" s="49">
        <v>87.343000000000004</v>
      </c>
      <c r="AE201" s="17" t="str">
        <f t="shared" si="78"/>
        <v>·</v>
      </c>
      <c r="AF201" s="18">
        <f t="shared" si="79"/>
        <v>15.559671002260778</v>
      </c>
      <c r="AG201" s="18">
        <f t="shared" si="80"/>
        <v>11.385743572624051</v>
      </c>
      <c r="AH201" s="18">
        <f t="shared" si="81"/>
        <v>4.1738229115907286</v>
      </c>
      <c r="AI201" s="19"/>
      <c r="AJ201" s="18">
        <f t="shared" si="82"/>
        <v>15.559671002260778</v>
      </c>
      <c r="AK201" s="20">
        <v>43399204</v>
      </c>
      <c r="AL201" s="21">
        <v>675277336</v>
      </c>
      <c r="AM201" s="21">
        <v>494132208</v>
      </c>
      <c r="AN201" s="21">
        <v>181140592</v>
      </c>
      <c r="AO201" s="37"/>
      <c r="AP201" s="38">
        <v>48.424399999999999</v>
      </c>
      <c r="AQ201" s="38">
        <v>51.3688</v>
      </c>
      <c r="AR201" s="38">
        <v>51.334000000000003</v>
      </c>
      <c r="AS201" s="39"/>
      <c r="AT201" s="38">
        <v>42.110199999999999</v>
      </c>
      <c r="AU201" s="38">
        <v>42.110199999999999</v>
      </c>
      <c r="AV201" s="38">
        <v>42.110199999999999</v>
      </c>
      <c r="AW201" s="39"/>
      <c r="AX201" s="49">
        <v>100.078</v>
      </c>
      <c r="AY201" s="49">
        <v>87.671000000000006</v>
      </c>
      <c r="BA201" s="53">
        <f t="shared" si="83"/>
        <v>-4.4843218593885181E-3</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4113056</v>
      </c>
      <c r="BZ201">
        <f t="shared" si="86"/>
        <v>0</v>
      </c>
      <c r="CA201">
        <f t="shared" si="87"/>
        <v>4113056</v>
      </c>
      <c r="CB201">
        <f t="shared" si="88"/>
        <v>0</v>
      </c>
      <c r="CC201">
        <f t="shared" si="89"/>
        <v>4.9199999999999022E-2</v>
      </c>
      <c r="CD201">
        <f t="shared" si="90"/>
        <v>4.6999999999997044E-2</v>
      </c>
      <c r="CE201">
        <f t="shared" si="91"/>
        <v>5.1800000000000068E-2</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13.685943364306866</v>
      </c>
      <c r="K202" s="23">
        <f t="shared" si="75"/>
        <v>11.385743572624051</v>
      </c>
      <c r="L202" s="23">
        <f t="shared" si="76"/>
        <v>2.3000952736368161</v>
      </c>
      <c r="M202" s="24"/>
      <c r="N202" s="23">
        <f t="shared" si="77"/>
        <v>13.685943364306866</v>
      </c>
      <c r="O202" s="25">
        <v>43399204</v>
      </c>
      <c r="P202" s="26">
        <v>593959048</v>
      </c>
      <c r="Q202" s="26">
        <v>494132208</v>
      </c>
      <c r="R202" s="26">
        <v>99822304</v>
      </c>
      <c r="S202" s="40"/>
      <c r="T202" s="41">
        <v>41.481999999999999</v>
      </c>
      <c r="U202" s="41">
        <v>45.665399999999998</v>
      </c>
      <c r="V202" s="41">
        <v>45.957900000000002</v>
      </c>
      <c r="W202" s="42"/>
      <c r="X202" s="41">
        <v>34.151400000000002</v>
      </c>
      <c r="Y202" s="41">
        <v>34.151400000000002</v>
      </c>
      <c r="Z202" s="41">
        <v>34.151400000000002</v>
      </c>
      <c r="AA202" s="42"/>
      <c r="AB202" s="50">
        <v>97.921000000000006</v>
      </c>
      <c r="AC202" s="50">
        <v>86.608999999999995</v>
      </c>
      <c r="AE202" s="22" t="str">
        <f t="shared" si="78"/>
        <v>·</v>
      </c>
      <c r="AF202" s="23">
        <f t="shared" si="79"/>
        <v>13.779223416171412</v>
      </c>
      <c r="AG202" s="23">
        <f t="shared" si="80"/>
        <v>11.385743572624051</v>
      </c>
      <c r="AH202" s="23">
        <f t="shared" si="81"/>
        <v>2.3933753255013617</v>
      </c>
      <c r="AI202" s="24"/>
      <c r="AJ202" s="23">
        <f t="shared" si="82"/>
        <v>13.779223416171412</v>
      </c>
      <c r="AK202" s="25">
        <v>43399204</v>
      </c>
      <c r="AL202" s="26">
        <v>598007328</v>
      </c>
      <c r="AM202" s="26">
        <v>494132208</v>
      </c>
      <c r="AN202" s="26">
        <v>103870584</v>
      </c>
      <c r="AO202" s="40"/>
      <c r="AP202" s="41">
        <v>41.569400000000002</v>
      </c>
      <c r="AQ202" s="41">
        <v>45.749400000000001</v>
      </c>
      <c r="AR202" s="41">
        <v>46.059399999999997</v>
      </c>
      <c r="AS202" s="42"/>
      <c r="AT202" s="41">
        <v>34.151400000000002</v>
      </c>
      <c r="AU202" s="41">
        <v>34.151400000000002</v>
      </c>
      <c r="AV202" s="41">
        <v>34.151400000000002</v>
      </c>
      <c r="AW202" s="42"/>
      <c r="AX202" s="50">
        <v>98.828000000000003</v>
      </c>
      <c r="AY202" s="50">
        <v>87.281000000000006</v>
      </c>
      <c r="BA202" s="55">
        <f t="shared" si="83"/>
        <v>-5.6318450450359991E-3</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4048280</v>
      </c>
      <c r="BZ202">
        <f t="shared" si="86"/>
        <v>0</v>
      </c>
      <c r="CA202">
        <f t="shared" si="87"/>
        <v>4048280</v>
      </c>
      <c r="CB202">
        <f t="shared" si="88"/>
        <v>0</v>
      </c>
      <c r="CC202">
        <f t="shared" si="89"/>
        <v>8.7400000000002365E-2</v>
      </c>
      <c r="CD202">
        <f t="shared" si="90"/>
        <v>8.4000000000003183E-2</v>
      </c>
      <c r="CE202">
        <f t="shared" si="91"/>
        <v>0.10149999999999437</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12.721504477363226</v>
      </c>
      <c r="K203" s="18">
        <f t="shared" si="75"/>
        <v>11.385743572624051</v>
      </c>
      <c r="L203" s="18">
        <f t="shared" si="76"/>
        <v>1.3356563866931752</v>
      </c>
      <c r="M203" s="19"/>
      <c r="N203" s="18">
        <f t="shared" si="77"/>
        <v>12.721504477363226</v>
      </c>
      <c r="O203" s="20">
        <v>43399204</v>
      </c>
      <c r="P203" s="21">
        <v>552103168</v>
      </c>
      <c r="Q203" s="21">
        <v>494132208</v>
      </c>
      <c r="R203" s="21">
        <v>57966424</v>
      </c>
      <c r="S203" s="37"/>
      <c r="T203" s="38">
        <v>35.9054</v>
      </c>
      <c r="U203" s="38">
        <v>40.8658</v>
      </c>
      <c r="V203" s="38">
        <v>41.297499999999999</v>
      </c>
      <c r="W203" s="39"/>
      <c r="X203" s="38">
        <v>28.130800000000001</v>
      </c>
      <c r="Y203" s="38">
        <v>28.130800000000001</v>
      </c>
      <c r="Z203" s="38">
        <v>28.130800000000001</v>
      </c>
      <c r="AA203" s="39"/>
      <c r="AB203" s="49">
        <v>97.078000000000003</v>
      </c>
      <c r="AC203" s="49">
        <v>86.968000000000004</v>
      </c>
      <c r="AE203" s="17" t="str">
        <f t="shared" si="78"/>
        <v>·</v>
      </c>
      <c r="AF203" s="18">
        <f t="shared" si="79"/>
        <v>12.805588047190911</v>
      </c>
      <c r="AG203" s="18">
        <f t="shared" si="80"/>
        <v>11.385743572624051</v>
      </c>
      <c r="AH203" s="18">
        <f t="shared" si="81"/>
        <v>1.4197399565208615</v>
      </c>
      <c r="AI203" s="19"/>
      <c r="AJ203" s="18">
        <f t="shared" si="82"/>
        <v>12.805588047190911</v>
      </c>
      <c r="AK203" s="20">
        <v>43399204</v>
      </c>
      <c r="AL203" s="21">
        <v>555752328</v>
      </c>
      <c r="AM203" s="21">
        <v>494132208</v>
      </c>
      <c r="AN203" s="21">
        <v>61615584</v>
      </c>
      <c r="AO203" s="37"/>
      <c r="AP203" s="38">
        <v>36.060600000000001</v>
      </c>
      <c r="AQ203" s="38">
        <v>41</v>
      </c>
      <c r="AR203" s="38">
        <v>41.5867</v>
      </c>
      <c r="AS203" s="39"/>
      <c r="AT203" s="38">
        <v>28.130800000000001</v>
      </c>
      <c r="AU203" s="38">
        <v>28.130800000000001</v>
      </c>
      <c r="AV203" s="38">
        <v>28.130800000000001</v>
      </c>
      <c r="AW203" s="39"/>
      <c r="AX203" s="49">
        <v>97.968000000000004</v>
      </c>
      <c r="AY203" s="49">
        <v>86.593000000000004</v>
      </c>
      <c r="BA203" s="53">
        <f t="shared" si="83"/>
        <v>-5.8767137691705384E-3</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3649160</v>
      </c>
      <c r="BZ203">
        <f t="shared" si="86"/>
        <v>0</v>
      </c>
      <c r="CA203">
        <f t="shared" si="87"/>
        <v>3649160</v>
      </c>
      <c r="CB203">
        <f t="shared" si="88"/>
        <v>0</v>
      </c>
      <c r="CC203">
        <f t="shared" si="89"/>
        <v>0.15520000000000067</v>
      </c>
      <c r="CD203">
        <f t="shared" si="90"/>
        <v>0.13419999999999987</v>
      </c>
      <c r="CE203">
        <f t="shared" si="91"/>
        <v>0.28920000000000101</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12.045785171543699</v>
      </c>
      <c r="K204" s="33">
        <f t="shared" si="75"/>
        <v>11.385743572624051</v>
      </c>
      <c r="L204" s="33">
        <f t="shared" si="76"/>
        <v>0.65993708087364922</v>
      </c>
      <c r="M204" s="34"/>
      <c r="N204" s="33">
        <f t="shared" si="77"/>
        <v>12.045785171543699</v>
      </c>
      <c r="O204" s="35">
        <v>43399204</v>
      </c>
      <c r="P204" s="36">
        <v>522777488</v>
      </c>
      <c r="Q204" s="36">
        <v>494132208</v>
      </c>
      <c r="R204" s="36">
        <v>28640744</v>
      </c>
      <c r="S204" s="46"/>
      <c r="T204" s="47">
        <v>29.620799999999999</v>
      </c>
      <c r="U204" s="47">
        <v>35.544699999999999</v>
      </c>
      <c r="V204" s="47">
        <v>36.587800000000001</v>
      </c>
      <c r="W204" s="48"/>
      <c r="X204" s="47">
        <v>21.686399999999999</v>
      </c>
      <c r="Y204" s="47">
        <v>21.686399999999999</v>
      </c>
      <c r="Z204" s="47">
        <v>21.686399999999999</v>
      </c>
      <c r="AA204" s="48"/>
      <c r="AB204" s="52">
        <v>96.125</v>
      </c>
      <c r="AC204" s="52">
        <v>85.843000000000004</v>
      </c>
      <c r="AE204" s="32" t="str">
        <f t="shared" si="78"/>
        <v>·</v>
      </c>
      <c r="AF204" s="33">
        <f t="shared" si="79"/>
        <v>12.118065391245425</v>
      </c>
      <c r="AG204" s="33">
        <f t="shared" si="80"/>
        <v>11.385743572624051</v>
      </c>
      <c r="AH204" s="33">
        <f t="shared" si="81"/>
        <v>0.7322173005753746</v>
      </c>
      <c r="AI204" s="34"/>
      <c r="AJ204" s="33">
        <f t="shared" si="82"/>
        <v>12.118065391245425</v>
      </c>
      <c r="AK204" s="35">
        <v>43399204</v>
      </c>
      <c r="AL204" s="36">
        <v>525914392</v>
      </c>
      <c r="AM204" s="36">
        <v>494132208</v>
      </c>
      <c r="AN204" s="36">
        <v>31777648</v>
      </c>
      <c r="AO204" s="46"/>
      <c r="AP204" s="47">
        <v>30.127600000000001</v>
      </c>
      <c r="AQ204" s="47">
        <v>35.930500000000002</v>
      </c>
      <c r="AR204" s="47">
        <v>36.951000000000001</v>
      </c>
      <c r="AS204" s="48"/>
      <c r="AT204" s="47">
        <v>21.686399999999999</v>
      </c>
      <c r="AU204" s="47">
        <v>21.686399999999999</v>
      </c>
      <c r="AV204" s="47">
        <v>21.686399999999999</v>
      </c>
      <c r="AW204" s="48"/>
      <c r="AX204" s="52">
        <v>98.015000000000001</v>
      </c>
      <c r="AY204" s="52">
        <v>86.328000000000003</v>
      </c>
      <c r="BA204" s="59">
        <f t="shared" si="83"/>
        <v>-5.6378362434938989E-3</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3136904</v>
      </c>
      <c r="BZ204">
        <f t="shared" si="86"/>
        <v>0</v>
      </c>
      <c r="CA204">
        <f t="shared" si="87"/>
        <v>3136904</v>
      </c>
      <c r="CB204">
        <f t="shared" si="88"/>
        <v>0</v>
      </c>
      <c r="CC204">
        <f t="shared" si="89"/>
        <v>0.50680000000000192</v>
      </c>
      <c r="CD204">
        <f t="shared" si="90"/>
        <v>0.38580000000000325</v>
      </c>
      <c r="CE204">
        <f t="shared" si="91"/>
        <v>0.36319999999999908</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17.46081360426701</v>
      </c>
      <c r="K205" s="18">
        <f t="shared" si="75"/>
        <v>11.635811133599745</v>
      </c>
      <c r="L205" s="18">
        <f t="shared" si="76"/>
        <v>5.8248977682933241</v>
      </c>
      <c r="M205" s="19"/>
      <c r="N205" s="18">
        <f t="shared" si="77"/>
        <v>17.46081360426701</v>
      </c>
      <c r="O205" s="20">
        <v>43399207</v>
      </c>
      <c r="P205" s="21">
        <v>757785464</v>
      </c>
      <c r="Q205" s="21">
        <v>504984976</v>
      </c>
      <c r="R205" s="21">
        <v>252795944</v>
      </c>
      <c r="S205" s="37"/>
      <c r="T205" s="38">
        <v>52.932299999999998</v>
      </c>
      <c r="U205" s="38">
        <v>55.872</v>
      </c>
      <c r="V205" s="38">
        <v>55.753300000000003</v>
      </c>
      <c r="W205" s="39"/>
      <c r="X205" s="38">
        <v>48.130800000000001</v>
      </c>
      <c r="Y205" s="38">
        <v>48.130800000000001</v>
      </c>
      <c r="Z205" s="38">
        <v>48.130800000000001</v>
      </c>
      <c r="AA205" s="39"/>
      <c r="AB205" s="49">
        <v>133.21799999999999</v>
      </c>
      <c r="AC205" s="49">
        <v>116.312</v>
      </c>
      <c r="AE205" s="17" t="str">
        <f t="shared" si="78"/>
        <v>·</v>
      </c>
      <c r="AF205" s="18">
        <f t="shared" si="79"/>
        <v>17.553668757127291</v>
      </c>
      <c r="AG205" s="18">
        <f t="shared" si="80"/>
        <v>11.635811133599745</v>
      </c>
      <c r="AH205" s="18">
        <f t="shared" si="81"/>
        <v>5.9177529211536051</v>
      </c>
      <c r="AI205" s="19"/>
      <c r="AJ205" s="18">
        <f t="shared" si="82"/>
        <v>17.553668757127291</v>
      </c>
      <c r="AK205" s="20">
        <v>43399207</v>
      </c>
      <c r="AL205" s="21">
        <v>761815304</v>
      </c>
      <c r="AM205" s="21">
        <v>504984976</v>
      </c>
      <c r="AN205" s="21">
        <v>256825784</v>
      </c>
      <c r="AO205" s="37"/>
      <c r="AP205" s="38">
        <v>52.995399999999997</v>
      </c>
      <c r="AQ205" s="38">
        <v>55.9313</v>
      </c>
      <c r="AR205" s="38">
        <v>55.807899999999997</v>
      </c>
      <c r="AS205" s="39"/>
      <c r="AT205" s="38">
        <v>48.130800000000001</v>
      </c>
      <c r="AU205" s="38">
        <v>48.130800000000001</v>
      </c>
      <c r="AV205" s="38">
        <v>48.130800000000001</v>
      </c>
      <c r="AW205" s="39"/>
      <c r="AX205" s="49">
        <v>134.5</v>
      </c>
      <c r="AY205" s="49">
        <v>118.40600000000001</v>
      </c>
      <c r="BA205" s="53">
        <f t="shared" si="83"/>
        <v>-3.5250907146787691E-3</v>
      </c>
      <c r="BB205" s="53">
        <f t="array" ref="BB205">AVERAGE(AM205:AM209/AL205:AL209)-AVERAGE(Q205:Q209/P205:P209)</f>
        <v>-4.961649842477045E-3</v>
      </c>
      <c r="BD205" s="54">
        <f>IF(OR(ISBLANK(R205:R209),ISBLANK(AN205:AN209),ISBLANK(T205:T209),ISBLANK(AP205:AP209)),"·",bdRateExtend(R205:R209,T205:T209,AN205:AN209,AP205:AP209))</f>
        <v>3.2201076490131486E-2</v>
      </c>
      <c r="BE205" s="54">
        <f>IF(OR(ISBLANK(R205:R209),ISBLANK(AN205:AN209),ISBLANK(U205:U209),ISBLANK(AQ205:AQ209)),"·",bdRateExtend(R205:R209,U205:U209,AN205:AN209,AQ205:AQ209))</f>
        <v>3.2188389496987657E-2</v>
      </c>
      <c r="BF205" s="54">
        <f>IF(OR(ISBLANK(R205:R209),ISBLANK(AN205:AN209),ISBLANK(V205:V209),ISBLANK(AR205:AR209)),"·",bdRateExtend(R205:R209,V205:V209,AN205:AN209,AR205:AR209))</f>
        <v>2.4789013123372339E-2</v>
      </c>
      <c r="BG205" s="61"/>
      <c r="BI205" s="54">
        <f>IF(OR(ISBLANK(R205:R209),ISBLANK(AN205:AN209),ISBLANK(X205:X209),ISBLANK(AT205:AT209)),"·",bdRateExtend(R205:R209,X205:X209,AN205:AN209,AT205:AT209))</f>
        <v>4.5461055237142611E-2</v>
      </c>
      <c r="BJ205" s="54">
        <f>IF(OR(ISBLANK(R205:R209),ISBLANK(AN205:AN209),ISBLANK(Y205:Y209),ISBLANK(AU205:AU209)),"·",bdRateExtend(R205:R209,Y205:Y209,AN205:AN209,AU205:AU209))</f>
        <v>4.5461055237142611E-2</v>
      </c>
      <c r="BK205" s="54">
        <f>IF(OR(ISBLANK(R205:R209),ISBLANK(AN205:AN209),ISBLANK(Z205:Z209),ISBLANK(AV205:AV209)),"·",bdRateExtend(R205:R209,Z205:Z209,AN205:AN209,AV205:AV209))</f>
        <v>4.5461055237142611E-2</v>
      </c>
      <c r="BL205" s="61"/>
      <c r="BN205" s="54">
        <f>IF(OR(ISBLANK(P205:P209),ISBLANK(AL205:AL209),ISBLANK(T205:T209),ISBLANK(AP205:AP209)),"·",bdRateExtend(P205:P209,T205:T209,AL205:AL209,AP205:AP209))</f>
        <v>4.7129516743014133E-3</v>
      </c>
      <c r="BO205" s="54">
        <f>IF(OR(ISBLANK(P205:P209),ISBLANK(AL205:AL209),ISBLANK(U205:U209),ISBLANK(AQ205:AQ209)),"·",bdRateExtend(P205:P209,U205:U209,AL205:AL209,AQ205:AQ209))</f>
        <v>4.7067072764599427E-3</v>
      </c>
      <c r="BP205" s="54">
        <f>IF(OR(ISBLANK(P205:P209),ISBLANK(AL205:AL209),ISBLANK(V205:V209),ISBLANK(AR205:AR209)),"·",bdRateExtend(P205:P209,V205:V209,AL205:AL209,AR205:AR209))</f>
        <v>3.9995800247984992E-3</v>
      </c>
      <c r="BQ205" s="61"/>
      <c r="BS205" s="54">
        <f>IF(OR(ISBLANK(P205:P209),ISBLANK(AL205:AL209),ISBLANK(X205:X209),ISBLANK(AT205:AT209)),"·",bdRateExtend(P205:P209,X205:X209,AL205:AL209,AT205:AT209))</f>
        <v>6.2627499733680647E-3</v>
      </c>
      <c r="BT205" s="54">
        <f>IF(OR(ISBLANK(P205:P209),ISBLANK(AL205:AL209),ISBLANK(Y205:Y209),ISBLANK(AU205:AU209)),"·",bdRateExtend(P205:P209,Y205:Y209,AL205:AL209,AU205:AU209))</f>
        <v>6.2627499733680647E-3</v>
      </c>
      <c r="BU205" s="54">
        <f>IF(OR(ISBLANK(P205:P209),ISBLANK(AL205:AL209),ISBLANK(Z205:Z209),ISBLANK(AV205:AV209)),"·",bdRateExtend(P205:P209,Z205:Z209,AL205:AL209,AV205:AV209))</f>
        <v>6.2627499733680647E-3</v>
      </c>
      <c r="BV205" s="61"/>
      <c r="BX205">
        <f t="shared" si="84"/>
        <v>0</v>
      </c>
      <c r="BY205">
        <f t="shared" si="85"/>
        <v>4029840</v>
      </c>
      <c r="BZ205">
        <f t="shared" si="86"/>
        <v>0</v>
      </c>
      <c r="CA205">
        <f t="shared" si="87"/>
        <v>4029840</v>
      </c>
      <c r="CB205">
        <f t="shared" si="88"/>
        <v>0</v>
      </c>
      <c r="CC205">
        <f t="shared" si="89"/>
        <v>6.3099999999998602E-2</v>
      </c>
      <c r="CD205">
        <f t="shared" si="90"/>
        <v>5.9300000000000352E-2</v>
      </c>
      <c r="CE205">
        <f t="shared" si="91"/>
        <v>5.4599999999993543E-2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15.713972838259464</v>
      </c>
      <c r="K206" s="23">
        <f t="shared" si="75"/>
        <v>11.635811133599745</v>
      </c>
      <c r="L206" s="23">
        <f t="shared" si="76"/>
        <v>4.0780570022857789</v>
      </c>
      <c r="M206" s="24"/>
      <c r="N206" s="23">
        <f t="shared" si="77"/>
        <v>15.713972838259464</v>
      </c>
      <c r="O206" s="25">
        <v>43399207</v>
      </c>
      <c r="P206" s="26">
        <v>681973960</v>
      </c>
      <c r="Q206" s="26">
        <v>504984976</v>
      </c>
      <c r="R206" s="26">
        <v>176984440</v>
      </c>
      <c r="S206" s="40"/>
      <c r="T206" s="41">
        <v>48.373199999999997</v>
      </c>
      <c r="U206" s="41">
        <v>51.320799999999998</v>
      </c>
      <c r="V206" s="41">
        <v>51.2851</v>
      </c>
      <c r="W206" s="42"/>
      <c r="X206" s="41">
        <v>42.110199999999999</v>
      </c>
      <c r="Y206" s="41">
        <v>42.110199999999999</v>
      </c>
      <c r="Z206" s="41">
        <v>42.110199999999999</v>
      </c>
      <c r="AA206" s="42"/>
      <c r="AB206" s="50">
        <v>132.40600000000001</v>
      </c>
      <c r="AC206" s="50">
        <v>115.92100000000001</v>
      </c>
      <c r="AE206" s="22" t="str">
        <f t="shared" si="78"/>
        <v>·</v>
      </c>
      <c r="AF206" s="23">
        <f t="shared" si="79"/>
        <v>15.808414563888229</v>
      </c>
      <c r="AG206" s="23">
        <f t="shared" si="80"/>
        <v>11.635811133599745</v>
      </c>
      <c r="AH206" s="23">
        <f t="shared" si="81"/>
        <v>4.1724987279145447</v>
      </c>
      <c r="AI206" s="24"/>
      <c r="AJ206" s="23">
        <f t="shared" si="82"/>
        <v>15.808414563888229</v>
      </c>
      <c r="AK206" s="25">
        <v>43399207</v>
      </c>
      <c r="AL206" s="26">
        <v>686072656</v>
      </c>
      <c r="AM206" s="26">
        <v>504984976</v>
      </c>
      <c r="AN206" s="26">
        <v>181083136</v>
      </c>
      <c r="AO206" s="40"/>
      <c r="AP206" s="41">
        <v>48.4238</v>
      </c>
      <c r="AQ206" s="41">
        <v>51.365000000000002</v>
      </c>
      <c r="AR206" s="41">
        <v>51.336100000000002</v>
      </c>
      <c r="AS206" s="42"/>
      <c r="AT206" s="41">
        <v>42.110199999999999</v>
      </c>
      <c r="AU206" s="41">
        <v>42.110199999999999</v>
      </c>
      <c r="AV206" s="41">
        <v>42.110199999999999</v>
      </c>
      <c r="AW206" s="42"/>
      <c r="AX206" s="50">
        <v>133.03100000000001</v>
      </c>
      <c r="AY206" s="50">
        <v>116.40600000000001</v>
      </c>
      <c r="BA206" s="55">
        <f t="shared" si="83"/>
        <v>-4.4237060681053819E-3</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4098696</v>
      </c>
      <c r="BZ206">
        <f t="shared" si="86"/>
        <v>0</v>
      </c>
      <c r="CA206">
        <f t="shared" si="87"/>
        <v>4098696</v>
      </c>
      <c r="CB206">
        <f t="shared" si="88"/>
        <v>0</v>
      </c>
      <c r="CC206">
        <f t="shared" si="89"/>
        <v>5.0600000000002865E-2</v>
      </c>
      <c r="CD206">
        <f t="shared" si="90"/>
        <v>4.420000000000357E-2</v>
      </c>
      <c r="CE206">
        <f t="shared" si="91"/>
        <v>5.1000000000001933E-2</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13.934973327968873</v>
      </c>
      <c r="K207" s="18">
        <f t="shared" si="75"/>
        <v>11.635811133599745</v>
      </c>
      <c r="L207" s="18">
        <f t="shared" si="76"/>
        <v>2.2990574919951881</v>
      </c>
      <c r="M207" s="19"/>
      <c r="N207" s="18">
        <f t="shared" si="77"/>
        <v>13.934973327968873</v>
      </c>
      <c r="O207" s="20">
        <v>43399207</v>
      </c>
      <c r="P207" s="21">
        <v>604766792</v>
      </c>
      <c r="Q207" s="21">
        <v>504984976</v>
      </c>
      <c r="R207" s="21">
        <v>99777272</v>
      </c>
      <c r="S207" s="37"/>
      <c r="T207" s="38">
        <v>41.477600000000002</v>
      </c>
      <c r="U207" s="38">
        <v>45.673499999999997</v>
      </c>
      <c r="V207" s="38">
        <v>45.955100000000002</v>
      </c>
      <c r="W207" s="39"/>
      <c r="X207" s="38">
        <v>34.151400000000002</v>
      </c>
      <c r="Y207" s="38">
        <v>34.151400000000002</v>
      </c>
      <c r="Z207" s="38">
        <v>34.151400000000002</v>
      </c>
      <c r="AA207" s="39"/>
      <c r="AB207" s="49">
        <v>131.56200000000001</v>
      </c>
      <c r="AC207" s="49">
        <v>114.843</v>
      </c>
      <c r="AE207" s="17" t="str">
        <f t="shared" si="78"/>
        <v>·</v>
      </c>
      <c r="AF207" s="18">
        <f t="shared" si="79"/>
        <v>14.029085093651595</v>
      </c>
      <c r="AG207" s="18">
        <f t="shared" si="80"/>
        <v>11.635811133599745</v>
      </c>
      <c r="AH207" s="18">
        <f t="shared" si="81"/>
        <v>2.3931692576779109</v>
      </c>
      <c r="AI207" s="19"/>
      <c r="AJ207" s="18">
        <f t="shared" si="82"/>
        <v>14.029085093651595</v>
      </c>
      <c r="AK207" s="20">
        <v>43399207</v>
      </c>
      <c r="AL207" s="21">
        <v>608851168</v>
      </c>
      <c r="AM207" s="21">
        <v>504984976</v>
      </c>
      <c r="AN207" s="21">
        <v>103861648</v>
      </c>
      <c r="AO207" s="37"/>
      <c r="AP207" s="38">
        <v>41.562600000000003</v>
      </c>
      <c r="AQ207" s="38">
        <v>45.746400000000001</v>
      </c>
      <c r="AR207" s="38">
        <v>46.055599999999998</v>
      </c>
      <c r="AS207" s="39"/>
      <c r="AT207" s="38">
        <v>34.151400000000002</v>
      </c>
      <c r="AU207" s="38">
        <v>34.151400000000002</v>
      </c>
      <c r="AV207" s="38">
        <v>34.151400000000002</v>
      </c>
      <c r="AW207" s="39"/>
      <c r="AX207" s="49">
        <v>132.35900000000001</v>
      </c>
      <c r="AY207" s="49">
        <v>116.125</v>
      </c>
      <c r="BA207" s="53">
        <f t="shared" si="83"/>
        <v>-5.6015097169127559E-3</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4084376</v>
      </c>
      <c r="BZ207">
        <f t="shared" si="86"/>
        <v>0</v>
      </c>
      <c r="CA207">
        <f t="shared" si="87"/>
        <v>4084376</v>
      </c>
      <c r="CB207">
        <f t="shared" si="88"/>
        <v>0</v>
      </c>
      <c r="CC207">
        <f t="shared" si="89"/>
        <v>8.5000000000000853E-2</v>
      </c>
      <c r="CD207">
        <f t="shared" si="90"/>
        <v>7.2900000000004184E-2</v>
      </c>
      <c r="CE207">
        <f t="shared" si="91"/>
        <v>0.1004999999999967</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12.970583725181891</v>
      </c>
      <c r="K208" s="23">
        <f t="shared" si="75"/>
        <v>11.635811133599745</v>
      </c>
      <c r="L208" s="23">
        <f t="shared" si="76"/>
        <v>1.334667889208206</v>
      </c>
      <c r="M208" s="24"/>
      <c r="N208" s="23">
        <f t="shared" si="77"/>
        <v>12.970583725181891</v>
      </c>
      <c r="O208" s="25">
        <v>43399207</v>
      </c>
      <c r="P208" s="26">
        <v>562913048</v>
      </c>
      <c r="Q208" s="26">
        <v>504984976</v>
      </c>
      <c r="R208" s="26">
        <v>57923528</v>
      </c>
      <c r="S208" s="40"/>
      <c r="T208" s="41">
        <v>35.898400000000002</v>
      </c>
      <c r="U208" s="41">
        <v>40.853499999999997</v>
      </c>
      <c r="V208" s="41">
        <v>41.349699999999999</v>
      </c>
      <c r="W208" s="42"/>
      <c r="X208" s="41">
        <v>28.130800000000001</v>
      </c>
      <c r="Y208" s="41">
        <v>28.130800000000001</v>
      </c>
      <c r="Z208" s="41">
        <v>28.130800000000001</v>
      </c>
      <c r="AA208" s="42"/>
      <c r="AB208" s="50">
        <v>130.96799999999999</v>
      </c>
      <c r="AC208" s="50">
        <v>114.48399999999999</v>
      </c>
      <c r="AE208" s="22" t="str">
        <f t="shared" si="78"/>
        <v>·</v>
      </c>
      <c r="AF208" s="23">
        <f t="shared" si="79"/>
        <v>13.055235778847296</v>
      </c>
      <c r="AG208" s="23">
        <f t="shared" si="80"/>
        <v>11.635811133599745</v>
      </c>
      <c r="AH208" s="23">
        <f t="shared" si="81"/>
        <v>1.4193199428736105</v>
      </c>
      <c r="AI208" s="24"/>
      <c r="AJ208" s="23">
        <f t="shared" si="82"/>
        <v>13.055235778847296</v>
      </c>
      <c r="AK208" s="25">
        <v>43399207</v>
      </c>
      <c r="AL208" s="26">
        <v>566586880</v>
      </c>
      <c r="AM208" s="26">
        <v>504984976</v>
      </c>
      <c r="AN208" s="26">
        <v>61597360</v>
      </c>
      <c r="AO208" s="40"/>
      <c r="AP208" s="41">
        <v>36.058199999999999</v>
      </c>
      <c r="AQ208" s="41">
        <v>41.003999999999998</v>
      </c>
      <c r="AR208" s="41">
        <v>41.598799999999997</v>
      </c>
      <c r="AS208" s="42"/>
      <c r="AT208" s="41">
        <v>28.130800000000001</v>
      </c>
      <c r="AU208" s="41">
        <v>28.130800000000001</v>
      </c>
      <c r="AV208" s="41">
        <v>28.130800000000001</v>
      </c>
      <c r="AW208" s="42"/>
      <c r="AX208" s="50">
        <v>131.84299999999999</v>
      </c>
      <c r="AY208" s="50">
        <v>114.843</v>
      </c>
      <c r="BA208" s="55">
        <f t="shared" si="83"/>
        <v>-5.8168775405552653E-3</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3673832</v>
      </c>
      <c r="BZ208">
        <f t="shared" si="86"/>
        <v>0</v>
      </c>
      <c r="CA208">
        <f t="shared" si="87"/>
        <v>3673832</v>
      </c>
      <c r="CB208">
        <f t="shared" si="88"/>
        <v>0</v>
      </c>
      <c r="CC208">
        <f t="shared" si="89"/>
        <v>0.15979999999999706</v>
      </c>
      <c r="CD208">
        <f t="shared" si="90"/>
        <v>0.15050000000000097</v>
      </c>
      <c r="CE208">
        <f t="shared" si="91"/>
        <v>0.24909999999999854</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12.296165688004391</v>
      </c>
      <c r="K209" s="28">
        <f t="shared" si="75"/>
        <v>11.635811133599745</v>
      </c>
      <c r="L209" s="28">
        <f t="shared" si="76"/>
        <v>0.66024985203070641</v>
      </c>
      <c r="M209" s="29"/>
      <c r="N209" s="28">
        <f t="shared" si="77"/>
        <v>12.296165688004391</v>
      </c>
      <c r="O209" s="30">
        <v>43399207</v>
      </c>
      <c r="P209" s="31">
        <v>533643840</v>
      </c>
      <c r="Q209" s="31">
        <v>504984976</v>
      </c>
      <c r="R209" s="31">
        <v>28654320</v>
      </c>
      <c r="S209" s="43"/>
      <c r="T209" s="44">
        <v>29.610199999999999</v>
      </c>
      <c r="U209" s="44">
        <v>35.513100000000001</v>
      </c>
      <c r="V209" s="44">
        <v>36.557099999999998</v>
      </c>
      <c r="W209" s="45"/>
      <c r="X209" s="44">
        <v>21.686399999999999</v>
      </c>
      <c r="Y209" s="44">
        <v>21.686399999999999</v>
      </c>
      <c r="Z209" s="44">
        <v>21.686399999999999</v>
      </c>
      <c r="AA209" s="45"/>
      <c r="AB209" s="51">
        <v>130.28100000000001</v>
      </c>
      <c r="AC209" s="51">
        <v>113.875</v>
      </c>
      <c r="AE209" s="27" t="str">
        <f t="shared" si="78"/>
        <v>·</v>
      </c>
      <c r="AF209" s="28">
        <f t="shared" si="79"/>
        <v>12.367275743079821</v>
      </c>
      <c r="AG209" s="28">
        <f t="shared" si="80"/>
        <v>11.635811133599745</v>
      </c>
      <c r="AH209" s="28">
        <f t="shared" si="81"/>
        <v>0.73135990710613674</v>
      </c>
      <c r="AI209" s="29"/>
      <c r="AJ209" s="28">
        <f t="shared" si="82"/>
        <v>12.367275743079821</v>
      </c>
      <c r="AK209" s="30">
        <v>43399207</v>
      </c>
      <c r="AL209" s="31">
        <v>536729960</v>
      </c>
      <c r="AM209" s="31">
        <v>504984976</v>
      </c>
      <c r="AN209" s="31">
        <v>31740440</v>
      </c>
      <c r="AO209" s="43"/>
      <c r="AP209" s="44">
        <v>30.122599999999998</v>
      </c>
      <c r="AQ209" s="44">
        <v>35.878599999999999</v>
      </c>
      <c r="AR209" s="44">
        <v>36.998699999999999</v>
      </c>
      <c r="AS209" s="45"/>
      <c r="AT209" s="44">
        <v>21.686399999999999</v>
      </c>
      <c r="AU209" s="44">
        <v>21.686399999999999</v>
      </c>
      <c r="AV209" s="44">
        <v>21.686399999999999</v>
      </c>
      <c r="AW209" s="45"/>
      <c r="AX209" s="51">
        <v>131.25</v>
      </c>
      <c r="AY209" s="51">
        <v>114.25</v>
      </c>
      <c r="BA209" s="57">
        <f t="shared" si="83"/>
        <v>-5.4410651721327197E-3</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3086120</v>
      </c>
      <c r="BZ209">
        <f t="shared" si="86"/>
        <v>0</v>
      </c>
      <c r="CA209">
        <f t="shared" si="87"/>
        <v>3086120</v>
      </c>
      <c r="CB209">
        <f t="shared" si="88"/>
        <v>0</v>
      </c>
      <c r="CC209">
        <f t="shared" si="89"/>
        <v>0.51239999999999952</v>
      </c>
      <c r="CD209">
        <f t="shared" si="90"/>
        <v>0.36549999999999727</v>
      </c>
      <c r="CE209">
        <f t="shared" si="91"/>
        <v>0.4416000000000011</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19.465748709122202</v>
      </c>
      <c r="K210" s="23">
        <f t="shared" si="75"/>
        <v>9.8042669014930155</v>
      </c>
      <c r="L210" s="23">
        <f t="shared" si="76"/>
        <v>9.6604410999479651</v>
      </c>
      <c r="M210" s="24"/>
      <c r="N210" s="23">
        <f t="shared" si="77"/>
        <v>19.465748709122202</v>
      </c>
      <c r="O210" s="25">
        <v>499660</v>
      </c>
      <c r="P210" s="26">
        <v>9726256</v>
      </c>
      <c r="Q210" s="26">
        <v>4898800</v>
      </c>
      <c r="R210" s="26">
        <v>4826936</v>
      </c>
      <c r="S210" s="40"/>
      <c r="T210" s="41">
        <v>53.417299999999997</v>
      </c>
      <c r="U210" s="41">
        <v>54.833399999999997</v>
      </c>
      <c r="V210" s="41">
        <v>54.987699999999997</v>
      </c>
      <c r="W210" s="42"/>
      <c r="X210" s="41">
        <v>48.130800000000001</v>
      </c>
      <c r="Y210" s="41">
        <v>48.130800000000001</v>
      </c>
      <c r="Z210" s="41">
        <v>48.130800000000001</v>
      </c>
      <c r="AA210" s="42"/>
      <c r="AB210" s="50">
        <v>0.98399999999999999</v>
      </c>
      <c r="AC210" s="50">
        <v>0.92100000000000004</v>
      </c>
      <c r="AE210" s="22" t="str">
        <f t="shared" si="78"/>
        <v>·</v>
      </c>
      <c r="AF210" s="23">
        <f t="shared" si="79"/>
        <v>19.598014649961975</v>
      </c>
      <c r="AG210" s="23">
        <f t="shared" si="80"/>
        <v>9.8042669014930155</v>
      </c>
      <c r="AH210" s="23">
        <f t="shared" si="81"/>
        <v>9.7927070407877359</v>
      </c>
      <c r="AI210" s="24"/>
      <c r="AJ210" s="23">
        <f t="shared" si="82"/>
        <v>19.598014649961975</v>
      </c>
      <c r="AK210" s="25">
        <v>499660</v>
      </c>
      <c r="AL210" s="26">
        <v>9792344</v>
      </c>
      <c r="AM210" s="26">
        <v>4898800</v>
      </c>
      <c r="AN210" s="26">
        <v>4893024</v>
      </c>
      <c r="AO210" s="40"/>
      <c r="AP210" s="41">
        <v>53.488999999999997</v>
      </c>
      <c r="AQ210" s="41">
        <v>54.912300000000002</v>
      </c>
      <c r="AR210" s="41">
        <v>55.064</v>
      </c>
      <c r="AS210" s="42"/>
      <c r="AT210" s="41">
        <v>48.130800000000001</v>
      </c>
      <c r="AU210" s="41">
        <v>48.130800000000001</v>
      </c>
      <c r="AV210" s="41">
        <v>48.130800000000001</v>
      </c>
      <c r="AW210" s="42"/>
      <c r="AX210" s="50">
        <v>1.0309999999999999</v>
      </c>
      <c r="AY210" s="50">
        <v>0.93700000000000006</v>
      </c>
      <c r="BA210" s="55">
        <f t="shared" si="83"/>
        <v>-3.3992253781778281E-3</v>
      </c>
      <c r="BB210" s="55">
        <f t="array" ref="BB210">AVERAGE(AM210:AM214/AL210:AL214)-AVERAGE(Q210:Q214/P210:P214)</f>
        <v>-6.4027813811827761E-3</v>
      </c>
      <c r="BD210" s="56">
        <f>IF(OR(ISBLANK(R210:R214),ISBLANK(AN210:AN214),ISBLANK(T210:T214),ISBLANK(AP210:AP214)),"·",bdRateExtend(R210:R214,T210:T214,AN210:AN214,AP210:AP214))</f>
        <v>2.6036319616620451E-2</v>
      </c>
      <c r="BE210" s="56">
        <f>IF(OR(ISBLANK(R210:R214),ISBLANK(AN210:AN214),ISBLANK(U210:U214),ISBLANK(AQ210:AQ214)),"·",bdRateExtend(R210:R214,U210:U214,AN210:AN214,AQ210:AQ214))</f>
        <v>2.6829590083480737E-2</v>
      </c>
      <c r="BF210" s="56">
        <f>IF(OR(ISBLANK(R210:R214),ISBLANK(AN210:AN214),ISBLANK(V210:V214),ISBLANK(AR210:AR214)),"·",bdRateExtend(R210:R214,V210:V214,AN210:AN214,AR210:AR214))</f>
        <v>2.4329448812066445E-2</v>
      </c>
      <c r="BG210" s="62"/>
      <c r="BI210" s="56">
        <f>IF(OR(ISBLANK(R210:R214),ISBLANK(AN210:AN214),ISBLANK(X210:X214),ISBLANK(AT210:AT214)),"·",bdRateExtend(R210:R214,X210:X214,AN210:AN214,AT210:AT214))</f>
        <v>3.6867977475268932E-2</v>
      </c>
      <c r="BJ210" s="56">
        <f>IF(OR(ISBLANK(R210:R214),ISBLANK(AN210:AN214),ISBLANK(Y210:Y214),ISBLANK(AU210:AU214)),"·",bdRateExtend(R210:R214,Y210:Y214,AN210:AN214,AU210:AU214))</f>
        <v>3.6867977475268932E-2</v>
      </c>
      <c r="BK210" s="56">
        <f>IF(OR(ISBLANK(R210:R214),ISBLANK(AN210:AN214),ISBLANK(Z210:Z214),ISBLANK(AV210:AV214)),"·",bdRateExtend(R210:R214,Z210:Z214,AN210:AN214,AV210:AV214))</f>
        <v>3.6867977475268932E-2</v>
      </c>
      <c r="BL210" s="62"/>
      <c r="BN210" s="56">
        <f>IF(OR(ISBLANK(P210:P214),ISBLANK(AL210:AL214),ISBLANK(T210:T214),ISBLANK(AP210:AP214)),"·",bdRateExtend(P210:P214,T210:T214,AL210:AL214,AP210:AP214))</f>
        <v>6.914176697963681E-3</v>
      </c>
      <c r="BO210" s="56">
        <f>IF(OR(ISBLANK(P210:P214),ISBLANK(AL210:AL214),ISBLANK(U210:U214),ISBLANK(AQ210:AQ214)),"·",bdRateExtend(P210:P214,U210:U214,AL210:AL214,AQ210:AQ214))</f>
        <v>7.0994805420565577E-3</v>
      </c>
      <c r="BP210" s="56">
        <f>IF(OR(ISBLANK(P210:P214),ISBLANK(AL210:AL214),ISBLANK(V210:V214),ISBLANK(AR210:AR214)),"·",bdRateExtend(P210:P214,V210:V214,AL210:AL214,AR210:AR214))</f>
        <v>6.5454403462101851E-3</v>
      </c>
      <c r="BQ210" s="62"/>
      <c r="BS210" s="56">
        <f>IF(OR(ISBLANK(P210:P214),ISBLANK(AL210:AL214),ISBLANK(X210:X214),ISBLANK(AT210:AT214)),"·",bdRateExtend(P210:P214,X210:X214,AL210:AL214,AT210:AT214))</f>
        <v>9.4849789837747611E-3</v>
      </c>
      <c r="BT210" s="56">
        <f>IF(OR(ISBLANK(P210:P214),ISBLANK(AL210:AL214),ISBLANK(Y210:Y214),ISBLANK(AU210:AU214)),"·",bdRateExtend(P210:P214,Y210:Y214,AL210:AL214,AU210:AU214))</f>
        <v>9.4849789837747611E-3</v>
      </c>
      <c r="BU210" s="56">
        <f>IF(OR(ISBLANK(P210:P214),ISBLANK(AL210:AL214),ISBLANK(Z210:Z214),ISBLANK(AV210:AV214)),"·",bdRateExtend(P210:P214,Z210:Z214,AL210:AL214,AV210:AV214))</f>
        <v>9.4849789837747611E-3</v>
      </c>
      <c r="BV210" s="62"/>
      <c r="BX210">
        <f t="shared" si="84"/>
        <v>0</v>
      </c>
      <c r="BY210">
        <f t="shared" si="85"/>
        <v>66088</v>
      </c>
      <c r="BZ210">
        <f t="shared" si="86"/>
        <v>0</v>
      </c>
      <c r="CA210">
        <f t="shared" si="87"/>
        <v>66088</v>
      </c>
      <c r="CB210">
        <f t="shared" si="88"/>
        <v>0</v>
      </c>
      <c r="CC210">
        <f t="shared" si="89"/>
        <v>7.1699999999999875E-2</v>
      </c>
      <c r="CD210">
        <f t="shared" si="90"/>
        <v>7.8900000000004411E-2</v>
      </c>
      <c r="CE210">
        <f t="shared" si="91"/>
        <v>7.6300000000003365E-2</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16.910971460593203</v>
      </c>
      <c r="K211" s="18">
        <f t="shared" si="75"/>
        <v>9.8042669014930155</v>
      </c>
      <c r="L211" s="18">
        <f t="shared" si="76"/>
        <v>7.1056638514189645</v>
      </c>
      <c r="M211" s="19"/>
      <c r="N211" s="18">
        <f t="shared" si="77"/>
        <v>16.910971460593203</v>
      </c>
      <c r="O211" s="20">
        <v>499660</v>
      </c>
      <c r="P211" s="21">
        <v>8449736</v>
      </c>
      <c r="Q211" s="21">
        <v>4898800</v>
      </c>
      <c r="R211" s="21">
        <v>3550416</v>
      </c>
      <c r="S211" s="37"/>
      <c r="T211" s="38">
        <v>48.506700000000002</v>
      </c>
      <c r="U211" s="38">
        <v>50.4861</v>
      </c>
      <c r="V211" s="38">
        <v>50.470300000000002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17.045558980106474</v>
      </c>
      <c r="AG211" s="18">
        <f t="shared" si="80"/>
        <v>9.8042669014930155</v>
      </c>
      <c r="AH211" s="18">
        <f t="shared" si="81"/>
        <v>7.240251370932234</v>
      </c>
      <c r="AI211" s="19"/>
      <c r="AJ211" s="18">
        <f t="shared" si="82"/>
        <v>17.045558980106474</v>
      </c>
      <c r="AK211" s="20">
        <v>499660</v>
      </c>
      <c r="AL211" s="21">
        <v>8516984</v>
      </c>
      <c r="AM211" s="21">
        <v>4898800</v>
      </c>
      <c r="AN211" s="21">
        <v>3617664</v>
      </c>
      <c r="AO211" s="37"/>
      <c r="AP211" s="38">
        <v>48.577100000000002</v>
      </c>
      <c r="AQ211" s="38">
        <v>50.541400000000003</v>
      </c>
      <c r="AR211" s="38">
        <v>50.533700000000003</v>
      </c>
      <c r="AS211" s="39"/>
      <c r="AT211" s="38">
        <v>42.110199999999999</v>
      </c>
      <c r="AU211" s="38">
        <v>42.110199999999999</v>
      </c>
      <c r="AV211" s="38">
        <v>42.110199999999999</v>
      </c>
      <c r="AW211" s="39"/>
      <c r="AX211" s="49">
        <v>1.0149999999999999</v>
      </c>
      <c r="AY211" s="49">
        <v>0.92100000000000004</v>
      </c>
      <c r="BA211" s="53">
        <f t="shared" si="83"/>
        <v>-4.5776239238596306E-3</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67248</v>
      </c>
      <c r="BZ211">
        <f t="shared" si="86"/>
        <v>0</v>
      </c>
      <c r="CA211">
        <f t="shared" si="87"/>
        <v>67248</v>
      </c>
      <c r="CB211">
        <f t="shared" si="88"/>
        <v>0</v>
      </c>
      <c r="CC211">
        <f t="shared" si="89"/>
        <v>7.0399999999999352E-2</v>
      </c>
      <c r="CD211">
        <f t="shared" si="90"/>
        <v>5.5300000000002569E-2</v>
      </c>
      <c r="CE211">
        <f t="shared" si="91"/>
        <v>6.3400000000001455E-2</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14.233310651242846</v>
      </c>
      <c r="K212" s="23">
        <f t="shared" si="75"/>
        <v>9.8042669014930155</v>
      </c>
      <c r="L212" s="23">
        <f t="shared" si="76"/>
        <v>4.4280030420686067</v>
      </c>
      <c r="M212" s="24"/>
      <c r="N212" s="23">
        <f t="shared" si="77"/>
        <v>14.233310651242846</v>
      </c>
      <c r="O212" s="25">
        <v>499660</v>
      </c>
      <c r="P212" s="26">
        <v>7111816</v>
      </c>
      <c r="Q212" s="26">
        <v>4898800</v>
      </c>
      <c r="R212" s="26">
        <v>2212496</v>
      </c>
      <c r="S212" s="40"/>
      <c r="T212" s="41">
        <v>41.366</v>
      </c>
      <c r="U212" s="41">
        <v>44.281500000000001</v>
      </c>
      <c r="V212" s="41">
        <v>44.608800000000002</v>
      </c>
      <c r="W212" s="42"/>
      <c r="X212" s="41">
        <v>34.151400000000002</v>
      </c>
      <c r="Y212" s="41">
        <v>34.151400000000002</v>
      </c>
      <c r="Z212" s="41">
        <v>34.151400000000002</v>
      </c>
      <c r="AA212" s="42"/>
      <c r="AB212" s="50">
        <v>0.96799999999999997</v>
      </c>
      <c r="AC212" s="50">
        <v>0.90600000000000003</v>
      </c>
      <c r="AE212" s="22" t="str">
        <f t="shared" si="78"/>
        <v>·</v>
      </c>
      <c r="AF212" s="23">
        <f t="shared" si="79"/>
        <v>14.380626826241844</v>
      </c>
      <c r="AG212" s="23">
        <f t="shared" si="80"/>
        <v>9.8042669014930155</v>
      </c>
      <c r="AH212" s="23">
        <f t="shared" si="81"/>
        <v>4.575319217067606</v>
      </c>
      <c r="AI212" s="24"/>
      <c r="AJ212" s="23">
        <f t="shared" si="82"/>
        <v>14.380626826241844</v>
      </c>
      <c r="AK212" s="25">
        <v>499660</v>
      </c>
      <c r="AL212" s="26">
        <v>7185424</v>
      </c>
      <c r="AM212" s="26">
        <v>4898800</v>
      </c>
      <c r="AN212" s="26">
        <v>2286104</v>
      </c>
      <c r="AO212" s="40"/>
      <c r="AP212" s="41">
        <v>41.474400000000003</v>
      </c>
      <c r="AQ212" s="41">
        <v>44.372399999999999</v>
      </c>
      <c r="AR212" s="41">
        <v>44.714100000000002</v>
      </c>
      <c r="AS212" s="42"/>
      <c r="AT212" s="41">
        <v>34.151400000000002</v>
      </c>
      <c r="AU212" s="41">
        <v>34.151400000000002</v>
      </c>
      <c r="AV212" s="41">
        <v>34.151400000000002</v>
      </c>
      <c r="AW212" s="42"/>
      <c r="AX212" s="50">
        <v>1.0149999999999999</v>
      </c>
      <c r="AY212" s="50">
        <v>0.90600000000000003</v>
      </c>
      <c r="BA212" s="55">
        <f t="shared" si="83"/>
        <v>-7.0563776345921037E-3</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73608</v>
      </c>
      <c r="BZ212">
        <f t="shared" si="86"/>
        <v>0</v>
      </c>
      <c r="CA212">
        <f t="shared" si="87"/>
        <v>73608</v>
      </c>
      <c r="CB212">
        <f t="shared" si="88"/>
        <v>0</v>
      </c>
      <c r="CC212">
        <f t="shared" si="89"/>
        <v>0.10840000000000316</v>
      </c>
      <c r="CD212">
        <f t="shared" si="90"/>
        <v>9.089999999999776E-2</v>
      </c>
      <c r="CE212">
        <f t="shared" si="91"/>
        <v>0.10529999999999973</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12.458071488612257</v>
      </c>
      <c r="K213" s="18">
        <f t="shared" si="75"/>
        <v>9.8042669014930155</v>
      </c>
      <c r="L213" s="18">
        <f t="shared" si="76"/>
        <v>2.6527638794380177</v>
      </c>
      <c r="M213" s="19"/>
      <c r="N213" s="18">
        <f t="shared" si="77"/>
        <v>12.458071488612257</v>
      </c>
      <c r="O213" s="20">
        <v>499660</v>
      </c>
      <c r="P213" s="21">
        <v>6224800</v>
      </c>
      <c r="Q213" s="21">
        <v>4898800</v>
      </c>
      <c r="R213" s="21">
        <v>1325480</v>
      </c>
      <c r="S213" s="37"/>
      <c r="T213" s="38">
        <v>35.6419</v>
      </c>
      <c r="U213" s="38">
        <v>39.438699999999997</v>
      </c>
      <c r="V213" s="38">
        <v>39.841200000000001</v>
      </c>
      <c r="W213" s="39"/>
      <c r="X213" s="38">
        <v>28.130800000000001</v>
      </c>
      <c r="Y213" s="38">
        <v>28.130800000000001</v>
      </c>
      <c r="Z213" s="38">
        <v>28.130800000000001</v>
      </c>
      <c r="AA213" s="39"/>
      <c r="AB213" s="49">
        <v>0.98399999999999999</v>
      </c>
      <c r="AC213" s="49">
        <v>0.90600000000000003</v>
      </c>
      <c r="AE213" s="17" t="str">
        <f t="shared" si="78"/>
        <v>·</v>
      </c>
      <c r="AF213" s="18">
        <f t="shared" si="79"/>
        <v>12.597782492094625</v>
      </c>
      <c r="AG213" s="18">
        <f t="shared" si="80"/>
        <v>9.8042669014930155</v>
      </c>
      <c r="AH213" s="18">
        <f t="shared" si="81"/>
        <v>2.792474882920386</v>
      </c>
      <c r="AI213" s="19"/>
      <c r="AJ213" s="18">
        <f t="shared" si="82"/>
        <v>12.597782492094625</v>
      </c>
      <c r="AK213" s="20">
        <v>499660</v>
      </c>
      <c r="AL213" s="21">
        <v>6294608</v>
      </c>
      <c r="AM213" s="21">
        <v>4898800</v>
      </c>
      <c r="AN213" s="21">
        <v>1395288</v>
      </c>
      <c r="AO213" s="37"/>
      <c r="AP213" s="38">
        <v>35.773699999999998</v>
      </c>
      <c r="AQ213" s="38">
        <v>39.5291</v>
      </c>
      <c r="AR213" s="38">
        <v>39.971299999999999</v>
      </c>
      <c r="AS213" s="39"/>
      <c r="AT213" s="38">
        <v>28.130800000000001</v>
      </c>
      <c r="AU213" s="38">
        <v>28.130800000000001</v>
      </c>
      <c r="AV213" s="38">
        <v>28.130800000000001</v>
      </c>
      <c r="AW213" s="39"/>
      <c r="AX213" s="49">
        <v>0.95299999999999996</v>
      </c>
      <c r="AY213" s="49">
        <v>0.92100000000000004</v>
      </c>
      <c r="BA213" s="53">
        <f t="shared" si="83"/>
        <v>-8.7277201654447634E-3</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69808</v>
      </c>
      <c r="BZ213">
        <f t="shared" si="86"/>
        <v>0</v>
      </c>
      <c r="CA213">
        <f t="shared" si="87"/>
        <v>69808</v>
      </c>
      <c r="CB213">
        <f t="shared" si="88"/>
        <v>0</v>
      </c>
      <c r="CC213">
        <f t="shared" si="89"/>
        <v>0.13179999999999836</v>
      </c>
      <c r="CD213">
        <f t="shared" si="90"/>
        <v>9.0400000000002478E-2</v>
      </c>
      <c r="CE213">
        <f t="shared" si="91"/>
        <v>0.13009999999999877</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11.085746307489092</v>
      </c>
      <c r="K214" s="33">
        <f t="shared" si="75"/>
        <v>9.8042669014930155</v>
      </c>
      <c r="L214" s="33">
        <f t="shared" si="76"/>
        <v>1.2804386983148541</v>
      </c>
      <c r="M214" s="34"/>
      <c r="N214" s="33">
        <f t="shared" si="77"/>
        <v>11.085746307489092</v>
      </c>
      <c r="O214" s="35">
        <v>499660</v>
      </c>
      <c r="P214" s="36">
        <v>5539104</v>
      </c>
      <c r="Q214" s="36">
        <v>4898800</v>
      </c>
      <c r="R214" s="36">
        <v>639784</v>
      </c>
      <c r="S214" s="46"/>
      <c r="T214" s="47">
        <v>29.556699999999999</v>
      </c>
      <c r="U214" s="47">
        <v>34.2196</v>
      </c>
      <c r="V214" s="47">
        <v>34.882100000000001</v>
      </c>
      <c r="W214" s="48"/>
      <c r="X214" s="47">
        <v>21.686399999999999</v>
      </c>
      <c r="Y214" s="47">
        <v>21.686399999999999</v>
      </c>
      <c r="Z214" s="47">
        <v>21.686399999999999</v>
      </c>
      <c r="AA214" s="48"/>
      <c r="AB214" s="52">
        <v>0.96799999999999997</v>
      </c>
      <c r="AC214" s="52">
        <v>0.92100000000000004</v>
      </c>
      <c r="AE214" s="32" t="str">
        <f t="shared" si="78"/>
        <v>·</v>
      </c>
      <c r="AF214" s="33">
        <f t="shared" si="79"/>
        <v>11.190169315134291</v>
      </c>
      <c r="AG214" s="33">
        <f t="shared" si="80"/>
        <v>9.8042669014930155</v>
      </c>
      <c r="AH214" s="33">
        <f t="shared" si="81"/>
        <v>1.3848617059600528</v>
      </c>
      <c r="AI214" s="34"/>
      <c r="AJ214" s="33">
        <f t="shared" si="82"/>
        <v>11.190169315134291</v>
      </c>
      <c r="AK214" s="35">
        <v>499660</v>
      </c>
      <c r="AL214" s="36">
        <v>5591280</v>
      </c>
      <c r="AM214" s="36">
        <v>4898800</v>
      </c>
      <c r="AN214" s="36">
        <v>691960</v>
      </c>
      <c r="AO214" s="46"/>
      <c r="AP214" s="47">
        <v>29.844899999999999</v>
      </c>
      <c r="AQ214" s="47">
        <v>34.462800000000001</v>
      </c>
      <c r="AR214" s="47">
        <v>35.121299999999998</v>
      </c>
      <c r="AS214" s="48"/>
      <c r="AT214" s="47">
        <v>21.686399999999999</v>
      </c>
      <c r="AU214" s="47">
        <v>21.686399999999999</v>
      </c>
      <c r="AV214" s="47">
        <v>21.686399999999999</v>
      </c>
      <c r="AW214" s="48"/>
      <c r="AX214" s="52">
        <v>1</v>
      </c>
      <c r="AY214" s="52">
        <v>0.89</v>
      </c>
      <c r="BA214" s="59">
        <f t="shared" si="83"/>
        <v>-8.2529598038395546E-3</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52176</v>
      </c>
      <c r="BZ214">
        <f t="shared" si="86"/>
        <v>0</v>
      </c>
      <c r="CA214">
        <f t="shared" si="87"/>
        <v>52176</v>
      </c>
      <c r="CB214">
        <f t="shared" si="88"/>
        <v>0</v>
      </c>
      <c r="CC214">
        <f t="shared" si="89"/>
        <v>0.28819999999999979</v>
      </c>
      <c r="CD214">
        <f t="shared" si="90"/>
        <v>0.24320000000000164</v>
      </c>
      <c r="CE214">
        <f t="shared" si="91"/>
        <v>0.23919999999999675</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43.88445365543344</v>
      </c>
      <c r="K215" s="18">
        <f t="shared" si="75"/>
        <v>34.227515873619183</v>
      </c>
      <c r="L215" s="18">
        <f t="shared" si="76"/>
        <v>9.6558495336936829</v>
      </c>
      <c r="M215" s="19"/>
      <c r="N215" s="18">
        <f t="shared" si="77"/>
        <v>43.88445365543344</v>
      </c>
      <c r="O215" s="20">
        <v>499886</v>
      </c>
      <c r="P215" s="21">
        <v>21937224</v>
      </c>
      <c r="Q215" s="21">
        <v>17109856</v>
      </c>
      <c r="R215" s="21">
        <v>4826824</v>
      </c>
      <c r="S215" s="37"/>
      <c r="T215" s="38">
        <v>53.406199999999998</v>
      </c>
      <c r="U215" s="38">
        <v>54.818100000000001</v>
      </c>
      <c r="V215" s="38">
        <v>54.9925</v>
      </c>
      <c r="W215" s="39"/>
      <c r="X215" s="38">
        <v>48.130800000000001</v>
      </c>
      <c r="Y215" s="38">
        <v>48.130800000000001</v>
      </c>
      <c r="Z215" s="38">
        <v>48.130800000000001</v>
      </c>
      <c r="AA215" s="39"/>
      <c r="AB215" s="49">
        <v>1.875</v>
      </c>
      <c r="AC215" s="49">
        <v>1.6559999999999999</v>
      </c>
      <c r="AE215" s="17" t="str">
        <f t="shared" si="78"/>
        <v>·</v>
      </c>
      <c r="AF215" s="18">
        <f t="shared" si="79"/>
        <v>44.015667572206461</v>
      </c>
      <c r="AG215" s="18">
        <f t="shared" si="80"/>
        <v>34.227515873619183</v>
      </c>
      <c r="AH215" s="18">
        <f t="shared" si="81"/>
        <v>9.7870634504667056</v>
      </c>
      <c r="AI215" s="19"/>
      <c r="AJ215" s="18">
        <f t="shared" si="82"/>
        <v>44.015667572206461</v>
      </c>
      <c r="AK215" s="20">
        <v>499886</v>
      </c>
      <c r="AL215" s="21">
        <v>22002816</v>
      </c>
      <c r="AM215" s="21">
        <v>17109856</v>
      </c>
      <c r="AN215" s="21">
        <v>4892416</v>
      </c>
      <c r="AO215" s="37"/>
      <c r="AP215" s="38">
        <v>53.482599999999998</v>
      </c>
      <c r="AQ215" s="38">
        <v>54.900599999999997</v>
      </c>
      <c r="AR215" s="38">
        <v>55.0807</v>
      </c>
      <c r="AS215" s="39"/>
      <c r="AT215" s="38">
        <v>48.130800000000001</v>
      </c>
      <c r="AU215" s="38">
        <v>48.130800000000001</v>
      </c>
      <c r="AV215" s="38">
        <v>48.130800000000001</v>
      </c>
      <c r="AW215" s="39"/>
      <c r="AX215" s="49">
        <v>1.875</v>
      </c>
      <c r="AY215" s="49">
        <v>1.6559999999999999</v>
      </c>
      <c r="BA215" s="53">
        <f t="shared" si="83"/>
        <v>-2.3250767376006287E-3</v>
      </c>
      <c r="BB215" s="53">
        <f t="array" ref="BB215">AVERAGE(AM215:AM219/AL215:AL219)-AVERAGE(Q215:Q219/P215:P219)</f>
        <v>-2.9034990151652895E-3</v>
      </c>
      <c r="BD215" s="54">
        <f>IF(OR(ISBLANK(R215:R219),ISBLANK(AN215:AN219),ISBLANK(T215:T219),ISBLANK(AP215:AP219)),"·",bdRateExtend(R215:R219,T215:T219,AN215:AN219,AP215:AP219))</f>
        <v>2.5344398788202938E-2</v>
      </c>
      <c r="BE215" s="54">
        <f>IF(OR(ISBLANK(R215:R219),ISBLANK(AN215:AN219),ISBLANK(U215:U219),ISBLANK(AQ215:AQ219)),"·",bdRateExtend(R215:R219,U215:U219,AN215:AN219,AQ215:AQ219))</f>
        <v>2.309276417109607E-2</v>
      </c>
      <c r="BF215" s="54">
        <f>IF(OR(ISBLANK(R215:R219),ISBLANK(AN215:AN219),ISBLANK(V215:V219),ISBLANK(AR215:AR219)),"·",bdRateExtend(R215:R219,V215:V219,AN215:AN219,AR215:AR219))</f>
        <v>2.6296558048813479E-2</v>
      </c>
      <c r="BG215" s="61"/>
      <c r="BI215" s="54">
        <f>IF(OR(ISBLANK(R215:R219),ISBLANK(AN215:AN219),ISBLANK(X215:X219),ISBLANK(AT215:AT219)),"·",bdRateExtend(R215:R219,X215:X219,AN215:AN219,AT215:AT219))</f>
        <v>3.6259704071966548E-2</v>
      </c>
      <c r="BJ215" s="54">
        <f>IF(OR(ISBLANK(R215:R219),ISBLANK(AN215:AN219),ISBLANK(Y215:Y219),ISBLANK(AU215:AU219)),"·",bdRateExtend(R215:R219,Y215:Y219,AN215:AN219,AU215:AU219))</f>
        <v>3.6259704071966548E-2</v>
      </c>
      <c r="BK215" s="54">
        <f>IF(OR(ISBLANK(R215:R219),ISBLANK(AN215:AN219),ISBLANK(Z215:Z219),ISBLANK(AV215:AV219)),"·",bdRateExtend(R215:R219,Z215:Z219,AN215:AN219,AV215:AV219))</f>
        <v>3.6259704071966548E-2</v>
      </c>
      <c r="BL215" s="61"/>
      <c r="BN215" s="54">
        <f>IF(OR(ISBLANK(P215:P219),ISBLANK(AL215:AL219),ISBLANK(T215:T219),ISBLANK(AP215:AP219)),"·",bdRateExtend(P215:P219,T215:T219,AL215:AL219,AP215:AP219))</f>
        <v>2.4951991611084079E-3</v>
      </c>
      <c r="BO215" s="54">
        <f>IF(OR(ISBLANK(P215:P219),ISBLANK(AL215:AL219),ISBLANK(U215:U219),ISBLANK(AQ215:AQ219)),"·",bdRateExtend(P215:P219,U215:U219,AL215:AL219,AQ215:AQ219))</f>
        <v>2.3238673905427998E-3</v>
      </c>
      <c r="BP215" s="54">
        <f>IF(OR(ISBLANK(P215:P219),ISBLANK(AL215:AL219),ISBLANK(V215:V219),ISBLANK(AR215:AR219)),"·",bdRateExtend(P215:P219,V215:V219,AL215:AL219,AR215:AR219))</f>
        <v>2.5398464914510033E-3</v>
      </c>
      <c r="BQ215" s="61"/>
      <c r="BS215" s="54">
        <f>IF(OR(ISBLANK(P215:P219),ISBLANK(AL215:AL219),ISBLANK(X215:X219),ISBLANK(AT215:AT219)),"·",bdRateExtend(P215:P219,X215:X219,AL215:AL219,AT215:AT219))</f>
        <v>3.4547573053809177E-3</v>
      </c>
      <c r="BT215" s="54">
        <f>IF(OR(ISBLANK(P215:P219),ISBLANK(AL215:AL219),ISBLANK(Y215:Y219),ISBLANK(AU215:AU219)),"·",bdRateExtend(P215:P219,Y215:Y219,AL215:AL219,AU215:AU219))</f>
        <v>3.4547573053809177E-3</v>
      </c>
      <c r="BU215" s="54">
        <f>IF(OR(ISBLANK(P215:P219),ISBLANK(AL215:AL219),ISBLANK(Z215:Z219),ISBLANK(AV215:AV219)),"·",bdRateExtend(P215:P219,Z215:Z219,AL215:AL219,AV215:AV219))</f>
        <v>3.4547573053809177E-3</v>
      </c>
      <c r="BV215" s="61"/>
      <c r="BX215">
        <f t="shared" si="84"/>
        <v>0</v>
      </c>
      <c r="BY215">
        <f t="shared" si="85"/>
        <v>65592</v>
      </c>
      <c r="BZ215">
        <f t="shared" si="86"/>
        <v>0</v>
      </c>
      <c r="CA215">
        <f t="shared" si="87"/>
        <v>65592</v>
      </c>
      <c r="CB215">
        <f t="shared" si="88"/>
        <v>0</v>
      </c>
      <c r="CC215">
        <f t="shared" si="89"/>
        <v>7.6399999999999579E-2</v>
      </c>
      <c r="CD215">
        <f t="shared" si="90"/>
        <v>8.2499999999996021E-2</v>
      </c>
      <c r="CE215">
        <f t="shared" si="91"/>
        <v>8.82000000000005E-2</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41.327790736287874</v>
      </c>
      <c r="K216" s="23">
        <f t="shared" si="75"/>
        <v>34.227515873619183</v>
      </c>
      <c r="L216" s="23">
        <f t="shared" si="76"/>
        <v>7.0991866145481168</v>
      </c>
      <c r="M216" s="24"/>
      <c r="N216" s="23">
        <f t="shared" si="77"/>
        <v>41.327790736287874</v>
      </c>
      <c r="O216" s="25">
        <v>499886</v>
      </c>
      <c r="P216" s="26">
        <v>20659184</v>
      </c>
      <c r="Q216" s="26">
        <v>17109856</v>
      </c>
      <c r="R216" s="26">
        <v>3548784</v>
      </c>
      <c r="S216" s="40"/>
      <c r="T216" s="41">
        <v>48.514400000000002</v>
      </c>
      <c r="U216" s="41">
        <v>50.471299999999999</v>
      </c>
      <c r="V216" s="41">
        <v>50.476300000000002</v>
      </c>
      <c r="W216" s="42"/>
      <c r="X216" s="41">
        <v>42.110199999999999</v>
      </c>
      <c r="Y216" s="41">
        <v>42.110199999999999</v>
      </c>
      <c r="Z216" s="41">
        <v>42.110199999999999</v>
      </c>
      <c r="AA216" s="42"/>
      <c r="AB216" s="50">
        <v>1.859</v>
      </c>
      <c r="AC216" s="50">
        <v>1.64</v>
      </c>
      <c r="AE216" s="22" t="str">
        <f t="shared" si="78"/>
        <v>·</v>
      </c>
      <c r="AF216" s="23">
        <f t="shared" si="79"/>
        <v>41.463165601757204</v>
      </c>
      <c r="AG216" s="23">
        <f t="shared" si="80"/>
        <v>34.227515873619183</v>
      </c>
      <c r="AH216" s="23">
        <f t="shared" si="81"/>
        <v>7.2345614800174438</v>
      </c>
      <c r="AI216" s="24"/>
      <c r="AJ216" s="23">
        <f t="shared" si="82"/>
        <v>41.463165601757204</v>
      </c>
      <c r="AK216" s="25">
        <v>499886</v>
      </c>
      <c r="AL216" s="26">
        <v>20726856</v>
      </c>
      <c r="AM216" s="26">
        <v>17109856</v>
      </c>
      <c r="AN216" s="26">
        <v>3616456</v>
      </c>
      <c r="AO216" s="40"/>
      <c r="AP216" s="41">
        <v>48.584800000000001</v>
      </c>
      <c r="AQ216" s="41">
        <v>50.555599999999998</v>
      </c>
      <c r="AR216" s="41">
        <v>50.549700000000001</v>
      </c>
      <c r="AS216" s="42"/>
      <c r="AT216" s="41">
        <v>42.110199999999999</v>
      </c>
      <c r="AU216" s="41">
        <v>42.110199999999999</v>
      </c>
      <c r="AV216" s="41">
        <v>42.110199999999999</v>
      </c>
      <c r="AW216" s="42"/>
      <c r="AX216" s="50">
        <v>1.875</v>
      </c>
      <c r="AY216" s="50">
        <v>1.625</v>
      </c>
      <c r="BA216" s="55">
        <f t="shared" si="83"/>
        <v>-2.7040129834718929E-3</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67672</v>
      </c>
      <c r="BZ216">
        <f t="shared" si="86"/>
        <v>0</v>
      </c>
      <c r="CA216">
        <f t="shared" si="87"/>
        <v>67672</v>
      </c>
      <c r="CB216">
        <f t="shared" si="88"/>
        <v>0</v>
      </c>
      <c r="CC216">
        <f t="shared" si="89"/>
        <v>7.0399999999999352E-2</v>
      </c>
      <c r="CD216">
        <f t="shared" si="90"/>
        <v>8.4299999999998931E-2</v>
      </c>
      <c r="CE216">
        <f t="shared" si="91"/>
        <v>7.3399999999999466E-2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38.658590158556152</v>
      </c>
      <c r="K217" s="18">
        <f t="shared" si="75"/>
        <v>34.227515873619183</v>
      </c>
      <c r="L217" s="18">
        <f t="shared" si="76"/>
        <v>4.4299860368163939</v>
      </c>
      <c r="M217" s="19"/>
      <c r="N217" s="18">
        <f t="shared" si="77"/>
        <v>38.658590158556152</v>
      </c>
      <c r="O217" s="20">
        <v>499886</v>
      </c>
      <c r="P217" s="21">
        <v>19324888</v>
      </c>
      <c r="Q217" s="21">
        <v>17109856</v>
      </c>
      <c r="R217" s="21">
        <v>2214488</v>
      </c>
      <c r="S217" s="37"/>
      <c r="T217" s="38">
        <v>41.363</v>
      </c>
      <c r="U217" s="38">
        <v>44.258699999999997</v>
      </c>
      <c r="V217" s="38">
        <v>44.6282</v>
      </c>
      <c r="W217" s="39"/>
      <c r="X217" s="38">
        <v>34.151400000000002</v>
      </c>
      <c r="Y217" s="38">
        <v>34.151400000000002</v>
      </c>
      <c r="Z217" s="38">
        <v>34.151400000000002</v>
      </c>
      <c r="AA217" s="39"/>
      <c r="AB217" s="49">
        <v>1.8280000000000001</v>
      </c>
      <c r="AC217" s="49">
        <v>1.64</v>
      </c>
      <c r="AE217" s="17" t="str">
        <f t="shared" si="78"/>
        <v>·</v>
      </c>
      <c r="AF217" s="18">
        <f t="shared" si="79"/>
        <v>38.803039092913181</v>
      </c>
      <c r="AG217" s="18">
        <f t="shared" si="80"/>
        <v>34.227515873619183</v>
      </c>
      <c r="AH217" s="18">
        <f t="shared" si="81"/>
        <v>4.5744349711734271</v>
      </c>
      <c r="AI217" s="19"/>
      <c r="AJ217" s="18">
        <f t="shared" si="82"/>
        <v>38.803039092913181</v>
      </c>
      <c r="AK217" s="20">
        <v>499886</v>
      </c>
      <c r="AL217" s="21">
        <v>19397096</v>
      </c>
      <c r="AM217" s="21">
        <v>17109856</v>
      </c>
      <c r="AN217" s="21">
        <v>2286696</v>
      </c>
      <c r="AO217" s="37"/>
      <c r="AP217" s="38">
        <v>41.477400000000003</v>
      </c>
      <c r="AQ217" s="38">
        <v>44.3568</v>
      </c>
      <c r="AR217" s="38">
        <v>44.7149</v>
      </c>
      <c r="AS217" s="39"/>
      <c r="AT217" s="38">
        <v>34.151400000000002</v>
      </c>
      <c r="AU217" s="38">
        <v>34.151400000000002</v>
      </c>
      <c r="AV217" s="38">
        <v>34.151400000000002</v>
      </c>
      <c r="AW217" s="39"/>
      <c r="AX217" s="49">
        <v>1.89</v>
      </c>
      <c r="AY217" s="49">
        <v>1.64</v>
      </c>
      <c r="BA217" s="53">
        <f t="shared" si="83"/>
        <v>-3.2959299270505227E-3</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72208</v>
      </c>
      <c r="BZ217">
        <f t="shared" si="86"/>
        <v>0</v>
      </c>
      <c r="CA217">
        <f t="shared" si="87"/>
        <v>72208</v>
      </c>
      <c r="CB217">
        <f t="shared" si="88"/>
        <v>0</v>
      </c>
      <c r="CC217">
        <f t="shared" si="89"/>
        <v>0.11440000000000339</v>
      </c>
      <c r="CD217">
        <f t="shared" si="90"/>
        <v>9.8100000000002296E-2</v>
      </c>
      <c r="CE217">
        <f t="shared" si="91"/>
        <v>8.6700000000000443E-2</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36.890330995466968</v>
      </c>
      <c r="K218" s="23">
        <f t="shared" si="75"/>
        <v>34.227515873619183</v>
      </c>
      <c r="L218" s="23">
        <f t="shared" si="76"/>
        <v>2.66172687372721</v>
      </c>
      <c r="M218" s="24"/>
      <c r="N218" s="23">
        <f t="shared" si="77"/>
        <v>36.890330995466968</v>
      </c>
      <c r="O218" s="25">
        <v>499886</v>
      </c>
      <c r="P218" s="26">
        <v>18440960</v>
      </c>
      <c r="Q218" s="26">
        <v>17109856</v>
      </c>
      <c r="R218" s="26">
        <v>1330560</v>
      </c>
      <c r="S218" s="40"/>
      <c r="T218" s="41">
        <v>35.6492</v>
      </c>
      <c r="U218" s="41">
        <v>39.4208</v>
      </c>
      <c r="V218" s="41">
        <v>39.8581</v>
      </c>
      <c r="W218" s="42"/>
      <c r="X218" s="41">
        <v>28.130800000000001</v>
      </c>
      <c r="Y218" s="41">
        <v>28.130800000000001</v>
      </c>
      <c r="Z218" s="41">
        <v>28.130800000000001</v>
      </c>
      <c r="AA218" s="42"/>
      <c r="AB218" s="50">
        <v>1.8280000000000001</v>
      </c>
      <c r="AC218" s="50">
        <v>1.609</v>
      </c>
      <c r="AE218" s="22" t="str">
        <f t="shared" si="78"/>
        <v>·</v>
      </c>
      <c r="AF218" s="23">
        <f t="shared" si="79"/>
        <v>37.028170422856412</v>
      </c>
      <c r="AG218" s="23">
        <f t="shared" si="80"/>
        <v>34.227515873619183</v>
      </c>
      <c r="AH218" s="23">
        <f t="shared" si="81"/>
        <v>2.7995663011166547</v>
      </c>
      <c r="AI218" s="24"/>
      <c r="AJ218" s="23">
        <f t="shared" si="82"/>
        <v>37.028170422856412</v>
      </c>
      <c r="AK218" s="25">
        <v>499886</v>
      </c>
      <c r="AL218" s="26">
        <v>18509864</v>
      </c>
      <c r="AM218" s="26">
        <v>17109856</v>
      </c>
      <c r="AN218" s="26">
        <v>1399464</v>
      </c>
      <c r="AO218" s="40"/>
      <c r="AP218" s="41">
        <v>35.781700000000001</v>
      </c>
      <c r="AQ218" s="41">
        <v>39.546100000000003</v>
      </c>
      <c r="AR218" s="41">
        <v>39.938600000000001</v>
      </c>
      <c r="AS218" s="42"/>
      <c r="AT218" s="41">
        <v>28.130800000000001</v>
      </c>
      <c r="AU218" s="41">
        <v>28.130800000000001</v>
      </c>
      <c r="AV218" s="41">
        <v>28.130800000000001</v>
      </c>
      <c r="AW218" s="42"/>
      <c r="AX218" s="50">
        <v>1.843</v>
      </c>
      <c r="AY218" s="50">
        <v>1.5780000000000001</v>
      </c>
      <c r="BA218" s="55">
        <f t="shared" si="83"/>
        <v>-3.4538544750298827E-3</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68904</v>
      </c>
      <c r="BZ218">
        <f t="shared" si="86"/>
        <v>0</v>
      </c>
      <c r="CA218">
        <f t="shared" si="87"/>
        <v>68904</v>
      </c>
      <c r="CB218">
        <f t="shared" si="88"/>
        <v>0</v>
      </c>
      <c r="CC218">
        <f t="shared" si="89"/>
        <v>0.13250000000000028</v>
      </c>
      <c r="CD218">
        <f t="shared" si="90"/>
        <v>0.12530000000000285</v>
      </c>
      <c r="CE218">
        <f t="shared" si="91"/>
        <v>8.0500000000000682E-2</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35.511984732519018</v>
      </c>
      <c r="K219" s="28">
        <f t="shared" si="75"/>
        <v>34.227515873619183</v>
      </c>
      <c r="L219" s="28">
        <f t="shared" si="76"/>
        <v>1.2833806107792576</v>
      </c>
      <c r="M219" s="29"/>
      <c r="N219" s="28">
        <f t="shared" si="77"/>
        <v>35.511984732519018</v>
      </c>
      <c r="O219" s="30">
        <v>499886</v>
      </c>
      <c r="P219" s="31">
        <v>17751944</v>
      </c>
      <c r="Q219" s="31">
        <v>17109856</v>
      </c>
      <c r="R219" s="31">
        <v>641544</v>
      </c>
      <c r="S219" s="43"/>
      <c r="T219" s="44">
        <v>29.569900000000001</v>
      </c>
      <c r="U219" s="44">
        <v>34.099499999999999</v>
      </c>
      <c r="V219" s="44">
        <v>34.990099999999998</v>
      </c>
      <c r="W219" s="45"/>
      <c r="X219" s="44">
        <v>21.686399999999999</v>
      </c>
      <c r="Y219" s="44">
        <v>21.686399999999999</v>
      </c>
      <c r="Z219" s="44">
        <v>21.686399999999999</v>
      </c>
      <c r="AA219" s="45"/>
      <c r="AB219" s="51">
        <v>1.89</v>
      </c>
      <c r="AC219" s="51">
        <v>1.609</v>
      </c>
      <c r="AE219" s="27" t="str">
        <f t="shared" si="78"/>
        <v>·</v>
      </c>
      <c r="AF219" s="28">
        <f t="shared" si="79"/>
        <v>35.613175804083333</v>
      </c>
      <c r="AG219" s="28">
        <f t="shared" si="80"/>
        <v>34.227515873619183</v>
      </c>
      <c r="AH219" s="28">
        <f t="shared" si="81"/>
        <v>1.3845716823435743</v>
      </c>
      <c r="AI219" s="29"/>
      <c r="AJ219" s="28">
        <f t="shared" si="82"/>
        <v>35.613175804083333</v>
      </c>
      <c r="AK219" s="30">
        <v>499886</v>
      </c>
      <c r="AL219" s="31">
        <v>17802528</v>
      </c>
      <c r="AM219" s="31">
        <v>17109856</v>
      </c>
      <c r="AN219" s="31">
        <v>692128</v>
      </c>
      <c r="AO219" s="43"/>
      <c r="AP219" s="44">
        <v>29.851299999999998</v>
      </c>
      <c r="AQ219" s="44">
        <v>34.428100000000001</v>
      </c>
      <c r="AR219" s="44">
        <v>35.176900000000003</v>
      </c>
      <c r="AS219" s="45"/>
      <c r="AT219" s="44">
        <v>21.686399999999999</v>
      </c>
      <c r="AU219" s="44">
        <v>21.686399999999999</v>
      </c>
      <c r="AV219" s="44">
        <v>21.686399999999999</v>
      </c>
      <c r="AW219" s="45"/>
      <c r="AX219" s="51">
        <v>1.8280000000000001</v>
      </c>
      <c r="AY219" s="51">
        <v>1.609</v>
      </c>
      <c r="BA219" s="57">
        <f t="shared" si="83"/>
        <v>-2.7386209526737426E-3</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50584</v>
      </c>
      <c r="BZ219">
        <f t="shared" si="86"/>
        <v>0</v>
      </c>
      <c r="CA219">
        <f t="shared" si="87"/>
        <v>50584</v>
      </c>
      <c r="CB219">
        <f t="shared" si="88"/>
        <v>0</v>
      </c>
      <c r="CC219">
        <f t="shared" si="89"/>
        <v>0.28139999999999787</v>
      </c>
      <c r="CD219">
        <f t="shared" si="90"/>
        <v>0.32860000000000156</v>
      </c>
      <c r="CE219">
        <f t="shared" si="91"/>
        <v>0.18680000000000518</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12.399933096210225</v>
      </c>
      <c r="K220" s="23">
        <f t="shared" si="75"/>
        <v>8.3884078225887588</v>
      </c>
      <c r="L220" s="23">
        <f t="shared" si="76"/>
        <v>4.0114429999574055</v>
      </c>
      <c r="M220" s="24"/>
      <c r="N220" s="23">
        <f t="shared" si="77"/>
        <v>12.399933096210225</v>
      </c>
      <c r="O220" s="25">
        <v>63787119</v>
      </c>
      <c r="P220" s="26">
        <v>790956008</v>
      </c>
      <c r="Q220" s="26">
        <v>535072368</v>
      </c>
      <c r="R220" s="26">
        <v>255878392</v>
      </c>
      <c r="S220" s="40"/>
      <c r="T220" s="41">
        <v>52.621000000000002</v>
      </c>
      <c r="U220" s="41">
        <v>56.854300000000002</v>
      </c>
      <c r="V220" s="41">
        <v>56.303600000000003</v>
      </c>
      <c r="W220" s="42"/>
      <c r="X220" s="41">
        <v>48.130800000000001</v>
      </c>
      <c r="Y220" s="41">
        <v>48.130800000000001</v>
      </c>
      <c r="Z220" s="41">
        <v>48.130800000000001</v>
      </c>
      <c r="AA220" s="42"/>
      <c r="AB220" s="50">
        <v>151.18700000000001</v>
      </c>
      <c r="AC220" s="50">
        <v>133.48400000000001</v>
      </c>
      <c r="AE220" s="22" t="str">
        <f t="shared" si="78"/>
        <v>·</v>
      </c>
      <c r="AF220" s="23">
        <f t="shared" si="79"/>
        <v>12.4125471790002</v>
      </c>
      <c r="AG220" s="23">
        <f t="shared" si="80"/>
        <v>8.3884078225887588</v>
      </c>
      <c r="AH220" s="23">
        <f t="shared" si="81"/>
        <v>4.0240570827473805</v>
      </c>
      <c r="AI220" s="24"/>
      <c r="AJ220" s="23">
        <f t="shared" si="82"/>
        <v>12.4125471790002</v>
      </c>
      <c r="AK220" s="25">
        <v>63787119</v>
      </c>
      <c r="AL220" s="26">
        <v>791760624</v>
      </c>
      <c r="AM220" s="26">
        <v>535072368</v>
      </c>
      <c r="AN220" s="26">
        <v>256683008</v>
      </c>
      <c r="AO220" s="40"/>
      <c r="AP220" s="41">
        <v>52.628700000000002</v>
      </c>
      <c r="AQ220" s="41">
        <v>56.8626</v>
      </c>
      <c r="AR220" s="41">
        <v>56.3127</v>
      </c>
      <c r="AS220" s="42"/>
      <c r="AT220" s="41">
        <v>48.130800000000001</v>
      </c>
      <c r="AU220" s="41">
        <v>48.130800000000001</v>
      </c>
      <c r="AV220" s="41">
        <v>48.130800000000001</v>
      </c>
      <c r="AW220" s="42"/>
      <c r="AX220" s="50">
        <v>152.06200000000001</v>
      </c>
      <c r="AY220" s="50">
        <v>134.23400000000001</v>
      </c>
      <c r="BA220" s="55">
        <f t="shared" si="83"/>
        <v>-6.8747191290174925E-4</v>
      </c>
      <c r="BB220" s="55">
        <f t="array" ref="BB220">AVERAGE(AM220:AM224/AL220:AL224)-AVERAGE(Q220:Q224/P220:P224)</f>
        <v>-7.1201778793328341E-4</v>
      </c>
      <c r="BD220" s="56">
        <f>IF(OR(ISBLANK(R220:R224),ISBLANK(AN220:AN224),ISBLANK(T220:T224),ISBLANK(AP220:AP224)),"·",bdRateExtend(R220:R224,T220:T224,AN220:AN224,AP220:AP224))</f>
        <v>2.463694662907745E-3</v>
      </c>
      <c r="BE220" s="56">
        <f>IF(OR(ISBLANK(R220:R224),ISBLANK(AN220:AN224),ISBLANK(U220:U224),ISBLANK(AQ220:AQ224)),"·",bdRateExtend(R220:R224,U220:U224,AN220:AN224,AQ220:AQ224))</f>
        <v>-7.8127642411165432E-3</v>
      </c>
      <c r="BF220" s="56">
        <f>IF(OR(ISBLANK(R220:R224),ISBLANK(AN220:AN224),ISBLANK(V220:V224),ISBLANK(AR220:AR224)),"·",bdRateExtend(R220:R224,V220:V224,AN220:AN224,AR220:AR224))</f>
        <v>1.6809044045009713E-3</v>
      </c>
      <c r="BG220" s="62"/>
      <c r="BI220" s="56">
        <f>IF(OR(ISBLANK(R220:R224),ISBLANK(AN220:AN224),ISBLANK(X220:X224),ISBLANK(AT220:AT224)),"·",bdRateExtend(R220:R224,X220:X224,AN220:AN224,AT220:AT224))</f>
        <v>8.140370467407454E-3</v>
      </c>
      <c r="BJ220" s="56">
        <f>IF(OR(ISBLANK(R220:R224),ISBLANK(AN220:AN224),ISBLANK(Y220:Y224),ISBLANK(AU220:AU224)),"·",bdRateExtend(R220:R224,Y220:Y224,AN220:AN224,AU220:AU224))</f>
        <v>8.140370467407454E-3</v>
      </c>
      <c r="BK220" s="56">
        <f>IF(OR(ISBLANK(R220:R224),ISBLANK(AN220:AN224),ISBLANK(Z220:Z224),ISBLANK(AV220:AV224)),"·",bdRateExtend(R220:R224,Z220:Z224,AN220:AN224,AV220:AV224))</f>
        <v>8.140370467407454E-3</v>
      </c>
      <c r="BL220" s="62"/>
      <c r="BN220" s="56">
        <f>IF(OR(ISBLANK(P220:P224),ISBLANK(AL220:AL224),ISBLANK(T220:T224),ISBLANK(AP220:AP224)),"·",bdRateExtend(P220:P224,T220:T224,AL220:AL224,AP220:AP224))</f>
        <v>6.3240556705279616E-4</v>
      </c>
      <c r="BO220" s="56">
        <f>IF(OR(ISBLANK(P220:P224),ISBLANK(AL220:AL224),ISBLANK(U220:U224),ISBLANK(AQ220:AQ224)),"·",bdRateExtend(P220:P224,U220:U224,AL220:AL224,AQ220:AQ224))</f>
        <v>5.2599879904802194E-5</v>
      </c>
      <c r="BP220" s="56">
        <f>IF(OR(ISBLANK(P220:P224),ISBLANK(AL220:AL224),ISBLANK(V220:V224),ISBLANK(AR220:AR224)),"·",bdRateExtend(P220:P224,V220:V224,AL220:AL224,AR220:AR224))</f>
        <v>3.5566383348739627E-4</v>
      </c>
      <c r="BQ220" s="62"/>
      <c r="BS220" s="56">
        <f>IF(OR(ISBLANK(P220:P224),ISBLANK(AL220:AL224),ISBLANK(X220:X224),ISBLANK(AT220:AT224)),"·",bdRateExtend(P220:P224,X220:X224,AL220:AL224,AT220:AT224))</f>
        <v>9.1616952759498993E-4</v>
      </c>
      <c r="BT220" s="56">
        <f>IF(OR(ISBLANK(P220:P224),ISBLANK(AL220:AL224),ISBLANK(Y220:Y224),ISBLANK(AU220:AU224)),"·",bdRateExtend(P220:P224,Y220:Y224,AL220:AL224,AU220:AU224))</f>
        <v>9.1616952759498993E-4</v>
      </c>
      <c r="BU220" s="56">
        <f>IF(OR(ISBLANK(P220:P224),ISBLANK(AL220:AL224),ISBLANK(Z220:Z224),ISBLANK(AV220:AV224)),"·",bdRateExtend(P220:P224,Z220:Z224,AL220:AL224,AV220:AV224))</f>
        <v>9.1616952759498993E-4</v>
      </c>
      <c r="BV220" s="62"/>
      <c r="BX220">
        <f t="shared" si="84"/>
        <v>0</v>
      </c>
      <c r="BY220">
        <f t="shared" si="85"/>
        <v>804616</v>
      </c>
      <c r="BZ220">
        <f t="shared" si="86"/>
        <v>0</v>
      </c>
      <c r="CA220">
        <f t="shared" si="87"/>
        <v>804616</v>
      </c>
      <c r="CB220">
        <f t="shared" si="88"/>
        <v>0</v>
      </c>
      <c r="CC220">
        <f t="shared" si="89"/>
        <v>7.6999999999998181E-3</v>
      </c>
      <c r="CD220">
        <f t="shared" si="90"/>
        <v>8.2999999999984198E-3</v>
      </c>
      <c r="CE220">
        <f t="shared" si="91"/>
        <v>9.0999999999965553E-3</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11.099398924099393</v>
      </c>
      <c r="K221" s="18">
        <f t="shared" si="75"/>
        <v>8.3884078225887588</v>
      </c>
      <c r="L221" s="18">
        <f t="shared" si="76"/>
        <v>2.7109088278465752</v>
      </c>
      <c r="M221" s="19"/>
      <c r="N221" s="18">
        <f t="shared" si="77"/>
        <v>11.099398924099393</v>
      </c>
      <c r="O221" s="20">
        <v>63787119</v>
      </c>
      <c r="P221" s="21">
        <v>707998680</v>
      </c>
      <c r="Q221" s="21">
        <v>535072368</v>
      </c>
      <c r="R221" s="21">
        <v>172921064</v>
      </c>
      <c r="S221" s="37"/>
      <c r="T221" s="38">
        <v>47.863100000000003</v>
      </c>
      <c r="U221" s="38">
        <v>52.793900000000001</v>
      </c>
      <c r="V221" s="38">
        <v>52.2102</v>
      </c>
      <c r="W221" s="39"/>
      <c r="X221" s="38">
        <v>42.110199999999999</v>
      </c>
      <c r="Y221" s="38">
        <v>42.110199999999999</v>
      </c>
      <c r="Z221" s="38">
        <v>42.110199999999999</v>
      </c>
      <c r="AA221" s="39"/>
      <c r="AB221" s="49">
        <v>150.25</v>
      </c>
      <c r="AC221" s="49">
        <v>132.875</v>
      </c>
      <c r="AE221" s="17" t="str">
        <f t="shared" si="78"/>
        <v>·</v>
      </c>
      <c r="AF221" s="18">
        <f t="shared" si="79"/>
        <v>11.111086801082832</v>
      </c>
      <c r="AG221" s="18">
        <f t="shared" si="80"/>
        <v>8.3884078225887588</v>
      </c>
      <c r="AH221" s="18">
        <f t="shared" si="81"/>
        <v>2.7225967048300141</v>
      </c>
      <c r="AI221" s="19"/>
      <c r="AJ221" s="18">
        <f t="shared" si="82"/>
        <v>11.111086801082832</v>
      </c>
      <c r="AK221" s="20">
        <v>63787119</v>
      </c>
      <c r="AL221" s="21">
        <v>708744216</v>
      </c>
      <c r="AM221" s="21">
        <v>535072368</v>
      </c>
      <c r="AN221" s="21">
        <v>173666600</v>
      </c>
      <c r="AO221" s="37"/>
      <c r="AP221" s="38">
        <v>47.867199999999997</v>
      </c>
      <c r="AQ221" s="38">
        <v>52.802999999999997</v>
      </c>
      <c r="AR221" s="38">
        <v>52.223300000000002</v>
      </c>
      <c r="AS221" s="39"/>
      <c r="AT221" s="38">
        <v>42.110199999999999</v>
      </c>
      <c r="AU221" s="38">
        <v>42.110199999999999</v>
      </c>
      <c r="AV221" s="38">
        <v>42.110199999999999</v>
      </c>
      <c r="AW221" s="39"/>
      <c r="AX221" s="49">
        <v>151.125</v>
      </c>
      <c r="AY221" s="49">
        <v>133.203</v>
      </c>
      <c r="BA221" s="53">
        <f t="shared" si="83"/>
        <v>-7.9498542674671935E-4</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745536</v>
      </c>
      <c r="BZ221">
        <f t="shared" si="86"/>
        <v>0</v>
      </c>
      <c r="CA221">
        <f t="shared" si="87"/>
        <v>745536</v>
      </c>
      <c r="CB221">
        <f t="shared" si="88"/>
        <v>0</v>
      </c>
      <c r="CC221">
        <f t="shared" si="89"/>
        <v>4.0999999999939973E-3</v>
      </c>
      <c r="CD221">
        <f t="shared" si="90"/>
        <v>9.0999999999965553E-3</v>
      </c>
      <c r="CE221">
        <f t="shared" si="91"/>
        <v>1.3100000000001444E-2</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9.7002869811379941</v>
      </c>
      <c r="K222" s="23">
        <f t="shared" si="75"/>
        <v>8.3884078225887588</v>
      </c>
      <c r="L222" s="23">
        <f t="shared" si="76"/>
        <v>1.3117968848851755</v>
      </c>
      <c r="M222" s="24"/>
      <c r="N222" s="23">
        <f t="shared" si="77"/>
        <v>9.7002869811379941</v>
      </c>
      <c r="O222" s="25">
        <v>63787119</v>
      </c>
      <c r="P222" s="26">
        <v>618753360</v>
      </c>
      <c r="Q222" s="26">
        <v>535072368</v>
      </c>
      <c r="R222" s="26">
        <v>83675744</v>
      </c>
      <c r="S222" s="40"/>
      <c r="T222" s="41">
        <v>41.145400000000002</v>
      </c>
      <c r="U222" s="41">
        <v>47.846600000000002</v>
      </c>
      <c r="V222" s="41">
        <v>47.004300000000001</v>
      </c>
      <c r="W222" s="42"/>
      <c r="X222" s="41">
        <v>34.151400000000002</v>
      </c>
      <c r="Y222" s="41">
        <v>34.151400000000002</v>
      </c>
      <c r="Z222" s="41">
        <v>34.151400000000002</v>
      </c>
      <c r="AA222" s="42"/>
      <c r="AB222" s="50">
        <v>149.09299999999999</v>
      </c>
      <c r="AC222" s="50">
        <v>132.078</v>
      </c>
      <c r="AE222" s="22" t="str">
        <f t="shared" si="78"/>
        <v>·</v>
      </c>
      <c r="AF222" s="23">
        <f t="shared" si="79"/>
        <v>9.7103691420833727</v>
      </c>
      <c r="AG222" s="23">
        <f t="shared" si="80"/>
        <v>8.3884078225887588</v>
      </c>
      <c r="AH222" s="23">
        <f t="shared" si="81"/>
        <v>1.321879045830554</v>
      </c>
      <c r="AI222" s="24"/>
      <c r="AJ222" s="23">
        <f t="shared" si="82"/>
        <v>9.7103691420833727</v>
      </c>
      <c r="AK222" s="25">
        <v>63787119</v>
      </c>
      <c r="AL222" s="26">
        <v>619396472</v>
      </c>
      <c r="AM222" s="26">
        <v>535072368</v>
      </c>
      <c r="AN222" s="26">
        <v>84318856</v>
      </c>
      <c r="AO222" s="40"/>
      <c r="AP222" s="41">
        <v>41.1571</v>
      </c>
      <c r="AQ222" s="41">
        <v>47.8626</v>
      </c>
      <c r="AR222" s="41">
        <v>47.028500000000001</v>
      </c>
      <c r="AS222" s="42"/>
      <c r="AT222" s="41">
        <v>34.151400000000002</v>
      </c>
      <c r="AU222" s="41">
        <v>34.151400000000002</v>
      </c>
      <c r="AV222" s="41">
        <v>34.151400000000002</v>
      </c>
      <c r="AW222" s="42"/>
      <c r="AX222" s="50">
        <v>150.13999999999999</v>
      </c>
      <c r="AY222" s="50">
        <v>132.29599999999999</v>
      </c>
      <c r="BA222" s="55">
        <f t="shared" si="83"/>
        <v>-8.9786871521124745E-4</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643112</v>
      </c>
      <c r="BZ222">
        <f t="shared" si="86"/>
        <v>0</v>
      </c>
      <c r="CA222">
        <f t="shared" si="87"/>
        <v>643112</v>
      </c>
      <c r="CB222">
        <f t="shared" si="88"/>
        <v>0</v>
      </c>
      <c r="CC222">
        <f t="shared" si="89"/>
        <v>1.1699999999997601E-2</v>
      </c>
      <c r="CD222">
        <f t="shared" si="90"/>
        <v>1.5999999999998238E-2</v>
      </c>
      <c r="CE222">
        <f t="shared" si="91"/>
        <v>2.4200000000000443E-2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9.0113392329256943</v>
      </c>
      <c r="K223" s="18">
        <f t="shared" si="75"/>
        <v>8.3884078225887588</v>
      </c>
      <c r="L223" s="18">
        <f t="shared" si="76"/>
        <v>0.62284913667287589</v>
      </c>
      <c r="M223" s="19"/>
      <c r="N223" s="18">
        <f t="shared" si="77"/>
        <v>9.0113392329256943</v>
      </c>
      <c r="O223" s="20">
        <v>63787119</v>
      </c>
      <c r="P223" s="21">
        <v>574807368</v>
      </c>
      <c r="Q223" s="21">
        <v>535072368</v>
      </c>
      <c r="R223" s="21">
        <v>39729752</v>
      </c>
      <c r="S223" s="37"/>
      <c r="T223" s="38">
        <v>35.889000000000003</v>
      </c>
      <c r="U223" s="38">
        <v>43.092799999999997</v>
      </c>
      <c r="V223" s="38">
        <v>42.116900000000001</v>
      </c>
      <c r="W223" s="39"/>
      <c r="X223" s="38">
        <v>28.130800000000001</v>
      </c>
      <c r="Y223" s="38">
        <v>28.130800000000001</v>
      </c>
      <c r="Z223" s="38">
        <v>28.130800000000001</v>
      </c>
      <c r="AA223" s="39"/>
      <c r="AB223" s="49">
        <v>148.18700000000001</v>
      </c>
      <c r="AC223" s="49">
        <v>131.29599999999999</v>
      </c>
      <c r="AE223" s="17" t="str">
        <f t="shared" si="78"/>
        <v>·</v>
      </c>
      <c r="AF223" s="18">
        <f t="shared" si="79"/>
        <v>9.0182102126292936</v>
      </c>
      <c r="AG223" s="18">
        <f t="shared" si="80"/>
        <v>8.3884078225887588</v>
      </c>
      <c r="AH223" s="18">
        <f t="shared" si="81"/>
        <v>0.62972011637647407</v>
      </c>
      <c r="AI223" s="19"/>
      <c r="AJ223" s="18">
        <f t="shared" si="82"/>
        <v>9.0182102126292936</v>
      </c>
      <c r="AK223" s="20">
        <v>63787119</v>
      </c>
      <c r="AL223" s="21">
        <v>575245648</v>
      </c>
      <c r="AM223" s="21">
        <v>535072368</v>
      </c>
      <c r="AN223" s="21">
        <v>40168032</v>
      </c>
      <c r="AO223" s="37"/>
      <c r="AP223" s="38">
        <v>35.9131</v>
      </c>
      <c r="AQ223" s="38">
        <v>43.214500000000001</v>
      </c>
      <c r="AR223" s="38">
        <v>42.188099999999999</v>
      </c>
      <c r="AS223" s="39"/>
      <c r="AT223" s="38">
        <v>28.130800000000001</v>
      </c>
      <c r="AU223" s="38">
        <v>28.130800000000001</v>
      </c>
      <c r="AV223" s="38">
        <v>28.130800000000001</v>
      </c>
      <c r="AW223" s="39"/>
      <c r="AX223" s="49">
        <v>149.06200000000001</v>
      </c>
      <c r="AY223" s="49">
        <v>131.46799999999999</v>
      </c>
      <c r="BA223" s="53">
        <f t="shared" si="83"/>
        <v>-7.0923230435770979E-4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438280</v>
      </c>
      <c r="BZ223">
        <f t="shared" si="86"/>
        <v>0</v>
      </c>
      <c r="CA223">
        <f t="shared" si="87"/>
        <v>438280</v>
      </c>
      <c r="CB223">
        <f t="shared" si="88"/>
        <v>0</v>
      </c>
      <c r="CC223">
        <f t="shared" si="89"/>
        <v>2.4099999999997124E-2</v>
      </c>
      <c r="CD223">
        <f t="shared" si="90"/>
        <v>0.12170000000000414</v>
      </c>
      <c r="CE223">
        <f t="shared" si="91"/>
        <v>7.1199999999997488E-2</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8.6204155418902051</v>
      </c>
      <c r="K224" s="33">
        <f t="shared" si="75"/>
        <v>8.3884078225887588</v>
      </c>
      <c r="L224" s="33">
        <f t="shared" si="76"/>
        <v>0.23192544563738646</v>
      </c>
      <c r="M224" s="34"/>
      <c r="N224" s="33">
        <f t="shared" si="77"/>
        <v>8.6204155418902051</v>
      </c>
      <c r="O224" s="35">
        <v>63787119</v>
      </c>
      <c r="P224" s="36">
        <v>549871472</v>
      </c>
      <c r="Q224" s="36">
        <v>535072368</v>
      </c>
      <c r="R224" s="36">
        <v>14793856</v>
      </c>
      <c r="S224" s="46"/>
      <c r="T224" s="47">
        <v>29.887799999999999</v>
      </c>
      <c r="U224" s="47">
        <v>36.970300000000002</v>
      </c>
      <c r="V224" s="47">
        <v>35.971499999999999</v>
      </c>
      <c r="W224" s="48"/>
      <c r="X224" s="47">
        <v>21.686399999999999</v>
      </c>
      <c r="Y224" s="47">
        <v>21.686399999999999</v>
      </c>
      <c r="Z224" s="47">
        <v>21.686399999999999</v>
      </c>
      <c r="AA224" s="48"/>
      <c r="AB224" s="52">
        <v>147.79599999999999</v>
      </c>
      <c r="AC224" s="52">
        <v>130.75</v>
      </c>
      <c r="AE224" s="32" t="str">
        <f t="shared" si="78"/>
        <v>·</v>
      </c>
      <c r="AF224" s="33">
        <f t="shared" si="79"/>
        <v>8.6245859136544478</v>
      </c>
      <c r="AG224" s="33">
        <f t="shared" si="80"/>
        <v>8.3884078225887588</v>
      </c>
      <c r="AH224" s="33">
        <f t="shared" si="81"/>
        <v>0.23609581740162933</v>
      </c>
      <c r="AI224" s="34"/>
      <c r="AJ224" s="33">
        <f t="shared" si="82"/>
        <v>8.6245859136544478</v>
      </c>
      <c r="AK224" s="35">
        <v>63787119</v>
      </c>
      <c r="AL224" s="36">
        <v>550137488</v>
      </c>
      <c r="AM224" s="36">
        <v>535072368</v>
      </c>
      <c r="AN224" s="36">
        <v>15059872</v>
      </c>
      <c r="AO224" s="46"/>
      <c r="AP224" s="47">
        <v>30.135100000000001</v>
      </c>
      <c r="AQ224" s="47">
        <v>37.471699999999998</v>
      </c>
      <c r="AR224" s="47">
        <v>36.0824</v>
      </c>
      <c r="AS224" s="48"/>
      <c r="AT224" s="47">
        <v>21.686399999999999</v>
      </c>
      <c r="AU224" s="47">
        <v>21.686399999999999</v>
      </c>
      <c r="AV224" s="47">
        <v>21.686399999999999</v>
      </c>
      <c r="AW224" s="48"/>
      <c r="AX224" s="52">
        <v>148.60900000000001</v>
      </c>
      <c r="AY224" s="52">
        <v>131.26499999999999</v>
      </c>
      <c r="BA224" s="59">
        <f t="shared" si="83"/>
        <v>-4.705305804494353E-4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266016</v>
      </c>
      <c r="BZ224">
        <f t="shared" si="86"/>
        <v>0</v>
      </c>
      <c r="CA224">
        <f t="shared" si="87"/>
        <v>266016</v>
      </c>
      <c r="CB224">
        <f t="shared" si="88"/>
        <v>0</v>
      </c>
      <c r="CC224">
        <f t="shared" si="89"/>
        <v>0.24730000000000274</v>
      </c>
      <c r="CD224">
        <f t="shared" si="90"/>
        <v>0.50139999999999674</v>
      </c>
      <c r="CE224">
        <f t="shared" si="91"/>
        <v>0.11090000000000089</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27.348085147773713</v>
      </c>
      <c r="K225" s="18">
        <f t="shared" si="75"/>
        <v>23.377496539908524</v>
      </c>
      <c r="L225" s="18">
        <f t="shared" si="76"/>
        <v>3.9705061835390261</v>
      </c>
      <c r="M225" s="19"/>
      <c r="N225" s="18">
        <f t="shared" si="77"/>
        <v>27.348085147773713</v>
      </c>
      <c r="O225" s="20">
        <v>63864641</v>
      </c>
      <c r="P225" s="21">
        <v>1746575640</v>
      </c>
      <c r="Q225" s="21">
        <v>1492995424</v>
      </c>
      <c r="R225" s="21">
        <v>253574952</v>
      </c>
      <c r="S225" s="37"/>
      <c r="T225" s="38">
        <v>52.621699999999997</v>
      </c>
      <c r="U225" s="38">
        <v>56.857799999999997</v>
      </c>
      <c r="V225" s="38">
        <v>56.305999999999997</v>
      </c>
      <c r="W225" s="39"/>
      <c r="X225" s="38">
        <v>48.130800000000001</v>
      </c>
      <c r="Y225" s="38">
        <v>48.130800000000001</v>
      </c>
      <c r="Z225" s="38">
        <v>48.130800000000001</v>
      </c>
      <c r="AA225" s="39"/>
      <c r="AB225" s="49">
        <v>234.76499999999999</v>
      </c>
      <c r="AC225" s="49">
        <v>206.96799999999999</v>
      </c>
      <c r="AE225" s="17" t="str">
        <f t="shared" si="78"/>
        <v>·</v>
      </c>
      <c r="AF225" s="18">
        <f t="shared" si="79"/>
        <v>27.360519696650297</v>
      </c>
      <c r="AG225" s="18">
        <f t="shared" si="80"/>
        <v>23.377496539908524</v>
      </c>
      <c r="AH225" s="18">
        <f t="shared" si="81"/>
        <v>3.9829407324156101</v>
      </c>
      <c r="AI225" s="19"/>
      <c r="AJ225" s="18">
        <f t="shared" si="82"/>
        <v>27.360519696650297</v>
      </c>
      <c r="AK225" s="20">
        <v>63864641</v>
      </c>
      <c r="AL225" s="21">
        <v>1747369768</v>
      </c>
      <c r="AM225" s="21">
        <v>1492995424</v>
      </c>
      <c r="AN225" s="21">
        <v>254369080</v>
      </c>
      <c r="AO225" s="37"/>
      <c r="AP225" s="38">
        <v>52.629300000000001</v>
      </c>
      <c r="AQ225" s="38">
        <v>56.864400000000003</v>
      </c>
      <c r="AR225" s="38">
        <v>56.313800000000001</v>
      </c>
      <c r="AS225" s="39"/>
      <c r="AT225" s="38">
        <v>48.130800000000001</v>
      </c>
      <c r="AU225" s="38">
        <v>48.130800000000001</v>
      </c>
      <c r="AV225" s="38">
        <v>48.130800000000001</v>
      </c>
      <c r="AW225" s="39"/>
      <c r="AX225" s="49">
        <v>235.06200000000001</v>
      </c>
      <c r="AY225" s="49">
        <v>208.71799999999999</v>
      </c>
      <c r="BA225" s="53">
        <f t="shared" si="83"/>
        <v>-3.8848724952078584E-4</v>
      </c>
      <c r="BB225" s="53">
        <f t="array" ref="BB225">AVERAGE(AM225:AM229/AL225:AL229)-AVERAGE(Q225:Q229/P225:P229)</f>
        <v>-3.2177532567134737E-4</v>
      </c>
      <c r="BD225" s="54">
        <f>IF(OR(ISBLANK(R225:R229),ISBLANK(AN225:AN229),ISBLANK(T225:T229),ISBLANK(AP225:AP229)),"·",bdRateExtend(R225:R229,T225:T229,AN225:AN229,AP225:AP229))</f>
        <v>3.6051649599146973E-3</v>
      </c>
      <c r="BE225" s="54">
        <f>IF(OR(ISBLANK(R225:R229),ISBLANK(AN225:AN229),ISBLANK(U225:U229),ISBLANK(AQ225:AQ229)),"·",bdRateExtend(R225:R229,U225:U229,AN225:AN229,AQ225:AQ229))</f>
        <v>-4.5130996662763323E-3</v>
      </c>
      <c r="BF225" s="54">
        <f>IF(OR(ISBLANK(R225:R229),ISBLANK(AN225:AN229),ISBLANK(V225:V229),ISBLANK(AR225:AR229)),"·",bdRateExtend(R225:R229,V225:V229,AN225:AN229,AR225:AR229))</f>
        <v>-5.8595450704079788E-4</v>
      </c>
      <c r="BG225" s="61"/>
      <c r="BI225" s="54">
        <f>IF(OR(ISBLANK(R225:R229),ISBLANK(AN225:AN229),ISBLANK(X225:X229),ISBLANK(AT225:AT229)),"·",bdRateExtend(R225:R229,X225:X229,AN225:AN229,AT225:AT229))</f>
        <v>8.0888091900424008E-3</v>
      </c>
      <c r="BJ225" s="54">
        <f>IF(OR(ISBLANK(R225:R229),ISBLANK(AN225:AN229),ISBLANK(Y225:Y229),ISBLANK(AU225:AU229)),"·",bdRateExtend(R225:R229,Y225:Y229,AN225:AN229,AU225:AU229))</f>
        <v>8.0888091900424008E-3</v>
      </c>
      <c r="BK225" s="54">
        <f>IF(OR(ISBLANK(R225:R229),ISBLANK(AN225:AN229),ISBLANK(Z225:Z229),ISBLANK(AV225:AV229)),"·",bdRateExtend(R225:R229,Z225:Z229,AN225:AN229,AV225:AV229))</f>
        <v>8.0888091900424008E-3</v>
      </c>
      <c r="BL225" s="61"/>
      <c r="BN225" s="54">
        <f>IF(OR(ISBLANK(P225:P229),ISBLANK(AL225:AL229),ISBLANK(T225:T229),ISBLANK(AP225:AP229)),"·",bdRateExtend(P225:P229,T225:T229,AL225:AL229,AP225:AP229))</f>
        <v>2.6739482010640359E-4</v>
      </c>
      <c r="BO225" s="54">
        <f>IF(OR(ISBLANK(P225:P229),ISBLANK(AL225:AL229),ISBLANK(U225:U229),ISBLANK(AQ225:AQ229)),"·",bdRateExtend(P225:P229,U225:U229,AL225:AL229,AQ225:AQ229))</f>
        <v>6.8458975986507298E-5</v>
      </c>
      <c r="BP225" s="54">
        <f>IF(OR(ISBLANK(P225:P229),ISBLANK(AL225:AL229),ISBLANK(V225:V229),ISBLANK(AR225:AR229)),"·",bdRateExtend(P225:P229,V225:V229,AL225:AL229,AR225:AR229))</f>
        <v>1.4256479204344252E-4</v>
      </c>
      <c r="BQ225" s="61"/>
      <c r="BS225" s="54">
        <f>IF(OR(ISBLANK(P225:P229),ISBLANK(AL225:AL229),ISBLANK(X225:X229),ISBLANK(AT225:AT229)),"·",bdRateExtend(P225:P229,X225:X229,AL225:AL229,AT225:AT229))</f>
        <v>3.6286373260074889E-4</v>
      </c>
      <c r="BT225" s="54">
        <f>IF(OR(ISBLANK(P225:P229),ISBLANK(AL225:AL229),ISBLANK(Y225:Y229),ISBLANK(AU225:AU229)),"·",bdRateExtend(P225:P229,Y225:Y229,AL225:AL229,AU225:AU229))</f>
        <v>3.6286373260074889E-4</v>
      </c>
      <c r="BU225" s="54">
        <f>IF(OR(ISBLANK(P225:P229),ISBLANK(AL225:AL229),ISBLANK(Z225:Z229),ISBLANK(AV225:AV229)),"·",bdRateExtend(P225:P229,Z225:Z229,AL225:AL229,AV225:AV229))</f>
        <v>3.6286373260074889E-4</v>
      </c>
      <c r="BV225" s="61"/>
      <c r="BX225">
        <f t="shared" si="84"/>
        <v>0</v>
      </c>
      <c r="BY225">
        <f t="shared" si="85"/>
        <v>794128</v>
      </c>
      <c r="BZ225">
        <f t="shared" si="86"/>
        <v>0</v>
      </c>
      <c r="CA225">
        <f t="shared" si="87"/>
        <v>794128</v>
      </c>
      <c r="CB225">
        <f t="shared" si="88"/>
        <v>0</v>
      </c>
      <c r="CC225">
        <f t="shared" si="89"/>
        <v>7.6000000000036039E-3</v>
      </c>
      <c r="CD225">
        <f t="shared" si="90"/>
        <v>6.6000000000059345E-3</v>
      </c>
      <c r="CE225">
        <f t="shared" si="91"/>
        <v>7.8000000000031378E-3</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26.05124823296196</v>
      </c>
      <c r="K226" s="23">
        <f t="shared" si="75"/>
        <v>23.377496539908524</v>
      </c>
      <c r="L226" s="23">
        <f t="shared" si="76"/>
        <v>2.6736692687272758</v>
      </c>
      <c r="M226" s="24"/>
      <c r="N226" s="23">
        <f t="shared" si="77"/>
        <v>26.05124823296196</v>
      </c>
      <c r="O226" s="25">
        <v>63864641</v>
      </c>
      <c r="P226" s="26">
        <v>1663753616</v>
      </c>
      <c r="Q226" s="26">
        <v>1492995424</v>
      </c>
      <c r="R226" s="26">
        <v>170752928</v>
      </c>
      <c r="S226" s="40"/>
      <c r="T226" s="41">
        <v>47.855899999999998</v>
      </c>
      <c r="U226" s="41">
        <v>52.8354</v>
      </c>
      <c r="V226" s="41">
        <v>52.244900000000001</v>
      </c>
      <c r="W226" s="42"/>
      <c r="X226" s="41">
        <v>42.110199999999999</v>
      </c>
      <c r="Y226" s="41">
        <v>42.110199999999999</v>
      </c>
      <c r="Z226" s="41">
        <v>42.110199999999999</v>
      </c>
      <c r="AA226" s="42"/>
      <c r="AB226" s="50">
        <v>233.54599999999999</v>
      </c>
      <c r="AC226" s="50">
        <v>206.48400000000001</v>
      </c>
      <c r="AE226" s="22" t="str">
        <f t="shared" si="78"/>
        <v>·</v>
      </c>
      <c r="AF226" s="23">
        <f t="shared" si="79"/>
        <v>26.062381279180759</v>
      </c>
      <c r="AG226" s="23">
        <f t="shared" si="80"/>
        <v>23.377496539908524</v>
      </c>
      <c r="AH226" s="23">
        <f t="shared" si="81"/>
        <v>2.6848023149460749</v>
      </c>
      <c r="AI226" s="24"/>
      <c r="AJ226" s="23">
        <f t="shared" si="82"/>
        <v>26.062381279180759</v>
      </c>
      <c r="AK226" s="25">
        <v>63864641</v>
      </c>
      <c r="AL226" s="26">
        <v>1664464624</v>
      </c>
      <c r="AM226" s="26">
        <v>1492995424</v>
      </c>
      <c r="AN226" s="26">
        <v>171463936</v>
      </c>
      <c r="AO226" s="40"/>
      <c r="AP226" s="41">
        <v>47.8611</v>
      </c>
      <c r="AQ226" s="41">
        <v>52.847900000000003</v>
      </c>
      <c r="AR226" s="41">
        <v>52.256500000000003</v>
      </c>
      <c r="AS226" s="42"/>
      <c r="AT226" s="41">
        <v>42.110199999999999</v>
      </c>
      <c r="AU226" s="41">
        <v>42.110199999999999</v>
      </c>
      <c r="AV226" s="41">
        <v>42.110199999999999</v>
      </c>
      <c r="AW226" s="42"/>
      <c r="AX226" s="50">
        <v>234.28100000000001</v>
      </c>
      <c r="AY226" s="50">
        <v>208.10900000000001</v>
      </c>
      <c r="BA226" s="55">
        <f t="shared" si="83"/>
        <v>-3.8332697529874782E-4</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711008</v>
      </c>
      <c r="BZ226">
        <f t="shared" si="86"/>
        <v>0</v>
      </c>
      <c r="CA226">
        <f t="shared" si="87"/>
        <v>711008</v>
      </c>
      <c r="CB226">
        <f t="shared" si="88"/>
        <v>0</v>
      </c>
      <c r="CC226">
        <f t="shared" si="89"/>
        <v>5.2000000000020918E-3</v>
      </c>
      <c r="CD226">
        <f t="shared" si="90"/>
        <v>1.2500000000002842E-2</v>
      </c>
      <c r="CE226">
        <f t="shared" si="91"/>
        <v>1.1600000000001387E-2</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24.670588659536971</v>
      </c>
      <c r="K227" s="18">
        <f t="shared" si="75"/>
        <v>23.377496539908524</v>
      </c>
      <c r="L227" s="18">
        <f t="shared" si="76"/>
        <v>1.2930096953022878</v>
      </c>
      <c r="M227" s="19"/>
      <c r="N227" s="18">
        <f t="shared" si="77"/>
        <v>24.670588659536971</v>
      </c>
      <c r="O227" s="20">
        <v>63864641</v>
      </c>
      <c r="P227" s="21">
        <v>1575578288</v>
      </c>
      <c r="Q227" s="21">
        <v>1492995424</v>
      </c>
      <c r="R227" s="21">
        <v>82577600</v>
      </c>
      <c r="S227" s="37"/>
      <c r="T227" s="38">
        <v>41.1374</v>
      </c>
      <c r="U227" s="38">
        <v>47.9056</v>
      </c>
      <c r="V227" s="38">
        <v>47.0289</v>
      </c>
      <c r="W227" s="39"/>
      <c r="X227" s="38">
        <v>34.151400000000002</v>
      </c>
      <c r="Y227" s="38">
        <v>34.151400000000002</v>
      </c>
      <c r="Z227" s="38">
        <v>34.151400000000002</v>
      </c>
      <c r="AA227" s="39"/>
      <c r="AB227" s="49">
        <v>233.46799999999999</v>
      </c>
      <c r="AC227" s="49">
        <v>205.28100000000001</v>
      </c>
      <c r="AE227" s="17" t="str">
        <f t="shared" si="78"/>
        <v>·</v>
      </c>
      <c r="AF227" s="18">
        <f t="shared" si="79"/>
        <v>24.68095520962844</v>
      </c>
      <c r="AG227" s="18">
        <f t="shared" si="80"/>
        <v>23.377496539908524</v>
      </c>
      <c r="AH227" s="18">
        <f t="shared" si="81"/>
        <v>1.3033762453937539</v>
      </c>
      <c r="AI227" s="19"/>
      <c r="AJ227" s="18">
        <f t="shared" si="82"/>
        <v>24.68095520962844</v>
      </c>
      <c r="AK227" s="20">
        <v>63864641</v>
      </c>
      <c r="AL227" s="21">
        <v>1576240344</v>
      </c>
      <c r="AM227" s="21">
        <v>1492995424</v>
      </c>
      <c r="AN227" s="21">
        <v>83239656</v>
      </c>
      <c r="AO227" s="37"/>
      <c r="AP227" s="38">
        <v>41.148899999999998</v>
      </c>
      <c r="AQ227" s="38">
        <v>47.9071</v>
      </c>
      <c r="AR227" s="38">
        <v>47.043399999999998</v>
      </c>
      <c r="AS227" s="39"/>
      <c r="AT227" s="38">
        <v>34.151400000000002</v>
      </c>
      <c r="AU227" s="38">
        <v>34.151400000000002</v>
      </c>
      <c r="AV227" s="38">
        <v>34.151400000000002</v>
      </c>
      <c r="AW227" s="39"/>
      <c r="AX227" s="49">
        <v>232.828</v>
      </c>
      <c r="AY227" s="49">
        <v>206.92099999999999</v>
      </c>
      <c r="BA227" s="53">
        <f t="shared" si="83"/>
        <v>-3.9800706001891228E-4</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662056</v>
      </c>
      <c r="BZ227">
        <f t="shared" si="86"/>
        <v>0</v>
      </c>
      <c r="CA227">
        <f t="shared" si="87"/>
        <v>662056</v>
      </c>
      <c r="CB227">
        <f t="shared" si="88"/>
        <v>0</v>
      </c>
      <c r="CC227">
        <f t="shared" si="89"/>
        <v>1.1499999999998067E-2</v>
      </c>
      <c r="CD227">
        <f t="shared" si="90"/>
        <v>1.5000000000000568E-3</v>
      </c>
      <c r="CE227">
        <f t="shared" si="91"/>
        <v>1.4499999999998181E-2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23.990915787031511</v>
      </c>
      <c r="K228" s="23">
        <f t="shared" si="75"/>
        <v>23.377496539908524</v>
      </c>
      <c r="L228" s="23">
        <f t="shared" si="76"/>
        <v>0.61333682279682744</v>
      </c>
      <c r="M228" s="24"/>
      <c r="N228" s="23">
        <f t="shared" si="77"/>
        <v>23.990915787031511</v>
      </c>
      <c r="O228" s="25">
        <v>63864641</v>
      </c>
      <c r="P228" s="26">
        <v>1532171224</v>
      </c>
      <c r="Q228" s="26">
        <v>1492995424</v>
      </c>
      <c r="R228" s="26">
        <v>39170536</v>
      </c>
      <c r="S228" s="40"/>
      <c r="T228" s="41">
        <v>35.883099999999999</v>
      </c>
      <c r="U228" s="41">
        <v>43.134099999999997</v>
      </c>
      <c r="V228" s="41">
        <v>42.111699999999999</v>
      </c>
      <c r="W228" s="42"/>
      <c r="X228" s="41">
        <v>28.130800000000001</v>
      </c>
      <c r="Y228" s="41">
        <v>28.130800000000001</v>
      </c>
      <c r="Z228" s="41">
        <v>28.130800000000001</v>
      </c>
      <c r="AA228" s="42"/>
      <c r="AB228" s="50">
        <v>232.21799999999999</v>
      </c>
      <c r="AC228" s="50">
        <v>204.953</v>
      </c>
      <c r="AE228" s="22" t="str">
        <f t="shared" si="78"/>
        <v>·</v>
      </c>
      <c r="AF228" s="23">
        <f t="shared" si="79"/>
        <v>23.997431818335908</v>
      </c>
      <c r="AG228" s="23">
        <f t="shared" si="80"/>
        <v>23.377496539908524</v>
      </c>
      <c r="AH228" s="23">
        <f t="shared" si="81"/>
        <v>0.61985285410122326</v>
      </c>
      <c r="AI228" s="24"/>
      <c r="AJ228" s="23">
        <f t="shared" si="82"/>
        <v>23.997431818335908</v>
      </c>
      <c r="AK228" s="25">
        <v>63864641</v>
      </c>
      <c r="AL228" s="26">
        <v>1532587368</v>
      </c>
      <c r="AM228" s="26">
        <v>1492995424</v>
      </c>
      <c r="AN228" s="26">
        <v>39586680</v>
      </c>
      <c r="AO228" s="40"/>
      <c r="AP228" s="41">
        <v>35.902700000000003</v>
      </c>
      <c r="AQ228" s="41">
        <v>43.271000000000001</v>
      </c>
      <c r="AR228" s="41">
        <v>42.186799999999998</v>
      </c>
      <c r="AS228" s="42"/>
      <c r="AT228" s="41">
        <v>28.130800000000001</v>
      </c>
      <c r="AU228" s="41">
        <v>28.130800000000001</v>
      </c>
      <c r="AV228" s="41">
        <v>28.130800000000001</v>
      </c>
      <c r="AW228" s="42"/>
      <c r="AX228" s="50">
        <v>234.64</v>
      </c>
      <c r="AY228" s="50">
        <v>207.5</v>
      </c>
      <c r="BA228" s="55">
        <f t="shared" si="83"/>
        <v>-2.6458765106429638E-4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416144</v>
      </c>
      <c r="BZ228">
        <f t="shared" si="86"/>
        <v>0</v>
      </c>
      <c r="CA228">
        <f t="shared" si="87"/>
        <v>416144</v>
      </c>
      <c r="CB228">
        <f t="shared" si="88"/>
        <v>0</v>
      </c>
      <c r="CC228">
        <f t="shared" si="89"/>
        <v>1.9600000000004059E-2</v>
      </c>
      <c r="CD228">
        <f t="shared" si="90"/>
        <v>0.13690000000000424</v>
      </c>
      <c r="CE228">
        <f t="shared" si="91"/>
        <v>7.5099999999999056E-2</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23.605499387368358</v>
      </c>
      <c r="K229" s="28">
        <f t="shared" si="75"/>
        <v>23.377496539908524</v>
      </c>
      <c r="L229" s="28">
        <f t="shared" si="76"/>
        <v>0.22792042313367111</v>
      </c>
      <c r="M229" s="29"/>
      <c r="N229" s="28">
        <f t="shared" si="77"/>
        <v>23.605499387368358</v>
      </c>
      <c r="O229" s="30">
        <v>63864641</v>
      </c>
      <c r="P229" s="31">
        <v>1507556744</v>
      </c>
      <c r="Q229" s="31">
        <v>1492995424</v>
      </c>
      <c r="R229" s="31">
        <v>14556056</v>
      </c>
      <c r="S229" s="43"/>
      <c r="T229" s="44">
        <v>29.953199999999999</v>
      </c>
      <c r="U229" s="44">
        <v>37.2273</v>
      </c>
      <c r="V229" s="44">
        <v>35.847499999999997</v>
      </c>
      <c r="W229" s="45"/>
      <c r="X229" s="44">
        <v>21.686399999999999</v>
      </c>
      <c r="Y229" s="44">
        <v>21.686399999999999</v>
      </c>
      <c r="Z229" s="44">
        <v>21.686399999999999</v>
      </c>
      <c r="AA229" s="45"/>
      <c r="AB229" s="51">
        <v>232.53100000000001</v>
      </c>
      <c r="AC229" s="51">
        <v>205.01499999999999</v>
      </c>
      <c r="AE229" s="27" t="str">
        <f t="shared" si="78"/>
        <v>·</v>
      </c>
      <c r="AF229" s="28">
        <f t="shared" si="79"/>
        <v>23.6096586842162</v>
      </c>
      <c r="AG229" s="28">
        <f t="shared" si="80"/>
        <v>23.377496539908524</v>
      </c>
      <c r="AH229" s="28">
        <f t="shared" si="81"/>
        <v>0.23207971998151528</v>
      </c>
      <c r="AI229" s="29"/>
      <c r="AJ229" s="28">
        <f t="shared" si="82"/>
        <v>23.6096586842162</v>
      </c>
      <c r="AK229" s="30">
        <v>63864641</v>
      </c>
      <c r="AL229" s="31">
        <v>1507822376</v>
      </c>
      <c r="AM229" s="31">
        <v>1492995424</v>
      </c>
      <c r="AN229" s="31">
        <v>14821688</v>
      </c>
      <c r="AO229" s="43"/>
      <c r="AP229" s="44">
        <v>30.1374</v>
      </c>
      <c r="AQ229" s="44">
        <v>37.5017</v>
      </c>
      <c r="AR229" s="44">
        <v>36.0901</v>
      </c>
      <c r="AS229" s="45"/>
      <c r="AT229" s="44">
        <v>21.686399999999999</v>
      </c>
      <c r="AU229" s="44">
        <v>21.686399999999999</v>
      </c>
      <c r="AV229" s="44">
        <v>21.686399999999999</v>
      </c>
      <c r="AW229" s="45"/>
      <c r="AX229" s="51">
        <v>232.79599999999999</v>
      </c>
      <c r="AY229" s="51">
        <v>206.54599999999999</v>
      </c>
      <c r="BA229" s="57">
        <f t="shared" si="83"/>
        <v>-1.7446769245332838E-4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265632</v>
      </c>
      <c r="BZ229">
        <f t="shared" si="86"/>
        <v>0</v>
      </c>
      <c r="CA229">
        <f t="shared" si="87"/>
        <v>265632</v>
      </c>
      <c r="CB229">
        <f t="shared" si="88"/>
        <v>0</v>
      </c>
      <c r="CC229">
        <f t="shared" si="89"/>
        <v>0.18420000000000059</v>
      </c>
      <c r="CD229">
        <f t="shared" si="90"/>
        <v>0.27439999999999998</v>
      </c>
      <c r="CE229">
        <f t="shared" si="91"/>
        <v>0.24260000000000304</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35.383989477562579</v>
      </c>
      <c r="K230" s="23">
        <f t="shared" si="75"/>
        <v>30.838964413784552</v>
      </c>
      <c r="L230" s="23">
        <f t="shared" si="76"/>
        <v>4.5447131101031495</v>
      </c>
      <c r="M230" s="24"/>
      <c r="N230" s="23">
        <f t="shared" si="77"/>
        <v>35.383989477562579</v>
      </c>
      <c r="O230" s="25">
        <v>2000297</v>
      </c>
      <c r="P230" s="26">
        <v>70778488</v>
      </c>
      <c r="Q230" s="26">
        <v>61687088</v>
      </c>
      <c r="R230" s="26">
        <v>9090776</v>
      </c>
      <c r="S230" s="40"/>
      <c r="T230" s="41">
        <v>53.4283</v>
      </c>
      <c r="U230" s="41">
        <v>56.1252</v>
      </c>
      <c r="V230" s="41">
        <v>55.189799999999998</v>
      </c>
      <c r="W230" s="42"/>
      <c r="X230" s="41">
        <v>48.130800000000001</v>
      </c>
      <c r="Y230" s="41">
        <v>48.130800000000001</v>
      </c>
      <c r="Z230" s="41">
        <v>48.130800000000001</v>
      </c>
      <c r="AA230" s="42"/>
      <c r="AB230" s="50">
        <v>7.984</v>
      </c>
      <c r="AC230" s="50">
        <v>6.875</v>
      </c>
      <c r="AE230" s="22" t="str">
        <f t="shared" si="78"/>
        <v>·</v>
      </c>
      <c r="AF230" s="23">
        <f t="shared" si="79"/>
        <v>35.526372333708444</v>
      </c>
      <c r="AG230" s="23">
        <f t="shared" si="80"/>
        <v>30.838964413784552</v>
      </c>
      <c r="AH230" s="23">
        <f t="shared" si="81"/>
        <v>4.6870959662490117</v>
      </c>
      <c r="AI230" s="24"/>
      <c r="AJ230" s="23">
        <f t="shared" si="82"/>
        <v>35.526372333708444</v>
      </c>
      <c r="AK230" s="25">
        <v>2000297</v>
      </c>
      <c r="AL230" s="26">
        <v>71063296</v>
      </c>
      <c r="AM230" s="26">
        <v>61687088</v>
      </c>
      <c r="AN230" s="26">
        <v>9375584</v>
      </c>
      <c r="AO230" s="40"/>
      <c r="AP230" s="41">
        <v>53.629199999999997</v>
      </c>
      <c r="AQ230" s="41">
        <v>56.302900000000001</v>
      </c>
      <c r="AR230" s="41">
        <v>55.739600000000003</v>
      </c>
      <c r="AS230" s="42"/>
      <c r="AT230" s="41">
        <v>48.130800000000001</v>
      </c>
      <c r="AU230" s="41">
        <v>48.130800000000001</v>
      </c>
      <c r="AV230" s="41">
        <v>48.130800000000001</v>
      </c>
      <c r="AW230" s="42"/>
      <c r="AX230" s="50">
        <v>7.9530000000000003</v>
      </c>
      <c r="AY230" s="50">
        <v>6.968</v>
      </c>
      <c r="BA230" s="55">
        <f t="shared" si="83"/>
        <v>-3.4930099759357125E-3</v>
      </c>
      <c r="BB230" s="55">
        <f t="array" ref="BB230">AVERAGE(AM230:AM234/AL230:AL234)-AVERAGE(Q230:Q234/P230:P234)</f>
        <v>-3.7360894979154846E-3</v>
      </c>
      <c r="BD230" s="56">
        <f>IF(OR(ISBLANK(R230:R234),ISBLANK(AN230:AN234),ISBLANK(T230:T234),ISBLANK(AP230:AP234)),"·",bdRateExtend(R230:R234,T230:T234,AN230:AN234,AP230:AP234))</f>
        <v>4.1831708247670241E-2</v>
      </c>
      <c r="BE230" s="56">
        <f>IF(OR(ISBLANK(R230:R234),ISBLANK(AN230:AN234),ISBLANK(U230:U234),ISBLANK(AQ230:AQ234)),"·",bdRateExtend(R230:R234,U230:U234,AN230:AN234,AQ230:AQ234))</f>
        <v>2.1480486977102586E-2</v>
      </c>
      <c r="BF230" s="56">
        <f>IF(OR(ISBLANK(R230:R234),ISBLANK(AN230:AN234),ISBLANK(V230:V234),ISBLANK(AR230:AR234)),"·",bdRateExtend(R230:R234,V230:V234,AN230:AN234,AR230:AR234))</f>
        <v>3.1406035847054259E-2</v>
      </c>
      <c r="BG230" s="62"/>
      <c r="BI230" s="56">
        <f>IF(OR(ISBLANK(R230:R234),ISBLANK(AN230:AN234),ISBLANK(X230:X234),ISBLANK(AT230:AT234)),"·",bdRateExtend(R230:R234,X230:X234,AN230:AN234,AT230:AT234))</f>
        <v>7.272435109406139E-2</v>
      </c>
      <c r="BJ230" s="56">
        <f>IF(OR(ISBLANK(R230:R234),ISBLANK(AN230:AN234),ISBLANK(Y230:Y234),ISBLANK(AU230:AU234)),"·",bdRateExtend(R230:R234,Y230:Y234,AN230:AN234,AU230:AU234))</f>
        <v>7.272435109406139E-2</v>
      </c>
      <c r="BK230" s="56">
        <f>IF(OR(ISBLANK(R230:R234),ISBLANK(AN230:AN234),ISBLANK(Z230:Z234),ISBLANK(AV230:AV234)),"·",bdRateExtend(R230:R234,Z230:Z234,AN230:AN234,AV230:AV234))</f>
        <v>7.272435109406139E-2</v>
      </c>
      <c r="BL230" s="62"/>
      <c r="BN230" s="56">
        <f>IF(OR(ISBLANK(P230:P234),ISBLANK(AL230:AL234),ISBLANK(T230:T234),ISBLANK(AP230:AP234)),"·",bdRateExtend(P230:P234,T230:T234,AL230:AL234,AP230:AP234))</f>
        <v>2.5096469924734688E-3</v>
      </c>
      <c r="BO230" s="56">
        <f>IF(OR(ISBLANK(P230:P234),ISBLANK(AL230:AL234),ISBLANK(U230:U234),ISBLANK(AQ230:AQ234)),"·",bdRateExtend(P230:P234,U230:U234,AL230:AL234,AQ230:AQ234))</f>
        <v>1.5210831864036489E-3</v>
      </c>
      <c r="BP230" s="56">
        <f>IF(OR(ISBLANK(P230:P234),ISBLANK(AL230:AL234),ISBLANK(V230:V234),ISBLANK(AR230:AR234)),"·",bdRateExtend(P230:P234,V230:V234,AL230:AL234,AR230:AR234))</f>
        <v>1.6538633975222705E-3</v>
      </c>
      <c r="BQ230" s="62"/>
      <c r="BS230" s="56">
        <f>IF(OR(ISBLANK(P230:P234),ISBLANK(AL230:AL234),ISBLANK(X230:X234),ISBLANK(AT230:AT234)),"·",bdRateExtend(P230:P234,X230:X234,AL230:AL234,AT230:AT234))</f>
        <v>4.1269235045731101E-3</v>
      </c>
      <c r="BT230" s="56">
        <f>IF(OR(ISBLANK(P230:P234),ISBLANK(AL230:AL234),ISBLANK(Y230:Y234),ISBLANK(AU230:AU234)),"·",bdRateExtend(P230:P234,Y230:Y234,AL230:AL234,AU230:AU234))</f>
        <v>4.1269235045731101E-3</v>
      </c>
      <c r="BU230" s="56">
        <f>IF(OR(ISBLANK(P230:P234),ISBLANK(AL230:AL234),ISBLANK(Z230:Z234),ISBLANK(AV230:AV234)),"·",bdRateExtend(P230:P234,Z230:Z234,AL230:AL234,AV230:AV234))</f>
        <v>4.1269235045731101E-3</v>
      </c>
      <c r="BV230" s="62"/>
      <c r="BX230">
        <f t="shared" si="84"/>
        <v>0</v>
      </c>
      <c r="BY230">
        <f t="shared" si="85"/>
        <v>284808</v>
      </c>
      <c r="BZ230">
        <f t="shared" si="86"/>
        <v>0</v>
      </c>
      <c r="CA230">
        <f t="shared" si="87"/>
        <v>284808</v>
      </c>
      <c r="CB230">
        <f t="shared" si="88"/>
        <v>0</v>
      </c>
      <c r="CC230">
        <f t="shared" si="89"/>
        <v>0.20089999999999719</v>
      </c>
      <c r="CD230">
        <f t="shared" si="90"/>
        <v>0.17770000000000152</v>
      </c>
      <c r="CE230">
        <f t="shared" si="91"/>
        <v>0.54980000000000473</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34.231424633441932</v>
      </c>
      <c r="K231" s="18">
        <f t="shared" si="75"/>
        <v>30.838964413784552</v>
      </c>
      <c r="L231" s="18">
        <f t="shared" si="76"/>
        <v>3.3921482659825015</v>
      </c>
      <c r="M231" s="19"/>
      <c r="N231" s="18">
        <f t="shared" si="77"/>
        <v>34.231424633441932</v>
      </c>
      <c r="O231" s="20">
        <v>2000297</v>
      </c>
      <c r="P231" s="21">
        <v>68473016</v>
      </c>
      <c r="Q231" s="21">
        <v>61687088</v>
      </c>
      <c r="R231" s="21">
        <v>6785304</v>
      </c>
      <c r="S231" s="37"/>
      <c r="T231" s="38">
        <v>49.141199999999998</v>
      </c>
      <c r="U231" s="38">
        <v>51.9818</v>
      </c>
      <c r="V231" s="38">
        <v>51.459400000000002</v>
      </c>
      <c r="W231" s="39"/>
      <c r="X231" s="38">
        <v>42.110199999999999</v>
      </c>
      <c r="Y231" s="38">
        <v>42.110199999999999</v>
      </c>
      <c r="Z231" s="38">
        <v>42.110199999999999</v>
      </c>
      <c r="AA231" s="39"/>
      <c r="AB231" s="49">
        <v>7.843</v>
      </c>
      <c r="AC231" s="49">
        <v>6.843</v>
      </c>
      <c r="AE231" s="17" t="str">
        <f t="shared" si="78"/>
        <v>·</v>
      </c>
      <c r="AF231" s="18">
        <f t="shared" si="79"/>
        <v>34.374791343485491</v>
      </c>
      <c r="AG231" s="18">
        <f t="shared" si="80"/>
        <v>30.838964413784552</v>
      </c>
      <c r="AH231" s="18">
        <f t="shared" si="81"/>
        <v>3.53551497602606</v>
      </c>
      <c r="AI231" s="19"/>
      <c r="AJ231" s="18">
        <f t="shared" si="82"/>
        <v>34.374791343485491</v>
      </c>
      <c r="AK231" s="20">
        <v>2000297</v>
      </c>
      <c r="AL231" s="21">
        <v>68759792</v>
      </c>
      <c r="AM231" s="21">
        <v>61687088</v>
      </c>
      <c r="AN231" s="21">
        <v>7072080</v>
      </c>
      <c r="AO231" s="37"/>
      <c r="AP231" s="38">
        <v>49.332900000000002</v>
      </c>
      <c r="AQ231" s="38">
        <v>52.215699999999998</v>
      </c>
      <c r="AR231" s="38">
        <v>51.804600000000001</v>
      </c>
      <c r="AS231" s="39"/>
      <c r="AT231" s="38">
        <v>42.110199999999999</v>
      </c>
      <c r="AU231" s="38">
        <v>42.110199999999999</v>
      </c>
      <c r="AV231" s="38">
        <v>42.110199999999999</v>
      </c>
      <c r="AW231" s="39"/>
      <c r="AX231" s="49">
        <v>7.9059999999999997</v>
      </c>
      <c r="AY231" s="49">
        <v>6.9530000000000003</v>
      </c>
      <c r="BA231" s="53">
        <f t="shared" si="83"/>
        <v>-3.7573621878372876E-3</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286776</v>
      </c>
      <c r="BZ231">
        <f t="shared" si="86"/>
        <v>0</v>
      </c>
      <c r="CA231">
        <f t="shared" si="87"/>
        <v>286776</v>
      </c>
      <c r="CB231">
        <f t="shared" si="88"/>
        <v>0</v>
      </c>
      <c r="CC231">
        <f t="shared" si="89"/>
        <v>0.19170000000000442</v>
      </c>
      <c r="CD231">
        <f t="shared" si="90"/>
        <v>0.23389999999999844</v>
      </c>
      <c r="CE231">
        <f t="shared" si="91"/>
        <v>0.3451999999999984</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32.98279005567673</v>
      </c>
      <c r="K232" s="23">
        <f t="shared" si="75"/>
        <v>30.838964413784552</v>
      </c>
      <c r="L232" s="23">
        <f t="shared" si="76"/>
        <v>2.1435136882172996</v>
      </c>
      <c r="M232" s="24"/>
      <c r="N232" s="23">
        <f t="shared" si="77"/>
        <v>32.98279005567673</v>
      </c>
      <c r="O232" s="25">
        <v>2000297</v>
      </c>
      <c r="P232" s="26">
        <v>65975376</v>
      </c>
      <c r="Q232" s="26">
        <v>61687088</v>
      </c>
      <c r="R232" s="26">
        <v>4287664</v>
      </c>
      <c r="S232" s="40"/>
      <c r="T232" s="41">
        <v>41.852200000000003</v>
      </c>
      <c r="U232" s="41">
        <v>45.889099999999999</v>
      </c>
      <c r="V232" s="41">
        <v>45.012599999999999</v>
      </c>
      <c r="W232" s="42"/>
      <c r="X232" s="41">
        <v>34.151400000000002</v>
      </c>
      <c r="Y232" s="41">
        <v>34.151400000000002</v>
      </c>
      <c r="Z232" s="41">
        <v>34.151400000000002</v>
      </c>
      <c r="AA232" s="42"/>
      <c r="AB232" s="50">
        <v>7.7960000000000003</v>
      </c>
      <c r="AC232" s="50">
        <v>6.843</v>
      </c>
      <c r="AE232" s="22" t="str">
        <f t="shared" si="78"/>
        <v>·</v>
      </c>
      <c r="AF232" s="23">
        <f t="shared" si="79"/>
        <v>33.123333185022027</v>
      </c>
      <c r="AG232" s="23">
        <f t="shared" si="80"/>
        <v>30.838964413784552</v>
      </c>
      <c r="AH232" s="23">
        <f t="shared" si="81"/>
        <v>2.2840568175625919</v>
      </c>
      <c r="AI232" s="24"/>
      <c r="AJ232" s="23">
        <f t="shared" si="82"/>
        <v>33.123333185022027</v>
      </c>
      <c r="AK232" s="25">
        <v>2000297</v>
      </c>
      <c r="AL232" s="26">
        <v>66256504</v>
      </c>
      <c r="AM232" s="26">
        <v>61687088</v>
      </c>
      <c r="AN232" s="26">
        <v>4568792</v>
      </c>
      <c r="AO232" s="40"/>
      <c r="AP232" s="41">
        <v>42.2254</v>
      </c>
      <c r="AQ232" s="41">
        <v>46.474499999999999</v>
      </c>
      <c r="AR232" s="41">
        <v>45.539700000000003</v>
      </c>
      <c r="AS232" s="42"/>
      <c r="AT232" s="41">
        <v>34.151400000000002</v>
      </c>
      <c r="AU232" s="41">
        <v>34.151400000000002</v>
      </c>
      <c r="AV232" s="41">
        <v>34.151400000000002</v>
      </c>
      <c r="AW232" s="42"/>
      <c r="AX232" s="50">
        <v>7.7960000000000003</v>
      </c>
      <c r="AY232" s="50">
        <v>6.89</v>
      </c>
      <c r="BA232" s="55">
        <f t="shared" si="83"/>
        <v>-3.9672355012503324E-3</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281128</v>
      </c>
      <c r="BZ232">
        <f t="shared" si="86"/>
        <v>0</v>
      </c>
      <c r="CA232">
        <f t="shared" si="87"/>
        <v>281128</v>
      </c>
      <c r="CB232">
        <f t="shared" si="88"/>
        <v>0</v>
      </c>
      <c r="CC232">
        <f t="shared" si="89"/>
        <v>0.37319999999999709</v>
      </c>
      <c r="CD232">
        <f t="shared" si="90"/>
        <v>0.58539999999999992</v>
      </c>
      <c r="CE232">
        <f t="shared" si="91"/>
        <v>0.52710000000000434</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32.181169096389183</v>
      </c>
      <c r="K233" s="18">
        <f t="shared" si="75"/>
        <v>30.838964413784552</v>
      </c>
      <c r="L233" s="18">
        <f t="shared" si="76"/>
        <v>1.341892728929754</v>
      </c>
      <c r="M233" s="19"/>
      <c r="N233" s="18">
        <f t="shared" si="77"/>
        <v>32.181169096389183</v>
      </c>
      <c r="O233" s="20">
        <v>2000297</v>
      </c>
      <c r="P233" s="21">
        <v>64371896</v>
      </c>
      <c r="Q233" s="21">
        <v>61687088</v>
      </c>
      <c r="R233" s="21">
        <v>2684184</v>
      </c>
      <c r="S233" s="37"/>
      <c r="T233" s="38">
        <v>36.487499999999997</v>
      </c>
      <c r="U233" s="38">
        <v>40.971299999999999</v>
      </c>
      <c r="V233" s="38">
        <v>40.163400000000003</v>
      </c>
      <c r="W233" s="39"/>
      <c r="X233" s="38">
        <v>28.130800000000001</v>
      </c>
      <c r="Y233" s="38">
        <v>28.130800000000001</v>
      </c>
      <c r="Z233" s="38">
        <v>28.130800000000001</v>
      </c>
      <c r="AA233" s="39"/>
      <c r="AB233" s="49">
        <v>7.843</v>
      </c>
      <c r="AC233" s="49">
        <v>6.843</v>
      </c>
      <c r="AE233" s="17" t="str">
        <f t="shared" si="78"/>
        <v>·</v>
      </c>
      <c r="AF233" s="18">
        <f t="shared" si="79"/>
        <v>32.314417309029608</v>
      </c>
      <c r="AG233" s="18">
        <f t="shared" si="80"/>
        <v>30.838964413784552</v>
      </c>
      <c r="AH233" s="18">
        <f t="shared" si="81"/>
        <v>1.4751409415701768</v>
      </c>
      <c r="AI233" s="19"/>
      <c r="AJ233" s="18">
        <f t="shared" si="82"/>
        <v>32.314417309029608</v>
      </c>
      <c r="AK233" s="20">
        <v>2000297</v>
      </c>
      <c r="AL233" s="21">
        <v>64638432</v>
      </c>
      <c r="AM233" s="21">
        <v>61687088</v>
      </c>
      <c r="AN233" s="21">
        <v>2950720</v>
      </c>
      <c r="AO233" s="37"/>
      <c r="AP233" s="38">
        <v>36.883499999999998</v>
      </c>
      <c r="AQ233" s="38">
        <v>41.633200000000002</v>
      </c>
      <c r="AR233" s="38">
        <v>40.529299999999999</v>
      </c>
      <c r="AS233" s="39"/>
      <c r="AT233" s="38">
        <v>28.130800000000001</v>
      </c>
      <c r="AU233" s="38">
        <v>28.130800000000001</v>
      </c>
      <c r="AV233" s="38">
        <v>28.130800000000001</v>
      </c>
      <c r="AW233" s="39"/>
      <c r="AX233" s="49">
        <v>7.7960000000000003</v>
      </c>
      <c r="AY233" s="49">
        <v>6.875</v>
      </c>
      <c r="BA233" s="53">
        <f t="shared" si="83"/>
        <v>-3.9515095103069831E-3</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266536</v>
      </c>
      <c r="BZ233">
        <f t="shared" si="86"/>
        <v>0</v>
      </c>
      <c r="CA233">
        <f t="shared" si="87"/>
        <v>266536</v>
      </c>
      <c r="CB233">
        <f t="shared" si="88"/>
        <v>0</v>
      </c>
      <c r="CC233">
        <f t="shared" si="89"/>
        <v>0.3960000000000008</v>
      </c>
      <c r="CD233">
        <f t="shared" si="90"/>
        <v>0.66190000000000282</v>
      </c>
      <c r="CE233">
        <f t="shared" si="91"/>
        <v>0.36589999999999634</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31.56519256890352</v>
      </c>
      <c r="K234" s="33">
        <f t="shared" si="75"/>
        <v>30.838964413784552</v>
      </c>
      <c r="L234" s="33">
        <f t="shared" si="76"/>
        <v>0.72591620144408553</v>
      </c>
      <c r="M234" s="34"/>
      <c r="N234" s="33">
        <f t="shared" si="77"/>
        <v>31.56519256890352</v>
      </c>
      <c r="O234" s="35">
        <v>2000297</v>
      </c>
      <c r="P234" s="36">
        <v>63139760</v>
      </c>
      <c r="Q234" s="36">
        <v>61687088</v>
      </c>
      <c r="R234" s="36">
        <v>1452048</v>
      </c>
      <c r="S234" s="46"/>
      <c r="T234" s="47">
        <v>29.602799999999998</v>
      </c>
      <c r="U234" s="47">
        <v>35.340200000000003</v>
      </c>
      <c r="V234" s="47">
        <v>33.9133</v>
      </c>
      <c r="W234" s="48"/>
      <c r="X234" s="47">
        <v>21.686399999999999</v>
      </c>
      <c r="Y234" s="47">
        <v>21.686399999999999</v>
      </c>
      <c r="Z234" s="47">
        <v>21.686399999999999</v>
      </c>
      <c r="AA234" s="48"/>
      <c r="AB234" s="52">
        <v>7.75</v>
      </c>
      <c r="AC234" s="52">
        <v>6.7649999999999997</v>
      </c>
      <c r="AE234" s="32" t="str">
        <f t="shared" si="78"/>
        <v>·</v>
      </c>
      <c r="AF234" s="33">
        <f t="shared" si="79"/>
        <v>31.679047661422278</v>
      </c>
      <c r="AG234" s="33">
        <f t="shared" si="80"/>
        <v>30.838964413784552</v>
      </c>
      <c r="AH234" s="33">
        <f t="shared" si="81"/>
        <v>0.83977129396284655</v>
      </c>
      <c r="AI234" s="34"/>
      <c r="AJ234" s="33">
        <f t="shared" si="82"/>
        <v>31.679047661422278</v>
      </c>
      <c r="AK234" s="35">
        <v>2000297</v>
      </c>
      <c r="AL234" s="36">
        <v>63367504</v>
      </c>
      <c r="AM234" s="36">
        <v>61687088</v>
      </c>
      <c r="AN234" s="36">
        <v>1679792</v>
      </c>
      <c r="AO234" s="46"/>
      <c r="AP234" s="47">
        <v>30.728400000000001</v>
      </c>
      <c r="AQ234" s="47">
        <v>36.516599999999997</v>
      </c>
      <c r="AR234" s="47">
        <v>35.057200000000002</v>
      </c>
      <c r="AS234" s="48"/>
      <c r="AT234" s="47">
        <v>21.686399999999999</v>
      </c>
      <c r="AU234" s="47">
        <v>21.686399999999999</v>
      </c>
      <c r="AV234" s="47">
        <v>21.686399999999999</v>
      </c>
      <c r="AW234" s="48"/>
      <c r="AX234" s="52">
        <v>7.7960000000000003</v>
      </c>
      <c r="AY234" s="52">
        <v>6.9059999999999997</v>
      </c>
      <c r="BA234" s="59">
        <f t="shared" si="83"/>
        <v>-3.5113303142479957E-3</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227744</v>
      </c>
      <c r="BZ234">
        <f t="shared" si="86"/>
        <v>0</v>
      </c>
      <c r="CA234">
        <f t="shared" si="87"/>
        <v>227744</v>
      </c>
      <c r="CB234">
        <f t="shared" si="88"/>
        <v>0</v>
      </c>
      <c r="CC234">
        <f t="shared" si="89"/>
        <v>1.1256000000000022</v>
      </c>
      <c r="CD234">
        <f t="shared" si="90"/>
        <v>1.1763999999999939</v>
      </c>
      <c r="CE234">
        <f t="shared" si="91"/>
        <v>1.1439000000000021</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31.763001638099148</v>
      </c>
      <c r="K235" s="18">
        <f t="shared" si="75"/>
        <v>17.528235366127969</v>
      </c>
      <c r="L235" s="18">
        <f t="shared" si="76"/>
        <v>10.582027650624337</v>
      </c>
      <c r="M235" s="18">
        <f t="shared" ref="M235:M266" si="97">IF(ISBLANK(Q235),"·",S235/D235)</f>
        <v>3.6525413095298549</v>
      </c>
      <c r="N235" s="18">
        <f t="shared" si="77"/>
        <v>31.763001638099148</v>
      </c>
      <c r="O235" s="20">
        <v>19948121</v>
      </c>
      <c r="P235" s="21">
        <v>633612200</v>
      </c>
      <c r="Q235" s="21">
        <v>349655360</v>
      </c>
      <c r="R235" s="21">
        <v>211091568</v>
      </c>
      <c r="S235" s="21">
        <v>72861336</v>
      </c>
      <c r="T235" s="38">
        <v>53.491199999999999</v>
      </c>
      <c r="U235" s="38">
        <v>55.0411</v>
      </c>
      <c r="V235" s="38">
        <v>54.828600000000002</v>
      </c>
      <c r="W235" s="38"/>
      <c r="X235" s="38">
        <v>48.130800000000001</v>
      </c>
      <c r="Y235" s="38">
        <v>48.130800000000001</v>
      </c>
      <c r="Z235" s="38">
        <v>48.130800000000001</v>
      </c>
      <c r="AA235" s="38"/>
      <c r="AB235" s="49">
        <v>44.670999999999999</v>
      </c>
      <c r="AC235" s="49">
        <v>36.155999999999999</v>
      </c>
      <c r="AE235" s="17" t="str">
        <f t="shared" si="78"/>
        <v>·</v>
      </c>
      <c r="AF235" s="18">
        <f t="shared" si="79"/>
        <v>32.060221812370195</v>
      </c>
      <c r="AG235" s="18">
        <f t="shared" si="80"/>
        <v>17.528235366127969</v>
      </c>
      <c r="AH235" s="18">
        <f t="shared" si="81"/>
        <v>10.84246080119526</v>
      </c>
      <c r="AI235" s="18">
        <f t="shared" ref="AI235:AI266" si="98">IF(ISBLANK(AM235),"·",AO235/D235)</f>
        <v>3.689328333229982</v>
      </c>
      <c r="AJ235" s="18">
        <f t="shared" si="82"/>
        <v>32.060221812370195</v>
      </c>
      <c r="AK235" s="20">
        <v>19948121</v>
      </c>
      <c r="AL235" s="21">
        <v>639541184</v>
      </c>
      <c r="AM235" s="21">
        <v>349655360</v>
      </c>
      <c r="AN235" s="21">
        <v>216286720</v>
      </c>
      <c r="AO235" s="21">
        <v>73595168</v>
      </c>
      <c r="AP235" s="38">
        <v>53.680799999999998</v>
      </c>
      <c r="AQ235" s="38">
        <v>55.222999999999999</v>
      </c>
      <c r="AR235" s="38">
        <v>55.037300000000002</v>
      </c>
      <c r="AS235" s="38"/>
      <c r="AT235" s="38">
        <v>48.130800000000001</v>
      </c>
      <c r="AU235" s="38">
        <v>48.130800000000001</v>
      </c>
      <c r="AV235" s="38">
        <v>48.130800000000001</v>
      </c>
      <c r="AW235" s="38"/>
      <c r="AX235" s="49">
        <v>46.186999999999998</v>
      </c>
      <c r="AY235" s="49">
        <v>36.280999999999999</v>
      </c>
      <c r="BA235" s="53">
        <f t="shared" si="83"/>
        <v>-5.1159750872451504E-3</v>
      </c>
      <c r="BB235" s="53">
        <f t="array" ref="BB235">AVERAGE(AM235:AM239/AL235:AL239)-AVERAGE(Q235:Q239/P235:P239)</f>
        <v>-9.0764372918021863E-3</v>
      </c>
      <c r="BD235" s="54">
        <f>IF(OR(ISBLANK(R235:R239),ISBLANK(AN235:AN239),ISBLANK(T235:T239),ISBLANK(AP235:AP239)),"·",bdRateExtend(R235:R239,T235:T239,AN235:AN239,AP235:AP239))</f>
        <v>3.948677416123747E-2</v>
      </c>
      <c r="BE235" s="54">
        <f>IF(OR(ISBLANK(R235:R239),ISBLANK(AN235:AN239),ISBLANK(U235:U239),ISBLANK(AQ235:AQ239)),"·",bdRateExtend(R235:R239,U235:U239,AN235:AN239,AQ235:AQ239))</f>
        <v>3.8613809626322215E-2</v>
      </c>
      <c r="BF235" s="54">
        <f>IF(OR(ISBLANK(R235:R239),ISBLANK(AN235:AN239),ISBLANK(V235:V239),ISBLANK(AR235:AR239)),"·",bdRateExtend(R235:R239,V235:V239,AN235:AN239,AR235:AR239))</f>
        <v>3.8068871550083649E-2</v>
      </c>
      <c r="BG235" s="54" t="str">
        <f>IF(OR(ISBLANK(S235:S239),ISBLANK(AO235:AO239),ISBLANK(W235:W239),ISBLANK(AS235:AS239)),"·",bdRateExtend(S235:S239,W235:W239,AO235:AO239,AS235:AS239))</f>
        <v>·</v>
      </c>
      <c r="BI235" s="54">
        <f>IF(OR(ISBLANK(R235:R239),ISBLANK(AN235:AN239),ISBLANK(X235:X239),ISBLANK(AT235:AT239)),"·",bdRateExtend(R235:R239,X235:X239,AN235:AN239,AT235:AT239))</f>
        <v>5.9359628385445173E-2</v>
      </c>
      <c r="BJ235" s="54">
        <f>IF(OR(ISBLANK(R235:R239),ISBLANK(AN235:AN239),ISBLANK(Y235:Y239),ISBLANK(AU235:AU239)),"·",bdRateExtend(R235:R239,Y235:Y239,AN235:AN239,AU235:AU239))</f>
        <v>5.9359628385445173E-2</v>
      </c>
      <c r="BK235" s="54">
        <f>IF(OR(ISBLANK(R235:R239),ISBLANK(AN235:AN239),ISBLANK(Z235:Z239),ISBLANK(AV235:AV239)),"·",bdRateExtend(R235:R239,Z235:Z239,AN235:AN239,AV235:AV239))</f>
        <v>5.9359628385445173E-2</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7.7884169780195744E-3</v>
      </c>
      <c r="BO235" s="54">
        <f>IF(OR(ISBLANK(P235:P239),ISBLANK(AL235:AL239),ISBLANK(U235:U239),ISBLANK(AQ235:AQ239)),"·",bdRateExtend(P235:P239,U235:U239,AL235:AL239,AQ235:AQ239))</f>
        <v>7.8935637943080561E-3</v>
      </c>
      <c r="BP235" s="54">
        <f>IF(OR(ISBLANK(P235:P239),ISBLANK(AL235:AL239),ISBLANK(V235:V239),ISBLANK(AR235:AR239)),"·",bdRateExtend(P235:P239,V235:V239,AL235:AL239,AR235:AR239))</f>
        <v>7.6565836013584576E-3</v>
      </c>
      <c r="BQ235" s="54" t="str">
        <f>IF(OR(ISBLANK(P235:P239),ISBLANK(AL235:AL239),ISBLANK(W235:W239),ISBLANK(AS235:AS239)),"·",bdRateExtend(P235:P239,W235:W239,AL235:AL239,AS235:AS239))</f>
        <v>·</v>
      </c>
      <c r="BS235" s="54">
        <f>IF(OR(ISBLANK(P235:P239),ISBLANK(AL235:AL239),ISBLANK(X235:X239),ISBLANK(AT235:AT239)),"·",bdRateExtend(P235:P239,X235:X239,AL235:AL239,AT235:AT239))</f>
        <v>1.2529098889188184E-2</v>
      </c>
      <c r="BT235" s="54">
        <f>IF(OR(ISBLANK(P235:P239),ISBLANK(AL235:AL239),ISBLANK(Y235:Y239),ISBLANK(AU235:AU239)),"·",bdRateExtend(P235:P239,Y235:Y239,AL235:AL239,AU235:AU239))</f>
        <v>1.2529098889188184E-2</v>
      </c>
      <c r="BU235" s="54">
        <f>IF(OR(ISBLANK(P235:P239),ISBLANK(AL235:AL239),ISBLANK(Z235:Z239),ISBLANK(AV235:AV239)),"·",bdRateExtend(P235:P239,Z235:Z239,AL235:AL239,AV235:AV239))</f>
        <v>1.2529098889188184E-2</v>
      </c>
      <c r="BV235" s="54" t="str">
        <f>IF(OR(ISBLANK(P235:P239),ISBLANK(AL235:AL239),ISBLANK(AA235:AA239),ISBLANK(AW235:AW239)),"·",bdRateExtend(P235:P239,AA235:AA239,AL235:AL239,AW235:AW239))</f>
        <v>·</v>
      </c>
      <c r="BX235">
        <f t="shared" si="84"/>
        <v>0</v>
      </c>
      <c r="BY235">
        <f t="shared" si="85"/>
        <v>5928984</v>
      </c>
      <c r="BZ235">
        <f t="shared" si="86"/>
        <v>0</v>
      </c>
      <c r="CA235">
        <f t="shared" si="87"/>
        <v>5195152</v>
      </c>
      <c r="CB235">
        <f t="shared" si="88"/>
        <v>733832</v>
      </c>
      <c r="CC235">
        <f t="shared" si="89"/>
        <v>0.18959999999999866</v>
      </c>
      <c r="CD235">
        <f t="shared" si="90"/>
        <v>0.18189999999999884</v>
      </c>
      <c r="CE235">
        <f t="shared" si="91"/>
        <v>0.20870000000000033</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28.28951238063976</v>
      </c>
      <c r="K236" s="23">
        <f t="shared" si="75"/>
        <v>17.528235366127969</v>
      </c>
      <c r="L236" s="23">
        <f t="shared" si="76"/>
        <v>8.0461144184958577</v>
      </c>
      <c r="M236" s="23">
        <f t="shared" si="97"/>
        <v>2.7149648831586695</v>
      </c>
      <c r="N236" s="23">
        <f t="shared" si="77"/>
        <v>28.28951238063976</v>
      </c>
      <c r="O236" s="25">
        <v>19948121</v>
      </c>
      <c r="P236" s="26">
        <v>564322616</v>
      </c>
      <c r="Q236" s="26">
        <v>349655360</v>
      </c>
      <c r="R236" s="26">
        <v>160504864</v>
      </c>
      <c r="S236" s="26">
        <v>54158448</v>
      </c>
      <c r="T236" s="41">
        <v>48.669699999999999</v>
      </c>
      <c r="U236" s="41">
        <v>50.5702</v>
      </c>
      <c r="V236" s="41">
        <v>50.2226</v>
      </c>
      <c r="W236" s="41"/>
      <c r="X236" s="41">
        <v>42.110199999999999</v>
      </c>
      <c r="Y236" s="41">
        <v>42.110199999999999</v>
      </c>
      <c r="Z236" s="41">
        <v>42.110199999999999</v>
      </c>
      <c r="AA236" s="41"/>
      <c r="AB236" s="50">
        <v>44.234000000000002</v>
      </c>
      <c r="AC236" s="50">
        <v>35.686999999999998</v>
      </c>
      <c r="AE236" s="22" t="str">
        <f t="shared" si="78"/>
        <v>·</v>
      </c>
      <c r="AF236" s="23">
        <f t="shared" si="79"/>
        <v>28.585135612522102</v>
      </c>
      <c r="AG236" s="23">
        <f t="shared" si="80"/>
        <v>17.528235366127969</v>
      </c>
      <c r="AH236" s="23">
        <f t="shared" si="81"/>
        <v>8.299724670809848</v>
      </c>
      <c r="AI236" s="23">
        <f t="shared" si="98"/>
        <v>2.7569778627270209</v>
      </c>
      <c r="AJ236" s="23">
        <f t="shared" si="82"/>
        <v>28.585135612522102</v>
      </c>
      <c r="AK236" s="25">
        <v>19948121</v>
      </c>
      <c r="AL236" s="26">
        <v>570219744</v>
      </c>
      <c r="AM236" s="26">
        <v>349655360</v>
      </c>
      <c r="AN236" s="26">
        <v>165563912</v>
      </c>
      <c r="AO236" s="26">
        <v>54996528</v>
      </c>
      <c r="AP236" s="41">
        <v>48.834299999999999</v>
      </c>
      <c r="AQ236" s="41">
        <v>50.715899999999998</v>
      </c>
      <c r="AR236" s="41">
        <v>50.374400000000001</v>
      </c>
      <c r="AS236" s="41"/>
      <c r="AT236" s="41">
        <v>42.110199999999999</v>
      </c>
      <c r="AU236" s="41">
        <v>42.110199999999999</v>
      </c>
      <c r="AV236" s="41">
        <v>42.110199999999999</v>
      </c>
      <c r="AW236" s="41"/>
      <c r="AX236" s="50">
        <v>46.030999999999999</v>
      </c>
      <c r="AY236" s="50">
        <v>35.561999999999998</v>
      </c>
      <c r="BA236" s="55">
        <f t="shared" si="83"/>
        <v>-6.4078308382617966E-3</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5897128</v>
      </c>
      <c r="BZ236">
        <f t="shared" si="86"/>
        <v>0</v>
      </c>
      <c r="CA236">
        <f t="shared" si="87"/>
        <v>5059048</v>
      </c>
      <c r="CB236">
        <f t="shared" si="88"/>
        <v>838080</v>
      </c>
      <c r="CC236">
        <f t="shared" si="89"/>
        <v>0.16460000000000008</v>
      </c>
      <c r="CD236">
        <f t="shared" si="90"/>
        <v>0.14569999999999794</v>
      </c>
      <c r="CE236">
        <f t="shared" si="91"/>
        <v>0.15180000000000149</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24.448338968868295</v>
      </c>
      <c r="K237" s="18">
        <f t="shared" si="75"/>
        <v>17.528235366127969</v>
      </c>
      <c r="L237" s="18">
        <f t="shared" si="76"/>
        <v>5.260758143586556</v>
      </c>
      <c r="M237" s="18">
        <f t="shared" si="97"/>
        <v>1.6591477462965059</v>
      </c>
      <c r="N237" s="18">
        <f t="shared" si="77"/>
        <v>24.448338968868295</v>
      </c>
      <c r="O237" s="20">
        <v>19948121</v>
      </c>
      <c r="P237" s="21">
        <v>487698424</v>
      </c>
      <c r="Q237" s="21">
        <v>349655360</v>
      </c>
      <c r="R237" s="21">
        <v>104942240</v>
      </c>
      <c r="S237" s="21">
        <v>33096880</v>
      </c>
      <c r="T237" s="38">
        <v>41.536200000000001</v>
      </c>
      <c r="U237" s="38">
        <v>44.401600000000002</v>
      </c>
      <c r="V237" s="38">
        <v>44.061999999999998</v>
      </c>
      <c r="W237" s="38"/>
      <c r="X237" s="38">
        <v>34.151400000000002</v>
      </c>
      <c r="Y237" s="38">
        <v>34.151400000000002</v>
      </c>
      <c r="Z237" s="38">
        <v>34.151400000000002</v>
      </c>
      <c r="AA237" s="38"/>
      <c r="AB237" s="49">
        <v>43.295999999999999</v>
      </c>
      <c r="AC237" s="49">
        <v>34.953000000000003</v>
      </c>
      <c r="AE237" s="17" t="str">
        <f t="shared" si="78"/>
        <v>·</v>
      </c>
      <c r="AF237" s="18">
        <f t="shared" si="79"/>
        <v>24.762643459000476</v>
      </c>
      <c r="AG237" s="18">
        <f t="shared" si="80"/>
        <v>17.528235366127969</v>
      </c>
      <c r="AH237" s="18">
        <f t="shared" si="81"/>
        <v>5.5298878525952393</v>
      </c>
      <c r="AI237" s="18">
        <f t="shared" si="98"/>
        <v>1.7043225274200011</v>
      </c>
      <c r="AJ237" s="18">
        <f t="shared" si="82"/>
        <v>24.762643459000476</v>
      </c>
      <c r="AK237" s="20">
        <v>19948121</v>
      </c>
      <c r="AL237" s="21">
        <v>493968208</v>
      </c>
      <c r="AM237" s="21">
        <v>349655360</v>
      </c>
      <c r="AN237" s="21">
        <v>110310872</v>
      </c>
      <c r="AO237" s="21">
        <v>33998032</v>
      </c>
      <c r="AP237" s="38">
        <v>41.765599999999999</v>
      </c>
      <c r="AQ237" s="38">
        <v>44.576799999999999</v>
      </c>
      <c r="AR237" s="38">
        <v>44.265999999999998</v>
      </c>
      <c r="AS237" s="38"/>
      <c r="AT237" s="38">
        <v>34.151400000000002</v>
      </c>
      <c r="AU237" s="38">
        <v>34.151400000000002</v>
      </c>
      <c r="AV237" s="38">
        <v>34.151400000000002</v>
      </c>
      <c r="AW237" s="38"/>
      <c r="AX237" s="49">
        <v>44.718000000000004</v>
      </c>
      <c r="AY237" s="49">
        <v>35.14</v>
      </c>
      <c r="BA237" s="53">
        <f t="shared" si="83"/>
        <v>-9.1000215064195311E-3</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6269784</v>
      </c>
      <c r="BZ237">
        <f t="shared" si="86"/>
        <v>0</v>
      </c>
      <c r="CA237">
        <f t="shared" si="87"/>
        <v>5368632</v>
      </c>
      <c r="CB237">
        <f t="shared" si="88"/>
        <v>901152</v>
      </c>
      <c r="CC237">
        <f t="shared" si="89"/>
        <v>0.22939999999999827</v>
      </c>
      <c r="CD237">
        <f t="shared" si="90"/>
        <v>0.17519999999999669</v>
      </c>
      <c r="CE237">
        <f t="shared" si="91"/>
        <v>0.20400000000000063</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21.77485007234516</v>
      </c>
      <c r="K238" s="23">
        <f t="shared" si="75"/>
        <v>17.528235366127969</v>
      </c>
      <c r="L238" s="23">
        <f t="shared" si="76"/>
        <v>3.2950728542302303</v>
      </c>
      <c r="M238" s="23">
        <f t="shared" si="97"/>
        <v>0.95134413912969551</v>
      </c>
      <c r="N238" s="23">
        <f t="shared" si="77"/>
        <v>21.77485007234516</v>
      </c>
      <c r="O238" s="25">
        <v>19948121</v>
      </c>
      <c r="P238" s="26">
        <v>434367344</v>
      </c>
      <c r="Q238" s="26">
        <v>349655360</v>
      </c>
      <c r="R238" s="26">
        <v>65730512</v>
      </c>
      <c r="S238" s="26">
        <v>18977528</v>
      </c>
      <c r="T238" s="41">
        <v>35.786499999999997</v>
      </c>
      <c r="U238" s="41">
        <v>39.660200000000003</v>
      </c>
      <c r="V238" s="41">
        <v>39.162599999999998</v>
      </c>
      <c r="W238" s="41"/>
      <c r="X238" s="41">
        <v>28.130800000000001</v>
      </c>
      <c r="Y238" s="41">
        <v>28.130800000000001</v>
      </c>
      <c r="Z238" s="41">
        <v>28.130800000000001</v>
      </c>
      <c r="AA238" s="41"/>
      <c r="AB238" s="50">
        <v>42.780999999999999</v>
      </c>
      <c r="AC238" s="50">
        <v>34.609000000000002</v>
      </c>
      <c r="AE238" s="22" t="str">
        <f t="shared" si="78"/>
        <v>·</v>
      </c>
      <c r="AF238" s="23">
        <f t="shared" si="79"/>
        <v>22.093911301219798</v>
      </c>
      <c r="AG238" s="23">
        <f t="shared" si="80"/>
        <v>17.528235366127969</v>
      </c>
      <c r="AH238" s="23">
        <f t="shared" si="81"/>
        <v>3.5644616352587795</v>
      </c>
      <c r="AI238" s="23">
        <f t="shared" si="98"/>
        <v>1.0010165869757859</v>
      </c>
      <c r="AJ238" s="23">
        <f t="shared" si="82"/>
        <v>22.093911301219798</v>
      </c>
      <c r="AK238" s="25">
        <v>19948121</v>
      </c>
      <c r="AL238" s="26">
        <v>440732016</v>
      </c>
      <c r="AM238" s="26">
        <v>349655360</v>
      </c>
      <c r="AN238" s="26">
        <v>71104312</v>
      </c>
      <c r="AO238" s="26">
        <v>19968400</v>
      </c>
      <c r="AP238" s="41">
        <v>36.089700000000001</v>
      </c>
      <c r="AQ238" s="41">
        <v>39.888599999999997</v>
      </c>
      <c r="AR238" s="41">
        <v>39.400599999999997</v>
      </c>
      <c r="AS238" s="41"/>
      <c r="AT238" s="41">
        <v>28.130800000000001</v>
      </c>
      <c r="AU238" s="41">
        <v>28.130800000000001</v>
      </c>
      <c r="AV238" s="41">
        <v>28.130800000000001</v>
      </c>
      <c r="AW238" s="41"/>
      <c r="AX238" s="50">
        <v>44.203000000000003</v>
      </c>
      <c r="AY238" s="50">
        <v>34.578000000000003</v>
      </c>
      <c r="BA238" s="55">
        <f t="shared" si="83"/>
        <v>-1.1624772174486098E-2</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6364672</v>
      </c>
      <c r="BZ238">
        <f t="shared" si="86"/>
        <v>0</v>
      </c>
      <c r="CA238">
        <f t="shared" si="87"/>
        <v>5373800</v>
      </c>
      <c r="CB238">
        <f t="shared" si="88"/>
        <v>990872</v>
      </c>
      <c r="CC238">
        <f t="shared" si="89"/>
        <v>0.30320000000000391</v>
      </c>
      <c r="CD238">
        <f t="shared" si="90"/>
        <v>0.2283999999999935</v>
      </c>
      <c r="CE238">
        <f t="shared" si="91"/>
        <v>0.23799999999999955</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19.76226512762781</v>
      </c>
      <c r="K239" s="28">
        <f t="shared" si="75"/>
        <v>17.528235366127969</v>
      </c>
      <c r="L239" s="28">
        <f t="shared" si="76"/>
        <v>1.7624288523214793</v>
      </c>
      <c r="M239" s="28">
        <f t="shared" si="97"/>
        <v>0.47140319632109712</v>
      </c>
      <c r="N239" s="28">
        <f t="shared" si="77"/>
        <v>19.76226512762781</v>
      </c>
      <c r="O239" s="30">
        <v>19948121</v>
      </c>
      <c r="P239" s="31">
        <v>394220056</v>
      </c>
      <c r="Q239" s="31">
        <v>349655360</v>
      </c>
      <c r="R239" s="31">
        <v>35157144</v>
      </c>
      <c r="S239" s="31">
        <v>9403608</v>
      </c>
      <c r="T239" s="44">
        <v>29.2089</v>
      </c>
      <c r="U239" s="44">
        <v>35.075600000000001</v>
      </c>
      <c r="V239" s="44">
        <v>34.353400000000001</v>
      </c>
      <c r="W239" s="44"/>
      <c r="X239" s="44">
        <v>21.686399999999999</v>
      </c>
      <c r="Y239" s="44">
        <v>21.686399999999999</v>
      </c>
      <c r="Z239" s="44">
        <v>21.686399999999999</v>
      </c>
      <c r="AA239" s="44"/>
      <c r="AB239" s="51">
        <v>42.186999999999998</v>
      </c>
      <c r="AC239" s="51">
        <v>34.155999999999999</v>
      </c>
      <c r="AE239" s="27" t="str">
        <f t="shared" si="78"/>
        <v>·</v>
      </c>
      <c r="AF239" s="28">
        <f t="shared" si="79"/>
        <v>20.059293203605492</v>
      </c>
      <c r="AG239" s="28">
        <f t="shared" si="80"/>
        <v>17.528235366127969</v>
      </c>
      <c r="AH239" s="28">
        <f t="shared" si="81"/>
        <v>2.0154652159970357</v>
      </c>
      <c r="AI239" s="28">
        <f t="shared" si="98"/>
        <v>0.51539490862322324</v>
      </c>
      <c r="AJ239" s="28">
        <f t="shared" si="82"/>
        <v>20.059293203605492</v>
      </c>
      <c r="AK239" s="30">
        <v>19948121</v>
      </c>
      <c r="AL239" s="31">
        <v>400145208</v>
      </c>
      <c r="AM239" s="31">
        <v>349655360</v>
      </c>
      <c r="AN239" s="31">
        <v>40204744</v>
      </c>
      <c r="AO239" s="31">
        <v>10281160</v>
      </c>
      <c r="AP239" s="44">
        <v>29.787400000000002</v>
      </c>
      <c r="AQ239" s="44">
        <v>35.427500000000002</v>
      </c>
      <c r="AR239" s="44">
        <v>34.727400000000003</v>
      </c>
      <c r="AS239" s="44"/>
      <c r="AT239" s="44">
        <v>21.686399999999999</v>
      </c>
      <c r="AU239" s="44">
        <v>21.686399999999999</v>
      </c>
      <c r="AV239" s="44">
        <v>21.686399999999999</v>
      </c>
      <c r="AW239" s="44"/>
      <c r="AX239" s="51">
        <v>43.593000000000004</v>
      </c>
      <c r="AY239" s="51">
        <v>34.530999999999999</v>
      </c>
      <c r="BA239" s="57">
        <f t="shared" si="83"/>
        <v>-1.3133586852598578E-2</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5925152</v>
      </c>
      <c r="BZ239">
        <f t="shared" si="86"/>
        <v>0</v>
      </c>
      <c r="CA239">
        <f t="shared" si="87"/>
        <v>5047600</v>
      </c>
      <c r="CB239">
        <f t="shared" si="88"/>
        <v>877552</v>
      </c>
      <c r="CC239">
        <f t="shared" si="89"/>
        <v>0.57850000000000179</v>
      </c>
      <c r="CD239">
        <f t="shared" si="90"/>
        <v>0.35190000000000055</v>
      </c>
      <c r="CE239">
        <f t="shared" si="91"/>
        <v>0.37400000000000233</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35.110405028995878</v>
      </c>
      <c r="K240" s="23">
        <f t="shared" si="75"/>
        <v>20.815736921414327</v>
      </c>
      <c r="L240" s="23">
        <f t="shared" si="76"/>
        <v>10.224720315377708</v>
      </c>
      <c r="M240" s="23">
        <f t="shared" si="97"/>
        <v>4.06965555031279</v>
      </c>
      <c r="N240" s="23">
        <f t="shared" si="77"/>
        <v>35.110405028995878</v>
      </c>
      <c r="O240" s="25">
        <v>5255920</v>
      </c>
      <c r="P240" s="26">
        <v>184537480</v>
      </c>
      <c r="Q240" s="26">
        <v>109405848</v>
      </c>
      <c r="R240" s="26">
        <v>53740312</v>
      </c>
      <c r="S240" s="26">
        <v>21389784</v>
      </c>
      <c r="T240" s="41">
        <v>53.424500000000002</v>
      </c>
      <c r="U240" s="41">
        <v>55.040500000000002</v>
      </c>
      <c r="V240" s="41">
        <v>54.942100000000003</v>
      </c>
      <c r="W240" s="41"/>
      <c r="X240" s="41">
        <v>48.130800000000001</v>
      </c>
      <c r="Y240" s="41">
        <v>48.130800000000001</v>
      </c>
      <c r="Z240" s="41">
        <v>48.130800000000001</v>
      </c>
      <c r="AA240" s="41"/>
      <c r="AB240" s="50">
        <v>11.484</v>
      </c>
      <c r="AC240" s="50">
        <v>9.093</v>
      </c>
      <c r="AE240" s="22" t="str">
        <f t="shared" si="78"/>
        <v>·</v>
      </c>
      <c r="AF240" s="23">
        <f t="shared" si="79"/>
        <v>35.341420721776586</v>
      </c>
      <c r="AG240" s="23">
        <f t="shared" si="80"/>
        <v>20.815736921414327</v>
      </c>
      <c r="AH240" s="23">
        <f t="shared" si="81"/>
        <v>10.40778246244235</v>
      </c>
      <c r="AI240" s="23">
        <f t="shared" si="98"/>
        <v>4.1176090960288585</v>
      </c>
      <c r="AJ240" s="23">
        <f t="shared" si="82"/>
        <v>35.341420721776586</v>
      </c>
      <c r="AK240" s="25">
        <v>5255920</v>
      </c>
      <c r="AL240" s="26">
        <v>185751680</v>
      </c>
      <c r="AM240" s="26">
        <v>109405848</v>
      </c>
      <c r="AN240" s="26">
        <v>54702472</v>
      </c>
      <c r="AO240" s="26">
        <v>21641824</v>
      </c>
      <c r="AP240" s="41">
        <v>53.552</v>
      </c>
      <c r="AQ240" s="41">
        <v>55.165799999999997</v>
      </c>
      <c r="AR240" s="41">
        <v>55.084400000000002</v>
      </c>
      <c r="AS240" s="41"/>
      <c r="AT240" s="41">
        <v>48.130800000000001</v>
      </c>
      <c r="AU240" s="41">
        <v>48.130800000000001</v>
      </c>
      <c r="AV240" s="41">
        <v>48.130800000000001</v>
      </c>
      <c r="AW240" s="41"/>
      <c r="AX240" s="50">
        <v>11.811999999999999</v>
      </c>
      <c r="AY240" s="50">
        <v>9.125</v>
      </c>
      <c r="BA240" s="55">
        <f t="shared" si="83"/>
        <v>-3.8753722860626061E-3</v>
      </c>
      <c r="BB240" s="55">
        <f t="array" ref="BB240">AVERAGE(AM240:AM244/AL240:AL244)-AVERAGE(Q240:Q244/P240:P244)</f>
        <v>-7.0764413351672717E-3</v>
      </c>
      <c r="BD240" s="56">
        <f>IF(OR(ISBLANK(R240:R244),ISBLANK(AN240:AN244),ISBLANK(T240:T244),ISBLANK(AP240:AP244)),"·",bdRateExtend(R240:R244,T240:T244,AN240:AN244,AP240:AP244))</f>
        <v>3.8102078224254265E-2</v>
      </c>
      <c r="BE240" s="56">
        <f>IF(OR(ISBLANK(R240:R244),ISBLANK(AN240:AN244),ISBLANK(U240:U244),ISBLANK(AQ240:AQ244)),"·",bdRateExtend(R240:R244,U240:U244,AN240:AN244,AQ240:AQ244))</f>
        <v>3.3710533302388379E-2</v>
      </c>
      <c r="BF240" s="56">
        <f>IF(OR(ISBLANK(R240:R244),ISBLANK(AN240:AN244),ISBLANK(V240:V244),ISBLANK(AR240:AR244)),"·",bdRateExtend(R240:R244,V240:V244,AN240:AN244,AR240:AR244))</f>
        <v>3.333928731169733E-2</v>
      </c>
      <c r="BG240" s="56" t="str">
        <f>IF(OR(ISBLANK(S240:S244),ISBLANK(AO240:AO244),ISBLANK(W240:W244),ISBLANK(AS240:AS244)),"·",bdRateExtend(S240:S244,W240:W244,AO240:AO244,AS240:AS244))</f>
        <v>·</v>
      </c>
      <c r="BI240" s="56">
        <f>IF(OR(ISBLANK(R240:R244),ISBLANK(AN240:AN244),ISBLANK(X240:X244),ISBLANK(AT240:AT244)),"·",bdRateExtend(R240:R244,X240:X244,AN240:AN244,AT240:AT244))</f>
        <v>5.1404147459257477E-2</v>
      </c>
      <c r="BJ240" s="56">
        <f>IF(OR(ISBLANK(R240:R244),ISBLANK(AN240:AN244),ISBLANK(Y240:Y244),ISBLANK(AU240:AU244)),"·",bdRateExtend(R240:R244,Y240:Y244,AN240:AN244,AU240:AU244))</f>
        <v>5.1404147459257477E-2</v>
      </c>
      <c r="BK240" s="56">
        <f>IF(OR(ISBLANK(R240:R244),ISBLANK(AN240:AN244),ISBLANK(Z240:Z244),ISBLANK(AV240:AV244)),"·",bdRateExtend(R240:R244,Z240:Z244,AN240:AN244,AV240:AV244))</f>
        <v>5.1404147459257477E-2</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6.6735592181812464E-3</v>
      </c>
      <c r="BO240" s="56">
        <f>IF(OR(ISBLANK(P240:P244),ISBLANK(AL240:AL244),ISBLANK(U240:U244),ISBLANK(AQ240:AQ244)),"·",bdRateExtend(P240:P244,U240:U244,AL240:AL244,AQ240:AQ244))</f>
        <v>6.2629835803849065E-3</v>
      </c>
      <c r="BP240" s="56">
        <f>IF(OR(ISBLANK(P240:P244),ISBLANK(AL240:AL244),ISBLANK(V240:V244),ISBLANK(AR240:AR244)),"·",bdRateExtend(P240:P244,V240:V244,AL240:AL244,AR240:AR244))</f>
        <v>6.0836523668326148E-3</v>
      </c>
      <c r="BQ240" s="56" t="str">
        <f>IF(OR(ISBLANK(P240:P244),ISBLANK(AL240:AL244),ISBLANK(W240:W244),ISBLANK(AS240:AS244)),"·",bdRateExtend(P240:P244,W240:W244,AL240:AL244,AS240:AS244))</f>
        <v>·</v>
      </c>
      <c r="BS240" s="56">
        <f>IF(OR(ISBLANK(P240:P244),ISBLANK(AL240:AL244),ISBLANK(X240:X244),ISBLANK(AT240:AT244)),"·",bdRateExtend(P240:P244,X240:X244,AL240:AL244,AT240:AT244))</f>
        <v>9.3716876167988516E-3</v>
      </c>
      <c r="BT240" s="56">
        <f>IF(OR(ISBLANK(P240:P244),ISBLANK(AL240:AL244),ISBLANK(Y240:Y244),ISBLANK(AU240:AU244)),"·",bdRateExtend(P240:P244,Y240:Y244,AL240:AL244,AU240:AU244))</f>
        <v>9.3716876167988516E-3</v>
      </c>
      <c r="BU240" s="56">
        <f>IF(OR(ISBLANK(P240:P244),ISBLANK(AL240:AL244),ISBLANK(Z240:Z244),ISBLANK(AV240:AV244)),"·",bdRateExtend(P240:P244,Z240:Z244,AL240:AL244,AV240:AV244))</f>
        <v>9.3716876167988516E-3</v>
      </c>
      <c r="BV240" s="56" t="str">
        <f>IF(OR(ISBLANK(P240:P244),ISBLANK(AL240:AL244),ISBLANK(AA240:AA244),ISBLANK(AW240:AW244)),"·",bdRateExtend(P240:P244,AA240:AA244,AL240:AL244,AW240:AW244))</f>
        <v>·</v>
      </c>
      <c r="BX240">
        <f t="shared" si="84"/>
        <v>0</v>
      </c>
      <c r="BY240">
        <f t="shared" si="85"/>
        <v>1214200</v>
      </c>
      <c r="BZ240">
        <f t="shared" si="86"/>
        <v>0</v>
      </c>
      <c r="CA240">
        <f t="shared" si="87"/>
        <v>962160</v>
      </c>
      <c r="CB240">
        <f t="shared" si="88"/>
        <v>252040</v>
      </c>
      <c r="CC240">
        <f t="shared" si="89"/>
        <v>0.12749999999999773</v>
      </c>
      <c r="CD240">
        <f t="shared" si="90"/>
        <v>0.12529999999999575</v>
      </c>
      <c r="CE240">
        <f t="shared" si="91"/>
        <v>0.14229999999999876</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31.562644789113989</v>
      </c>
      <c r="K241" s="18">
        <f t="shared" si="75"/>
        <v>20.815736921414327</v>
      </c>
      <c r="L241" s="18">
        <f t="shared" si="76"/>
        <v>7.6406185786693861</v>
      </c>
      <c r="M241" s="18">
        <f t="shared" si="97"/>
        <v>3.1059955250460431</v>
      </c>
      <c r="N241" s="18">
        <f t="shared" si="77"/>
        <v>31.562644789113989</v>
      </c>
      <c r="O241" s="20">
        <v>5255920</v>
      </c>
      <c r="P241" s="21">
        <v>165890736</v>
      </c>
      <c r="Q241" s="21">
        <v>109405848</v>
      </c>
      <c r="R241" s="21">
        <v>40158480</v>
      </c>
      <c r="S241" s="21">
        <v>16324864</v>
      </c>
      <c r="T241" s="38">
        <v>48.588799999999999</v>
      </c>
      <c r="U241" s="38">
        <v>50.590800000000002</v>
      </c>
      <c r="V241" s="38">
        <v>50.305</v>
      </c>
      <c r="W241" s="38"/>
      <c r="X241" s="38">
        <v>42.110199999999999</v>
      </c>
      <c r="Y241" s="38">
        <v>42.110199999999999</v>
      </c>
      <c r="Z241" s="38">
        <v>42.110199999999999</v>
      </c>
      <c r="AA241" s="38"/>
      <c r="AB241" s="49">
        <v>11.234</v>
      </c>
      <c r="AC241" s="49">
        <v>8.875</v>
      </c>
      <c r="AE241" s="17" t="str">
        <f t="shared" si="78"/>
        <v>·</v>
      </c>
      <c r="AF241" s="18">
        <f t="shared" si="79"/>
        <v>31.804981810986469</v>
      </c>
      <c r="AG241" s="18">
        <f t="shared" si="80"/>
        <v>20.815736921414327</v>
      </c>
      <c r="AH241" s="18">
        <f t="shared" si="81"/>
        <v>7.8274494284540097</v>
      </c>
      <c r="AI241" s="18">
        <f t="shared" si="98"/>
        <v>3.1615016971338985</v>
      </c>
      <c r="AJ241" s="18">
        <f t="shared" si="82"/>
        <v>31.804981810986469</v>
      </c>
      <c r="AK241" s="20">
        <v>5255920</v>
      </c>
      <c r="AL241" s="21">
        <v>167164440</v>
      </c>
      <c r="AM241" s="21">
        <v>109405848</v>
      </c>
      <c r="AN241" s="21">
        <v>41140448</v>
      </c>
      <c r="AO241" s="21">
        <v>16616600</v>
      </c>
      <c r="AP241" s="38">
        <v>48.699599999999997</v>
      </c>
      <c r="AQ241" s="38">
        <v>50.686199999999999</v>
      </c>
      <c r="AR241" s="38">
        <v>50.407400000000003</v>
      </c>
      <c r="AS241" s="38"/>
      <c r="AT241" s="38">
        <v>42.110199999999999</v>
      </c>
      <c r="AU241" s="38">
        <v>42.110199999999999</v>
      </c>
      <c r="AV241" s="38">
        <v>42.110199999999999</v>
      </c>
      <c r="AW241" s="38"/>
      <c r="AX241" s="49">
        <v>11.593</v>
      </c>
      <c r="AY241" s="49">
        <v>9.0310000000000006</v>
      </c>
      <c r="BA241" s="53">
        <f t="shared" si="83"/>
        <v>-5.0250804332936383E-3</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1273704</v>
      </c>
      <c r="BZ241">
        <f t="shared" si="86"/>
        <v>0</v>
      </c>
      <c r="CA241">
        <f t="shared" si="87"/>
        <v>981968</v>
      </c>
      <c r="CB241">
        <f t="shared" si="88"/>
        <v>291736</v>
      </c>
      <c r="CC241">
        <f t="shared" si="89"/>
        <v>0.11079999999999757</v>
      </c>
      <c r="CD241">
        <f t="shared" si="90"/>
        <v>9.5399999999997931E-2</v>
      </c>
      <c r="CE241">
        <f t="shared" si="91"/>
        <v>0.10240000000000293</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27.621962282530937</v>
      </c>
      <c r="K242" s="23">
        <f t="shared" si="75"/>
        <v>20.815736921414327</v>
      </c>
      <c r="L242" s="23">
        <f t="shared" si="76"/>
        <v>4.7843909344130049</v>
      </c>
      <c r="M242" s="23">
        <f t="shared" si="97"/>
        <v>2.0215406627193717</v>
      </c>
      <c r="N242" s="23">
        <f t="shared" si="77"/>
        <v>27.621962282530937</v>
      </c>
      <c r="O242" s="25">
        <v>5255920</v>
      </c>
      <c r="P242" s="26">
        <v>145178824</v>
      </c>
      <c r="Q242" s="26">
        <v>109405848</v>
      </c>
      <c r="R242" s="26">
        <v>25146376</v>
      </c>
      <c r="S242" s="26">
        <v>10625056</v>
      </c>
      <c r="T242" s="41">
        <v>41.497300000000003</v>
      </c>
      <c r="U242" s="41">
        <v>44.676299999999998</v>
      </c>
      <c r="V242" s="41">
        <v>44.447499999999998</v>
      </c>
      <c r="W242" s="41"/>
      <c r="X242" s="41">
        <v>34.151400000000002</v>
      </c>
      <c r="Y242" s="41">
        <v>34.151400000000002</v>
      </c>
      <c r="Z242" s="41">
        <v>34.151400000000002</v>
      </c>
      <c r="AA242" s="41"/>
      <c r="AB242" s="50">
        <v>10.936999999999999</v>
      </c>
      <c r="AC242" s="50">
        <v>8.8279999999999994</v>
      </c>
      <c r="AE242" s="22" t="str">
        <f t="shared" si="78"/>
        <v>·</v>
      </c>
      <c r="AF242" s="23">
        <f t="shared" si="79"/>
        <v>27.88978371055876</v>
      </c>
      <c r="AG242" s="23">
        <f t="shared" si="80"/>
        <v>20.815736921414327</v>
      </c>
      <c r="AH242" s="23">
        <f t="shared" si="81"/>
        <v>4.9920638061462119</v>
      </c>
      <c r="AI242" s="23">
        <f t="shared" si="98"/>
        <v>2.0816892190139882</v>
      </c>
      <c r="AJ242" s="23">
        <f t="shared" si="82"/>
        <v>27.88978371055876</v>
      </c>
      <c r="AK242" s="25">
        <v>5255920</v>
      </c>
      <c r="AL242" s="26">
        <v>146586472</v>
      </c>
      <c r="AM242" s="26">
        <v>109405848</v>
      </c>
      <c r="AN242" s="26">
        <v>26237888</v>
      </c>
      <c r="AO242" s="26">
        <v>10941192</v>
      </c>
      <c r="AP242" s="41">
        <v>41.639099999999999</v>
      </c>
      <c r="AQ242" s="41">
        <v>44.800800000000002</v>
      </c>
      <c r="AR242" s="41">
        <v>44.59</v>
      </c>
      <c r="AS242" s="41"/>
      <c r="AT242" s="41">
        <v>34.151400000000002</v>
      </c>
      <c r="AU242" s="41">
        <v>34.151400000000002</v>
      </c>
      <c r="AV242" s="41">
        <v>34.151400000000002</v>
      </c>
      <c r="AW242" s="41"/>
      <c r="AX242" s="50">
        <v>11.39</v>
      </c>
      <c r="AY242" s="50">
        <v>8.7650000000000006</v>
      </c>
      <c r="BA242" s="55">
        <f t="shared" si="83"/>
        <v>-7.2366478194384465E-3</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1407648</v>
      </c>
      <c r="BZ242">
        <f t="shared" si="86"/>
        <v>0</v>
      </c>
      <c r="CA242">
        <f t="shared" si="87"/>
        <v>1091512</v>
      </c>
      <c r="CB242">
        <f t="shared" si="88"/>
        <v>316136</v>
      </c>
      <c r="CC242">
        <f t="shared" si="89"/>
        <v>0.14179999999999637</v>
      </c>
      <c r="CD242">
        <f t="shared" si="90"/>
        <v>0.12450000000000472</v>
      </c>
      <c r="CE242">
        <f t="shared" si="91"/>
        <v>0.1425000000000054</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24.927281998203931</v>
      </c>
      <c r="K243" s="18">
        <f t="shared" si="75"/>
        <v>20.815736921414327</v>
      </c>
      <c r="L243" s="18">
        <f t="shared" si="76"/>
        <v>2.8920044445120929</v>
      </c>
      <c r="M243" s="18">
        <f t="shared" si="97"/>
        <v>1.2192468682932769</v>
      </c>
      <c r="N243" s="18">
        <f t="shared" si="77"/>
        <v>24.927281998203931</v>
      </c>
      <c r="O243" s="20">
        <v>5255920</v>
      </c>
      <c r="P243" s="21">
        <v>131015800</v>
      </c>
      <c r="Q243" s="21">
        <v>109405848</v>
      </c>
      <c r="R243" s="21">
        <v>15200144</v>
      </c>
      <c r="S243" s="21">
        <v>6408264</v>
      </c>
      <c r="T243" s="38">
        <v>35.845399999999998</v>
      </c>
      <c r="U243" s="38">
        <v>40.283099999999997</v>
      </c>
      <c r="V243" s="38">
        <v>39.804699999999997</v>
      </c>
      <c r="W243" s="38"/>
      <c r="X243" s="38">
        <v>28.130800000000001</v>
      </c>
      <c r="Y243" s="38">
        <v>28.130800000000001</v>
      </c>
      <c r="Z243" s="38">
        <v>28.130800000000001</v>
      </c>
      <c r="AA243" s="38"/>
      <c r="AB243" s="49">
        <v>10.827999999999999</v>
      </c>
      <c r="AC243" s="49">
        <v>8.5459999999999994</v>
      </c>
      <c r="AE243" s="17" t="str">
        <f t="shared" si="78"/>
        <v>·</v>
      </c>
      <c r="AF243" s="18">
        <f t="shared" si="79"/>
        <v>25.206462807653086</v>
      </c>
      <c r="AG243" s="18">
        <f t="shared" si="80"/>
        <v>20.815736921414327</v>
      </c>
      <c r="AH243" s="18">
        <f t="shared" si="81"/>
        <v>3.1044582109316732</v>
      </c>
      <c r="AI243" s="18">
        <f t="shared" si="98"/>
        <v>1.2859739113228512</v>
      </c>
      <c r="AJ243" s="18">
        <f t="shared" si="82"/>
        <v>25.206462807653086</v>
      </c>
      <c r="AK243" s="20">
        <v>5255920</v>
      </c>
      <c r="AL243" s="21">
        <v>132483152</v>
      </c>
      <c r="AM243" s="21">
        <v>109405848</v>
      </c>
      <c r="AN243" s="21">
        <v>16316784</v>
      </c>
      <c r="AO243" s="21">
        <v>6758976</v>
      </c>
      <c r="AP243" s="38">
        <v>36.0336</v>
      </c>
      <c r="AQ243" s="38">
        <v>40.444699999999997</v>
      </c>
      <c r="AR243" s="38">
        <v>39.985599999999998</v>
      </c>
      <c r="AS243" s="38"/>
      <c r="AT243" s="38">
        <v>28.130800000000001</v>
      </c>
      <c r="AU243" s="38">
        <v>28.130800000000001</v>
      </c>
      <c r="AV243" s="38">
        <v>28.130800000000001</v>
      </c>
      <c r="AW243" s="38"/>
      <c r="AX243" s="49">
        <v>11.14</v>
      </c>
      <c r="AY243" s="49">
        <v>8.6560000000000006</v>
      </c>
      <c r="BA243" s="53">
        <f t="shared" si="83"/>
        <v>-9.248909284266027E-3</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1467352</v>
      </c>
      <c r="BZ243">
        <f t="shared" si="86"/>
        <v>0</v>
      </c>
      <c r="CA243">
        <f t="shared" si="87"/>
        <v>1116640</v>
      </c>
      <c r="CB243">
        <f t="shared" si="88"/>
        <v>350712</v>
      </c>
      <c r="CC243">
        <f t="shared" si="89"/>
        <v>0.18820000000000192</v>
      </c>
      <c r="CD243">
        <f t="shared" si="90"/>
        <v>0.16159999999999997</v>
      </c>
      <c r="CE243">
        <f t="shared" si="91"/>
        <v>0.18090000000000117</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22.943859115055023</v>
      </c>
      <c r="K244" s="33">
        <f t="shared" si="75"/>
        <v>20.815736921414327</v>
      </c>
      <c r="L244" s="33">
        <f t="shared" si="76"/>
        <v>1.5013211768824488</v>
      </c>
      <c r="M244" s="33">
        <f t="shared" si="97"/>
        <v>0.62650725277401487</v>
      </c>
      <c r="N244" s="33">
        <f t="shared" si="77"/>
        <v>22.943859115055023</v>
      </c>
      <c r="O244" s="35">
        <v>5255920</v>
      </c>
      <c r="P244" s="36">
        <v>120591088</v>
      </c>
      <c r="Q244" s="36">
        <v>109405848</v>
      </c>
      <c r="R244" s="36">
        <v>7890824</v>
      </c>
      <c r="S244" s="36">
        <v>3292872</v>
      </c>
      <c r="T244" s="47">
        <v>29.314399999999999</v>
      </c>
      <c r="U244" s="47">
        <v>36.035600000000002</v>
      </c>
      <c r="V244" s="47">
        <v>35.3127</v>
      </c>
      <c r="W244" s="47"/>
      <c r="X244" s="47">
        <v>21.686399999999999</v>
      </c>
      <c r="Y244" s="47">
        <v>21.686399999999999</v>
      </c>
      <c r="Z244" s="47">
        <v>21.686399999999999</v>
      </c>
      <c r="AA244" s="47"/>
      <c r="AB244" s="52">
        <v>10.843</v>
      </c>
      <c r="AC244" s="52">
        <v>8.468</v>
      </c>
      <c r="AE244" s="32" t="str">
        <f t="shared" si="78"/>
        <v>·</v>
      </c>
      <c r="AF244" s="33">
        <f t="shared" si="79"/>
        <v>23.199474877852023</v>
      </c>
      <c r="AG244" s="33">
        <f t="shared" si="80"/>
        <v>20.815736921414327</v>
      </c>
      <c r="AH244" s="33">
        <f t="shared" si="81"/>
        <v>1.6989984626858856</v>
      </c>
      <c r="AI244" s="33">
        <f t="shared" si="98"/>
        <v>0.68444572976757634</v>
      </c>
      <c r="AJ244" s="33">
        <f t="shared" si="82"/>
        <v>23.199474877852023</v>
      </c>
      <c r="AK244" s="35">
        <v>5255920</v>
      </c>
      <c r="AL244" s="36">
        <v>121934584</v>
      </c>
      <c r="AM244" s="36">
        <v>109405848</v>
      </c>
      <c r="AN244" s="36">
        <v>8929800</v>
      </c>
      <c r="AO244" s="36">
        <v>3597392</v>
      </c>
      <c r="AP244" s="47">
        <v>29.724399999999999</v>
      </c>
      <c r="AQ244" s="47">
        <v>36.324599999999997</v>
      </c>
      <c r="AR244" s="47">
        <v>35.6051</v>
      </c>
      <c r="AS244" s="47"/>
      <c r="AT244" s="47">
        <v>21.686399999999999</v>
      </c>
      <c r="AU244" s="47">
        <v>21.686399999999999</v>
      </c>
      <c r="AV244" s="47">
        <v>21.686399999999999</v>
      </c>
      <c r="AW244" s="47"/>
      <c r="AX244" s="52">
        <v>11.061999999999999</v>
      </c>
      <c r="AY244" s="52">
        <v>8.625</v>
      </c>
      <c r="BA244" s="59">
        <f t="shared" si="83"/>
        <v>-9.9961968527753076E-3</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1343496</v>
      </c>
      <c r="BZ244">
        <f t="shared" si="86"/>
        <v>0</v>
      </c>
      <c r="CA244">
        <f t="shared" si="87"/>
        <v>1038976</v>
      </c>
      <c r="CB244">
        <f t="shared" si="88"/>
        <v>304520</v>
      </c>
      <c r="CC244">
        <f t="shared" si="89"/>
        <v>0.41000000000000014</v>
      </c>
      <c r="CD244">
        <f t="shared" si="90"/>
        <v>0.28899999999999437</v>
      </c>
      <c r="CE244">
        <f t="shared" si="91"/>
        <v>0.29240000000000066</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33.578080821250175</v>
      </c>
      <c r="K245" s="18">
        <f t="shared" si="75"/>
        <v>20.74781842832834</v>
      </c>
      <c r="L245" s="18">
        <f t="shared" si="76"/>
        <v>8.9320099444416154</v>
      </c>
      <c r="M245" s="18">
        <f t="shared" si="97"/>
        <v>3.8979704319050277</v>
      </c>
      <c r="N245" s="18">
        <f t="shared" si="77"/>
        <v>33.578080821250175</v>
      </c>
      <c r="O245" s="20">
        <v>7148516</v>
      </c>
      <c r="P245" s="21">
        <v>240033448</v>
      </c>
      <c r="Q245" s="21">
        <v>148316112</v>
      </c>
      <c r="R245" s="21">
        <v>63850616</v>
      </c>
      <c r="S245" s="21">
        <v>27864704</v>
      </c>
      <c r="T245" s="38">
        <v>53.363500000000002</v>
      </c>
      <c r="U245" s="38">
        <v>55.131300000000003</v>
      </c>
      <c r="V245" s="38">
        <v>55.027099999999997</v>
      </c>
      <c r="W245" s="38"/>
      <c r="X245" s="38">
        <v>48.130800000000001</v>
      </c>
      <c r="Y245" s="38">
        <v>48.130800000000001</v>
      </c>
      <c r="Z245" s="38">
        <v>48.130800000000001</v>
      </c>
      <c r="AA245" s="38"/>
      <c r="AB245" s="49">
        <v>15.359</v>
      </c>
      <c r="AC245" s="49">
        <v>11.936999999999999</v>
      </c>
      <c r="AE245" s="17" t="str">
        <f t="shared" si="78"/>
        <v>·</v>
      </c>
      <c r="AF245" s="18">
        <f t="shared" si="79"/>
        <v>33.800797815938303</v>
      </c>
      <c r="AG245" s="18">
        <f t="shared" si="80"/>
        <v>20.74781842832834</v>
      </c>
      <c r="AH245" s="18">
        <f t="shared" si="81"/>
        <v>9.0806371560195149</v>
      </c>
      <c r="AI245" s="18">
        <f t="shared" si="98"/>
        <v>3.9720602150152562</v>
      </c>
      <c r="AJ245" s="18">
        <f t="shared" si="82"/>
        <v>33.800797815938303</v>
      </c>
      <c r="AK245" s="20">
        <v>7148516</v>
      </c>
      <c r="AL245" s="21">
        <v>241625544</v>
      </c>
      <c r="AM245" s="21">
        <v>148316112</v>
      </c>
      <c r="AN245" s="21">
        <v>64913080</v>
      </c>
      <c r="AO245" s="21">
        <v>28394336</v>
      </c>
      <c r="AP245" s="38">
        <v>53.454599999999999</v>
      </c>
      <c r="AQ245" s="38">
        <v>55.223199999999999</v>
      </c>
      <c r="AR245" s="38">
        <v>55.122799999999998</v>
      </c>
      <c r="AS245" s="38"/>
      <c r="AT245" s="38">
        <v>48.130800000000001</v>
      </c>
      <c r="AU245" s="38">
        <v>48.130800000000001</v>
      </c>
      <c r="AV245" s="38">
        <v>48.130800000000001</v>
      </c>
      <c r="AW245" s="38"/>
      <c r="AX245" s="49">
        <v>15.827999999999999</v>
      </c>
      <c r="AY245" s="49">
        <v>12.156000000000001</v>
      </c>
      <c r="BA245" s="53">
        <f t="shared" si="83"/>
        <v>-4.071392525234363E-3</v>
      </c>
      <c r="BB245" s="53">
        <f t="array" ref="BB245">AVERAGE(AM245:AM249/AL245:AL249)-AVERAGE(Q245:Q249/P245:P249)</f>
        <v>-7.9205232114328838E-3</v>
      </c>
      <c r="BD245" s="54">
        <f>IF(OR(ISBLANK(R245:R249),ISBLANK(AN245:AN249),ISBLANK(T245:T249),ISBLANK(AP245:AP249)),"·",bdRateExtend(R245:R249,T245:T249,AN245:AN249,AP245:AP249))</f>
        <v>4.2611705478658113E-2</v>
      </c>
      <c r="BE245" s="54">
        <f>IF(OR(ISBLANK(R245:R249),ISBLANK(AN245:AN249),ISBLANK(U245:U249),ISBLANK(AQ245:AQ249)),"·",bdRateExtend(R245:R249,U245:U249,AN245:AN249,AQ245:AQ249))</f>
        <v>3.600094797910125E-2</v>
      </c>
      <c r="BF245" s="54">
        <f>IF(OR(ISBLANK(R245:R249),ISBLANK(AN245:AN249),ISBLANK(V245:V249),ISBLANK(AR245:AR249)),"·",bdRateExtend(R245:R249,V245:V249,AN245:AN249,AR245:AR249))</f>
        <v>3.998812631590476E-2</v>
      </c>
      <c r="BG245" s="54" t="str">
        <f>IF(OR(ISBLANK(S245:S249),ISBLANK(AO245:AO249),ISBLANK(W245:W249),ISBLANK(AS245:AS249)),"·",bdRateExtend(S245:S249,W245:W249,AO245:AO249,AS245:AS249))</f>
        <v>·</v>
      </c>
      <c r="BI245" s="54">
        <f>IF(OR(ISBLANK(R245:R249),ISBLANK(AN245:AN249),ISBLANK(X245:X249),ISBLANK(AT245:AT249)),"·",bdRateExtend(R245:R249,X245:X249,AN245:AN249,AT245:AT249))</f>
        <v>5.4742195165177865E-2</v>
      </c>
      <c r="BJ245" s="54">
        <f>IF(OR(ISBLANK(R245:R249),ISBLANK(AN245:AN249),ISBLANK(Y245:Y249),ISBLANK(AU245:AU249)),"·",bdRateExtend(R245:R249,Y245:Y249,AN245:AN249,AU245:AU249))</f>
        <v>5.4742195165177865E-2</v>
      </c>
      <c r="BK245" s="54">
        <f>IF(OR(ISBLANK(R245:R249),ISBLANK(AN245:AN249),ISBLANK(Z245:Z249),ISBLANK(AV245:AV249)),"·",bdRateExtend(R245:R249,Z245:Z249,AN245:AN249,AV245:AV249))</f>
        <v>5.4742195165177865E-2</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8.2043965186300305E-3</v>
      </c>
      <c r="BO245" s="54">
        <f>IF(OR(ISBLANK(P245:P249),ISBLANK(AL245:AL249),ISBLANK(U245:U249),ISBLANK(AQ245:AQ249)),"·",bdRateExtend(P245:P249,U245:U249,AL245:AL249,AQ245:AQ249))</f>
        <v>7.4775998426028778E-3</v>
      </c>
      <c r="BP245" s="54">
        <f>IF(OR(ISBLANK(P245:P249),ISBLANK(AL245:AL249),ISBLANK(V245:V249),ISBLANK(AR245:AR249)),"·",bdRateExtend(P245:P249,V245:V249,AL245:AL249,AR245:AR249))</f>
        <v>7.8397612455349819E-3</v>
      </c>
      <c r="BQ245" s="54" t="str">
        <f>IF(OR(ISBLANK(P245:P249),ISBLANK(AL245:AL249),ISBLANK(W245:W249),ISBLANK(AS245:AS249)),"·",bdRateExtend(P245:P249,W245:W249,AL245:AL249,AS245:AS249))</f>
        <v>·</v>
      </c>
      <c r="BS245" s="54">
        <f>IF(OR(ISBLANK(P245:P249),ISBLANK(AL245:AL249),ISBLANK(X245:X249),ISBLANK(AT245:AT249)),"·",bdRateExtend(P245:P249,X245:X249,AL245:AL249,AT245:AT249))</f>
        <v>1.0178122832085856E-2</v>
      </c>
      <c r="BT245" s="54">
        <f>IF(OR(ISBLANK(P245:P249),ISBLANK(AL245:AL249),ISBLANK(Y245:Y249),ISBLANK(AU245:AU249)),"·",bdRateExtend(P245:P249,Y245:Y249,AL245:AL249,AU245:AU249))</f>
        <v>1.0178122832085856E-2</v>
      </c>
      <c r="BU245" s="54">
        <f>IF(OR(ISBLANK(P245:P249),ISBLANK(AL245:AL249),ISBLANK(Z245:Z249),ISBLANK(AV245:AV249)),"·",bdRateExtend(P245:P249,Z245:Z249,AL245:AL249,AV245:AV249))</f>
        <v>1.0178122832085856E-2</v>
      </c>
      <c r="BV245" s="54" t="str">
        <f>IF(OR(ISBLANK(P245:P249),ISBLANK(AL245:AL249),ISBLANK(AA245:AA249),ISBLANK(AW245:AW249)),"·",bdRateExtend(P245:P249,AA245:AA249,AL245:AL249,AW245:AW249))</f>
        <v>·</v>
      </c>
      <c r="BX245">
        <f t="shared" si="84"/>
        <v>0</v>
      </c>
      <c r="BY245">
        <f t="shared" si="85"/>
        <v>1592096</v>
      </c>
      <c r="BZ245">
        <f t="shared" si="86"/>
        <v>0</v>
      </c>
      <c r="CA245">
        <f t="shared" si="87"/>
        <v>1062464</v>
      </c>
      <c r="CB245">
        <f t="shared" si="88"/>
        <v>529632</v>
      </c>
      <c r="CC245">
        <f t="shared" si="89"/>
        <v>9.1099999999997294E-2</v>
      </c>
      <c r="CD245">
        <f t="shared" si="90"/>
        <v>9.189999999999543E-2</v>
      </c>
      <c r="CE245">
        <f t="shared" si="91"/>
        <v>9.5700000000000784E-2</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30.176471871924186</v>
      </c>
      <c r="K246" s="23">
        <f t="shared" si="75"/>
        <v>20.74781842832834</v>
      </c>
      <c r="L246" s="23">
        <f t="shared" si="76"/>
        <v>6.4814078894136911</v>
      </c>
      <c r="M246" s="23">
        <f t="shared" si="97"/>
        <v>2.9469624184935728</v>
      </c>
      <c r="N246" s="23">
        <f t="shared" si="77"/>
        <v>30.176471871924186</v>
      </c>
      <c r="O246" s="25">
        <v>7148516</v>
      </c>
      <c r="P246" s="26">
        <v>215716992</v>
      </c>
      <c r="Q246" s="26">
        <v>148316112</v>
      </c>
      <c r="R246" s="26">
        <v>46332448</v>
      </c>
      <c r="S246" s="26">
        <v>21066408</v>
      </c>
      <c r="T246" s="41">
        <v>48.6402</v>
      </c>
      <c r="U246" s="41">
        <v>50.680199999999999</v>
      </c>
      <c r="V246" s="41">
        <v>50.400799999999997</v>
      </c>
      <c r="W246" s="41"/>
      <c r="X246" s="41">
        <v>42.110199999999999</v>
      </c>
      <c r="Y246" s="41">
        <v>42.110199999999999</v>
      </c>
      <c r="Z246" s="41">
        <v>42.110199999999999</v>
      </c>
      <c r="AA246" s="41"/>
      <c r="AB246" s="50">
        <v>14.984</v>
      </c>
      <c r="AC246" s="50">
        <v>11.859</v>
      </c>
      <c r="AE246" s="22" t="str">
        <f t="shared" si="78"/>
        <v>·</v>
      </c>
      <c r="AF246" s="23">
        <f t="shared" si="79"/>
        <v>30.422661150929788</v>
      </c>
      <c r="AG246" s="23">
        <f t="shared" si="80"/>
        <v>20.74781842832834</v>
      </c>
      <c r="AH246" s="23">
        <f t="shared" si="81"/>
        <v>6.6395251825693613</v>
      </c>
      <c r="AI246" s="23">
        <f t="shared" si="98"/>
        <v>3.0350344043435027</v>
      </c>
      <c r="AJ246" s="23">
        <f t="shared" si="82"/>
        <v>30.422661150929788</v>
      </c>
      <c r="AK246" s="25">
        <v>7148516</v>
      </c>
      <c r="AL246" s="26">
        <v>217476880</v>
      </c>
      <c r="AM246" s="26">
        <v>148316112</v>
      </c>
      <c r="AN246" s="26">
        <v>47462752</v>
      </c>
      <c r="AO246" s="26">
        <v>21695992</v>
      </c>
      <c r="AP246" s="41">
        <v>48.715400000000002</v>
      </c>
      <c r="AQ246" s="41">
        <v>50.748199999999997</v>
      </c>
      <c r="AR246" s="41">
        <v>50.472000000000001</v>
      </c>
      <c r="AS246" s="41"/>
      <c r="AT246" s="41">
        <v>42.110199999999999</v>
      </c>
      <c r="AU246" s="41">
        <v>42.110199999999999</v>
      </c>
      <c r="AV246" s="41">
        <v>42.110199999999999</v>
      </c>
      <c r="AW246" s="41"/>
      <c r="AX246" s="50">
        <v>15.670999999999999</v>
      </c>
      <c r="AY246" s="50">
        <v>11.936999999999999</v>
      </c>
      <c r="BA246" s="55">
        <f t="shared" si="83"/>
        <v>-5.5638564009434788E-3</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1759888</v>
      </c>
      <c r="BZ246">
        <f t="shared" si="86"/>
        <v>0</v>
      </c>
      <c r="CA246">
        <f t="shared" si="87"/>
        <v>1130304</v>
      </c>
      <c r="CB246">
        <f t="shared" si="88"/>
        <v>629584</v>
      </c>
      <c r="CC246">
        <f t="shared" si="89"/>
        <v>7.5200000000002376E-2</v>
      </c>
      <c r="CD246">
        <f t="shared" si="90"/>
        <v>6.799999999999784E-2</v>
      </c>
      <c r="CE246">
        <f t="shared" si="91"/>
        <v>7.1200000000004593E-2</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26.428520828658705</v>
      </c>
      <c r="K247" s="18">
        <f t="shared" si="75"/>
        <v>20.74781842832834</v>
      </c>
      <c r="L247" s="18">
        <f t="shared" si="76"/>
        <v>3.8056995326022913</v>
      </c>
      <c r="M247" s="18">
        <f t="shared" si="97"/>
        <v>1.8747197320394891</v>
      </c>
      <c r="N247" s="18">
        <f t="shared" si="77"/>
        <v>26.428520828658705</v>
      </c>
      <c r="O247" s="20">
        <v>7148516</v>
      </c>
      <c r="P247" s="21">
        <v>188924704</v>
      </c>
      <c r="Q247" s="21">
        <v>148316112</v>
      </c>
      <c r="R247" s="21">
        <v>27205104</v>
      </c>
      <c r="S247" s="21">
        <v>13401464</v>
      </c>
      <c r="T247" s="38">
        <v>41.628300000000003</v>
      </c>
      <c r="U247" s="38">
        <v>45.064799999999998</v>
      </c>
      <c r="V247" s="38">
        <v>44.784199999999998</v>
      </c>
      <c r="W247" s="38"/>
      <c r="X247" s="38">
        <v>34.151400000000002</v>
      </c>
      <c r="Y247" s="38">
        <v>34.151400000000002</v>
      </c>
      <c r="Z247" s="38">
        <v>34.151400000000002</v>
      </c>
      <c r="AA247" s="38"/>
      <c r="AB247" s="49">
        <v>14.64</v>
      </c>
      <c r="AC247" s="49">
        <v>11.484</v>
      </c>
      <c r="AE247" s="17" t="str">
        <f t="shared" si="78"/>
        <v>·</v>
      </c>
      <c r="AF247" s="18">
        <f t="shared" si="79"/>
        <v>26.709452982968774</v>
      </c>
      <c r="AG247" s="18">
        <f t="shared" si="80"/>
        <v>20.74781842832834</v>
      </c>
      <c r="AH247" s="18">
        <f t="shared" si="81"/>
        <v>3.9838165012150775</v>
      </c>
      <c r="AI247" s="18">
        <f t="shared" si="98"/>
        <v>1.9775349177367723</v>
      </c>
      <c r="AJ247" s="18">
        <f t="shared" si="82"/>
        <v>26.709452982968774</v>
      </c>
      <c r="AK247" s="20">
        <v>7148516</v>
      </c>
      <c r="AL247" s="21">
        <v>190932952</v>
      </c>
      <c r="AM247" s="21">
        <v>148316112</v>
      </c>
      <c r="AN247" s="21">
        <v>28478376</v>
      </c>
      <c r="AO247" s="21">
        <v>14136440</v>
      </c>
      <c r="AP247" s="38">
        <v>41.732700000000001</v>
      </c>
      <c r="AQ247" s="38">
        <v>45.171599999999998</v>
      </c>
      <c r="AR247" s="38">
        <v>44.894599999999997</v>
      </c>
      <c r="AS247" s="38"/>
      <c r="AT247" s="38">
        <v>34.151400000000002</v>
      </c>
      <c r="AU247" s="38">
        <v>34.151400000000002</v>
      </c>
      <c r="AV247" s="38">
        <v>34.151400000000002</v>
      </c>
      <c r="AW247" s="38"/>
      <c r="AX247" s="49">
        <v>15.218</v>
      </c>
      <c r="AY247" s="49">
        <v>11.64</v>
      </c>
      <c r="BA247" s="53">
        <f t="shared" si="83"/>
        <v>-8.2572614842734149E-3</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2008248</v>
      </c>
      <c r="BZ247">
        <f t="shared" si="86"/>
        <v>0</v>
      </c>
      <c r="CA247">
        <f t="shared" si="87"/>
        <v>1273272</v>
      </c>
      <c r="CB247">
        <f t="shared" si="88"/>
        <v>734976</v>
      </c>
      <c r="CC247">
        <f t="shared" si="89"/>
        <v>0.10439999999999827</v>
      </c>
      <c r="CD247">
        <f t="shared" si="90"/>
        <v>0.10679999999999978</v>
      </c>
      <c r="CE247">
        <f t="shared" si="91"/>
        <v>0.1103999999999985</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24.126993630566119</v>
      </c>
      <c r="K248" s="23">
        <f t="shared" si="75"/>
        <v>20.74781842832834</v>
      </c>
      <c r="L248" s="23">
        <f t="shared" si="76"/>
        <v>2.2515621424082983</v>
      </c>
      <c r="M248" s="23">
        <f t="shared" si="97"/>
        <v>1.1273299241408987</v>
      </c>
      <c r="N248" s="23">
        <f t="shared" si="77"/>
        <v>24.126993630566119</v>
      </c>
      <c r="O248" s="25">
        <v>7148516</v>
      </c>
      <c r="P248" s="26">
        <v>172472200</v>
      </c>
      <c r="Q248" s="26">
        <v>148316112</v>
      </c>
      <c r="R248" s="26">
        <v>16095328</v>
      </c>
      <c r="S248" s="26">
        <v>8058736</v>
      </c>
      <c r="T248" s="41">
        <v>35.9377</v>
      </c>
      <c r="U248" s="41">
        <v>40.737299999999998</v>
      </c>
      <c r="V248" s="41">
        <v>40.2027</v>
      </c>
      <c r="W248" s="41"/>
      <c r="X248" s="41">
        <v>28.130800000000001</v>
      </c>
      <c r="Y248" s="41">
        <v>28.130800000000001</v>
      </c>
      <c r="Z248" s="41">
        <v>28.130800000000001</v>
      </c>
      <c r="AA248" s="41"/>
      <c r="AB248" s="50">
        <v>14.577999999999999</v>
      </c>
      <c r="AC248" s="50">
        <v>11.5</v>
      </c>
      <c r="AE248" s="22" t="str">
        <f t="shared" si="78"/>
        <v>·</v>
      </c>
      <c r="AF248" s="23">
        <f t="shared" si="79"/>
        <v>24.424985549448305</v>
      </c>
      <c r="AG248" s="23">
        <f t="shared" si="80"/>
        <v>20.74781842832834</v>
      </c>
      <c r="AH248" s="23">
        <f t="shared" si="81"/>
        <v>2.4334717863120123</v>
      </c>
      <c r="AI248" s="23">
        <f t="shared" si="98"/>
        <v>1.2434121991193696</v>
      </c>
      <c r="AJ248" s="23">
        <f t="shared" si="82"/>
        <v>24.424985549448305</v>
      </c>
      <c r="AK248" s="25">
        <v>7148516</v>
      </c>
      <c r="AL248" s="26">
        <v>174602400</v>
      </c>
      <c r="AM248" s="26">
        <v>148316112</v>
      </c>
      <c r="AN248" s="26">
        <v>17395712</v>
      </c>
      <c r="AO248" s="26">
        <v>8888552</v>
      </c>
      <c r="AP248" s="41">
        <v>36.104999999999997</v>
      </c>
      <c r="AQ248" s="41">
        <v>40.911099999999998</v>
      </c>
      <c r="AR248" s="41">
        <v>40.349800000000002</v>
      </c>
      <c r="AS248" s="41"/>
      <c r="AT248" s="41">
        <v>28.130800000000001</v>
      </c>
      <c r="AU248" s="41">
        <v>28.130800000000001</v>
      </c>
      <c r="AV248" s="41">
        <v>28.130800000000001</v>
      </c>
      <c r="AW248" s="41"/>
      <c r="AX248" s="50">
        <v>14.984</v>
      </c>
      <c r="AY248" s="50">
        <v>11.561999999999999</v>
      </c>
      <c r="BA248" s="55">
        <f t="shared" si="83"/>
        <v>-1.0491543857700014E-2</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2130200</v>
      </c>
      <c r="BZ248">
        <f t="shared" si="86"/>
        <v>0</v>
      </c>
      <c r="CA248">
        <f t="shared" si="87"/>
        <v>1300384</v>
      </c>
      <c r="CB248">
        <f t="shared" si="88"/>
        <v>829816</v>
      </c>
      <c r="CC248">
        <f t="shared" si="89"/>
        <v>0.16729999999999734</v>
      </c>
      <c r="CD248">
        <f t="shared" si="90"/>
        <v>0.17379999999999995</v>
      </c>
      <c r="CE248">
        <f t="shared" si="91"/>
        <v>0.14710000000000178</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22.50929955252251</v>
      </c>
      <c r="K249" s="28">
        <f t="shared" si="75"/>
        <v>20.74781842832834</v>
      </c>
      <c r="L249" s="28">
        <f t="shared" si="76"/>
        <v>1.1648235801668487</v>
      </c>
      <c r="M249" s="28">
        <f t="shared" si="97"/>
        <v>0.59637440833873767</v>
      </c>
      <c r="N249" s="28">
        <f t="shared" si="77"/>
        <v>22.50929955252251</v>
      </c>
      <c r="O249" s="30">
        <v>7148516</v>
      </c>
      <c r="P249" s="31">
        <v>160908088</v>
      </c>
      <c r="Q249" s="31">
        <v>148316112</v>
      </c>
      <c r="R249" s="31">
        <v>8326760</v>
      </c>
      <c r="S249" s="31">
        <v>4263192</v>
      </c>
      <c r="T249" s="44">
        <v>29.489799999999999</v>
      </c>
      <c r="U249" s="44">
        <v>36.135300000000001</v>
      </c>
      <c r="V249" s="44">
        <v>35.448500000000003</v>
      </c>
      <c r="W249" s="44"/>
      <c r="X249" s="44">
        <v>21.686399999999999</v>
      </c>
      <c r="Y249" s="44">
        <v>21.686399999999999</v>
      </c>
      <c r="Z249" s="44">
        <v>21.686399999999999</v>
      </c>
      <c r="AA249" s="44"/>
      <c r="AB249" s="51">
        <v>14.406000000000001</v>
      </c>
      <c r="AC249" s="51">
        <v>11.311999999999999</v>
      </c>
      <c r="AE249" s="27" t="str">
        <f t="shared" si="78"/>
        <v>·</v>
      </c>
      <c r="AF249" s="28">
        <f t="shared" si="79"/>
        <v>22.786635995498926</v>
      </c>
      <c r="AG249" s="28">
        <f t="shared" si="80"/>
        <v>20.74781842832834</v>
      </c>
      <c r="AH249" s="28">
        <f t="shared" si="81"/>
        <v>1.3271979806717926</v>
      </c>
      <c r="AI249" s="28">
        <f t="shared" si="98"/>
        <v>0.71133645081021013</v>
      </c>
      <c r="AJ249" s="28">
        <f t="shared" si="82"/>
        <v>22.786635995498926</v>
      </c>
      <c r="AK249" s="30">
        <v>7148516</v>
      </c>
      <c r="AL249" s="31">
        <v>162890632</v>
      </c>
      <c r="AM249" s="31">
        <v>148316112</v>
      </c>
      <c r="AN249" s="31">
        <v>9487496</v>
      </c>
      <c r="AO249" s="31">
        <v>5085000</v>
      </c>
      <c r="AP249" s="44">
        <v>29.944600000000001</v>
      </c>
      <c r="AQ249" s="44">
        <v>36.573900000000002</v>
      </c>
      <c r="AR249" s="44">
        <v>35.721800000000002</v>
      </c>
      <c r="AS249" s="44"/>
      <c r="AT249" s="44">
        <v>21.686399999999999</v>
      </c>
      <c r="AU249" s="44">
        <v>21.686399999999999</v>
      </c>
      <c r="AV249" s="44">
        <v>21.686399999999999</v>
      </c>
      <c r="AW249" s="44"/>
      <c r="AX249" s="51">
        <v>14.781000000000001</v>
      </c>
      <c r="AY249" s="51">
        <v>11.39</v>
      </c>
      <c r="BA249" s="57">
        <f t="shared" si="83"/>
        <v>-1.1218561789012926E-2</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1982544</v>
      </c>
      <c r="BZ249">
        <f t="shared" si="86"/>
        <v>0</v>
      </c>
      <c r="CA249">
        <f t="shared" si="87"/>
        <v>1160736</v>
      </c>
      <c r="CB249">
        <f t="shared" si="88"/>
        <v>821808</v>
      </c>
      <c r="CC249">
        <f t="shared" si="89"/>
        <v>0.45480000000000231</v>
      </c>
      <c r="CD249">
        <f t="shared" si="90"/>
        <v>0.43860000000000099</v>
      </c>
      <c r="CE249">
        <f t="shared" si="91"/>
        <v>0.27329999999999899</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6.8212642447098819</v>
      </c>
      <c r="K285" s="66">
        <f>AVERAGE(K5:K114)</f>
        <v>4.2144656323827707</v>
      </c>
      <c r="L285" s="66">
        <f>AVERAGE(L5:L114)</f>
        <v>2.6063752275392491</v>
      </c>
      <c r="M285" s="67"/>
      <c r="AF285" s="66">
        <f>AVERAGE(AF5:AF114)</f>
        <v>6.8552765613105073</v>
      </c>
      <c r="AG285" s="66">
        <f>AVERAGE(AG5:AG114)</f>
        <v>4.2144656323827707</v>
      </c>
      <c r="AH285" s="66">
        <f>AVERAGE(AH5:AH114)</f>
        <v>2.6403875441398719</v>
      </c>
      <c r="AI285" s="67"/>
      <c r="BB285" s="69">
        <f>AVERAGE(BB5:BB114)</f>
        <v>-2.6495894024473055E-3</v>
      </c>
      <c r="BD285" s="70">
        <f>AVERAGE(BD5:BD114)</f>
        <v>1.0033674013242844E-2</v>
      </c>
      <c r="BE285" s="70">
        <f>AVERAGE(BE5:BE114)</f>
        <v>8.4942648043026033E-3</v>
      </c>
      <c r="BF285" s="70">
        <f>AVERAGE(BF5:BF114)</f>
        <v>5.1493248833044203E-3</v>
      </c>
      <c r="BG285" s="71"/>
      <c r="BI285" s="70">
        <f>AVERAGE(BI5:BI114)</f>
        <v>1.606409028340141E-2</v>
      </c>
      <c r="BJ285" s="70">
        <f>AVERAGE(BJ5:BJ114)</f>
        <v>1.606409028340141E-2</v>
      </c>
      <c r="BK285" s="70">
        <f>AVERAGE(BK5:BK114)</f>
        <v>1.606409028340141E-2</v>
      </c>
      <c r="BL285" s="71"/>
      <c r="BN285" s="70">
        <f>AVERAGE(BN5:BN114)</f>
        <v>3.4506834355658407E-3</v>
      </c>
      <c r="BO285" s="70">
        <f>AVERAGE(BO5:BO114)</f>
        <v>3.340792807763171E-3</v>
      </c>
      <c r="BP285" s="70">
        <f>AVERAGE(BP5:BP114)</f>
        <v>2.5510172388106874E-3</v>
      </c>
      <c r="BQ285" s="71"/>
      <c r="BS285" s="70">
        <f>AVERAGE(BS5:BS114)</f>
        <v>5.0279065889539017E-3</v>
      </c>
      <c r="BT285" s="70">
        <f>AVERAGE(BT5:BT114)</f>
        <v>5.0279065889539017E-3</v>
      </c>
      <c r="BU285" s="70">
        <f>AVERAGE(BU5:BU114)</f>
        <v>5.0279065889539017E-3</v>
      </c>
      <c r="BV285" s="71"/>
    </row>
    <row r="286" spans="1:88" x14ac:dyDescent="0.15">
      <c r="B286" s="65" t="s">
        <v>11</v>
      </c>
      <c r="J286" s="66">
        <f>AVERAGE(J115:J234)</f>
        <v>24.902805500449407</v>
      </c>
      <c r="K286" s="66">
        <f>AVERAGE(K115:K234)</f>
        <v>20.911408881280256</v>
      </c>
      <c r="L286" s="66">
        <f>AVERAGE(L115:L234)</f>
        <v>3.9910395939793708</v>
      </c>
      <c r="M286" s="67"/>
      <c r="AF286" s="66">
        <f>AVERAGE(AF115:AF234)</f>
        <v>24.987261239898551</v>
      </c>
      <c r="AG286" s="66">
        <f>AVERAGE(AG115:AG234)</f>
        <v>20.911408881280256</v>
      </c>
      <c r="AH286" s="66">
        <f>AVERAGE(AH115:AH234)</f>
        <v>4.0754953334285053</v>
      </c>
      <c r="AI286" s="67"/>
      <c r="BB286" s="69">
        <f>AVERAGE(BB115:BB234)</f>
        <v>-2.7687002575193936E-3</v>
      </c>
      <c r="BD286" s="70">
        <f>AVERAGE(BD115:BD234)</f>
        <v>1.4280035118944065E-2</v>
      </c>
      <c r="BE286" s="70">
        <f>AVERAGE(BE115:BE234)</f>
        <v>1.255712627672991E-2</v>
      </c>
      <c r="BF286" s="70">
        <f>AVERAGE(BF115:BF234)</f>
        <v>1.0459340911785958E-2</v>
      </c>
      <c r="BG286" s="71"/>
      <c r="BI286" s="70">
        <f>AVERAGE(BI115:BI234)</f>
        <v>2.5314020625264392E-2</v>
      </c>
      <c r="BJ286" s="70">
        <f>AVERAGE(BJ115:BJ234)</f>
        <v>2.5314020625264392E-2</v>
      </c>
      <c r="BK286" s="70">
        <f>AVERAGE(BK115:BK234)</f>
        <v>2.5314020625264392E-2</v>
      </c>
      <c r="BL286" s="71"/>
      <c r="BN286" s="70">
        <f>AVERAGE(BN115:BN234)</f>
        <v>2.0039986396513942E-3</v>
      </c>
      <c r="BO286" s="70">
        <f>AVERAGE(BO115:BO234)</f>
        <v>2.055323679448523E-3</v>
      </c>
      <c r="BP286" s="70">
        <f>AVERAGE(BP115:BP234)</f>
        <v>1.8696915997619596E-3</v>
      </c>
      <c r="BQ286" s="71"/>
      <c r="BS286" s="70">
        <f>AVERAGE(BS115:BS234)</f>
        <v>3.8040787223550254E-3</v>
      </c>
      <c r="BT286" s="70">
        <f>AVERAGE(BT115:BT234)</f>
        <v>3.8040787223550254E-3</v>
      </c>
      <c r="BU286" s="70">
        <f>AVERAGE(BU115:BU234)</f>
        <v>3.8040787223550254E-3</v>
      </c>
      <c r="BV286" s="71"/>
    </row>
    <row r="287" spans="1:88" x14ac:dyDescent="0.15">
      <c r="B287" s="65" t="s">
        <v>12</v>
      </c>
      <c r="J287" s="66">
        <f>AVERAGE(J235:J249)</f>
        <v>27.001565873760111</v>
      </c>
      <c r="K287" s="66">
        <f>AVERAGE(K235:K249)</f>
        <v>19.697263571956878</v>
      </c>
      <c r="L287" s="66">
        <f>AVERAGE(L235:L249)</f>
        <v>5.2416640305430571</v>
      </c>
      <c r="M287" s="66">
        <f>AVERAGE(M235:M249)</f>
        <v>2.0623802698999358</v>
      </c>
      <c r="AF287" s="66">
        <f>AVERAGE(AF235:AF249)</f>
        <v>27.276524187488608</v>
      </c>
      <c r="AG287" s="66">
        <f>AVERAGE(AG235:AG249)</f>
        <v>19.697263571956878</v>
      </c>
      <c r="AH287" s="66">
        <f>AVERAGE(AH235:AH249)</f>
        <v>5.4498267435536034</v>
      </c>
      <c r="AI287" s="66">
        <f>AVERAGE(AI235:AI249)</f>
        <v>2.1291758706178867</v>
      </c>
      <c r="BB287" s="69">
        <f>AVERAGE(BB235:BB249)</f>
        <v>-8.0244672794674479E-3</v>
      </c>
      <c r="BD287" s="70">
        <f>AVERAGE(BD235:BD249)</f>
        <v>4.0066852621383285E-2</v>
      </c>
      <c r="BE287" s="70">
        <f>AVERAGE(BE235:BE249)</f>
        <v>3.6108430302603946E-2</v>
      </c>
      <c r="BF287" s="70">
        <f>AVERAGE(BF235:BF249)</f>
        <v>3.7132095059228577E-2</v>
      </c>
      <c r="BG287" s="70" t="e">
        <f>AVERAGE(BG235:BG249)</f>
        <v>#DIV/0!</v>
      </c>
      <c r="BI287" s="70">
        <f>AVERAGE(BI235:BI249)</f>
        <v>5.5168657003293507E-2</v>
      </c>
      <c r="BJ287" s="70">
        <f>AVERAGE(BJ235:BJ249)</f>
        <v>5.5168657003293507E-2</v>
      </c>
      <c r="BK287" s="70">
        <f>AVERAGE(BK235:BK249)</f>
        <v>5.5168657003293507E-2</v>
      </c>
      <c r="BL287" s="70" t="e">
        <f>AVERAGE(BL235:BL249)</f>
        <v>#DIV/0!</v>
      </c>
      <c r="BN287" s="70">
        <f>AVERAGE(BN235:BN249)</f>
        <v>7.5554575716102841E-3</v>
      </c>
      <c r="BO287" s="70">
        <f>AVERAGE(BO235:BO249)</f>
        <v>7.2113824057652804E-3</v>
      </c>
      <c r="BP287" s="70">
        <f>AVERAGE(BP235:BP249)</f>
        <v>7.1933324045753517E-3</v>
      </c>
      <c r="BQ287" s="70" t="e">
        <f>AVERAGE(BQ235:BQ249)</f>
        <v>#DIV/0!</v>
      </c>
      <c r="BS287" s="70">
        <f>AVERAGE(BS235:BS249)</f>
        <v>1.0692969779357631E-2</v>
      </c>
      <c r="BT287" s="70">
        <f>AVERAGE(BT235:BT249)</f>
        <v>1.0692969779357631E-2</v>
      </c>
      <c r="BU287" s="70">
        <f>AVERAGE(BU235:BU249)</f>
        <v>1.0692969779357631E-2</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16.913058020728236</v>
      </c>
      <c r="K289" s="66">
        <f>AVERAGE(K5:K284)</f>
        <v>13.34048668936771</v>
      </c>
      <c r="L289" s="66">
        <f>AVERAGE(L5:L249)</f>
        <v>3.4459223949591342</v>
      </c>
      <c r="M289" s="66">
        <f>AVERAGE(M235:M284)</f>
        <v>2.0623802698999358</v>
      </c>
      <c r="AF289" s="66">
        <f>AVERAGE(AF5:AF284)</f>
        <v>16.986529115691066</v>
      </c>
      <c r="AG289" s="66">
        <f>AVERAGE(AG5:AG284)</f>
        <v>13.34048668936771</v>
      </c>
      <c r="AH289" s="66">
        <f>AVERAGE(AH5:AH249)</f>
        <v>3.5153039633473906</v>
      </c>
      <c r="AI289" s="66">
        <f>AVERAGE(AI235:AI284)</f>
        <v>2.1291758706178867</v>
      </c>
      <c r="BB289" s="69" t="e">
        <f>AVERAGE(BB5:BB284)</f>
        <v>#DIV/0!</v>
      </c>
      <c r="BD289" s="70">
        <f>AVERAGE(BD5:BD249)</f>
        <v>1.3952290387962243E-2</v>
      </c>
      <c r="BE289" s="70">
        <f>AVERAGE(BE5:BE249)</f>
        <v>1.2174900964162998E-2</v>
      </c>
      <c r="BF289" s="70">
        <f>AVERAGE(BF5:BF249)</f>
        <v>9.7082778468009379E-3</v>
      </c>
      <c r="BG289" s="70" t="e">
        <f>AVERAGE(BG235:BG284)</f>
        <v>#DIV/0!</v>
      </c>
      <c r="BI289" s="70">
        <f>AVERAGE(BI5:BI249)</f>
        <v>2.2988825556144021E-2</v>
      </c>
      <c r="BJ289" s="70">
        <f>AVERAGE(BJ5:BJ249)</f>
        <v>2.2988825556144021E-2</v>
      </c>
      <c r="BK289" s="70">
        <f>AVERAGE(BK5:BK249)</f>
        <v>2.2988825556144021E-2</v>
      </c>
      <c r="BL289" s="70" t="e">
        <f>AVERAGE(BL235:BL284)</f>
        <v>#DIV/0!</v>
      </c>
      <c r="BN289" s="70">
        <f>AVERAGE(BN5:BN249)</f>
        <v>2.9934158295696492E-3</v>
      </c>
      <c r="BO289" s="70">
        <f>AVERAGE(BO5:BO249)</f>
        <v>2.9481501488744931E-3</v>
      </c>
      <c r="BP289" s="70">
        <f>AVERAGE(BP5:BP249)</f>
        <v>2.501530099221392E-3</v>
      </c>
      <c r="BQ289" s="70" t="e">
        <f>AVERAGE(BQ235:BQ284)</f>
        <v>#DIV/0!</v>
      </c>
      <c r="BS289" s="70">
        <f>AVERAGE(BS5:BS249)</f>
        <v>4.7753212986036599E-3</v>
      </c>
      <c r="BT289" s="70">
        <f>AVERAGE(BT5:BT249)</f>
        <v>4.7753212986036599E-3</v>
      </c>
      <c r="BU289" s="70">
        <f>AVERAGE(BU5:BU249)</f>
        <v>4.7753212986036599E-3</v>
      </c>
      <c r="BV289" s="70" t="e">
        <f>AVERAGE(BV235:BV284)</f>
        <v>#DIV/0!</v>
      </c>
    </row>
    <row r="290" spans="1:74" hidden="1" outlineLevel="2" x14ac:dyDescent="0.15">
      <c r="A290" s="65" t="s">
        <v>263</v>
      </c>
      <c r="B290" s="65" t="s">
        <v>264</v>
      </c>
      <c r="AB290" s="68">
        <f>SUM(AB5:AB114,AB115:AB234,AB235:AB249,AB250:AB284)</f>
        <v>8215.354000000003</v>
      </c>
      <c r="AC290" s="68">
        <f>SUM(AC5:AC114,AC115:AC234,AC235:AC249,AC250:AC284)</f>
        <v>7080.2710000000025</v>
      </c>
      <c r="AX290" s="68">
        <f>SUM(AX5:AX114,AX115:AX234,AX235:AX249,AX250:AX284)</f>
        <v>8290.2470000000048</v>
      </c>
      <c r="AY290" s="68">
        <f>SUM(AY5:AY114,AY115:AY234,AY235:AY249,AY250:AY284)</f>
        <v>7122.9120000000021</v>
      </c>
    </row>
    <row r="291" spans="1:74" hidden="1" outlineLevel="2" x14ac:dyDescent="0.15">
      <c r="B291" s="65" t="s">
        <v>265</v>
      </c>
      <c r="AX291" s="69">
        <f>AX290/AB290</f>
        <v>1.0091162231110189</v>
      </c>
      <c r="AY291" s="69">
        <f>AY290/AC290</f>
        <v>1.0060225095903814</v>
      </c>
    </row>
    <row r="292" spans="1:74" ht="27" hidden="1" outlineLevel="2" x14ac:dyDescent="0.15">
      <c r="B292" s="65" t="s">
        <v>266</v>
      </c>
      <c r="AB292" s="68">
        <f>GEOMEAN(AB5:AB114,AB115:AB234,AB235:AB249,AB250:AB284)</f>
        <v>9.6026714083929292</v>
      </c>
      <c r="AC292" s="68">
        <f>GEOMEAN(AC5:AC114,AC115:AC234,AC235:AC249,AC250:AC284)</f>
        <v>8.0040749967083027</v>
      </c>
      <c r="AX292" s="68">
        <f>GEOMEAN(AX5:AX114,AX115:AX234,AX235:AX249,AX250:AX284)</f>
        <v>9.7185718977295519</v>
      </c>
      <c r="AY292" s="68">
        <f>GEOMEAN(AY5:AY114,AY115:AY234,AY235:AY249,AY250:AY284)</f>
        <v>8.0411579365249484</v>
      </c>
    </row>
    <row r="293" spans="1:74" ht="27" outlineLevel="2" collapsed="1" x14ac:dyDescent="0.15">
      <c r="B293" s="65" t="s">
        <v>267</v>
      </c>
      <c r="AX293" s="69">
        <f>AX292/AB292</f>
        <v>1.0120696090085226</v>
      </c>
      <c r="AY293" s="69">
        <f>AY292/AC292</f>
        <v>1.004633007540771</v>
      </c>
    </row>
  </sheetData>
  <mergeCells count="38">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BB2:BB3"/>
    <mergeCell ref="BD2:BG2"/>
    <mergeCell ref="AJ2:AJ3"/>
    <mergeCell ref="AK2:AK3"/>
    <mergeCell ref="AX2:AX3"/>
    <mergeCell ref="AY2:AY3"/>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2020-10-24T08:29:42Z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