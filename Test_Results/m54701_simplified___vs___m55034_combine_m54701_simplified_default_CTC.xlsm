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ownloads\RDO SW\"/>
    </mc:Choice>
  </mc:AlternateContent>
  <xr:revisionPtr revIDLastSave="0" documentId="13_ncr:1_{15B01A7E-BA86-4F15-AA6D-E17C2B023515}"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O245" i="7"/>
  <c r="BO95" i="7"/>
  <c r="BP130" i="7"/>
  <c r="BN150" i="7"/>
  <c r="BT245" i="7"/>
  <c r="BJ120" i="7"/>
  <c r="BN75" i="7"/>
  <c r="BO40" i="7"/>
  <c r="BE170" i="7"/>
  <c r="BT175" i="7"/>
  <c r="BU165" i="7"/>
  <c r="BU135" i="7"/>
  <c r="BI65" i="7"/>
  <c r="BT40" i="7"/>
  <c r="BT215" i="7"/>
  <c r="BE145" i="7"/>
  <c r="BO180" i="7"/>
  <c r="BJ210" i="7"/>
  <c r="BP175" i="7"/>
  <c r="BN35" i="7"/>
  <c r="BT80" i="7"/>
  <c r="BP155" i="7"/>
  <c r="BO145" i="7"/>
  <c r="BN165" i="7"/>
  <c r="BE15" i="7"/>
  <c r="BE230" i="7"/>
  <c r="BP245" i="7"/>
  <c r="BO150" i="7"/>
  <c r="BI80" i="7"/>
  <c r="BI55" i="7"/>
  <c r="BF75" i="7"/>
  <c r="BD140" i="7"/>
  <c r="BI15" i="7"/>
  <c r="BI215" i="7"/>
  <c r="BT190" i="7"/>
  <c r="BU230" i="7"/>
  <c r="BJ215" i="7"/>
  <c r="BE180" i="7"/>
  <c r="BI90" i="7"/>
  <c r="BK75" i="7"/>
  <c r="BN180" i="7"/>
  <c r="BU35" i="7"/>
  <c r="BD70" i="7"/>
  <c r="BP200" i="7"/>
  <c r="BF215" i="7"/>
  <c r="BD100" i="7"/>
  <c r="BD110" i="7"/>
  <c r="BE120" i="7"/>
  <c r="BF150" i="7"/>
  <c r="BN155" i="7"/>
  <c r="BU210" i="7"/>
  <c r="BP185" i="7"/>
  <c r="BT90" i="7"/>
  <c r="BN10" i="7"/>
  <c r="BO100" i="7"/>
  <c r="BT205" i="7"/>
  <c r="BD230" i="7"/>
  <c r="BT85" i="7"/>
  <c r="BU220" i="7"/>
  <c r="BE215" i="7"/>
  <c r="BK155" i="7"/>
  <c r="BE30" i="7"/>
  <c r="BK170" i="7"/>
  <c r="BP70" i="7"/>
  <c r="BS175" i="7"/>
  <c r="BO230" i="7"/>
  <c r="BJ195" i="7"/>
  <c r="BJ90" i="7"/>
  <c r="BP140" i="7"/>
  <c r="BI200" i="7"/>
  <c r="BE245" i="7"/>
  <c r="BJ150" i="7"/>
  <c r="BT230" i="7"/>
  <c r="BO125" i="7"/>
  <c r="BS230" i="7"/>
  <c r="BF105" i="7"/>
  <c r="BK180" i="7"/>
  <c r="BN170" i="7"/>
  <c r="BT55" i="7"/>
  <c r="BI120" i="7"/>
  <c r="BN100" i="7"/>
  <c r="BP120" i="7"/>
  <c r="BJ155" i="7"/>
  <c r="BU105" i="7"/>
  <c r="BD245" i="7"/>
  <c r="BU100" i="7"/>
  <c r="BD210" i="7"/>
  <c r="BI245" i="7"/>
  <c r="BE175" i="7"/>
  <c r="BP35" i="7"/>
  <c r="BE95" i="7"/>
  <c r="BF125" i="7"/>
  <c r="BU215" i="7"/>
  <c r="BU235" i="7"/>
  <c r="BP235" i="7"/>
  <c r="BI210" i="7"/>
  <c r="BI180" i="7"/>
  <c r="BF155" i="7"/>
  <c r="BF195" i="7"/>
  <c r="BD215" i="7"/>
  <c r="BJ35" i="7"/>
  <c r="BS130" i="7"/>
  <c r="BP65" i="7"/>
  <c r="BF80" i="7"/>
  <c r="BE210" i="7"/>
  <c r="BK130" i="7"/>
  <c r="BT210" i="7"/>
  <c r="BI95" i="7"/>
  <c r="BN90" i="7"/>
  <c r="BN50" i="7"/>
  <c r="BT235" i="7"/>
  <c r="BS145" i="7"/>
  <c r="BF210" i="7"/>
  <c r="BO200" i="7"/>
  <c r="BJ180" i="7"/>
  <c r="BS205" i="7"/>
  <c r="BP190" i="7"/>
  <c r="BK20" i="7"/>
  <c r="BS185" i="7"/>
  <c r="BF175" i="7"/>
  <c r="BO225" i="7"/>
  <c r="BE240" i="7"/>
  <c r="BU30" i="7"/>
  <c r="BF100" i="7"/>
  <c r="BI220" i="7"/>
  <c r="BS75" i="7"/>
  <c r="BI100" i="7"/>
  <c r="BK240" i="7"/>
  <c r="BO135" i="7"/>
  <c r="BP180" i="7"/>
  <c r="BS80" i="7"/>
  <c r="BE100" i="7"/>
  <c r="BD40" i="7"/>
  <c r="BT25" i="7"/>
  <c r="BU155" i="7"/>
  <c r="BD20" i="7"/>
  <c r="BP60" i="7"/>
  <c r="BO195" i="7"/>
  <c r="BI140" i="7"/>
  <c r="BF45" i="7"/>
  <c r="BE110" i="7"/>
  <c r="BJ245" i="7"/>
  <c r="BU225" i="7"/>
  <c r="BF165" i="7"/>
  <c r="BI20" i="7"/>
  <c r="BF135" i="7"/>
  <c r="BK55" i="7"/>
  <c r="BO130" i="7"/>
  <c r="BK135" i="7"/>
  <c r="BJ240" i="7"/>
  <c r="BU50" i="7"/>
  <c r="BS140" i="7"/>
  <c r="BI230" i="7"/>
  <c r="BK125" i="7"/>
  <c r="BF30" i="7"/>
  <c r="BO210" i="7"/>
  <c r="BN70" i="7"/>
  <c r="BS15" i="7"/>
  <c r="BT100" i="7"/>
  <c r="BU125" i="7"/>
  <c r="BJ15" i="7"/>
  <c r="BJ5" i="7"/>
  <c r="BD175" i="7"/>
  <c r="BD30" i="7"/>
  <c r="BF240" i="7"/>
  <c r="BF180" i="7"/>
  <c r="BU245" i="7"/>
  <c r="BJ110" i="7"/>
  <c r="BE200" i="7"/>
  <c r="BP100" i="7"/>
  <c r="BF245" i="7"/>
  <c r="BO170" i="7"/>
  <c r="BJ45" i="7"/>
  <c r="BE220" i="7"/>
  <c r="BN85" i="7"/>
  <c r="BE40" i="7"/>
  <c r="BU160" i="7"/>
  <c r="BP160" i="7"/>
  <c r="BU200" i="7"/>
  <c r="BD160" i="7"/>
  <c r="BF60" i="7"/>
  <c r="BO160" i="7"/>
  <c r="BS90" i="7"/>
  <c r="BD170" i="7"/>
  <c r="BK85" i="7"/>
  <c r="BN185" i="7"/>
  <c r="BP135" i="7"/>
  <c r="BE105" i="7"/>
  <c r="BJ75" i="7"/>
  <c r="BK190" i="7"/>
  <c r="BE80" i="7"/>
  <c r="BU65" i="7"/>
  <c r="BK110" i="7"/>
  <c r="BT35" i="7"/>
  <c r="BF10" i="7"/>
  <c r="BN205" i="7"/>
  <c r="BN200" i="7"/>
  <c r="BK120" i="7"/>
  <c r="BK90" i="7"/>
  <c r="BK145" i="7"/>
  <c r="BF115" i="7"/>
  <c r="BJ185" i="7"/>
  <c r="BD85" i="7"/>
  <c r="BO80" i="7"/>
  <c r="BF50" i="7"/>
  <c r="BD105" i="7"/>
  <c r="BT110" i="7"/>
  <c r="BK140" i="7"/>
  <c r="BT125" i="7"/>
  <c r="BT105" i="7"/>
  <c r="BO155" i="7"/>
  <c r="BS110" i="7"/>
  <c r="BP15" i="7"/>
  <c r="BI40" i="7"/>
  <c r="BT30" i="7"/>
  <c r="BO240" i="7"/>
  <c r="BN95" i="7"/>
  <c r="BD65" i="7"/>
  <c r="BI130" i="7"/>
  <c r="BJ190" i="7"/>
  <c r="BI145" i="7"/>
  <c r="BP220" i="7"/>
  <c r="BF85" i="7"/>
  <c r="BO65" i="7"/>
  <c r="BE140" i="7"/>
  <c r="BJ50" i="7"/>
  <c r="BS105" i="7"/>
  <c r="BU145" i="7"/>
  <c r="BN40" i="7"/>
  <c r="BD45" i="7"/>
  <c r="BF185" i="7"/>
  <c r="BI70" i="7"/>
  <c r="BD50" i="7"/>
  <c r="BI190" i="7"/>
  <c r="BU180" i="7"/>
  <c r="BJ230" i="7"/>
  <c r="BE60" i="7"/>
  <c r="BS225" i="7"/>
  <c r="BF15" i="7"/>
  <c r="BF230" i="7"/>
  <c r="BP85" i="7"/>
  <c r="BJ85" i="7"/>
  <c r="BJ170" i="7"/>
  <c r="BO45" i="7"/>
  <c r="BO120" i="7"/>
  <c r="BS180" i="7"/>
  <c r="BK10" i="7"/>
  <c r="BP195" i="7"/>
  <c r="BD195" i="7"/>
  <c r="BN210" i="7"/>
  <c r="BS155" i="7"/>
  <c r="BK230" i="7"/>
  <c r="BP125" i="7"/>
  <c r="BI195" i="7"/>
  <c r="BK205" i="7"/>
  <c r="BN230" i="7"/>
  <c r="BS220" i="7"/>
  <c r="BJ60" i="7"/>
  <c r="BJ10" i="7"/>
  <c r="BF225" i="7"/>
  <c r="BF190" i="7"/>
  <c r="BP30" i="7"/>
  <c r="BD25" i="7"/>
  <c r="BP55" i="7"/>
  <c r="BE125" i="7"/>
  <c r="BN20" i="7"/>
  <c r="BF120" i="7"/>
  <c r="BF235" i="7"/>
  <c r="BT145" i="7"/>
  <c r="BK70" i="7"/>
  <c r="BO205" i="7"/>
  <c r="BF95" i="7"/>
  <c r="BK175" i="7"/>
  <c r="BI10" i="7"/>
  <c r="BP210" i="7"/>
  <c r="BS165" i="7"/>
  <c r="BJ105" i="7"/>
  <c r="BE190" i="7"/>
  <c r="BE235" i="7"/>
  <c r="BU20" i="7"/>
  <c r="BE195" i="7"/>
  <c r="BT70" i="7"/>
  <c r="BI175" i="7"/>
  <c r="BI160" i="7"/>
  <c r="BI105" i="7"/>
  <c r="BN105" i="7"/>
  <c r="BS245" i="7"/>
  <c r="BT170" i="7"/>
  <c r="BS35" i="7"/>
  <c r="BK215" i="7"/>
  <c r="BS40" i="7"/>
  <c r="BK25" i="7"/>
  <c r="BS55" i="7"/>
  <c r="BT160" i="7"/>
  <c r="BE65" i="7"/>
  <c r="BP215" i="7"/>
  <c r="BS60" i="7"/>
  <c r="BS240" i="7"/>
  <c r="BT15" i="7"/>
  <c r="BD145" i="7"/>
  <c r="BE135" i="7"/>
  <c r="BS50" i="7"/>
  <c r="BK5" i="7"/>
  <c r="BP25" i="7"/>
  <c r="BD60" i="7"/>
  <c r="BO105" i="7"/>
  <c r="BN220" i="7"/>
  <c r="BI240" i="7"/>
  <c r="BT165" i="7"/>
  <c r="BE55" i="7"/>
  <c r="BE10" i="7"/>
  <c r="BO115" i="7"/>
  <c r="BT130" i="7"/>
  <c r="BO235" i="7"/>
  <c r="BF25" i="7"/>
  <c r="BO10" i="7"/>
  <c r="BT5" i="7"/>
  <c r="BN60" i="7"/>
  <c r="BN125" i="7"/>
  <c r="BO70" i="7"/>
  <c r="BU115" i="7"/>
  <c r="BE150" i="7"/>
  <c r="BK200" i="7"/>
  <c r="BD5" i="7"/>
  <c r="BF220" i="7"/>
  <c r="BU205" i="7"/>
  <c r="BE85" i="7"/>
  <c r="BD10" i="7"/>
  <c r="BF70" i="7"/>
  <c r="BJ95" i="7"/>
  <c r="BU130" i="7"/>
  <c r="BJ55" i="7"/>
  <c r="BS45" i="7"/>
  <c r="BJ70" i="7"/>
  <c r="BD155" i="7"/>
  <c r="BF65" i="7"/>
  <c r="BJ20" i="7"/>
  <c r="BK100" i="7"/>
  <c r="BT135" i="7"/>
  <c r="BJ40" i="7"/>
  <c r="BD200" i="7"/>
  <c r="BS65" i="7"/>
  <c r="BE25" i="7"/>
  <c r="BF140" i="7"/>
  <c r="BI85" i="7"/>
  <c r="BI5" i="7"/>
  <c r="BK30" i="7"/>
  <c r="BK220" i="7"/>
  <c r="BD220" i="7"/>
  <c r="BS200" i="7"/>
  <c r="BO140" i="7"/>
  <c r="BO20" i="7"/>
  <c r="BS210" i="7"/>
  <c r="BP145" i="7"/>
  <c r="BU190" i="7"/>
  <c r="BO35" i="7"/>
  <c r="BE5" i="7"/>
  <c r="BO5" i="7"/>
  <c r="BI155" i="7"/>
  <c r="BT95" i="7"/>
  <c r="BT180" i="7"/>
  <c r="BP40" i="7"/>
  <c r="BI75" i="7"/>
  <c r="BP165" i="7"/>
  <c r="BE205" i="7"/>
  <c r="BN45" i="7"/>
  <c r="BF90" i="7"/>
  <c r="BE160" i="7"/>
  <c r="BP45" i="7"/>
  <c r="BU15" i="7"/>
  <c r="BS25" i="7"/>
  <c r="BT195" i="7"/>
  <c r="BK50" i="7"/>
  <c r="BK35" i="7"/>
  <c r="BO220" i="7"/>
  <c r="BE35" i="7"/>
  <c r="BN15" i="7"/>
  <c r="BU240" i="7"/>
  <c r="BN240" i="7"/>
  <c r="BO110" i="7"/>
  <c r="BP80" i="7"/>
  <c r="BN110" i="7"/>
  <c r="BK95" i="7"/>
  <c r="BF160" i="7"/>
  <c r="BU150" i="7"/>
  <c r="BO55" i="7"/>
  <c r="BI45" i="7"/>
  <c r="BK225" i="7"/>
  <c r="BE45" i="7"/>
  <c r="BJ225" i="7"/>
  <c r="BU185" i="7"/>
  <c r="BP95" i="7"/>
  <c r="BE115" i="7"/>
  <c r="BP150" i="7"/>
  <c r="BD150" i="7"/>
  <c r="BE155" i="7"/>
  <c r="BN140" i="7"/>
  <c r="BP230" i="7"/>
  <c r="BD185" i="7"/>
  <c r="BS115" i="7"/>
  <c r="BU95" i="7"/>
  <c r="BJ115" i="7"/>
  <c r="BT225" i="7"/>
  <c r="BO50" i="7"/>
  <c r="BO30" i="7"/>
  <c r="BK235" i="7"/>
  <c r="BU55" i="7"/>
  <c r="BN225" i="7"/>
  <c r="BE20" i="7"/>
  <c r="BK185" i="7"/>
  <c r="BK65" i="7"/>
  <c r="BS5" i="7"/>
  <c r="BI35" i="7"/>
  <c r="BD165" i="7"/>
  <c r="BO215" i="7"/>
  <c r="BO25" i="7"/>
  <c r="BE70" i="7"/>
  <c r="BK115" i="7"/>
  <c r="BI110" i="7"/>
  <c r="BT10" i="7"/>
  <c r="BP105" i="7"/>
  <c r="BN65" i="7"/>
  <c r="BF20" i="7"/>
  <c r="BP225" i="7"/>
  <c r="BS235" i="7"/>
  <c r="BT50" i="7"/>
  <c r="BD135" i="7"/>
  <c r="BJ175" i="7"/>
  <c r="BD225" i="7"/>
  <c r="BF145" i="7"/>
  <c r="BK195" i="7"/>
  <c r="BT65" i="7"/>
  <c r="BI185" i="7"/>
  <c r="BJ80" i="7"/>
  <c r="BE225" i="7"/>
  <c r="BU120" i="7"/>
  <c r="BS95" i="7"/>
  <c r="BD125" i="7"/>
  <c r="BU60" i="7"/>
  <c r="BU90" i="7"/>
  <c r="BJ65" i="7"/>
  <c r="BK245" i="7"/>
  <c r="BD130" i="7"/>
  <c r="BF130" i="7"/>
  <c r="BD190" i="7"/>
  <c r="BN195" i="7"/>
  <c r="BT60" i="7"/>
  <c r="BP10" i="7"/>
  <c r="BI165" i="7"/>
  <c r="BU85" i="7"/>
  <c r="BS125" i="7"/>
  <c r="BP110" i="7"/>
  <c r="BS120" i="7"/>
  <c r="BT155" i="7"/>
  <c r="BT185" i="7"/>
  <c r="BD80" i="7"/>
  <c r="BD205" i="7"/>
  <c r="BP5" i="7"/>
  <c r="BS85" i="7"/>
  <c r="BO60" i="7"/>
  <c r="BP115" i="7"/>
  <c r="BS150" i="7"/>
  <c r="BD115" i="7"/>
  <c r="BN130" i="7"/>
  <c r="BI115" i="7"/>
  <c r="BT140" i="7"/>
  <c r="BN145" i="7"/>
  <c r="BU110" i="7"/>
  <c r="BN55" i="7"/>
  <c r="BO85" i="7"/>
  <c r="BO185" i="7"/>
  <c r="BI205" i="7"/>
  <c r="BJ30" i="7"/>
  <c r="BU10" i="7"/>
  <c r="BN160" i="7"/>
  <c r="BP20" i="7"/>
  <c r="BU175" i="7"/>
  <c r="BN25" i="7"/>
  <c r="BJ200" i="7"/>
  <c r="BN190" i="7"/>
  <c r="BD120" i="7"/>
  <c r="BS135" i="7"/>
  <c r="BF200" i="7"/>
  <c r="BJ165" i="7"/>
  <c r="BI225" i="7"/>
  <c r="BE90" i="7"/>
  <c r="BD90" i="7"/>
  <c r="BK45" i="7"/>
  <c r="BJ140" i="7"/>
  <c r="BU40" i="7"/>
  <c r="BP75" i="7"/>
  <c r="BE75" i="7"/>
  <c r="BE185" i="7"/>
  <c r="BD180" i="7"/>
  <c r="BJ205" i="7"/>
  <c r="BP240" i="7"/>
  <c r="BJ220" i="7"/>
  <c r="BS215" i="7"/>
  <c r="BT115" i="7"/>
  <c r="BP205" i="7"/>
  <c r="BF40" i="7"/>
  <c r="BO75" i="7"/>
  <c r="BS30" i="7"/>
  <c r="BN245" i="7"/>
  <c r="BS20" i="7"/>
  <c r="BJ130" i="7"/>
  <c r="BF205" i="7"/>
  <c r="BI25" i="7"/>
  <c r="BU70" i="7"/>
  <c r="BT120" i="7"/>
  <c r="BD235" i="7"/>
  <c r="BJ160" i="7"/>
  <c r="BJ125" i="7"/>
  <c r="BS195" i="7"/>
  <c r="BN115" i="7"/>
  <c r="BE50" i="7"/>
  <c r="BU5" i="7"/>
  <c r="BI125" i="7"/>
  <c r="BT240" i="7"/>
  <c r="BD35" i="7"/>
  <c r="BU75" i="7"/>
  <c r="BI50" i="7"/>
  <c r="BN215" i="7"/>
  <c r="BE130" i="7"/>
  <c r="BF35" i="7"/>
  <c r="BO90" i="7"/>
  <c r="BK165" i="7"/>
  <c r="BI170" i="7"/>
  <c r="BS70" i="7"/>
  <c r="BK15" i="7"/>
  <c r="BI235" i="7"/>
  <c r="BK160" i="7"/>
  <c r="BP50" i="7"/>
  <c r="BI60" i="7"/>
  <c r="BP90" i="7"/>
  <c r="BJ100" i="7"/>
  <c r="BS190" i="7"/>
  <c r="BJ135" i="7"/>
  <c r="BI30" i="7"/>
  <c r="BD240" i="7"/>
  <c r="BJ25" i="7"/>
  <c r="BS170" i="7"/>
  <c r="BD95" i="7"/>
  <c r="BD15" i="7"/>
  <c r="BI135" i="7"/>
  <c r="BS100" i="7"/>
  <c r="BJ235" i="7"/>
  <c r="BD55" i="7"/>
  <c r="BN235" i="7"/>
  <c r="BK210" i="7"/>
  <c r="BU170" i="7"/>
  <c r="BE165" i="7"/>
  <c r="BU80" i="7"/>
  <c r="BI150" i="7"/>
  <c r="BO15" i="7"/>
  <c r="BN120" i="7"/>
  <c r="BF55" i="7"/>
  <c r="BK40" i="7"/>
  <c r="BU45" i="7"/>
  <c r="BT150" i="7"/>
  <c r="BJ145" i="7"/>
  <c r="BT45" i="7"/>
  <c r="BN30" i="7"/>
  <c r="BU25" i="7"/>
  <c r="BK60" i="7"/>
  <c r="BU140" i="7"/>
  <c r="BK150" i="7"/>
  <c r="BN135" i="7"/>
  <c r="BO175" i="7"/>
  <c r="BF110" i="7"/>
  <c r="BK80" i="7"/>
  <c r="BT220" i="7"/>
  <c r="BT20" i="7"/>
  <c r="BK105" i="7"/>
  <c r="BT75" i="7"/>
  <c r="BN5" i="7"/>
  <c r="BF170" i="7"/>
  <c r="BO165" i="7"/>
  <c r="BF5" i="7"/>
  <c r="BN80" i="7"/>
  <c r="BD75" i="7"/>
  <c r="BU195" i="7"/>
  <c r="BS160" i="7"/>
  <c r="BT200" i="7"/>
  <c r="BP170" i="7"/>
  <c r="BS10" i="7"/>
  <c r="BO190" i="7"/>
  <c r="BN175"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<sst xmlns="http://schemas.openxmlformats.org/spreadsheetml/2006/main" count="3725" uniqueCount="1000">
  <si>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</si>
  <si>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</si>
  <si>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</si>
  <si>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</si>
  <si>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</si>
  <si>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</si>
  <si>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</si>
  <si>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</si>
  <si>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</si>
  <si>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</si>
  <si>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</si>
  <si>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</si>
  <si>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</si>
  <si>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</si>
  <si>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</si>
  <si>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</si>
  <si>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</si>
  <si>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</si>
  <si>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</si>
  <si>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</si>
  <si>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</si>
  <si>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</si>
  <si>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</si>
  <si>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</si>
  <si>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</si>
  <si>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</si>
  <si>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</si>
  <si>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</si>
  <si>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</si>
  <si>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</si>
  <si>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</si>
  <si>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</si>
  <si>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</si>
  <si>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</si>
  <si>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</si>
  <si>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</si>
  <si>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</si>
  <si>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</si>
  <si>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</si>
  <si>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</si>
  <si>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</si>
  <si>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</si>
  <si>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</si>
  <si>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</si>
  <si>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</si>
  <si>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</si>
  <si>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</si>
  <si>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</si>
  <si>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</si>
  <si>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</si>
  <si>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</si>
  <si>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</si>
  <si>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</si>
  <si>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</si>
  <si>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</si>
  <si>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</si>
  <si>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</si>
  <si>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</si>
  <si>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</si>
  <si>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</si>
  <si>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</si>
  <si>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</si>
  <si>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</si>
  <si>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</si>
  <si>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</si>
  <si>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</si>
  <si>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</si>
  <si>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</si>
  <si>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</si>
  <si>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</si>
  <si>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</si>
  <si>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</si>
  <si>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</si>
  <si>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</si>
  <si>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</si>
  <si>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</si>
  <si>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</si>
  <si>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</si>
  <si>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</si>
  <si>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</si>
  <si>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</si>
  <si>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</si>
  <si>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</si>
  <si>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</si>
  <si>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</si>
  <si>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</si>
  <si>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</si>
  <si>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</si>
  <si>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</si>
  <si>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</si>
  <si>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</si>
  <si>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</si>
  <si>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</si>
  <si>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</si>
  <si>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</si>
  <si>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</si>
  <si>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</si>
  <si>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</si>
  <si>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</si>
  <si>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</si>
  <si>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</si>
  <si>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</si>
  <si>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</si>
  <si>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</si>
  <si>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</si>
  <si>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</si>
  <si>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</si>
  <si>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</si>
  <si>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</si>
  <si>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</si>
  <si>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</si>
  <si>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</si>
  <si>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</si>
  <si>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</si>
  <si>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</si>
  <si>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</si>
  <si>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</si>
  <si>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</si>
  <si>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</si>
  <si>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</si>
  <si>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</si>
  <si>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</si>
  <si>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</si>
  <si>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</si>
  <si>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</si>
  <si>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</si>
  <si>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</si>
  <si>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</si>
  <si>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</si>
  <si>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</si>
  <si>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</si>
  <si>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</si>
  <si>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</si>
  <si>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</si>
  <si>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</si>
  <si>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</si>
  <si>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</si>
  <si>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</si>
  <si>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</si>
  <si>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</si>
  <si>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</si>
  <si>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</si>
  <si>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</si>
  <si>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</si>
  <si>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</si>
  <si>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</si>
  <si>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</si>
  <si>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</si>
  <si>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</si>
  <si>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</si>
  <si>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</si>
  <si>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</si>
  <si>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</si>
  <si>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</si>
  <si>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</si>
  <si>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</si>
  <si>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</si>
  <si>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</si>
  <si>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</si>
  <si>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</si>
  <si>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</si>
  <si>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</si>
  <si>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</si>
  <si>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</si>
  <si>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</si>
  <si>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</si>
  <si>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</si>
  <si>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</si>
  <si>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</si>
  <si>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</si>
  <si>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</si>
  <si>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</si>
  <si>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</si>
  <si>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</si>
  <si>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</si>
  <si>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</si>
  <si>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</si>
  <si>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</si>
  <si>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</si>
  <si>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</si>
  <si>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</si>
  <si>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</si>
  <si>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</si>
  <si>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</si>
  <si>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</si>
  <si>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</si>
  <si>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</si>
  <si>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</si>
  <si>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</si>
  <si>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</si>
  <si>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</si>
  <si>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</si>
  <si>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</si>
  <si>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</si>
  <si>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</si>
  <si>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</si>
  <si>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</si>
  <si>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</si>
  <si>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</si>
  <si>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</si>
  <si>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</si>
  <si>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</si>
  <si>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</si>
  <si>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</si>
  <si>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</si>
  <si>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</si>
  <si>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</si>
  <si>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</si>
  <si>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</si>
  <si>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</si>
  <si>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</si>
  <si>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</si>
  <si>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</si>
  <si>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</si>
  <si>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</si>
  <si>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</si>
  <si>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</si>
  <si>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</si>
  <si>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</si>
  <si>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</si>
  <si>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</si>
  <si>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</si>
  <si>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</si>
  <si>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</si>
  <si>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</si>
  <si>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</si>
  <si>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</si>
  <si>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</si>
  <si>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</si>
  <si>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</si>
  <si>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</si>
  <si>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</si>
  <si>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</si>
  <si>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</si>
  <si>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</si>
  <si>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</si>
  <si>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</si>
  <si>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</si>
  <si>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</si>
  <si>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</si>
  <si>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</si>
  <si>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</si>
  <si>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</si>
  <si>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</si>
  <si>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</si>
  <si>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</si>
  <si>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</si>
  <si>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</si>
  <si>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</si>
  <si>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</si>
  <si>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</si>
  <si>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</si>
  <si>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</si>
  <si>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</si>
  <si>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</si>
  <si>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</si>
  <si>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</si>
  <si>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</si>
  <si>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</si>
  <si>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</si>
  <si>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</si>
  <si>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</si>
  <si>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</si>
  <si>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</si>
  <si>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</si>
  <si>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</si>
  <si>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</si>
  <si>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</si>
  <si>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</si>
  <si>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</si>
  <si>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</si>
  <si>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</si>
  <si>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</si>
  <si>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</si>
  <si>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</si>
  <si>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</si>
  <si>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</si>
  <si>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</si>
  <si>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</si>
  <si>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</si>
  <si>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</si>
  <si>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</si>
  <si>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</si>
  <si>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</si>
  <si>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</si>
  <si>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</si>
  <si>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</si>
  <si>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</si>
  <si>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</si>
  <si>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</si>
  <si>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</si>
  <si>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</si>
  <si>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</si>
  <si>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</si>
  <si>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</si>
  <si>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</si>
  <si>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</si>
  <si>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</si>
  <si>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</si>
  <si>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</si>
  <si>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</si>
  <si>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</si>
  <si>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</si>
  <si>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</si>
  <si>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</si>
  <si>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</si>
  <si>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</si>
  <si>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</si>
  <si>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</si>
  <si>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</si>
  <si>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</si>
  <si>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</si>
  <si>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</si>
  <si>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</si>
  <si>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</si>
  <si>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</si>
  <si>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</si>
  <si>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</si>
  <si>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</si>
  <si>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</si>
  <si>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</si>
  <si>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</si>
  <si>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</si>
  <si>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</si>
  <si>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</si>
  <si>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</si>
  <si>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</si>
  <si>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</si>
  <si>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</si>
  <si>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</si>
  <si>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</si>
  <si>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</si>
  <si>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</si>
  <si>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</si>
  <si>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</si>
  <si>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</si>
  <si>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</si>
  <si>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</si>
  <si>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</si>
  <si>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</si>
  <si>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</si>
  <si>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</si>
  <si>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</si>
  <si>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</si>
  <si>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</si>
  <si>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</si>
  <si>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</si>
  <si>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</si>
  <si>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</si>
  <si>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</si>
  <si>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</si>
  <si>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</si>
  <si>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</si>
  <si>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</si>
  <si>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</si>
  <si>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</si>
  <si>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</si>
  <si>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</si>
  <si>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</si>
  <si>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</si>
  <si>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</si>
  <si>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</si>
  <si>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</si>
  <si>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</si>
  <si>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</si>
  <si>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</si>
  <si>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</si>
  <si>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</si>
  <si>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</si>
  <si>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</si>
  <si>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</si>
  <si>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</si>
  <si>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</si>
  <si>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</si>
  <si>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</si>
  <si>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</si>
  <si>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</si>
  <si>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</si>
  <si>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</si>
  <si>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</si>
  <si>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</si>
  <si>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</si>
  <si>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</si>
  <si>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</si>
  <si>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</si>
  <si>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</si>
  <si>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</si>
  <si>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</si>
  <si>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</si>
  <si>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</si>
  <si>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</si>
  <si>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</si>
  <si>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</si>
  <si>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</si>
  <si>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</si>
  <si>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</si>
  <si>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</si>
  <si>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</si>
  <si>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</si>
  <si>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</si>
  <si>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</si>
  <si>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</si>
  <si>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</si>
  <si>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</si>
  <si>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</si>
  <si>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</si>
  <si>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</si>
  <si>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</si>
  <si>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</si>
  <si>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</si>
  <si>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</si>
  <si>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</si>
  <si>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</si>
  <si>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</si>
  <si>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</si>
  <si>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</si>
  <si>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</si>
  <si>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</si>
  <si>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</si>
  <si>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</si>
  <si>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</si>
  <si>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</si>
  <si>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</si>
  <si>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</si>
  <si>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</si>
  <si>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</si>
  <si>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</si>
  <si>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</si>
  <si>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</si>
  <si>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</si>
  <si>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</si>
  <si>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</si>
  <si>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</si>
  <si>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</si>
  <si>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</si>
  <si>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</si>
  <si>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</si>
  <si>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</si>
  <si>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</si>
  <si>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</si>
  <si>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</si>
  <si>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</si>
  <si>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</si>
  <si>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</si>
  <si>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</si>
  <si>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</si>
  <si>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</si>
  <si>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</si>
  <si>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</si>
  <si>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</si>
  <si>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</si>
  <si>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</si>
  <si>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</si>
  <si>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</si>
  <si>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</si>
  <si>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</si>
  <si>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</si>
  <si>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</si>
  <si>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</si>
  <si>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</si>
  <si>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</si>
  <si>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</si>
  <si>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</si>
  <si>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</si>
  <si>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</si>
  <si>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</si>
  <si>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</si>
  <si>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</si>
  <si>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</si>
  <si>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</si>
  <si>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</si>
  <si>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</si>
  <si>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</si>
  <si>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</si>
  <si>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</si>
  <si>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</si>
  <si>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</si>
  <si>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</si>
  <si>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</si>
  <si>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</si>
  <si>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</si>
  <si>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</si>
  <si>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</si>
  <si>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</si>
  <si>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</si>
  <si>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</si>
  <si>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</si>
  <si>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</si>
  <si>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</si>
  <si>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</si>
  <si>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</si>
  <si>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</si>
  <si>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</si>
  <si>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</si>
  <si>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</si>
  <si>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</si>
  <si>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</si>
  <si>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</si>
  <si>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</si>
  <si>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</si>
  <si>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</si>
  <si>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</si>
  <si>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</si>
  <si>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</si>
  <si>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</si>
  <si>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</si>
  <si>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</si>
  <si>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</si>
  <si>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</si>
  <si>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</si>
  <si>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</si>
  <si>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</si>
  <si>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</si>
  <si>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</si>
  <si>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</si>
  <si>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</si>
  <si>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</si>
  <si>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</si>
  <si>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</si>
  <si>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</si>
  <si>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</si>
  <si>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</si>
  <si>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</si>
  <si>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</si>
  <si>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</si>
  <si>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</si>
  <si>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</si>
  <si>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</si>
  <si>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</si>
  <si>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</si>
  <si>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</si>
  <si>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</si>
  <si>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</si>
  <si>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</si>
  <si>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</si>
  <si>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</si>
  <si>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</si>
  <si>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</si>
  <si>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</si>
  <si>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</si>
  <si>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</si>
  <si>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</si>
  <si>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</si>
  <si>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</si>
  <si>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</si>
  <si>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</si>
  <si>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</si>
  <si>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</si>
  <si>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</si>
  <si>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</si>
  <si>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</si>
  <si>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</si>
  <si>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</si>
  <si>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</si>
  <si>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</si>
  <si>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</si>
  <si>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</si>
  <si>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</si>
  <si>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</si>
  <si>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</si>
  <si>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</si>
  <si>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</si>
  <si>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</si>
  <si>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</si>
  <si>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</si>
  <si>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</si>
  <si>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</si>
  <si>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</si>
  <si>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</si>
  <si>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</si>
  <si>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</si>
  <si>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</si>
  <si>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</si>
  <si>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</si>
  <si>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</si>
  <si>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</si>
  <si>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</si>
  <si>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</si>
  <si>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</si>
  <si>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</si>
  <si>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</si>
  <si>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</si>
  <si>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</si>
  <si>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</si>
  <si>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</si>
  <si>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</si>
  <si>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</si>
  <si>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</si>
  <si>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</si>
  <si>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</si>
  <si>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</si>
  <si>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</si>
  <si>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</si>
  <si>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</si>
  <si>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</si>
  <si>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</si>
  <si>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</si>
  <si>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</si>
  <si>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</si>
  <si>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</si>
  <si>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</si>
  <si>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</si>
  <si>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</si>
  <si>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</si>
  <si>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</si>
  <si>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</si>
  <si>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</si>
  <si>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</si>
  <si>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</si>
  <si>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</si>
  <si>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</si>
  <si>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</si>
  <si>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</si>
  <si>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</si>
  <si>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</si>
  <si>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</si>
  <si>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</si>
  <si>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</si>
  <si>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</si>
  <si>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</si>
  <si>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</si>
  <si>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</si>
  <si>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</si>
  <si>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</si>
  <si>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</si>
  <si>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</si>
  <si>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</si>
  <si>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</si>
  <si>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</si>
  <si>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</si>
  <si>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</si>
  <si>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</si>
  <si>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</si>
  <si>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</si>
  <si>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</si>
  <si>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</si>
  <si>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</si>
  <si>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</si>
  <si>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</si>
  <si>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</si>
  <si>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</si>
  <si>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</si>
  <si>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</si>
  <si>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</si>
  <si>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</si>
  <si>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</si>
  <si>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</si>
  <si>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</si>
  <si>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</si>
  <si>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</si>
  <si>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</si>
  <si>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</si>
  <si>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</si>
  <si>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</si>
  <si>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</si>
  <si>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</si>
  <si>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</si>
  <si>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</si>
  <si>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</si>
  <si>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</si>
  <si>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</si>
  <si>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</si>
  <si>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</si>
  <si>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</si>
  <si>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</si>
  <si>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</si>
  <si>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</si>
  <si>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</si>
  <si>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</si>
  <si>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</si>
  <si>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</si>
  <si>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</si>
  <si>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</si>
  <si>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</si>
  <si>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</si>
  <si>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</si>
  <si>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</si>
  <si>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</si>
  <si>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</si>
  <si>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</si>
  <si>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</si>
  <si>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</si>
  <si>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</si>
  <si>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</si>
  <si>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</si>
  <si>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</si>
  <si>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</si>
  <si>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</si>
  <si>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</si>
  <si>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</si>
  <si>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</si>
  <si>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</si>
  <si>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</si>
  <si>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</si>
  <si>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</si>
  <si>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</si>
  <si>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</si>
  <si>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</si>
  <si>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</si>
  <si>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</si>
  <si>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</si>
  <si>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</si>
  <si>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</si>
  <si>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</si>
  <si>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</si>
  <si>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</si>
  <si>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</si>
  <si>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</si>
  <si>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</si>
  <si>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</si>
  <si>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</si>
  <si>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</si>
  <si>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</si>
  <si>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</si>
  <si>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</si>
  <si>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</si>
  <si>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</si>
  <si>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</si>
  <si>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</si>
  <si>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</si>
  <si>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</si>
  <si>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</si>
  <si>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</si>
  <si>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</si>
  <si>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</si>
  <si>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</si>
  <si>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</si>
  <si>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</si>
  <si>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</si>
  <si>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</si>
  <si>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</si>
  <si>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</si>
  <si>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</si>
  <si>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</si>
  <si>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</si>
  <si>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</si>
  <si>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</si>
  <si>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</si>
  <si>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</si>
  <si>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</si>
  <si>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</si>
  <si>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</si>
  <si>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</si>
  <si>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</si>
  <si>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</si>
  <si>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</si>
  <si>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</si>
  <si>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</si>
  <si>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</si>
  <si>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</si>
  <si>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</si>
  <si>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</si>
  <si>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</si>
  <si>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</si>
  <si>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</si>
  <si>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</si>
  <si>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</si>
  <si>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</si>
  <si>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</si>
  <si>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</si>
  <si>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</si>
  <si>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</si>
  <si>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</si>
  <si>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</si>
  <si>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</si>
  <si>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</si>
  <si>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</si>
  <si>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</si>
  <si>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</si>
  <si>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</si>
  <si>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</si>
  <si>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</si>
  <si>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</si>
  <si>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</si>
  <si>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</si>
  <si>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</si>
  <si>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</si>
  <si>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</si>
  <si>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</si>
  <si>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</si>
  <si>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</si>
  <si>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</si>
  <si>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</si>
  <si>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</si>
  <si>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</si>
  <si>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</si>
  <si>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</si>
  <si>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</si>
  <si>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</si>
  <si>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</si>
  <si>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</si>
  <si>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</si>
  <si>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</si>
  <si>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</si>
  <si>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</si>
  <si>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</si>
  <si>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</si>
  <si>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</si>
  <si>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</si>
  <si>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</si>
  <si>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</si>
  <si>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</si>
  <si>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</si>
  <si>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</si>
  <si>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</si>
  <si>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</si>
  <si>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</si>
  <si>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</si>
  <si>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</si>
  <si>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</si>
  <si>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</si>
  <si>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</si>
  <si>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</si>
  <si>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</si>
  <si>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</si>
  <si>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</si>
  <si>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</si>
  <si>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</si>
  <si>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</si>
  <si>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</si>
  <si>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</si>
  <si>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</si>
  <si>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</si>
  <si>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</si>
  <si>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</si>
  <si>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</si>
  <si>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</si>
  <si>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</si>
  <si>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</si>
  <si>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</si>
  <si>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</si>
  <si>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</si>
  <si>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</si>
  <si>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</si>
  <si>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</si>
  <si>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</si>
  <si>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</si>
  <si>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</si>
  <si>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</si>
  <si>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</si>
  <si>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</si>
  <si>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</si>
  <si>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</si>
  <si>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</si>
  <si>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</si>
  <si>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</si>
  <si>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</si>
  <si>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</si>
  <si>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</si>
  <si>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</si>
  <si>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</si>
  <si>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</si>
  <si>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</si>
  <si>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</si>
  <si>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</si>
  <si>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</si>
  <si>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</si>
  <si>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</si>
  <si>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</si>
  <si>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</si>
  <si>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</si>
  <si>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</si>
  <si>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</si>
  <si>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</si>
  <si>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</si>
  <si>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</si>
  <si>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</si>
  <si>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</si>
  <si>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</si>
  <si>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</si>
  <si>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</si>
  <si>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</si>
  <si>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</si>
  <si>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</si>
  <si>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</si>
  <si>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</si>
  <si>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</si>
  <si>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</si>
  <si>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</si>
  <si>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</si>
  <si>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</si>
  <si>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</si>
  <si>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</si>
  <si>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</si>
  <si>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</si>
  <si>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</si>
  <si>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</si>
  <si>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</si>
  <si>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</si>
  <si>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</si>
  <si>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</si>
  <si>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</si>
  <si>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</si>
  <si>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</si>
  <si>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</si>
  <si>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</si>
  <si>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</si>
  <si>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</si>
  <si>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</si>
  <si>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</si>
  <si>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</si>
  <si>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</si>
  <si>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</si>
  <si>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</si>
  <si>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</si>
  <si>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</si>
  <si>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</si>
  <si>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</si>
  <si>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</si>
  <si>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</si>
  <si>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</si>
  <si>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</si>
  <si>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</si>
  <si>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</si>
  <si>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</si>
  <si>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</si>
  <si>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</si>
  <si>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</si>
  <si>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</si>
  <si>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</si>
  <si>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</si>
  <si>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</si>
  <si>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</si>
  <si>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</si>
  <si>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</si>
  <si>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</si>
  <si>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</si>
  <si>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</si>
  <si>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</si>
  <si>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</si>
  <si>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</si>
  <si>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</si>
  <si>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</si>
  <si>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</si>
  <si>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</si>
  <si>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</si>
  <si>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</si>
  <si>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</si>
  <si>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</si>
  <si>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</si>
  <si>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</si>
  <si>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</si>
  <si>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</si>
  <si>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</si>
  <si>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</si>
  <si>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</si>
  <si>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</si>
  <si>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</si>
  <si>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</si>
  <si>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</si>
  <si>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</si>
  <si>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</si>
  <si>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</si>
  <si>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</si>
  <si>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</si>
  <si>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</si>
  <si>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</si>
  <si>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</si>
  <si>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</si>
  <si>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</si>
  <si>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</si>
  <si>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</si>
  <si>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</si>
  <si>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</si>
  <si>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</si>
  <si>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</si>
  <si>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</si>
  <si>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</si>
  <si>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</si>
  <si>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</si>
  <si>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</si>
  <si>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</si>
  <si>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</si>
  <si>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</si>
  <si>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</si>
  <si>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</si>
  <si>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</si>
  <si>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</si>
  <si>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</si>
  <si>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</si>
  <si>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</si>
  <si>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</si>
  <si>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</si>
  <si>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</si>
  <si>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</si>
  <si>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</si>
  <si>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</si>
  <si>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</si>
  <si>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</si>
  <si>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</si>
  <si>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</si>
  <si>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</si>
  <si>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</si>
  <si>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</si>
  <si>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</si>
  <si>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</si>
  <si>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</si>
  <si>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t>End-to-End BD‑AttrRate [%]</t>
    <phoneticPr fontId="3" type="noConversion"/>
  </si>
  <si>
    <t>m55034_combine_m54701_simplified</t>
  </si>
  <si>
    <t>m54701_simplified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</si>
</sst>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4" borderId="2" xfId="0" applyFont="1" applyFill="1" applyBorder="1" applyAlignment="1">
      <alignment horizontal="center" vertical="center" wrapText="1"/>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2" borderId="0" xfId="0" applyFont="1" applyFill="1" applyAlignment="1">
      <alignment horizontal="left" vertical="top"/>
    </xf>
    <xf numFmtId="0" fontId="1" fillId="3" borderId="0" xfId="0" applyFont="1" applyFill="1" applyAlignment="1">
      <alignment horizontal="center" wrapText="1"/>
    </xf>
    <xf numFmtId="0" fontId="1" fillId="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topLeftCell="A22" workbookViewId="0">
      <selection activeCell="C2" sqref="C2:E2"/>
    </sheetView>
  </sheetViews>
  <sheetFormatPr defaultColWidth="9" defaultRowHeight="13.5" x14ac:dyDescent="0.15"/>
  <cols>
    <col min="2" max="2" width="16.75" customWidth="1"/>
    <col min="3" max="8" width="24.75" customWidth="1"/>
  </cols>
  <sheetData>
    <row r="1" spans="2:6" x14ac:dyDescent="0.15">
      <c r="B1" t="s">
        <v>0</v>
      </c>
      <c r="C1" s="91" t="s">
        <v>999</v>
      </c>
      <c r="D1" s="91"/>
      <c r="E1" s="91"/>
    </row>
    <row r="2" spans="2:6" x14ac:dyDescent="0.15">
      <c r="B2" t="s">
        <v>1</v>
      </c>
      <c r="C2" s="92" t="s">
        <v>998</v>
      </c>
      <c r="D2" s="92"/>
      <c r="E2" s="92"/>
    </row>
    <row r="4" spans="2:6" s="74" customFormat="1" x14ac:dyDescent="0.15">
      <c r="B4" s="74" t="s">
        <v>2</v>
      </c>
    </row>
    <row r="6" spans="2:6" x14ac:dyDescent="0.15">
      <c r="B6" s="89" t="s">
        <v>3</v>
      </c>
      <c r="C6" s="85" t="s">
        <v>4</v>
      </c>
      <c r="D6" s="85"/>
      <c r="E6" s="85"/>
      <c r="F6" s="85"/>
    </row>
    <row r="7" spans="2:6" x14ac:dyDescent="0.15">
      <c r="B7" s="89"/>
      <c r="C7" s="86" t="s">
        <v>5</v>
      </c>
      <c r="D7" s="86"/>
      <c r="E7" s="86"/>
      <c r="F7" s="86"/>
    </row>
    <row r="8" spans="2:6" x14ac:dyDescent="0.15">
      <c r="B8" s="89"/>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7" t="e">
        <f>'C1 losslG,lossyA,intra'!AP349</f>
        <v>#NUM!</v>
      </c>
      <c r="D14" s="87"/>
      <c r="E14" s="87"/>
      <c r="F14" s="87"/>
    </row>
    <row r="15" spans="2:6" x14ac:dyDescent="0.15">
      <c r="B15" s="78" t="s">
        <v>16</v>
      </c>
      <c r="C15" s="88" t="e">
        <f>'C1 losslG,lossyA,intra'!AQ349</f>
        <v>#NUM!</v>
      </c>
      <c r="D15" s="88"/>
      <c r="E15" s="88"/>
      <c r="F15" s="88"/>
    </row>
    <row r="17" spans="2:8" x14ac:dyDescent="0.15">
      <c r="B17" s="89" t="s">
        <v>17</v>
      </c>
      <c r="C17" s="85" t="s">
        <v>18</v>
      </c>
      <c r="D17" s="85"/>
      <c r="E17" s="85"/>
      <c r="F17" s="85"/>
      <c r="G17" s="85"/>
      <c r="H17" s="85"/>
    </row>
    <row r="18" spans="2:8" x14ac:dyDescent="0.15">
      <c r="B18" s="89"/>
      <c r="C18" s="86" t="s">
        <v>997</v>
      </c>
      <c r="D18" s="86"/>
      <c r="E18" s="86"/>
      <c r="F18" s="86"/>
      <c r="G18" s="90" t="s">
        <v>19</v>
      </c>
      <c r="H18" s="90"/>
    </row>
    <row r="19" spans="2:8" x14ac:dyDescent="0.15">
      <c r="B19" s="89"/>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7" t="e">
        <f>'C2 lossyG,lossyA,intra'!AT349</f>
        <v>#NUM!</v>
      </c>
      <c r="D25" s="87"/>
      <c r="E25" s="87"/>
      <c r="F25" s="87"/>
      <c r="G25" s="87"/>
      <c r="H25" s="87"/>
    </row>
    <row r="26" spans="2:8" x14ac:dyDescent="0.15">
      <c r="B26" s="78" t="s">
        <v>16</v>
      </c>
      <c r="C26" s="88" t="e">
        <f>'C2 lossyG,lossyA,intra'!AU349</f>
        <v>#NUM!</v>
      </c>
      <c r="D26" s="88"/>
      <c r="E26" s="88"/>
      <c r="F26" s="88"/>
      <c r="G26" s="88"/>
      <c r="H26" s="88"/>
    </row>
    <row r="28" spans="2:8" ht="19.899999999999999" customHeight="1" x14ac:dyDescent="0.15">
      <c r="B28" s="89" t="s">
        <v>22</v>
      </c>
      <c r="C28" s="85" t="s">
        <v>23</v>
      </c>
      <c r="D28" s="85"/>
      <c r="E28" s="85"/>
      <c r="F28" s="85"/>
    </row>
    <row r="29" spans="2:8" x14ac:dyDescent="0.15">
      <c r="B29" s="89"/>
      <c r="C29" s="86" t="s">
        <v>24</v>
      </c>
      <c r="D29" s="86"/>
      <c r="E29" s="86"/>
      <c r="F29" s="86"/>
    </row>
    <row r="30" spans="2:8" x14ac:dyDescent="0.15">
      <c r="B30" s="89"/>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7" t="e">
        <f>'CW losslG,losslA,intra'!AI69</f>
        <v>#NUM!</v>
      </c>
      <c r="D36" s="87"/>
      <c r="E36" s="87"/>
      <c r="F36" s="87"/>
    </row>
    <row r="37" spans="2:6" x14ac:dyDescent="0.15">
      <c r="B37" s="78" t="s">
        <v>16</v>
      </c>
      <c r="C37" s="88" t="e">
        <f>'CW losslG,losslA,intra'!AJ69</f>
        <v>#NUM!</v>
      </c>
      <c r="D37" s="88"/>
      <c r="E37" s="88"/>
      <c r="F37" s="88"/>
    </row>
    <row r="39" spans="2:6" x14ac:dyDescent="0.15">
      <c r="B39" s="89" t="s">
        <v>28</v>
      </c>
      <c r="C39" s="85" t="s">
        <v>29</v>
      </c>
      <c r="D39" s="85"/>
      <c r="E39" s="85"/>
      <c r="F39" s="85"/>
    </row>
    <row r="40" spans="2:6" x14ac:dyDescent="0.15">
      <c r="B40" s="89"/>
      <c r="C40" s="86" t="s">
        <v>30</v>
      </c>
      <c r="D40" s="86"/>
      <c r="E40" s="86"/>
      <c r="F40" s="86"/>
    </row>
    <row r="41" spans="2:6" x14ac:dyDescent="0.15">
      <c r="B41" s="89"/>
      <c r="C41" s="75" t="s">
        <v>6</v>
      </c>
      <c r="D41" s="75" t="s">
        <v>7</v>
      </c>
      <c r="E41" s="75" t="s">
        <v>8</v>
      </c>
      <c r="F41" s="75" t="s">
        <v>9</v>
      </c>
    </row>
    <row r="42" spans="2:6" x14ac:dyDescent="0.15">
      <c r="B42" t="s">
        <v>10</v>
      </c>
      <c r="C42" s="70">
        <f>'CY losslG,nearllA,intra'!$BI$285:$BI$285</f>
        <v>1.0952283808468679E-3</v>
      </c>
      <c r="D42" s="70">
        <f>'CY losslG,nearllA,intra'!$BJ$285:$BJ$285</f>
        <v>1.0952283808468679E-3</v>
      </c>
      <c r="E42" s="70">
        <f>'CY losslG,nearllA,intra'!$BK$285:$BK$285</f>
        <v>1.0952283808468679E-3</v>
      </c>
      <c r="F42" s="71"/>
    </row>
    <row r="43" spans="2:6" x14ac:dyDescent="0.15">
      <c r="B43" t="s">
        <v>11</v>
      </c>
      <c r="C43" s="70">
        <f>'CY losslG,nearllA,intra'!$BI$286:$BI$286</f>
        <v>5.163177859795416E-3</v>
      </c>
      <c r="D43" s="70">
        <f>'CY losslG,nearllA,intra'!$BJ$286:$BJ$286</f>
        <v>5.163177859795416E-3</v>
      </c>
      <c r="E43" s="70">
        <f>'CY losslG,nearllA,intra'!$BK$286:$BK$286</f>
        <v>5.163177859795416E-3</v>
      </c>
      <c r="F43" s="71"/>
    </row>
    <row r="44" spans="2:6" x14ac:dyDescent="0.15">
      <c r="B44" t="s">
        <v>12</v>
      </c>
      <c r="C44" s="70">
        <f>'CY losslG,nearllA,intra'!$BI$287:$BI$287</f>
        <v>8.0159864751483401E-3</v>
      </c>
      <c r="D44" s="70">
        <f>'CY losslG,nearllA,intra'!$BJ$287:$BJ$287</f>
        <v>8.0159864751483401E-3</v>
      </c>
      <c r="E44" s="70">
        <f>'CY losslG,nearllA,intra'!$BK$287:$BK$287</f>
        <v>8.0159864751483401E-3</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3.511413315085022E-3</v>
      </c>
      <c r="D46" s="77">
        <f>'CY losslG,nearllA,intra'!$BJ$289:$BJ$289</f>
        <v>3.511413315085022E-3</v>
      </c>
      <c r="E46" s="77">
        <f>'CY losslG,nearllA,intra'!$BK$289:$BK$289</f>
        <v>3.511413315085022E-3</v>
      </c>
      <c r="F46" s="77" t="e">
        <f>'CY losslG,nearllA,intra'!$BL$289:$BL$289</f>
        <v>#DIV/0!</v>
      </c>
    </row>
    <row r="47" spans="2:6" x14ac:dyDescent="0.15">
      <c r="B47" t="s">
        <v>15</v>
      </c>
      <c r="C47" s="87">
        <f>'CY losslG,nearllA,intra'!AX293</f>
        <v>1.0026865105595826</v>
      </c>
      <c r="D47" s="87"/>
      <c r="E47" s="87"/>
      <c r="F47" s="87"/>
    </row>
    <row r="48" spans="2:6" x14ac:dyDescent="0.15">
      <c r="B48" s="78" t="s">
        <v>16</v>
      </c>
      <c r="C48" s="88">
        <f>'CY losslG,nearllA,intra'!AY293</f>
        <v>1.0046330078633849</v>
      </c>
      <c r="D48" s="88"/>
      <c r="E48" s="88"/>
      <c r="F48" s="88"/>
    </row>
    <row r="49" spans="2:6" ht="14.25" thickBot="1" x14ac:dyDescent="0.2"/>
    <row r="50" spans="2:6" ht="14.25" thickBot="1" x14ac:dyDescent="0.2">
      <c r="B50" s="89" t="s">
        <v>28</v>
      </c>
      <c r="C50" s="85" t="s">
        <v>29</v>
      </c>
      <c r="D50" s="85"/>
      <c r="E50" s="85"/>
      <c r="F50" s="85"/>
    </row>
    <row r="51" spans="2:6" ht="14.25" thickBot="1" x14ac:dyDescent="0.2">
      <c r="B51" s="89"/>
      <c r="C51" s="86" t="s">
        <v>997</v>
      </c>
      <c r="D51" s="86"/>
      <c r="E51" s="86"/>
      <c r="F51" s="86"/>
    </row>
    <row r="52" spans="2:6" ht="14.25" thickBot="1" x14ac:dyDescent="0.2">
      <c r="B52" s="89"/>
      <c r="C52" s="75" t="s">
        <v>6</v>
      </c>
      <c r="D52" s="75" t="s">
        <v>7</v>
      </c>
      <c r="E52" s="75" t="s">
        <v>8</v>
      </c>
      <c r="F52" s="75" t="s">
        <v>9</v>
      </c>
    </row>
    <row r="53" spans="2:6" x14ac:dyDescent="0.15">
      <c r="B53" t="s">
        <v>10</v>
      </c>
      <c r="C53" s="70">
        <f>'CY losslG,nearllA,intra'!$BD$285:$BD$285</f>
        <v>-3.8005084690093216E-3</v>
      </c>
      <c r="D53" s="70">
        <f>'CY losslG,nearllA,intra'!$BE$285:$BE$285</f>
        <v>-9.7945021554713754E-3</v>
      </c>
      <c r="E53" s="70">
        <f>'CY losslG,nearllA,intra'!$BF$285:$BF$285</f>
        <v>-7.3459404713867435E-3</v>
      </c>
      <c r="F53" s="71"/>
    </row>
    <row r="54" spans="2:6" x14ac:dyDescent="0.15">
      <c r="B54" t="s">
        <v>11</v>
      </c>
      <c r="C54" s="70">
        <f>'CY losslG,nearllA,intra'!$BD$286:$BD$286</f>
        <v>-3.8928517761706444E-3</v>
      </c>
      <c r="D54" s="70">
        <f>'CY losslG,nearllA,intra'!$BE$286:$BE$286</f>
        <v>-8.0348141735153422E-3</v>
      </c>
      <c r="E54" s="70">
        <f>'CY losslG,nearllA,intra'!$BF$286:$BF$286</f>
        <v>-6.9265334209838852E-3</v>
      </c>
      <c r="F54" s="71"/>
    </row>
    <row r="55" spans="2:6" x14ac:dyDescent="0.15">
      <c r="B55" t="s">
        <v>12</v>
      </c>
      <c r="C55" s="70">
        <f>'CY losslG,nearllA,intra'!$BD$287:$BD$287</f>
        <v>-5.8339664533422946E-3</v>
      </c>
      <c r="D55" s="70">
        <f>'CY losslG,nearllA,intra'!$BE$287:$BE$287</f>
        <v>-8.7024222787982497E-3</v>
      </c>
      <c r="E55" s="70">
        <f>'CY losslG,nearllA,intra'!$BF$287:$BF$287</f>
        <v>-7.0028193100842477E-3</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-3.9702352715577025E-3</v>
      </c>
      <c r="D57" s="77">
        <f>'CY losslG,nearllA,intra'!$BE$289:$BE$289</f>
        <v>-8.8657521310435347E-3</v>
      </c>
      <c r="E57" s="77">
        <f>'CY losslG,nearllA,intra'!$BF$289:$BF$289</f>
        <v>-7.1195091919260068E-3</v>
      </c>
      <c r="F57" s="77" t="e">
        <f>'CY losslG,nearllA,intra'!$BL$289:$BL$289</f>
        <v>#DIV/0!</v>
      </c>
    </row>
    <row r="58" spans="2:6" x14ac:dyDescent="0.15">
      <c r="B58" t="s">
        <v>15</v>
      </c>
      <c r="C58" s="87">
        <f>'CY losslG,nearllA,intra'!AX293</f>
        <v>1.0026865105595826</v>
      </c>
      <c r="D58" s="87"/>
      <c r="E58" s="87"/>
      <c r="F58" s="87"/>
    </row>
    <row r="59" spans="2:6" ht="14.25" thickBot="1" x14ac:dyDescent="0.2">
      <c r="B59" s="78" t="s">
        <v>16</v>
      </c>
      <c r="C59" s="88">
        <f>'CY losslG,nearllA,intra'!AY293</f>
        <v>1.0046330078633849</v>
      </c>
      <c r="D59" s="88"/>
      <c r="E59" s="88"/>
      <c r="F59" s="88"/>
    </row>
  </sheetData>
  <mergeCells count="28">
    <mergeCell ref="B50:B52"/>
    <mergeCell ref="C50:F50"/>
    <mergeCell ref="C51:F51"/>
    <mergeCell ref="C58:F58"/>
    <mergeCell ref="C59:F59"/>
    <mergeCell ref="G18:H18"/>
    <mergeCell ref="C25:H25"/>
    <mergeCell ref="C1:E1"/>
    <mergeCell ref="C2:E2"/>
    <mergeCell ref="C6:F6"/>
    <mergeCell ref="C7:F7"/>
    <mergeCell ref="C14:F14"/>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5" t="s">
        <v>184</v>
      </c>
      <c r="B1" s="95"/>
      <c r="C1" s="95"/>
      <c r="D1" s="95"/>
      <c r="E1" s="95"/>
      <c r="F1" s="95"/>
      <c r="G1" s="95"/>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4" t="s">
        <v>197</v>
      </c>
      <c r="Y2" s="93" t="s">
        <v>198</v>
      </c>
      <c r="AA2" s="94" t="s">
        <v>192</v>
      </c>
      <c r="AB2" s="96" t="s">
        <v>193</v>
      </c>
      <c r="AC2" s="96"/>
      <c r="AD2" s="96"/>
      <c r="AE2" s="96"/>
      <c r="AF2" s="94" t="s">
        <v>194</v>
      </c>
      <c r="AG2" s="93" t="s">
        <v>84</v>
      </c>
      <c r="AH2" s="97" t="s">
        <v>195</v>
      </c>
      <c r="AI2" s="97"/>
      <c r="AJ2" s="97"/>
      <c r="AK2" s="97"/>
      <c r="AL2" s="96" t="s">
        <v>196</v>
      </c>
      <c r="AM2" s="96"/>
      <c r="AN2" s="96"/>
      <c r="AO2" s="96"/>
      <c r="AP2" s="94" t="s">
        <v>197</v>
      </c>
      <c r="AQ2" s="93" t="s">
        <v>198</v>
      </c>
      <c r="AS2" s="94" t="s">
        <v>199</v>
      </c>
      <c r="AT2" s="93" t="s">
        <v>199</v>
      </c>
      <c r="AV2" s="97" t="s">
        <v>5</v>
      </c>
      <c r="AW2" s="97"/>
      <c r="AX2" s="97"/>
      <c r="AY2" s="97"/>
      <c r="BA2" s="96" t="s">
        <v>200</v>
      </c>
      <c r="BB2" s="96"/>
      <c r="BC2" s="96"/>
      <c r="BD2" s="96"/>
      <c r="BF2" s="98" t="s">
        <v>84</v>
      </c>
      <c r="BG2" s="99" t="s">
        <v>195</v>
      </c>
      <c r="BH2" s="99"/>
      <c r="BI2" s="99"/>
      <c r="BJ2" s="99"/>
      <c r="BK2" s="99" t="s">
        <v>196</v>
      </c>
      <c r="BL2" s="99"/>
      <c r="BM2" s="99"/>
      <c r="BN2" s="99"/>
    </row>
    <row r="3" spans="1:6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94"/>
      <c r="Y3" s="93"/>
      <c r="AA3" s="94"/>
      <c r="AB3" s="1" t="s">
        <v>27</v>
      </c>
      <c r="AC3" s="1" t="s">
        <v>25</v>
      </c>
      <c r="AD3" s="1" t="s">
        <v>201</v>
      </c>
      <c r="AE3" s="1" t="s">
        <v>9</v>
      </c>
      <c r="AF3" s="94"/>
      <c r="AG3" s="93"/>
      <c r="AH3" s="2" t="s">
        <v>27</v>
      </c>
      <c r="AI3" s="2" t="s">
        <v>25</v>
      </c>
      <c r="AJ3" s="2" t="s">
        <v>26</v>
      </c>
      <c r="AK3" s="2" t="s">
        <v>9</v>
      </c>
      <c r="AL3" s="1" t="s">
        <v>6</v>
      </c>
      <c r="AM3" s="1" t="s">
        <v>7</v>
      </c>
      <c r="AN3" s="1" t="s">
        <v>8</v>
      </c>
      <c r="AO3" s="1" t="s">
        <v>9</v>
      </c>
      <c r="AP3" s="94"/>
      <c r="AQ3" s="93"/>
      <c r="AS3" s="94"/>
      <c r="AT3" s="93"/>
      <c r="AV3" s="2" t="s">
        <v>6</v>
      </c>
      <c r="AW3" s="2" t="s">
        <v>7</v>
      </c>
      <c r="AX3" s="2" t="s">
        <v>8</v>
      </c>
      <c r="AY3" s="2" t="s">
        <v>9</v>
      </c>
      <c r="BA3" s="1" t="s">
        <v>6</v>
      </c>
      <c r="BB3" s="1" t="s">
        <v>7</v>
      </c>
      <c r="BC3" s="1" t="s">
        <v>8</v>
      </c>
      <c r="BD3" s="1" t="s">
        <v>9</v>
      </c>
      <c r="BF3" s="98"/>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BF2:BF3"/>
    <mergeCell ref="BG2:BJ2"/>
    <mergeCell ref="BK2:BN2"/>
    <mergeCell ref="AA2:AA3"/>
    <mergeCell ref="AF2:AF3"/>
    <mergeCell ref="AS2:AS3"/>
    <mergeCell ref="AT2:AT3"/>
    <mergeCell ref="AV2:AY2"/>
    <mergeCell ref="BA2:BD2"/>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O2:O3"/>
    <mergeCell ref="X2:X3"/>
    <mergeCell ref="Y2:Y3"/>
    <mergeCell ref="E2:E3"/>
    <mergeCell ref="F2:F3"/>
    <mergeCell ref="G2:G3"/>
    <mergeCell ref="I2:I3"/>
    <mergeCell ref="N2:N3"/>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5" t="s">
        <v>953</v>
      </c>
      <c r="B1" s="95"/>
      <c r="C1" s="95"/>
      <c r="D1" s="95"/>
      <c r="E1" s="95"/>
      <c r="F1" s="95"/>
      <c r="G1" s="95"/>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954</v>
      </c>
      <c r="U2" s="96"/>
      <c r="V2" s="97" t="s">
        <v>196</v>
      </c>
      <c r="W2" s="97"/>
      <c r="X2" s="97"/>
      <c r="Y2" s="97"/>
      <c r="Z2" s="93" t="s">
        <v>197</v>
      </c>
      <c r="AA2" s="94" t="s">
        <v>198</v>
      </c>
      <c r="AC2" s="93" t="s">
        <v>192</v>
      </c>
      <c r="AD2" s="97" t="s">
        <v>193</v>
      </c>
      <c r="AE2" s="97"/>
      <c r="AF2" s="97"/>
      <c r="AG2" s="97"/>
      <c r="AH2" s="93" t="s">
        <v>194</v>
      </c>
      <c r="AI2" s="94" t="s">
        <v>84</v>
      </c>
      <c r="AJ2" s="96" t="s">
        <v>195</v>
      </c>
      <c r="AK2" s="96"/>
      <c r="AL2" s="96"/>
      <c r="AM2" s="96"/>
      <c r="AN2" s="97" t="s">
        <v>954</v>
      </c>
      <c r="AO2" s="97"/>
      <c r="AP2" s="96" t="s">
        <v>196</v>
      </c>
      <c r="AQ2" s="96"/>
      <c r="AR2" s="96"/>
      <c r="AS2" s="96"/>
      <c r="AT2" s="94" t="s">
        <v>197</v>
      </c>
      <c r="AU2" s="93" t="s">
        <v>198</v>
      </c>
      <c r="AW2" s="94" t="s">
        <v>199</v>
      </c>
      <c r="AX2" s="93" t="s">
        <v>199</v>
      </c>
      <c r="AZ2" s="97" t="s">
        <v>19</v>
      </c>
      <c r="BA2" s="97"/>
      <c r="BB2" s="96" t="s">
        <v>5</v>
      </c>
      <c r="BC2" s="96"/>
      <c r="BD2" s="96"/>
      <c r="BE2" s="96"/>
      <c r="BG2" s="97" t="s">
        <v>955</v>
      </c>
      <c r="BH2" s="97"/>
      <c r="BI2" s="96" t="s">
        <v>200</v>
      </c>
      <c r="BJ2" s="96"/>
      <c r="BK2" s="96"/>
      <c r="BL2" s="96"/>
      <c r="BN2" s="98" t="s">
        <v>993</v>
      </c>
      <c r="BO2" s="99" t="s">
        <v>195</v>
      </c>
      <c r="BP2" s="99"/>
      <c r="BQ2" s="99"/>
      <c r="BR2" s="99"/>
      <c r="BS2" s="99" t="s">
        <v>954</v>
      </c>
      <c r="BT2" s="99"/>
      <c r="BU2" s="99" t="s">
        <v>196</v>
      </c>
      <c r="BV2" s="99"/>
      <c r="BW2" s="99"/>
      <c r="BX2" s="99"/>
    </row>
    <row r="3" spans="1:76"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20</v>
      </c>
      <c r="U3" s="1" t="s">
        <v>21</v>
      </c>
      <c r="V3" s="2" t="s">
        <v>6</v>
      </c>
      <c r="W3" s="2" t="s">
        <v>7</v>
      </c>
      <c r="X3" s="2" t="s">
        <v>8</v>
      </c>
      <c r="Y3" s="2" t="s">
        <v>9</v>
      </c>
      <c r="Z3" s="93"/>
      <c r="AA3" s="94"/>
      <c r="AC3" s="93"/>
      <c r="AD3" s="2" t="s">
        <v>27</v>
      </c>
      <c r="AE3" s="2" t="s">
        <v>25</v>
      </c>
      <c r="AF3" s="2" t="s">
        <v>201</v>
      </c>
      <c r="AG3" s="2" t="s">
        <v>9</v>
      </c>
      <c r="AH3" s="93"/>
      <c r="AI3" s="94"/>
      <c r="AJ3" s="1" t="s">
        <v>27</v>
      </c>
      <c r="AK3" s="1" t="s">
        <v>25</v>
      </c>
      <c r="AL3" s="1" t="s">
        <v>26</v>
      </c>
      <c r="AM3" s="1" t="s">
        <v>9</v>
      </c>
      <c r="AN3" s="2" t="s">
        <v>20</v>
      </c>
      <c r="AO3" s="2" t="s">
        <v>21</v>
      </c>
      <c r="AP3" s="1" t="s">
        <v>6</v>
      </c>
      <c r="AQ3" s="1" t="s">
        <v>7</v>
      </c>
      <c r="AR3" s="1" t="s">
        <v>8</v>
      </c>
      <c r="AS3" s="1" t="s">
        <v>9</v>
      </c>
      <c r="AT3" s="94"/>
      <c r="AU3" s="93"/>
      <c r="AW3" s="94"/>
      <c r="AX3" s="93"/>
      <c r="AZ3" s="2" t="s">
        <v>20</v>
      </c>
      <c r="BA3" s="2" t="s">
        <v>21</v>
      </c>
      <c r="BB3" s="1" t="s">
        <v>6</v>
      </c>
      <c r="BC3" s="1" t="s">
        <v>7</v>
      </c>
      <c r="BD3" s="1" t="s">
        <v>8</v>
      </c>
      <c r="BE3" s="1" t="s">
        <v>9</v>
      </c>
      <c r="BG3" s="2" t="s">
        <v>20</v>
      </c>
      <c r="BH3" s="2" t="s">
        <v>21</v>
      </c>
      <c r="BI3" s="1" t="s">
        <v>6</v>
      </c>
      <c r="BJ3" s="1" t="s">
        <v>7</v>
      </c>
      <c r="BK3" s="1" t="s">
        <v>8</v>
      </c>
      <c r="BL3" s="1" t="s">
        <v>9</v>
      </c>
      <c r="BN3" s="98"/>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AX2:AX3"/>
    <mergeCell ref="AZ2:BA2"/>
    <mergeCell ref="AH2:AH3"/>
    <mergeCell ref="AI2:AI3"/>
    <mergeCell ref="AT2:AT3"/>
    <mergeCell ref="AU2:AU3"/>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5" t="s">
        <v>964</v>
      </c>
      <c r="B1" s="95"/>
      <c r="C1" s="95"/>
      <c r="D1" s="95"/>
      <c r="E1" s="95"/>
      <c r="F1" s="95"/>
      <c r="H1" s="91" t="str">
        <f>Summary!C1</f>
        <v>m54701_simplified</v>
      </c>
      <c r="I1" s="91"/>
      <c r="J1" s="91"/>
      <c r="K1" s="91"/>
      <c r="L1" s="91"/>
      <c r="M1" s="91"/>
      <c r="N1" s="91"/>
      <c r="O1" s="91"/>
      <c r="P1" s="91"/>
      <c r="Q1" s="91"/>
      <c r="R1" s="91"/>
      <c r="S1" s="91"/>
      <c r="T1" s="91"/>
      <c r="U1" s="91"/>
      <c r="W1" s="92" t="str">
        <f>Summary!C2</f>
        <v>m55034_combine_m54701_simplified</v>
      </c>
      <c r="X1" s="92"/>
      <c r="Y1" s="92"/>
      <c r="Z1" s="92"/>
      <c r="AA1" s="92"/>
      <c r="AB1" s="92"/>
      <c r="AC1" s="92"/>
      <c r="AD1" s="92"/>
      <c r="AE1" s="92"/>
      <c r="AF1" s="92"/>
      <c r="AG1" s="92"/>
      <c r="AH1" s="92"/>
      <c r="AI1" s="92"/>
      <c r="AJ1" s="92"/>
      <c r="AS1" s="80" t="s">
        <v>994</v>
      </c>
    </row>
    <row r="2" spans="1:49" ht="30" customHeight="1" thickBot="1" x14ac:dyDescent="0.2">
      <c r="A2" s="93" t="s">
        <v>185</v>
      </c>
      <c r="B2" s="94" t="s">
        <v>186</v>
      </c>
      <c r="C2" s="93" t="s">
        <v>188</v>
      </c>
      <c r="D2" s="94" t="s">
        <v>189</v>
      </c>
      <c r="E2" s="93" t="s">
        <v>190</v>
      </c>
      <c r="F2" s="94" t="s">
        <v>191</v>
      </c>
      <c r="H2" s="93" t="s">
        <v>965</v>
      </c>
      <c r="I2" s="94" t="s">
        <v>192</v>
      </c>
      <c r="J2" s="96" t="s">
        <v>193</v>
      </c>
      <c r="K2" s="96"/>
      <c r="L2" s="96"/>
      <c r="M2" s="96"/>
      <c r="N2" s="94" t="s">
        <v>194</v>
      </c>
      <c r="O2" s="93" t="s">
        <v>84</v>
      </c>
      <c r="P2" s="97" t="s">
        <v>195</v>
      </c>
      <c r="Q2" s="97"/>
      <c r="R2" s="97"/>
      <c r="S2" s="97"/>
      <c r="T2" s="93" t="s">
        <v>197</v>
      </c>
      <c r="U2" s="94" t="s">
        <v>198</v>
      </c>
      <c r="W2" s="93" t="s">
        <v>965</v>
      </c>
      <c r="X2" s="94" t="s">
        <v>192</v>
      </c>
      <c r="Y2" s="96" t="s">
        <v>193</v>
      </c>
      <c r="Z2" s="96"/>
      <c r="AA2" s="96"/>
      <c r="AB2" s="96"/>
      <c r="AC2" s="94" t="s">
        <v>194</v>
      </c>
      <c r="AD2" s="93" t="s">
        <v>84</v>
      </c>
      <c r="AE2" s="97" t="s">
        <v>195</v>
      </c>
      <c r="AF2" s="97"/>
      <c r="AG2" s="97"/>
      <c r="AH2" s="97"/>
      <c r="AI2" s="93" t="s">
        <v>197</v>
      </c>
      <c r="AJ2" s="94" t="s">
        <v>198</v>
      </c>
      <c r="AL2" s="96" t="s">
        <v>24</v>
      </c>
      <c r="AM2" s="96"/>
      <c r="AN2" s="96"/>
      <c r="AO2" s="96"/>
      <c r="AP2" s="94" t="s">
        <v>199</v>
      </c>
      <c r="AQ2" s="93" t="s">
        <v>199</v>
      </c>
      <c r="AS2" s="98" t="s">
        <v>84</v>
      </c>
      <c r="AT2" s="99" t="s">
        <v>195</v>
      </c>
      <c r="AU2" s="99"/>
      <c r="AV2" s="99"/>
      <c r="AW2" s="99"/>
    </row>
    <row r="3" spans="1:49" ht="27.75" thickBot="1" x14ac:dyDescent="0.2">
      <c r="A3" s="93"/>
      <c r="B3" s="94"/>
      <c r="C3" s="93"/>
      <c r="D3" s="94"/>
      <c r="E3" s="93"/>
      <c r="F3" s="94"/>
      <c r="H3" s="93"/>
      <c r="I3" s="94"/>
      <c r="J3" s="1" t="s">
        <v>27</v>
      </c>
      <c r="K3" s="1" t="s">
        <v>25</v>
      </c>
      <c r="L3" s="1" t="s">
        <v>201</v>
      </c>
      <c r="M3" s="1" t="s">
        <v>9</v>
      </c>
      <c r="N3" s="94"/>
      <c r="O3" s="93"/>
      <c r="P3" s="2" t="s">
        <v>27</v>
      </c>
      <c r="Q3" s="2" t="s">
        <v>25</v>
      </c>
      <c r="R3" s="2" t="s">
        <v>26</v>
      </c>
      <c r="S3" s="2" t="s">
        <v>9</v>
      </c>
      <c r="T3" s="93"/>
      <c r="U3" s="94"/>
      <c r="W3" s="93"/>
      <c r="X3" s="94"/>
      <c r="Y3" s="1" t="s">
        <v>27</v>
      </c>
      <c r="Z3" s="1" t="s">
        <v>25</v>
      </c>
      <c r="AA3" s="1" t="s">
        <v>201</v>
      </c>
      <c r="AB3" s="1" t="s">
        <v>9</v>
      </c>
      <c r="AC3" s="94"/>
      <c r="AD3" s="93"/>
      <c r="AE3" s="2" t="s">
        <v>27</v>
      </c>
      <c r="AF3" s="2" t="s">
        <v>25</v>
      </c>
      <c r="AG3" s="2" t="s">
        <v>26</v>
      </c>
      <c r="AH3" s="2" t="s">
        <v>9</v>
      </c>
      <c r="AI3" s="93"/>
      <c r="AJ3" s="94"/>
      <c r="AL3" s="1" t="s">
        <v>27</v>
      </c>
      <c r="AM3" s="1" t="s">
        <v>25</v>
      </c>
      <c r="AN3" s="1" t="s">
        <v>26</v>
      </c>
      <c r="AO3" s="1" t="s">
        <v>9</v>
      </c>
      <c r="AP3" s="94"/>
      <c r="AQ3" s="93"/>
      <c r="AS3" s="98"/>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 ref="AL2:AO2"/>
    <mergeCell ref="A2:A3"/>
    <mergeCell ref="B2:B3"/>
    <mergeCell ref="C2:C3"/>
    <mergeCell ref="D2:D3"/>
    <mergeCell ref="E2:E3"/>
    <mergeCell ref="F2:F3"/>
    <mergeCell ref="H2:H3"/>
    <mergeCell ref="I2:I3"/>
    <mergeCell ref="N2:N3"/>
    <mergeCell ref="O2:O3"/>
    <mergeCell ref="T2:T3"/>
    <mergeCell ref="U2:U3"/>
    <mergeCell ref="W2:W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Normal="100" workbookViewId="0">
      <pane xSplit="2" ySplit="4" topLeftCell="AT266" activePane="bottomRight" state="frozen"/>
      <selection pane="topRight"/>
      <selection pane="bottomLeft"/>
      <selection pane="bottomRight" activeCell="O5" sqref="O5:AC249"/>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5" t="s">
        <v>972</v>
      </c>
      <c r="B1" s="95"/>
      <c r="C1" s="95"/>
      <c r="D1" s="95"/>
      <c r="E1" s="95"/>
      <c r="F1" s="95"/>
      <c r="G1" s="95"/>
      <c r="I1" s="91" t="str">
        <f>Summary!C1</f>
        <v>m54701_simplified</v>
      </c>
      <c r="J1" s="91"/>
      <c r="K1" s="91"/>
      <c r="L1" s="91"/>
      <c r="M1" s="91"/>
      <c r="N1" s="91"/>
      <c r="O1" s="91"/>
      <c r="P1" s="91"/>
      <c r="Q1" s="91"/>
      <c r="R1" s="91"/>
      <c r="S1" s="91"/>
      <c r="T1" s="91"/>
      <c r="U1" s="91"/>
      <c r="V1" s="91"/>
      <c r="W1" s="91"/>
      <c r="X1" s="91"/>
      <c r="Y1" s="91"/>
      <c r="Z1" s="91"/>
      <c r="AA1" s="91"/>
      <c r="AB1" s="91"/>
      <c r="AC1" s="91"/>
      <c r="AE1" s="92" t="str">
        <f>Summary!C2</f>
        <v>m55034_combine_m54701_simplified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3" t="s">
        <v>185</v>
      </c>
      <c r="B2" s="94" t="s">
        <v>186</v>
      </c>
      <c r="C2" s="93" t="s">
        <v>187</v>
      </c>
      <c r="D2" s="94" t="s">
        <v>188</v>
      </c>
      <c r="E2" s="93" t="s">
        <v>189</v>
      </c>
      <c r="F2" s="94" t="s">
        <v>190</v>
      </c>
      <c r="G2" s="93" t="s">
        <v>191</v>
      </c>
      <c r="I2" s="94" t="s">
        <v>192</v>
      </c>
      <c r="J2" s="96" t="s">
        <v>193</v>
      </c>
      <c r="K2" s="96"/>
      <c r="L2" s="96"/>
      <c r="M2" s="96"/>
      <c r="N2" s="94" t="s">
        <v>194</v>
      </c>
      <c r="O2" s="93" t="s">
        <v>84</v>
      </c>
      <c r="P2" s="97" t="s">
        <v>195</v>
      </c>
      <c r="Q2" s="97"/>
      <c r="R2" s="97"/>
      <c r="S2" s="97"/>
      <c r="T2" s="96" t="s">
        <v>196</v>
      </c>
      <c r="U2" s="96"/>
      <c r="V2" s="96"/>
      <c r="W2" s="96"/>
      <c r="X2" s="97" t="s">
        <v>973</v>
      </c>
      <c r="Y2" s="97"/>
      <c r="Z2" s="97"/>
      <c r="AA2" s="97"/>
      <c r="AB2" s="93" t="s">
        <v>197</v>
      </c>
      <c r="AC2" s="94" t="s">
        <v>198</v>
      </c>
      <c r="AE2" s="93" t="s">
        <v>192</v>
      </c>
      <c r="AF2" s="97" t="s">
        <v>193</v>
      </c>
      <c r="AG2" s="97"/>
      <c r="AH2" s="97"/>
      <c r="AI2" s="97"/>
      <c r="AJ2" s="93" t="s">
        <v>194</v>
      </c>
      <c r="AK2" s="94" t="s">
        <v>84</v>
      </c>
      <c r="AL2" s="96" t="s">
        <v>195</v>
      </c>
      <c r="AM2" s="96"/>
      <c r="AN2" s="96"/>
      <c r="AO2" s="96"/>
      <c r="AP2" s="97" t="s">
        <v>196</v>
      </c>
      <c r="AQ2" s="97"/>
      <c r="AR2" s="97"/>
      <c r="AS2" s="97"/>
      <c r="AT2" s="96" t="s">
        <v>973</v>
      </c>
      <c r="AU2" s="96"/>
      <c r="AV2" s="96"/>
      <c r="AW2" s="96"/>
      <c r="AX2" s="94" t="s">
        <v>197</v>
      </c>
      <c r="AY2" s="93" t="s">
        <v>198</v>
      </c>
      <c r="BA2" s="94" t="s">
        <v>199</v>
      </c>
      <c r="BB2" s="93" t="s">
        <v>199</v>
      </c>
      <c r="BD2" s="97" t="s">
        <v>5</v>
      </c>
      <c r="BE2" s="97"/>
      <c r="BF2" s="97"/>
      <c r="BG2" s="97"/>
      <c r="BI2" s="96" t="s">
        <v>30</v>
      </c>
      <c r="BJ2" s="96"/>
      <c r="BK2" s="96"/>
      <c r="BL2" s="96"/>
      <c r="BN2" s="97" t="s">
        <v>200</v>
      </c>
      <c r="BO2" s="97"/>
      <c r="BP2" s="97"/>
      <c r="BQ2" s="97"/>
      <c r="BS2" s="96" t="s">
        <v>974</v>
      </c>
      <c r="BT2" s="96"/>
      <c r="BU2" s="96"/>
      <c r="BV2" s="96"/>
      <c r="BX2" s="98" t="s">
        <v>84</v>
      </c>
      <c r="BY2" s="99" t="s">
        <v>195</v>
      </c>
      <c r="BZ2" s="99"/>
      <c r="CA2" s="99"/>
      <c r="CB2" s="99"/>
      <c r="CC2" s="99" t="s">
        <v>196</v>
      </c>
      <c r="CD2" s="99"/>
      <c r="CE2" s="99"/>
      <c r="CF2" s="99"/>
      <c r="CG2" s="99" t="s">
        <v>973</v>
      </c>
      <c r="CH2" s="99"/>
      <c r="CI2" s="99"/>
      <c r="CJ2" s="99"/>
    </row>
    <row r="3" spans="1:88" ht="27.75" thickBot="1" x14ac:dyDescent="0.2">
      <c r="A3" s="93"/>
      <c r="B3" s="94"/>
      <c r="C3" s="93"/>
      <c r="D3" s="94"/>
      <c r="E3" s="93"/>
      <c r="F3" s="94"/>
      <c r="G3" s="93"/>
      <c r="I3" s="94"/>
      <c r="J3" s="1" t="s">
        <v>27</v>
      </c>
      <c r="K3" s="1" t="s">
        <v>25</v>
      </c>
      <c r="L3" s="1" t="s">
        <v>201</v>
      </c>
      <c r="M3" s="1" t="s">
        <v>9</v>
      </c>
      <c r="N3" s="94"/>
      <c r="O3" s="93"/>
      <c r="P3" s="2" t="s">
        <v>27</v>
      </c>
      <c r="Q3" s="2" t="s">
        <v>25</v>
      </c>
      <c r="R3" s="2" t="s">
        <v>26</v>
      </c>
      <c r="S3" s="2" t="s">
        <v>9</v>
      </c>
      <c r="T3" s="1" t="s">
        <v>6</v>
      </c>
      <c r="U3" s="1" t="s">
        <v>7</v>
      </c>
      <c r="V3" s="1" t="s">
        <v>8</v>
      </c>
      <c r="W3" s="1" t="s">
        <v>9</v>
      </c>
      <c r="X3" s="2" t="s">
        <v>6</v>
      </c>
      <c r="Y3" s="2" t="s">
        <v>7</v>
      </c>
      <c r="Z3" s="2" t="s">
        <v>8</v>
      </c>
      <c r="AA3" s="2" t="s">
        <v>9</v>
      </c>
      <c r="AB3" s="93"/>
      <c r="AC3" s="94"/>
      <c r="AE3" s="93"/>
      <c r="AF3" s="2" t="s">
        <v>27</v>
      </c>
      <c r="AG3" s="2" t="s">
        <v>25</v>
      </c>
      <c r="AH3" s="2" t="s">
        <v>201</v>
      </c>
      <c r="AI3" s="2" t="s">
        <v>9</v>
      </c>
      <c r="AJ3" s="93"/>
      <c r="AK3" s="94"/>
      <c r="AL3" s="1" t="s">
        <v>27</v>
      </c>
      <c r="AM3" s="1" t="s">
        <v>25</v>
      </c>
      <c r="AN3" s="1" t="s">
        <v>26</v>
      </c>
      <c r="AO3" s="1" t="s">
        <v>9</v>
      </c>
      <c r="AP3" s="2" t="s">
        <v>6</v>
      </c>
      <c r="AQ3" s="2" t="s">
        <v>7</v>
      </c>
      <c r="AR3" s="2" t="s">
        <v>8</v>
      </c>
      <c r="AS3" s="2" t="s">
        <v>9</v>
      </c>
      <c r="AT3" s="1" t="s">
        <v>6</v>
      </c>
      <c r="AU3" s="1" t="s">
        <v>7</v>
      </c>
      <c r="AV3" s="1" t="s">
        <v>8</v>
      </c>
      <c r="AW3" s="1" t="s">
        <v>9</v>
      </c>
      <c r="AX3" s="94"/>
      <c r="AY3" s="93"/>
      <c r="BA3" s="94"/>
      <c r="BB3" s="93"/>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8"/>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5.0736082616593183</v>
      </c>
      <c r="K5" s="18">
        <f t="shared" ref="K5:K68" si="2">IF(Q5="","·",Q5/D5)</f>
        <v>0.89312715645865992</v>
      </c>
      <c r="L5" s="18">
        <f t="shared" ref="L5:L68" si="3">IF(ISBLANK(R5),"·",R5/D5)</f>
        <v>4.1801584268610572</v>
      </c>
      <c r="M5" s="19"/>
      <c r="N5" s="18">
        <f t="shared" ref="N5:N68" si="4">IF(ISBLANK(P5),"·",P5/O5)</f>
        <v>5.0736082616593183</v>
      </c>
      <c r="O5" s="20">
        <v>2925514</v>
      </c>
      <c r="P5" s="21">
        <v>14842912</v>
      </c>
      <c r="Q5" s="21">
        <v>2612856</v>
      </c>
      <c r="R5" s="21">
        <v>12229112</v>
      </c>
      <c r="S5" s="37"/>
      <c r="T5" s="38">
        <v>52.662500000000001</v>
      </c>
      <c r="U5" s="38">
        <v>56.473399999999998</v>
      </c>
      <c r="V5" s="38">
        <v>56.251800000000003</v>
      </c>
      <c r="W5" s="39"/>
      <c r="X5" s="38">
        <v>48.130800000000001</v>
      </c>
      <c r="Y5" s="38">
        <v>48.130800000000001</v>
      </c>
      <c r="Z5" s="38">
        <v>48.130800000000001</v>
      </c>
      <c r="AA5" s="39"/>
      <c r="AB5" s="49">
        <v>3.7959999999999998</v>
      </c>
      <c r="AC5" s="49">
        <v>2.718</v>
      </c>
      <c r="AE5" s="17" t="str">
        <f t="shared" ref="AE5:AE68" si="5">IF(OR(ISBLANK(AL5),ISBLANK(G5)),"·",AL5*G5/F5/1000000)</f>
        <v>·</v>
      </c>
      <c r="AF5" s="18">
        <f t="shared" ref="AF5:AF68" si="6">IF(ISBLANK(AL5),"·",AL5/D5)</f>
        <v>5.0755662081945259</v>
      </c>
      <c r="AG5" s="18">
        <f t="shared" ref="AG5:AG68" si="7">IF(AM5="","·",AM5/D5)</f>
        <v>0.89312715645865992</v>
      </c>
      <c r="AH5" s="18">
        <f t="shared" ref="AH5:AH68" si="8">IF(ISBLANK(AN5),"·",AN5/D5)</f>
        <v>4.1821163733962647</v>
      </c>
      <c r="AI5" s="19"/>
      <c r="AJ5" s="18">
        <f t="shared" ref="AJ5:AJ68" si="9">IF(ISBLANK(AL5),"·",AL5/AK5)</f>
        <v>5.0755662081945259</v>
      </c>
      <c r="AK5" s="20">
        <v>2925514</v>
      </c>
      <c r="AL5" s="21">
        <v>14848640</v>
      </c>
      <c r="AM5" s="21">
        <v>2612856</v>
      </c>
      <c r="AN5" s="21">
        <v>12234840</v>
      </c>
      <c r="AO5" s="37"/>
      <c r="AP5" s="38">
        <v>52.666800000000002</v>
      </c>
      <c r="AQ5" s="38">
        <v>56.476199999999999</v>
      </c>
      <c r="AR5" s="38">
        <v>56.2515</v>
      </c>
      <c r="AS5" s="39"/>
      <c r="AT5" s="38">
        <v>48.130800000000001</v>
      </c>
      <c r="AU5" s="38">
        <v>48.130800000000001</v>
      </c>
      <c r="AV5" s="38">
        <v>48.130800000000001</v>
      </c>
      <c r="AW5" s="39"/>
      <c r="AX5" s="49">
        <v>3.7029999999999998</v>
      </c>
      <c r="AY5" s="49">
        <v>2.7650000000000001</v>
      </c>
      <c r="BA5" s="53">
        <f t="shared" ref="BA5:BA68" si="10">(AM5/AL5)-(Q5/P5)</f>
        <v>-6.7906710654874747E-5</v>
      </c>
      <c r="BB5" s="53">
        <f t="array" ref="BB5">AVERAGE(AM5:AM9/AL5:AL9)-AVERAGE(Q5:Q9/P5:P9)</f>
        <v>-4.5088862902775695E-5</v>
      </c>
      <c r="BD5" s="54">
        <f>IF(OR(ISBLANK(R5:R9),ISBLANK(AN5:AN9),ISBLANK(T5:T9),ISBLANK(AP5:AP9)),"·",bdRateExtend(R5:R9,T5:T9,AN5:AN9,AP5:AP9))</f>
        <v>-5.1943016246135398E-3</v>
      </c>
      <c r="BE5" s="54">
        <f>IF(OR(ISBLANK(R5:R9),ISBLANK(AN5:AN9),ISBLANK(U5:U9),ISBLANK(AQ5:AQ9)),"·",bdRateExtend(R5:R9,U5:U9,AN5:AN9,AQ5:AQ9))</f>
        <v>-6.105951216930583E-3</v>
      </c>
      <c r="BF5" s="54">
        <f>IF(OR(ISBLANK(R5:R9),ISBLANK(AN5:AN9),ISBLANK(V5:V9),ISBLANK(AR5:AR9)),"·",bdRateExtend(R5:R9,V5:V9,AN5:AN9,AR5:AR9))</f>
        <v>2.8871276257025125E-2</v>
      </c>
      <c r="BG5" s="61"/>
      <c r="BI5" s="54">
        <f>IF(OR(ISBLANK(R5:R9),ISBLANK(AN5:AN9),ISBLANK(X5:X9),ISBLANK(AT5:AT9)),"·",bdRateExtend(R5:R9,X5:X9,AN5:AN9,AT5:AT9))</f>
        <v>3.0016521648001948E-4</v>
      </c>
      <c r="BJ5" s="54">
        <f>IF(OR(ISBLANK(R5:R9),ISBLANK(AN5:AN9),ISBLANK(Y5:Y9),ISBLANK(AU5:AU9)),"·",bdRateExtend(R5:R9,Y5:Y9,AN5:AN9,AU5:AU9))</f>
        <v>3.0016521648001948E-4</v>
      </c>
      <c r="BK5" s="54">
        <f>IF(OR(ISBLANK(R5:R9),ISBLANK(AN5:AN9),ISBLANK(Z5:Z9),ISBLANK(AV5:AV9)),"·",bdRateExtend(R5:R9,Z5:Z9,AN5:AN9,AV5:AV9))</f>
        <v>3.0016521648001948E-4</v>
      </c>
      <c r="BL5" s="61"/>
      <c r="BN5" s="54">
        <f>IF(OR(ISBLANK(P5:P9),ISBLANK(AL5:AL9),ISBLANK(T5:T9),ISBLANK(AP5:AP9)),"·",bdRateExtend(P5:P9,T5:T9,AL5:AL9,AP5:AP9))</f>
        <v>-8.9156514426846911E-4</v>
      </c>
      <c r="BO5" s="54">
        <f>IF(OR(ISBLANK(P5:P9),ISBLANK(AL5:AL9),ISBLANK(U5:U9),ISBLANK(AQ5:AQ9)),"·",bdRateExtend(P5:P9,U5:U9,AL5:AL9,AQ5:AQ9))</f>
        <v>-2.6041397499757535E-3</v>
      </c>
      <c r="BP5" s="54">
        <f>IF(OR(ISBLANK(P5:P9),ISBLANK(AL5:AL9),ISBLANK(V5:V9),ISBLANK(AR5:AR9)),"·",bdRateExtend(P5:P9,V5:V9,AL5:AL9,AR5:AR9))</f>
        <v>5.4005563876189377E-3</v>
      </c>
      <c r="BQ5" s="61"/>
      <c r="BS5" s="54">
        <f>IF(OR(ISBLANK(P5:P9),ISBLANK(AL5:AL9),ISBLANK(X5:X9),ISBLANK(AT5:AT9)),"·",bdRateExtend(P5:P9,X5:X9,AL5:AL9,AT5:AT9))</f>
        <v>1.1356522672856251E-4</v>
      </c>
      <c r="BT5" s="54">
        <f>IF(OR(ISBLANK(P5:P9),ISBLANK(AL5:AL9),ISBLANK(Y5:Y9),ISBLANK(AU5:AU9)),"·",bdRateExtend(P5:P9,Y5:Y9,AL5:AL9,AU5:AU9))</f>
        <v>1.1356522672856251E-4</v>
      </c>
      <c r="BU5" s="54">
        <f>IF(OR(ISBLANK(P5:P9),ISBLANK(AL5:AL9),ISBLANK(Z5:Z9),ISBLANK(AV5:AV9)),"·",bdRateExtend(P5:P9,Z5:Z9,AL5:AL9,AV5:AV9))</f>
        <v>1.1356522672856251E-4</v>
      </c>
      <c r="BV5" s="61"/>
      <c r="BX5">
        <f>AK5-O5</f>
        <v>0</v>
      </c>
      <c r="BY5">
        <f t="shared" ref="BY5:CJ5" si="11">AL5-P5</f>
        <v>5728</v>
      </c>
      <c r="BZ5">
        <f t="shared" si="11"/>
        <v>0</v>
      </c>
      <c r="CA5">
        <f t="shared" si="11"/>
        <v>5728</v>
      </c>
      <c r="CB5">
        <f t="shared" si="11"/>
        <v>0</v>
      </c>
      <c r="CC5">
        <f t="shared" si="11"/>
        <v>4.3000000000006366E-3</v>
      </c>
      <c r="CD5">
        <f t="shared" si="11"/>
        <v>2.8000000000005798E-3</v>
      </c>
      <c r="CE5">
        <f t="shared" si="11"/>
        <v>-3.0000000000285354E-4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3.5347826057233021</v>
      </c>
      <c r="K6" s="23">
        <f t="shared" si="2"/>
        <v>0.89312715645865992</v>
      </c>
      <c r="L6" s="23">
        <f t="shared" si="3"/>
        <v>2.6413327709250409</v>
      </c>
      <c r="M6" s="24"/>
      <c r="N6" s="23">
        <f t="shared" si="4"/>
        <v>3.5347826057233021</v>
      </c>
      <c r="O6" s="25">
        <v>2925514</v>
      </c>
      <c r="P6" s="26">
        <v>10341056</v>
      </c>
      <c r="Q6" s="26">
        <v>2612856</v>
      </c>
      <c r="R6" s="26">
        <v>7727256</v>
      </c>
      <c r="S6" s="40"/>
      <c r="T6" s="41">
        <v>48.119799999999998</v>
      </c>
      <c r="U6" s="41">
        <v>51.729199999999999</v>
      </c>
      <c r="V6" s="41">
        <v>52.255400000000002</v>
      </c>
      <c r="W6" s="42"/>
      <c r="X6" s="41">
        <v>42.110199999999999</v>
      </c>
      <c r="Y6" s="41">
        <v>42.110199999999999</v>
      </c>
      <c r="Z6" s="41">
        <v>42.110199999999999</v>
      </c>
      <c r="AA6" s="42"/>
      <c r="AB6" s="50">
        <v>3.6869999999999998</v>
      </c>
      <c r="AC6" s="50">
        <v>2.7810000000000001</v>
      </c>
      <c r="AE6" s="22" t="str">
        <f t="shared" si="5"/>
        <v>·</v>
      </c>
      <c r="AF6" s="23">
        <f t="shared" si="6"/>
        <v>3.5351572407447032</v>
      </c>
      <c r="AG6" s="23">
        <f t="shared" si="7"/>
        <v>0.89312715645865992</v>
      </c>
      <c r="AH6" s="23">
        <f t="shared" si="8"/>
        <v>2.641707405946442</v>
      </c>
      <c r="AI6" s="24"/>
      <c r="AJ6" s="23">
        <f t="shared" si="9"/>
        <v>3.5351572407447032</v>
      </c>
      <c r="AK6" s="25">
        <v>2925514</v>
      </c>
      <c r="AL6" s="26">
        <v>10342152</v>
      </c>
      <c r="AM6" s="26">
        <v>2612856</v>
      </c>
      <c r="AN6" s="26">
        <v>7728352</v>
      </c>
      <c r="AO6" s="40"/>
      <c r="AP6" s="41">
        <v>48.120899999999999</v>
      </c>
      <c r="AQ6" s="41">
        <v>51.728499999999997</v>
      </c>
      <c r="AR6" s="41">
        <v>52.267800000000001</v>
      </c>
      <c r="AS6" s="42"/>
      <c r="AT6" s="41">
        <v>42.110199999999999</v>
      </c>
      <c r="AU6" s="41">
        <v>42.110199999999999</v>
      </c>
      <c r="AV6" s="41">
        <v>42.110199999999999</v>
      </c>
      <c r="AW6" s="42"/>
      <c r="AX6" s="50">
        <v>3.718</v>
      </c>
      <c r="AY6" s="50">
        <v>2.6869999999999998</v>
      </c>
      <c r="BA6" s="55">
        <f t="shared" si="10"/>
        <v>-2.6776278921891716E-5</v>
      </c>
      <c r="BB6" s="55"/>
      <c r="BD6" s="56"/>
      <c r="BE6" s="56"/>
      <c r="BF6" s="56"/>
      <c r="BG6" s="62"/>
      <c r="BI6" s="56"/>
      <c r="BJ6" s="56"/>
      <c r="BK6" s="56"/>
      <c r="BL6" s="62"/>
      <c r="BN6" s="56"/>
      <c r="BO6" s="56"/>
      <c r="BP6" s="56"/>
      <c r="BQ6" s="62"/>
      <c r="BS6" s="56"/>
      <c r="BT6" s="56"/>
      <c r="BU6" s="56"/>
      <c r="BV6" s="62"/>
      <c r="BX6">
        <f t="shared" ref="BX6:BX69" si="12">AK6-O6</f>
        <v>0</v>
      </c>
      <c r="BY6">
        <f t="shared" ref="BY6:BY69" si="13">AL6-P6</f>
        <v>1096</v>
      </c>
      <c r="BZ6">
        <f t="shared" ref="BZ6:BZ69" si="14">AM6-Q6</f>
        <v>0</v>
      </c>
      <c r="CA6">
        <f t="shared" ref="CA6:CA69" si="15">AN6-R6</f>
        <v>1096</v>
      </c>
      <c r="CB6">
        <f t="shared" ref="CB6:CB69" si="16">AO6-S6</f>
        <v>0</v>
      </c>
      <c r="CC6">
        <f t="shared" ref="CC6:CC69" si="17">AP6-T6</f>
        <v>1.1000000000009891E-3</v>
      </c>
      <c r="CD6">
        <f t="shared" ref="CD6:CD69" si="18">AQ6-U6</f>
        <v>-7.0000000000192131E-4</v>
      </c>
      <c r="CE6">
        <f t="shared" ref="CE6:CE69" si="19">AR6-V6</f>
        <v>1.2399999999999523E-2</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1.9600630863499542</v>
      </c>
      <c r="K7" s="18">
        <f t="shared" si="2"/>
        <v>0.89312715645865992</v>
      </c>
      <c r="L7" s="18">
        <f t="shared" si="3"/>
        <v>1.0666132515516931</v>
      </c>
      <c r="M7" s="19"/>
      <c r="N7" s="18">
        <f t="shared" si="4"/>
        <v>1.9600630863499542</v>
      </c>
      <c r="O7" s="20">
        <v>2925514</v>
      </c>
      <c r="P7" s="21">
        <v>5734192</v>
      </c>
      <c r="Q7" s="21">
        <v>2612856</v>
      </c>
      <c r="R7" s="21">
        <v>3120392</v>
      </c>
      <c r="S7" s="37"/>
      <c r="T7" s="38">
        <v>41.519599999999997</v>
      </c>
      <c r="U7" s="38">
        <v>46.296500000000002</v>
      </c>
      <c r="V7" s="38">
        <v>47.820900000000002</v>
      </c>
      <c r="W7" s="39"/>
      <c r="X7" s="38">
        <v>34.151400000000002</v>
      </c>
      <c r="Y7" s="38">
        <v>34.151400000000002</v>
      </c>
      <c r="Z7" s="38">
        <v>34.151400000000002</v>
      </c>
      <c r="AA7" s="39"/>
      <c r="AB7" s="49">
        <v>3.625</v>
      </c>
      <c r="AC7" s="49">
        <v>2.6869999999999998</v>
      </c>
      <c r="AE7" s="17" t="str">
        <f t="shared" si="5"/>
        <v>·</v>
      </c>
      <c r="AF7" s="18">
        <f t="shared" si="6"/>
        <v>1.9596064144625525</v>
      </c>
      <c r="AG7" s="18">
        <f t="shared" si="7"/>
        <v>0.89312715645865992</v>
      </c>
      <c r="AH7" s="18">
        <f t="shared" si="8"/>
        <v>1.0661565796642916</v>
      </c>
      <c r="AI7" s="19"/>
      <c r="AJ7" s="18">
        <f t="shared" si="9"/>
        <v>1.9596064144625525</v>
      </c>
      <c r="AK7" s="20">
        <v>2925514</v>
      </c>
      <c r="AL7" s="21">
        <v>5732856</v>
      </c>
      <c r="AM7" s="21">
        <v>2612856</v>
      </c>
      <c r="AN7" s="21">
        <v>3119056</v>
      </c>
      <c r="AO7" s="37"/>
      <c r="AP7" s="38">
        <v>41.516800000000003</v>
      </c>
      <c r="AQ7" s="38">
        <v>46.324199999999998</v>
      </c>
      <c r="AR7" s="38">
        <v>47.803600000000003</v>
      </c>
      <c r="AS7" s="39"/>
      <c r="AT7" s="38">
        <v>34.151400000000002</v>
      </c>
      <c r="AU7" s="38">
        <v>34.151400000000002</v>
      </c>
      <c r="AV7" s="38">
        <v>34.151400000000002</v>
      </c>
      <c r="AW7" s="39"/>
      <c r="AX7" s="49">
        <v>3.64</v>
      </c>
      <c r="AY7" s="49">
        <v>2.625</v>
      </c>
      <c r="BA7" s="53">
        <f t="shared" si="10"/>
        <v>1.061887894812652E-4</v>
      </c>
      <c r="BB7" s="53"/>
      <c r="BD7" s="54"/>
      <c r="BE7" s="54"/>
      <c r="BF7" s="54"/>
      <c r="BG7" s="61"/>
      <c r="BI7" s="54"/>
      <c r="BJ7" s="54"/>
      <c r="BK7" s="54"/>
      <c r="BL7" s="61"/>
      <c r="BN7" s="54"/>
      <c r="BO7" s="54"/>
      <c r="BP7" s="54"/>
      <c r="BQ7" s="61"/>
      <c r="BS7" s="54"/>
      <c r="BT7" s="54"/>
      <c r="BU7" s="54"/>
      <c r="BV7" s="61"/>
      <c r="BX7">
        <f t="shared" si="12"/>
        <v>0</v>
      </c>
      <c r="BY7">
        <f t="shared" si="13"/>
        <v>-1336</v>
      </c>
      <c r="BZ7">
        <f t="shared" si="14"/>
        <v>0</v>
      </c>
      <c r="CA7">
        <f t="shared" si="15"/>
        <v>-1336</v>
      </c>
      <c r="CB7">
        <f t="shared" si="16"/>
        <v>0</v>
      </c>
      <c r="CC7">
        <f t="shared" si="17"/>
        <v>-2.7999999999934744E-3</v>
      </c>
      <c r="CD7">
        <f t="shared" si="18"/>
        <v>2.7699999999995839E-2</v>
      </c>
      <c r="CE7">
        <f t="shared" si="19"/>
        <v>-1.7299999999998761E-2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1.3020809334701526</v>
      </c>
      <c r="K8" s="23">
        <f t="shared" si="2"/>
        <v>0.89312715645865992</v>
      </c>
      <c r="L8" s="23">
        <f t="shared" si="3"/>
        <v>0.40863109867189151</v>
      </c>
      <c r="M8" s="24"/>
      <c r="N8" s="23">
        <f t="shared" si="4"/>
        <v>1.3020809334701526</v>
      </c>
      <c r="O8" s="25">
        <v>2925514</v>
      </c>
      <c r="P8" s="26">
        <v>3809256</v>
      </c>
      <c r="Q8" s="26">
        <v>2612856</v>
      </c>
      <c r="R8" s="26">
        <v>1195456</v>
      </c>
      <c r="S8" s="40"/>
      <c r="T8" s="41">
        <v>36.1751</v>
      </c>
      <c r="U8" s="41">
        <v>41.8994</v>
      </c>
      <c r="V8" s="41">
        <v>43.352499999999999</v>
      </c>
      <c r="W8" s="42"/>
      <c r="X8" s="41">
        <v>28.130800000000001</v>
      </c>
      <c r="Y8" s="41">
        <v>28.130800000000001</v>
      </c>
      <c r="Z8" s="41">
        <v>28.130800000000001</v>
      </c>
      <c r="AA8" s="42"/>
      <c r="AB8" s="50">
        <v>3.6560000000000001</v>
      </c>
      <c r="AC8" s="50">
        <v>2.5779999999999998</v>
      </c>
      <c r="AE8" s="22" t="str">
        <f t="shared" si="5"/>
        <v>·</v>
      </c>
      <c r="AF8" s="23">
        <f t="shared" si="6"/>
        <v>1.3026469878455547</v>
      </c>
      <c r="AG8" s="23">
        <f t="shared" si="7"/>
        <v>0.89312715645865992</v>
      </c>
      <c r="AH8" s="23">
        <f t="shared" si="8"/>
        <v>0.40919715304729359</v>
      </c>
      <c r="AI8" s="24"/>
      <c r="AJ8" s="23">
        <f t="shared" si="9"/>
        <v>1.3026469878455547</v>
      </c>
      <c r="AK8" s="25">
        <v>2925514</v>
      </c>
      <c r="AL8" s="26">
        <v>3810912</v>
      </c>
      <c r="AM8" s="26">
        <v>2612856</v>
      </c>
      <c r="AN8" s="26">
        <v>1197112</v>
      </c>
      <c r="AO8" s="40"/>
      <c r="AP8" s="41">
        <v>36.207900000000002</v>
      </c>
      <c r="AQ8" s="41">
        <v>42.013800000000003</v>
      </c>
      <c r="AR8" s="41">
        <v>43.238599999999998</v>
      </c>
      <c r="AS8" s="42"/>
      <c r="AT8" s="41">
        <v>28.130800000000001</v>
      </c>
      <c r="AU8" s="41">
        <v>28.130800000000001</v>
      </c>
      <c r="AV8" s="41">
        <v>28.130800000000001</v>
      </c>
      <c r="AW8" s="42"/>
      <c r="AX8" s="50">
        <v>3.5779999999999998</v>
      </c>
      <c r="AY8" s="50">
        <v>2.6709999999999998</v>
      </c>
      <c r="BA8" s="55">
        <f t="shared" si="10"/>
        <v>-2.9806207966787124E-4</v>
      </c>
      <c r="BB8" s="55"/>
      <c r="BD8" s="56"/>
      <c r="BE8" s="56"/>
      <c r="BF8" s="56"/>
      <c r="BG8" s="62"/>
      <c r="BI8" s="56"/>
      <c r="BJ8" s="56"/>
      <c r="BK8" s="56"/>
      <c r="BL8" s="62"/>
      <c r="BN8" s="56"/>
      <c r="BO8" s="56"/>
      <c r="BP8" s="56"/>
      <c r="BQ8" s="62"/>
      <c r="BS8" s="56"/>
      <c r="BT8" s="56"/>
      <c r="BU8" s="56"/>
      <c r="BV8" s="62"/>
      <c r="BX8">
        <f t="shared" si="12"/>
        <v>0</v>
      </c>
      <c r="BY8">
        <f t="shared" si="13"/>
        <v>1656</v>
      </c>
      <c r="BZ8">
        <f t="shared" si="14"/>
        <v>0</v>
      </c>
      <c r="CA8">
        <f t="shared" si="15"/>
        <v>1656</v>
      </c>
      <c r="CB8">
        <f t="shared" si="16"/>
        <v>0</v>
      </c>
      <c r="CC8">
        <f t="shared" si="17"/>
        <v>3.2800000000001717E-2</v>
      </c>
      <c r="CD8">
        <f t="shared" si="18"/>
        <v>0.11440000000000339</v>
      </c>
      <c r="CE8">
        <f t="shared" si="19"/>
        <v>-0.113900000000001</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1.0193873623575207</v>
      </c>
      <c r="K9" s="28">
        <f t="shared" si="2"/>
        <v>0.89312715645865992</v>
      </c>
      <c r="L9" s="28">
        <f t="shared" si="3"/>
        <v>0.12593752755925966</v>
      </c>
      <c r="M9" s="29"/>
      <c r="N9" s="28">
        <f t="shared" si="4"/>
        <v>1.0193873623575207</v>
      </c>
      <c r="O9" s="30">
        <v>2925514</v>
      </c>
      <c r="P9" s="31">
        <v>2982232</v>
      </c>
      <c r="Q9" s="31">
        <v>2612856</v>
      </c>
      <c r="R9" s="31">
        <v>368432</v>
      </c>
      <c r="S9" s="43"/>
      <c r="T9" s="44">
        <v>29.867100000000001</v>
      </c>
      <c r="U9" s="44">
        <v>36.042099999999998</v>
      </c>
      <c r="V9" s="44">
        <v>39.343499999999999</v>
      </c>
      <c r="W9" s="45"/>
      <c r="X9" s="44">
        <v>21.686399999999999</v>
      </c>
      <c r="Y9" s="44">
        <v>21.686399999999999</v>
      </c>
      <c r="Z9" s="44">
        <v>21.686399999999999</v>
      </c>
      <c r="AA9" s="45"/>
      <c r="AB9" s="51">
        <v>3.5619999999999998</v>
      </c>
      <c r="AC9" s="51">
        <v>2.6560000000000001</v>
      </c>
      <c r="AE9" s="27" t="str">
        <f t="shared" si="5"/>
        <v>·</v>
      </c>
      <c r="AF9" s="28">
        <f t="shared" si="6"/>
        <v>1.0193162637403206</v>
      </c>
      <c r="AG9" s="28">
        <f t="shared" si="7"/>
        <v>0.89312715645865992</v>
      </c>
      <c r="AH9" s="28">
        <f t="shared" si="8"/>
        <v>0.12586642894205941</v>
      </c>
      <c r="AI9" s="29"/>
      <c r="AJ9" s="28">
        <f t="shared" si="9"/>
        <v>1.0193162637403206</v>
      </c>
      <c r="AK9" s="30">
        <v>2925514</v>
      </c>
      <c r="AL9" s="31">
        <v>2982024</v>
      </c>
      <c r="AM9" s="31">
        <v>2612856</v>
      </c>
      <c r="AN9" s="31">
        <v>368224</v>
      </c>
      <c r="AO9" s="43"/>
      <c r="AP9" s="44">
        <v>30.057400000000001</v>
      </c>
      <c r="AQ9" s="44">
        <v>35.936900000000001</v>
      </c>
      <c r="AR9" s="44">
        <v>38.453499999999998</v>
      </c>
      <c r="AS9" s="45"/>
      <c r="AT9" s="44">
        <v>21.686399999999999</v>
      </c>
      <c r="AU9" s="44">
        <v>21.686399999999999</v>
      </c>
      <c r="AV9" s="44">
        <v>21.686399999999999</v>
      </c>
      <c r="AW9" s="45"/>
      <c r="AX9" s="51">
        <v>3.5459999999999998</v>
      </c>
      <c r="AY9" s="51">
        <v>2.64</v>
      </c>
      <c r="BA9" s="57">
        <f t="shared" si="10"/>
        <v>6.1111965249383005E-5</v>
      </c>
      <c r="BB9" s="57"/>
      <c r="BD9" s="58"/>
      <c r="BE9" s="58"/>
      <c r="BF9" s="58"/>
      <c r="BG9" s="63"/>
      <c r="BI9" s="58"/>
      <c r="BJ9" s="58"/>
      <c r="BK9" s="58"/>
      <c r="BL9" s="63"/>
      <c r="BN9" s="58"/>
      <c r="BO9" s="58"/>
      <c r="BP9" s="58"/>
      <c r="BQ9" s="63"/>
      <c r="BS9" s="58"/>
      <c r="BT9" s="58"/>
      <c r="BU9" s="58"/>
      <c r="BV9" s="63"/>
      <c r="BX9">
        <f t="shared" si="12"/>
        <v>0</v>
      </c>
      <c r="BY9">
        <f t="shared" si="13"/>
        <v>-208</v>
      </c>
      <c r="BZ9">
        <f t="shared" si="14"/>
        <v>0</v>
      </c>
      <c r="CA9">
        <f t="shared" si="15"/>
        <v>-208</v>
      </c>
      <c r="CB9">
        <f t="shared" si="16"/>
        <v>0</v>
      </c>
      <c r="CC9">
        <f t="shared" si="17"/>
        <v>0.19030000000000058</v>
      </c>
      <c r="CD9">
        <f t="shared" si="18"/>
        <v>-0.10519999999999641</v>
      </c>
      <c r="CE9">
        <f t="shared" si="19"/>
        <v>-0.89000000000000057</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6.5097459695369562</v>
      </c>
      <c r="K10" s="23">
        <f t="shared" si="2"/>
        <v>3.5692277743026581</v>
      </c>
      <c r="L10" s="23">
        <f t="shared" si="3"/>
        <v>2.9402777201241883</v>
      </c>
      <c r="M10" s="24"/>
      <c r="N10" s="23">
        <f t="shared" si="4"/>
        <v>6.5097459695369562</v>
      </c>
      <c r="O10" s="25">
        <v>3493085</v>
      </c>
      <c r="P10" s="26">
        <v>22739096</v>
      </c>
      <c r="Q10" s="26">
        <v>12467616</v>
      </c>
      <c r="R10" s="26">
        <v>10270640</v>
      </c>
      <c r="S10" s="40"/>
      <c r="T10" s="41">
        <v>52.545200000000001</v>
      </c>
      <c r="U10" s="41">
        <v>56.715699999999998</v>
      </c>
      <c r="V10" s="41">
        <v>56.463299999999997</v>
      </c>
      <c r="W10" s="42"/>
      <c r="X10" s="41">
        <v>48.130800000000001</v>
      </c>
      <c r="Y10" s="41">
        <v>48.130800000000001</v>
      </c>
      <c r="Z10" s="41">
        <v>48.130800000000001</v>
      </c>
      <c r="AA10" s="42"/>
      <c r="AB10" s="50">
        <v>5.7030000000000003</v>
      </c>
      <c r="AC10" s="50">
        <v>4.6399999999999997</v>
      </c>
      <c r="AE10" s="22" t="str">
        <f t="shared" si="5"/>
        <v>·</v>
      </c>
      <c r="AF10" s="23">
        <f t="shared" si="6"/>
        <v>6.5106803871076711</v>
      </c>
      <c r="AG10" s="23">
        <f t="shared" si="7"/>
        <v>3.5692277743026581</v>
      </c>
      <c r="AH10" s="23">
        <f t="shared" si="8"/>
        <v>2.9412121376949028</v>
      </c>
      <c r="AI10" s="24"/>
      <c r="AJ10" s="23">
        <f t="shared" si="9"/>
        <v>6.5106803871076711</v>
      </c>
      <c r="AK10" s="25">
        <v>3493085</v>
      </c>
      <c r="AL10" s="26">
        <v>22742360</v>
      </c>
      <c r="AM10" s="26">
        <v>12467616</v>
      </c>
      <c r="AN10" s="26">
        <v>10273904</v>
      </c>
      <c r="AO10" s="40"/>
      <c r="AP10" s="41">
        <v>52.547600000000003</v>
      </c>
      <c r="AQ10" s="41">
        <v>56.724200000000003</v>
      </c>
      <c r="AR10" s="41">
        <v>56.4758</v>
      </c>
      <c r="AS10" s="42"/>
      <c r="AT10" s="41">
        <v>48.130800000000001</v>
      </c>
      <c r="AU10" s="41">
        <v>48.130800000000001</v>
      </c>
      <c r="AV10" s="41">
        <v>48.130800000000001</v>
      </c>
      <c r="AW10" s="42"/>
      <c r="AX10" s="50">
        <v>5.6870000000000003</v>
      </c>
      <c r="AY10" s="50">
        <v>4.5</v>
      </c>
      <c r="BA10" s="55">
        <f t="shared" si="10"/>
        <v>-7.8690959827820706E-5</v>
      </c>
      <c r="BB10" s="55">
        <f t="array" ref="BB10">AVERAGE(AM10:AM14/AL10:AL14)-AVERAGE(Q10:Q14/P10:P14)</f>
        <v>4.8812919214102912E-5</v>
      </c>
      <c r="BD10" s="56">
        <f>IF(OR(ISBLANK(R10:R14),ISBLANK(AN10:AN14),ISBLANK(T10:T14),ISBLANK(AP10:AP14)),"·",bdRateExtend(R10:R14,T10:T14,AN10:AN14,AP10:AP14))</f>
        <v>-5.0327988484526465E-3</v>
      </c>
      <c r="BE10" s="56">
        <f>IF(OR(ISBLANK(R10:R14),ISBLANK(AN10:AN14),ISBLANK(U10:U14),ISBLANK(AQ10:AQ14)),"·",bdRateExtend(R10:R14,U10:U14,AN10:AN14,AQ10:AQ14))</f>
        <v>-2.6859632910076758E-2</v>
      </c>
      <c r="BF10" s="56">
        <f>IF(OR(ISBLANK(R10:R14),ISBLANK(AN10:AN14),ISBLANK(V10:V14),ISBLANK(AR10:AR14)),"·",bdRateExtend(R10:R14,V10:V14,AN10:AN14,AR10:AR14))</f>
        <v>-5.7898585520025359E-3</v>
      </c>
      <c r="BG10" s="62"/>
      <c r="BI10" s="56">
        <f>IF(OR(ISBLANK(R10:R14),ISBLANK(AN10:AN14),ISBLANK(X10:X14),ISBLANK(AT10:AT14)),"·",bdRateExtend(R10:R14,X10:X14,AN10:AN14,AT10:AT14))</f>
        <v>-2.0851493610338778E-3</v>
      </c>
      <c r="BJ10" s="56">
        <f>IF(OR(ISBLANK(R10:R14),ISBLANK(AN10:AN14),ISBLANK(Y10:Y14),ISBLANK(AU10:AU14)),"·",bdRateExtend(R10:R14,Y10:Y14,AN10:AN14,AU10:AU14))</f>
        <v>-2.0851493610338778E-3</v>
      </c>
      <c r="BK10" s="56">
        <f>IF(OR(ISBLANK(R10:R14),ISBLANK(AN10:AN14),ISBLANK(Z10:Z14),ISBLANK(AV10:AV14)),"·",bdRateExtend(R10:R14,Z10:Z14,AN10:AN14,AV10:AV14))</f>
        <v>-2.0851493610338778E-3</v>
      </c>
      <c r="BL10" s="62"/>
      <c r="BN10" s="56">
        <f>IF(OR(ISBLANK(P10:P14),ISBLANK(AL10:AL14),ISBLANK(T10:T14),ISBLANK(AP10:AP14)),"·",bdRateExtend(P10:P14,T10:T14,AL10:AL14,AP10:AP14))</f>
        <v>-4.4806579087564025E-5</v>
      </c>
      <c r="BO10" s="56">
        <f>IF(OR(ISBLANK(P10:P14),ISBLANK(AL10:AL14),ISBLANK(U10:U14),ISBLANK(AQ10:AQ14)),"·",bdRateExtend(P10:P14,U10:U14,AL10:AL14,AQ10:AQ14))</f>
        <v>-1.0646633891435719E-3</v>
      </c>
      <c r="BP10" s="56">
        <f>IF(OR(ISBLANK(P10:P14),ISBLANK(AL10:AL14),ISBLANK(V10:V14),ISBLANK(AR10:AR14)),"·",bdRateExtend(P10:P14,V10:V14,AL10:AL14,AR10:AR14))</f>
        <v>-3.7440052279191782E-4</v>
      </c>
      <c r="BQ10" s="62"/>
      <c r="BS10" s="56">
        <f>IF(OR(ISBLANK(P10:P14),ISBLANK(AL10:AL14),ISBLANK(X10:X14),ISBLANK(AT10:AT14)),"·",bdRateExtend(P10:P14,X10:X14,AL10:AL14,AT10:AT14))</f>
        <v>-2.7719862289887764E-5</v>
      </c>
      <c r="BT10" s="56">
        <f>IF(OR(ISBLANK(P10:P14),ISBLANK(AL10:AL14),ISBLANK(Y10:Y14),ISBLANK(AU10:AU14)),"·",bdRateExtend(P10:P14,Y10:Y14,AL10:AL14,AU10:AU14))</f>
        <v>-2.7719862289887764E-5</v>
      </c>
      <c r="BU10" s="56">
        <f>IF(OR(ISBLANK(P10:P14),ISBLANK(AL10:AL14),ISBLANK(Z10:Z14),ISBLANK(AV10:AV14)),"·",bdRateExtend(P10:P14,Z10:Z14,AL10:AL14,AV10:AV14))</f>
        <v>-2.7719862289887764E-5</v>
      </c>
      <c r="BV10" s="62"/>
      <c r="BX10">
        <f t="shared" si="12"/>
        <v>0</v>
      </c>
      <c r="BY10">
        <f t="shared" si="13"/>
        <v>3264</v>
      </c>
      <c r="BZ10">
        <f t="shared" si="14"/>
        <v>0</v>
      </c>
      <c r="CA10">
        <f t="shared" si="15"/>
        <v>3264</v>
      </c>
      <c r="CB10">
        <f t="shared" si="16"/>
        <v>0</v>
      </c>
      <c r="CC10">
        <f t="shared" si="17"/>
        <v>2.400000000001512E-3</v>
      </c>
      <c r="CD10">
        <f t="shared" si="18"/>
        <v>8.5000000000050591E-3</v>
      </c>
      <c r="CE10">
        <f t="shared" si="19"/>
        <v>1.2500000000002842E-2</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5.3855454419231137</v>
      </c>
      <c r="K11" s="18">
        <f t="shared" si="2"/>
        <v>3.5692277743026581</v>
      </c>
      <c r="L11" s="18">
        <f t="shared" si="3"/>
        <v>1.8160771925103454</v>
      </c>
      <c r="M11" s="19"/>
      <c r="N11" s="18">
        <f t="shared" si="4"/>
        <v>5.3855454419231137</v>
      </c>
      <c r="O11" s="20">
        <v>3493085</v>
      </c>
      <c r="P11" s="21">
        <v>18812168</v>
      </c>
      <c r="Q11" s="21">
        <v>12467616</v>
      </c>
      <c r="R11" s="21">
        <v>6343712</v>
      </c>
      <c r="S11" s="37"/>
      <c r="T11" s="38">
        <v>47.900300000000001</v>
      </c>
      <c r="U11" s="38">
        <v>52.772300000000001</v>
      </c>
      <c r="V11" s="38">
        <v>52.588799999999999</v>
      </c>
      <c r="W11" s="39"/>
      <c r="X11" s="38">
        <v>42.110199999999999</v>
      </c>
      <c r="Y11" s="38">
        <v>42.110199999999999</v>
      </c>
      <c r="Z11" s="38">
        <v>42.110199999999999</v>
      </c>
      <c r="AA11" s="39"/>
      <c r="AB11" s="49">
        <v>5.609</v>
      </c>
      <c r="AC11" s="49">
        <v>4.5460000000000003</v>
      </c>
      <c r="AE11" s="17" t="str">
        <f t="shared" si="5"/>
        <v>·</v>
      </c>
      <c r="AF11" s="18">
        <f t="shared" si="6"/>
        <v>5.3854011568570472</v>
      </c>
      <c r="AG11" s="18">
        <f t="shared" si="7"/>
        <v>3.5692277743026581</v>
      </c>
      <c r="AH11" s="18">
        <f t="shared" si="8"/>
        <v>1.8159329074442792</v>
      </c>
      <c r="AI11" s="19"/>
      <c r="AJ11" s="18">
        <f t="shared" si="9"/>
        <v>5.3854011568570472</v>
      </c>
      <c r="AK11" s="20">
        <v>3493085</v>
      </c>
      <c r="AL11" s="21">
        <v>18811664</v>
      </c>
      <c r="AM11" s="21">
        <v>12467616</v>
      </c>
      <c r="AN11" s="21">
        <v>6343208</v>
      </c>
      <c r="AO11" s="37"/>
      <c r="AP11" s="38">
        <v>47.8962</v>
      </c>
      <c r="AQ11" s="38">
        <v>52.768500000000003</v>
      </c>
      <c r="AR11" s="38">
        <v>52.5901</v>
      </c>
      <c r="AS11" s="39"/>
      <c r="AT11" s="38">
        <v>42.110199999999999</v>
      </c>
      <c r="AU11" s="38">
        <v>42.110199999999999</v>
      </c>
      <c r="AV11" s="38">
        <v>42.110199999999999</v>
      </c>
      <c r="AW11" s="39"/>
      <c r="AX11" s="49">
        <v>5.718</v>
      </c>
      <c r="AY11" s="49">
        <v>4.6399999999999997</v>
      </c>
      <c r="BA11" s="53">
        <f t="shared" si="10"/>
        <v>1.7756112683287029E-5</v>
      </c>
      <c r="BB11" s="53"/>
      <c r="BD11" s="54"/>
      <c r="BE11" s="54"/>
      <c r="BF11" s="54"/>
      <c r="BG11" s="61"/>
      <c r="BI11" s="54"/>
      <c r="BJ11" s="54"/>
      <c r="BK11" s="54"/>
      <c r="BL11" s="61"/>
      <c r="BN11" s="54"/>
      <c r="BO11" s="54"/>
      <c r="BP11" s="54"/>
      <c r="BQ11" s="61"/>
      <c r="BS11" s="54"/>
      <c r="BT11" s="54"/>
      <c r="BU11" s="54"/>
      <c r="BV11" s="61"/>
      <c r="BX11">
        <f t="shared" si="12"/>
        <v>0</v>
      </c>
      <c r="BY11">
        <f t="shared" si="13"/>
        <v>-504</v>
      </c>
      <c r="BZ11">
        <f t="shared" si="14"/>
        <v>0</v>
      </c>
      <c r="CA11">
        <f t="shared" si="15"/>
        <v>-504</v>
      </c>
      <c r="CB11">
        <f t="shared" si="16"/>
        <v>0</v>
      </c>
      <c r="CC11">
        <f t="shared" si="17"/>
        <v>-4.1000000000011028E-3</v>
      </c>
      <c r="CD11">
        <f t="shared" si="18"/>
        <v>-3.7999999999982492E-3</v>
      </c>
      <c r="CE11">
        <f t="shared" si="19"/>
        <v>1.300000000000523E-3</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4.2256309250991606</v>
      </c>
      <c r="K12" s="23">
        <f t="shared" si="2"/>
        <v>3.5692277743026581</v>
      </c>
      <c r="L12" s="23">
        <f t="shared" si="3"/>
        <v>0.65616267568639186</v>
      </c>
      <c r="M12" s="24"/>
      <c r="N12" s="23">
        <f t="shared" si="4"/>
        <v>4.2256309250991606</v>
      </c>
      <c r="O12" s="25">
        <v>3493085</v>
      </c>
      <c r="P12" s="26">
        <v>14760488</v>
      </c>
      <c r="Q12" s="26">
        <v>12467616</v>
      </c>
      <c r="R12" s="26">
        <v>2292032</v>
      </c>
      <c r="S12" s="40"/>
      <c r="T12" s="41">
        <v>41.2378</v>
      </c>
      <c r="U12" s="41">
        <v>48.283999999999999</v>
      </c>
      <c r="V12" s="41">
        <v>48.287199999999999</v>
      </c>
      <c r="W12" s="42"/>
      <c r="X12" s="41">
        <v>34.151400000000002</v>
      </c>
      <c r="Y12" s="41">
        <v>34.151400000000002</v>
      </c>
      <c r="Z12" s="41">
        <v>34.151400000000002</v>
      </c>
      <c r="AA12" s="42"/>
      <c r="AB12" s="50">
        <v>5.6710000000000003</v>
      </c>
      <c r="AC12" s="50">
        <v>4.5460000000000003</v>
      </c>
      <c r="AE12" s="22" t="str">
        <f t="shared" si="5"/>
        <v>·</v>
      </c>
      <c r="AF12" s="23">
        <f t="shared" si="6"/>
        <v>4.2263569309077793</v>
      </c>
      <c r="AG12" s="23">
        <f t="shared" si="7"/>
        <v>3.5692277743026581</v>
      </c>
      <c r="AH12" s="23">
        <f t="shared" si="8"/>
        <v>0.6568886814950109</v>
      </c>
      <c r="AI12" s="24"/>
      <c r="AJ12" s="23">
        <f t="shared" si="9"/>
        <v>4.2263569309077793</v>
      </c>
      <c r="AK12" s="25">
        <v>3493085</v>
      </c>
      <c r="AL12" s="26">
        <v>14763024</v>
      </c>
      <c r="AM12" s="26">
        <v>12467616</v>
      </c>
      <c r="AN12" s="26">
        <v>2294568</v>
      </c>
      <c r="AO12" s="40"/>
      <c r="AP12" s="41">
        <v>41.231999999999999</v>
      </c>
      <c r="AQ12" s="41">
        <v>48.26</v>
      </c>
      <c r="AR12" s="41">
        <v>48.303699999999999</v>
      </c>
      <c r="AS12" s="42"/>
      <c r="AT12" s="41">
        <v>34.151400000000002</v>
      </c>
      <c r="AU12" s="41">
        <v>34.151400000000002</v>
      </c>
      <c r="AV12" s="41">
        <v>34.151400000000002</v>
      </c>
      <c r="AW12" s="42"/>
      <c r="AX12" s="50">
        <v>5.718</v>
      </c>
      <c r="AY12" s="50">
        <v>4.5309999999999997</v>
      </c>
      <c r="BA12" s="55">
        <f t="shared" si="10"/>
        <v>-1.450963959145346E-4</v>
      </c>
      <c r="BB12" s="55"/>
      <c r="BD12" s="56"/>
      <c r="BE12" s="56"/>
      <c r="BF12" s="56"/>
      <c r="BG12" s="62"/>
      <c r="BI12" s="56"/>
      <c r="BJ12" s="56"/>
      <c r="BK12" s="56"/>
      <c r="BL12" s="62"/>
      <c r="BN12" s="56"/>
      <c r="BO12" s="56"/>
      <c r="BP12" s="56"/>
      <c r="BQ12" s="62"/>
      <c r="BS12" s="56"/>
      <c r="BT12" s="56"/>
      <c r="BU12" s="56"/>
      <c r="BV12" s="62"/>
      <c r="BX12">
        <f t="shared" si="12"/>
        <v>0</v>
      </c>
      <c r="BY12">
        <f t="shared" si="13"/>
        <v>2536</v>
      </c>
      <c r="BZ12">
        <f t="shared" si="14"/>
        <v>0</v>
      </c>
      <c r="CA12">
        <f t="shared" si="15"/>
        <v>2536</v>
      </c>
      <c r="CB12">
        <f t="shared" si="16"/>
        <v>0</v>
      </c>
      <c r="CC12">
        <f t="shared" si="17"/>
        <v>-5.8000000000006935E-3</v>
      </c>
      <c r="CD12">
        <f t="shared" si="18"/>
        <v>-2.4000000000000909E-2</v>
      </c>
      <c r="CE12">
        <f t="shared" si="19"/>
        <v>1.6500000000000625E-2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3.7990899162201894</v>
      </c>
      <c r="K13" s="18">
        <f t="shared" si="2"/>
        <v>3.5692277743026581</v>
      </c>
      <c r="L13" s="18">
        <f t="shared" si="3"/>
        <v>0.22962166680742094</v>
      </c>
      <c r="M13" s="19"/>
      <c r="N13" s="18">
        <f t="shared" si="4"/>
        <v>3.7990899162201894</v>
      </c>
      <c r="O13" s="20">
        <v>3493085</v>
      </c>
      <c r="P13" s="21">
        <v>13270544</v>
      </c>
      <c r="Q13" s="21">
        <v>12467616</v>
      </c>
      <c r="R13" s="21">
        <v>802088</v>
      </c>
      <c r="S13" s="37"/>
      <c r="T13" s="38">
        <v>35.930900000000001</v>
      </c>
      <c r="U13" s="38">
        <v>43.735100000000003</v>
      </c>
      <c r="V13" s="38">
        <v>44.115299999999998</v>
      </c>
      <c r="W13" s="39"/>
      <c r="X13" s="38">
        <v>28.130800000000001</v>
      </c>
      <c r="Y13" s="38">
        <v>28.130800000000001</v>
      </c>
      <c r="Z13" s="38">
        <v>28.130800000000001</v>
      </c>
      <c r="AA13" s="39"/>
      <c r="AB13" s="49">
        <v>5.5780000000000003</v>
      </c>
      <c r="AC13" s="49">
        <v>4.5309999999999997</v>
      </c>
      <c r="AE13" s="17" t="str">
        <f t="shared" si="5"/>
        <v>·</v>
      </c>
      <c r="AF13" s="18">
        <f t="shared" si="6"/>
        <v>3.7983730713681458</v>
      </c>
      <c r="AG13" s="18">
        <f t="shared" si="7"/>
        <v>3.5692277743026581</v>
      </c>
      <c r="AH13" s="18">
        <f t="shared" si="8"/>
        <v>0.22890482195537756</v>
      </c>
      <c r="AI13" s="19"/>
      <c r="AJ13" s="18">
        <f t="shared" si="9"/>
        <v>3.7983730713681458</v>
      </c>
      <c r="AK13" s="20">
        <v>3493085</v>
      </c>
      <c r="AL13" s="21">
        <v>13268040</v>
      </c>
      <c r="AM13" s="21">
        <v>12467616</v>
      </c>
      <c r="AN13" s="21">
        <v>799584</v>
      </c>
      <c r="AO13" s="37"/>
      <c r="AP13" s="38">
        <v>35.949399999999997</v>
      </c>
      <c r="AQ13" s="38">
        <v>44.067900000000002</v>
      </c>
      <c r="AR13" s="38">
        <v>44.138800000000003</v>
      </c>
      <c r="AS13" s="39"/>
      <c r="AT13" s="38">
        <v>28.130800000000001</v>
      </c>
      <c r="AU13" s="38">
        <v>28.130800000000001</v>
      </c>
      <c r="AV13" s="38">
        <v>28.130800000000001</v>
      </c>
      <c r="AW13" s="39"/>
      <c r="AX13" s="49">
        <v>5.5149999999999997</v>
      </c>
      <c r="AY13" s="49">
        <v>4.5309999999999997</v>
      </c>
      <c r="BA13" s="53">
        <f t="shared" si="10"/>
        <v>1.7730551476191625E-4</v>
      </c>
      <c r="BB13" s="53"/>
      <c r="BD13" s="54"/>
      <c r="BE13" s="54"/>
      <c r="BF13" s="54"/>
      <c r="BG13" s="61"/>
      <c r="BI13" s="54"/>
      <c r="BJ13" s="54"/>
      <c r="BK13" s="54"/>
      <c r="BL13" s="61"/>
      <c r="BN13" s="54"/>
      <c r="BO13" s="54"/>
      <c r="BP13" s="54"/>
      <c r="BQ13" s="61"/>
      <c r="BS13" s="54"/>
      <c r="BT13" s="54"/>
      <c r="BU13" s="54"/>
      <c r="BV13" s="61"/>
      <c r="BX13">
        <f t="shared" si="12"/>
        <v>0</v>
      </c>
      <c r="BY13">
        <f t="shared" si="13"/>
        <v>-2504</v>
      </c>
      <c r="BZ13">
        <f t="shared" si="14"/>
        <v>0</v>
      </c>
      <c r="CA13">
        <f t="shared" si="15"/>
        <v>-2504</v>
      </c>
      <c r="CB13">
        <f t="shared" si="16"/>
        <v>0</v>
      </c>
      <c r="CC13">
        <f t="shared" si="17"/>
        <v>1.8499999999995964E-2</v>
      </c>
      <c r="CD13">
        <f t="shared" si="18"/>
        <v>0.33279999999999887</v>
      </c>
      <c r="CE13">
        <f t="shared" si="19"/>
        <v>2.3500000000005627E-2</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3.6316138885827285</v>
      </c>
      <c r="K14" s="33">
        <f t="shared" si="2"/>
        <v>3.5692277743026581</v>
      </c>
      <c r="L14" s="33">
        <f t="shared" si="3"/>
        <v>6.2145639169960076E-2</v>
      </c>
      <c r="M14" s="34"/>
      <c r="N14" s="33">
        <f t="shared" si="4"/>
        <v>3.6316138885827285</v>
      </c>
      <c r="O14" s="35">
        <v>3493085</v>
      </c>
      <c r="P14" s="36">
        <v>12685536</v>
      </c>
      <c r="Q14" s="36">
        <v>12467616</v>
      </c>
      <c r="R14" s="36">
        <v>217080</v>
      </c>
      <c r="S14" s="46"/>
      <c r="T14" s="47">
        <v>29.6145</v>
      </c>
      <c r="U14" s="47">
        <v>38.127000000000002</v>
      </c>
      <c r="V14" s="47">
        <v>38.978099999999998</v>
      </c>
      <c r="W14" s="48"/>
      <c r="X14" s="47">
        <v>21.686399999999999</v>
      </c>
      <c r="Y14" s="47">
        <v>21.686399999999999</v>
      </c>
      <c r="Z14" s="47">
        <v>21.686399999999999</v>
      </c>
      <c r="AA14" s="48"/>
      <c r="AB14" s="52">
        <v>5.5460000000000003</v>
      </c>
      <c r="AC14" s="52">
        <v>4.468</v>
      </c>
      <c r="AE14" s="32" t="str">
        <f t="shared" si="5"/>
        <v>·</v>
      </c>
      <c r="AF14" s="33">
        <f t="shared" si="6"/>
        <v>3.6306061833594088</v>
      </c>
      <c r="AG14" s="33">
        <f t="shared" si="7"/>
        <v>3.5692277743026581</v>
      </c>
      <c r="AH14" s="33">
        <f t="shared" si="8"/>
        <v>6.1137933946640292E-2</v>
      </c>
      <c r="AI14" s="34"/>
      <c r="AJ14" s="33">
        <f t="shared" si="9"/>
        <v>3.6306061833594088</v>
      </c>
      <c r="AK14" s="35">
        <v>3493085</v>
      </c>
      <c r="AL14" s="36">
        <v>12682016</v>
      </c>
      <c r="AM14" s="36">
        <v>12467616</v>
      </c>
      <c r="AN14" s="36">
        <v>213560</v>
      </c>
      <c r="AO14" s="46"/>
      <c r="AP14" s="47">
        <v>29.7012</v>
      </c>
      <c r="AQ14" s="47">
        <v>38.107799999999997</v>
      </c>
      <c r="AR14" s="47">
        <v>38.985900000000001</v>
      </c>
      <c r="AS14" s="48"/>
      <c r="AT14" s="47">
        <v>21.686399999999999</v>
      </c>
      <c r="AU14" s="47">
        <v>21.686399999999999</v>
      </c>
      <c r="AV14" s="47">
        <v>21.686399999999999</v>
      </c>
      <c r="AW14" s="48"/>
      <c r="AX14" s="52">
        <v>5.718</v>
      </c>
      <c r="AY14" s="52">
        <v>4.5</v>
      </c>
      <c r="BA14" s="59">
        <f t="shared" si="10"/>
        <v>2.7279032436777761E-4</v>
      </c>
      <c r="BB14" s="59"/>
      <c r="BD14" s="60"/>
      <c r="BE14" s="60"/>
      <c r="BF14" s="60"/>
      <c r="BG14" s="64"/>
      <c r="BI14" s="60"/>
      <c r="BJ14" s="60"/>
      <c r="BK14" s="60"/>
      <c r="BL14" s="64"/>
      <c r="BN14" s="60"/>
      <c r="BO14" s="60"/>
      <c r="BP14" s="60"/>
      <c r="BQ14" s="64"/>
      <c r="BS14" s="60"/>
      <c r="BT14" s="60"/>
      <c r="BU14" s="60"/>
      <c r="BV14" s="64"/>
      <c r="BX14">
        <f t="shared" si="12"/>
        <v>0</v>
      </c>
      <c r="BY14">
        <f t="shared" si="13"/>
        <v>-3520</v>
      </c>
      <c r="BZ14">
        <f t="shared" si="14"/>
        <v>0</v>
      </c>
      <c r="CA14">
        <f t="shared" si="15"/>
        <v>-3520</v>
      </c>
      <c r="CB14">
        <f t="shared" si="16"/>
        <v>0</v>
      </c>
      <c r="CC14">
        <f t="shared" si="17"/>
        <v>8.6700000000000443E-2</v>
      </c>
      <c r="CD14">
        <f t="shared" si="18"/>
        <v>-1.9200000000004991E-2</v>
      </c>
      <c r="CE14">
        <f t="shared" si="19"/>
        <v>7.8000000000031378E-3</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5.1984828510798158</v>
      </c>
      <c r="K15" s="18">
        <f t="shared" si="2"/>
        <v>0.87847149637567412</v>
      </c>
      <c r="L15" s="18">
        <f t="shared" si="3"/>
        <v>4.3197089739960308</v>
      </c>
      <c r="M15" s="19"/>
      <c r="N15" s="18">
        <f t="shared" si="4"/>
        <v>5.1984828510798158</v>
      </c>
      <c r="O15" s="20">
        <v>2592758</v>
      </c>
      <c r="P15" s="21">
        <v>13478408</v>
      </c>
      <c r="Q15" s="21">
        <v>2277664</v>
      </c>
      <c r="R15" s="21">
        <v>11199960</v>
      </c>
      <c r="S15" s="37"/>
      <c r="T15" s="38">
        <v>52.615900000000003</v>
      </c>
      <c r="U15" s="38">
        <v>56.830599999999997</v>
      </c>
      <c r="V15" s="38">
        <v>56.234999999999999</v>
      </c>
      <c r="W15" s="39"/>
      <c r="X15" s="38">
        <v>48.130800000000001</v>
      </c>
      <c r="Y15" s="38">
        <v>48.130800000000001</v>
      </c>
      <c r="Z15" s="38">
        <v>48.130800000000001</v>
      </c>
      <c r="AA15" s="39"/>
      <c r="AB15" s="49">
        <v>3.093</v>
      </c>
      <c r="AC15" s="49">
        <v>2.2650000000000001</v>
      </c>
      <c r="AE15" s="17" t="str">
        <f t="shared" si="5"/>
        <v>·</v>
      </c>
      <c r="AF15" s="18">
        <f t="shared" si="6"/>
        <v>5.2012073629702424</v>
      </c>
      <c r="AG15" s="18">
        <f t="shared" si="7"/>
        <v>0.87847149637567412</v>
      </c>
      <c r="AH15" s="18">
        <f t="shared" si="8"/>
        <v>4.3224334858864575</v>
      </c>
      <c r="AI15" s="19"/>
      <c r="AJ15" s="18">
        <f t="shared" si="9"/>
        <v>5.2012073629702424</v>
      </c>
      <c r="AK15" s="20">
        <v>2592758</v>
      </c>
      <c r="AL15" s="21">
        <v>13485472</v>
      </c>
      <c r="AM15" s="21">
        <v>2277664</v>
      </c>
      <c r="AN15" s="21">
        <v>11207024</v>
      </c>
      <c r="AO15" s="37"/>
      <c r="AP15" s="38">
        <v>52.620600000000003</v>
      </c>
      <c r="AQ15" s="38">
        <v>56.838299999999997</v>
      </c>
      <c r="AR15" s="38">
        <v>56.2468</v>
      </c>
      <c r="AS15" s="39"/>
      <c r="AT15" s="38">
        <v>48.130800000000001</v>
      </c>
      <c r="AU15" s="38">
        <v>48.130800000000001</v>
      </c>
      <c r="AV15" s="38">
        <v>48.130800000000001</v>
      </c>
      <c r="AW15" s="39"/>
      <c r="AX15" s="49">
        <v>3.1869999999999998</v>
      </c>
      <c r="AY15" s="49">
        <v>2.3119999999999998</v>
      </c>
      <c r="BA15" s="53">
        <f t="shared" si="10"/>
        <v>-8.8518816317550986E-5</v>
      </c>
      <c r="BB15" s="53">
        <f t="array" ref="BB15">AVERAGE(AM15:AM19/AL15:AL19)-AVERAGE(Q15:Q19/P15:P19)</f>
        <v>2.8989989440669772E-4</v>
      </c>
      <c r="BD15" s="54">
        <f>IF(OR(ISBLANK(R15:R19),ISBLANK(AN15:AN19),ISBLANK(T15:T19),ISBLANK(AP15:AP19)),"·",bdRateExtend(R15:R19,T15:T19,AN15:AN19,AP15:AP19))</f>
        <v>-5.4760557369942786E-3</v>
      </c>
      <c r="BE15" s="54">
        <f>IF(OR(ISBLANK(R15:R19),ISBLANK(AN15:AN19),ISBLANK(U15:U19),ISBLANK(AQ15:AQ19)),"·",bdRateExtend(R15:R19,U15:U19,AN15:AN19,AQ15:AQ19))</f>
        <v>-3.0657373976372693E-4</v>
      </c>
      <c r="BF15" s="54">
        <f>IF(OR(ISBLANK(R15:R19),ISBLANK(AN15:AN19),ISBLANK(V15:V19),ISBLANK(AR15:AR19)),"·",bdRateExtend(R15:R19,V15:V19,AN15:AN19,AR15:AR19))</f>
        <v>-4.7710558934351055E-2</v>
      </c>
      <c r="BG15" s="61"/>
      <c r="BI15" s="54">
        <f>IF(OR(ISBLANK(R15:R19),ISBLANK(AN15:AN19),ISBLANK(X15:X19),ISBLANK(AT15:AT19)),"·",bdRateExtend(R15:R19,X15:X19,AN15:AN19,AT15:AT19))</f>
        <v>-8.8937471999916973E-4</v>
      </c>
      <c r="BJ15" s="54">
        <f>IF(OR(ISBLANK(R15:R19),ISBLANK(AN15:AN19),ISBLANK(Y15:Y19),ISBLANK(AU15:AU19)),"·",bdRateExtend(R15:R19,Y15:Y19,AN15:AN19,AU15:AU19))</f>
        <v>-8.8937471999916973E-4</v>
      </c>
      <c r="BK15" s="54">
        <f>IF(OR(ISBLANK(R15:R19),ISBLANK(AN15:AN19),ISBLANK(Z15:Z19),ISBLANK(AV15:AV19)),"·",bdRateExtend(R15:R19,Z15:Z19,AN15:AN19,AV15:AV19))</f>
        <v>-8.8937471999916973E-4</v>
      </c>
      <c r="BL15" s="61"/>
      <c r="BN15" s="54">
        <f>IF(OR(ISBLANK(P15:P19),ISBLANK(AL15:AL19),ISBLANK(T15:T19),ISBLANK(AP15:AP19)),"·",bdRateExtend(P15:P19,T15:T19,AL15:AL19,AP15:AP19))</f>
        <v>-1.0595586679087443E-3</v>
      </c>
      <c r="BO15" s="54">
        <f>IF(OR(ISBLANK(P15:P19),ISBLANK(AL15:AL19),ISBLANK(U15:U19),ISBLANK(AQ15:AQ19)),"·",bdRateExtend(P15:P19,U15:U19,AL15:AL19,AQ15:AQ19))</f>
        <v>-6.4090680689576907E-4</v>
      </c>
      <c r="BP15" s="54">
        <f>IF(OR(ISBLANK(P15:P19),ISBLANK(AL15:AL19),ISBLANK(V15:V19),ISBLANK(AR15:AR19)),"·",bdRateExtend(P15:P19,V15:V19,AL15:AL19,AR15:AR19))</f>
        <v>-1.0675017005017828E-2</v>
      </c>
      <c r="BQ15" s="61"/>
      <c r="BS15" s="54">
        <f>IF(OR(ISBLANK(P15:P19),ISBLANK(AL15:AL19),ISBLANK(X15:X19),ISBLANK(AT15:AT19)),"·",bdRateExtend(P15:P19,X15:X19,AL15:AL19,AT15:AT19))</f>
        <v>1.1713111510092133E-4</v>
      </c>
      <c r="BT15" s="54">
        <f>IF(OR(ISBLANK(P15:P19),ISBLANK(AL15:AL19),ISBLANK(Y15:Y19),ISBLANK(AU15:AU19)),"·",bdRateExtend(P15:P19,Y15:Y19,AL15:AL19,AU15:AU19))</f>
        <v>1.1713111510092133E-4</v>
      </c>
      <c r="BU15" s="54">
        <f>IF(OR(ISBLANK(P15:P19),ISBLANK(AL15:AL19),ISBLANK(Z15:Z19),ISBLANK(AV15:AV19)),"·",bdRateExtend(P15:P19,Z15:Z19,AL15:AL19,AV15:AV19))</f>
        <v>1.1713111510092133E-4</v>
      </c>
      <c r="BV15" s="61"/>
      <c r="BX15">
        <f t="shared" si="12"/>
        <v>0</v>
      </c>
      <c r="BY15">
        <f t="shared" si="13"/>
        <v>7064</v>
      </c>
      <c r="BZ15">
        <f t="shared" si="14"/>
        <v>0</v>
      </c>
      <c r="CA15">
        <f t="shared" si="15"/>
        <v>7064</v>
      </c>
      <c r="CB15">
        <f t="shared" si="16"/>
        <v>0</v>
      </c>
      <c r="CC15">
        <f t="shared" si="17"/>
        <v>4.6999999999997044E-3</v>
      </c>
      <c r="CD15">
        <f t="shared" si="18"/>
        <v>7.6999999999998181E-3</v>
      </c>
      <c r="CE15">
        <f t="shared" si="19"/>
        <v>1.1800000000000921E-2</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3.6669091369113507</v>
      </c>
      <c r="K16" s="23">
        <f t="shared" si="2"/>
        <v>0.87847149637567412</v>
      </c>
      <c r="L16" s="23">
        <f t="shared" si="3"/>
        <v>2.7881352598275657</v>
      </c>
      <c r="M16" s="24"/>
      <c r="N16" s="23">
        <f t="shared" si="4"/>
        <v>3.6669091369113507</v>
      </c>
      <c r="O16" s="25">
        <v>2592758</v>
      </c>
      <c r="P16" s="26">
        <v>9507408</v>
      </c>
      <c r="Q16" s="26">
        <v>2277664</v>
      </c>
      <c r="R16" s="26">
        <v>7228960</v>
      </c>
      <c r="S16" s="40"/>
      <c r="T16" s="41">
        <v>47.923900000000003</v>
      </c>
      <c r="U16" s="41">
        <v>52.073700000000002</v>
      </c>
      <c r="V16" s="41">
        <v>52.2729</v>
      </c>
      <c r="W16" s="42"/>
      <c r="X16" s="41">
        <v>42.110199999999999</v>
      </c>
      <c r="Y16" s="41">
        <v>42.110199999999999</v>
      </c>
      <c r="Z16" s="41">
        <v>42.110199999999999</v>
      </c>
      <c r="AA16" s="42"/>
      <c r="AB16" s="50">
        <v>3.125</v>
      </c>
      <c r="AC16" s="50">
        <v>2.2650000000000001</v>
      </c>
      <c r="AE16" s="22" t="str">
        <f t="shared" si="5"/>
        <v>·</v>
      </c>
      <c r="AF16" s="23">
        <f t="shared" si="6"/>
        <v>3.6687758749563208</v>
      </c>
      <c r="AG16" s="23">
        <f t="shared" si="7"/>
        <v>0.87847149637567412</v>
      </c>
      <c r="AH16" s="23">
        <f t="shared" si="8"/>
        <v>2.7900019978725359</v>
      </c>
      <c r="AI16" s="24"/>
      <c r="AJ16" s="23">
        <f t="shared" si="9"/>
        <v>3.6687758749563208</v>
      </c>
      <c r="AK16" s="25">
        <v>2592758</v>
      </c>
      <c r="AL16" s="26">
        <v>9512248</v>
      </c>
      <c r="AM16" s="26">
        <v>2277664</v>
      </c>
      <c r="AN16" s="26">
        <v>7233800</v>
      </c>
      <c r="AO16" s="40"/>
      <c r="AP16" s="41">
        <v>47.931100000000001</v>
      </c>
      <c r="AQ16" s="41">
        <v>52.081800000000001</v>
      </c>
      <c r="AR16" s="41">
        <v>52.267200000000003</v>
      </c>
      <c r="AS16" s="42"/>
      <c r="AT16" s="41">
        <v>42.110199999999999</v>
      </c>
      <c r="AU16" s="41">
        <v>42.110199999999999</v>
      </c>
      <c r="AV16" s="41">
        <v>42.110199999999999</v>
      </c>
      <c r="AW16" s="42"/>
      <c r="AX16" s="50">
        <v>3.1560000000000001</v>
      </c>
      <c r="AY16" s="50">
        <v>2.234</v>
      </c>
      <c r="BA16" s="55">
        <f t="shared" si="10"/>
        <v>-1.2189607536880476E-4</v>
      </c>
      <c r="BB16" s="55"/>
      <c r="BD16" s="56"/>
      <c r="BE16" s="56"/>
      <c r="BF16" s="56"/>
      <c r="BG16" s="62"/>
      <c r="BI16" s="56"/>
      <c r="BJ16" s="56"/>
      <c r="BK16" s="56"/>
      <c r="BL16" s="62"/>
      <c r="BN16" s="56"/>
      <c r="BO16" s="56"/>
      <c r="BP16" s="56"/>
      <c r="BQ16" s="62"/>
      <c r="BS16" s="56"/>
      <c r="BT16" s="56"/>
      <c r="BU16" s="56"/>
      <c r="BV16" s="62"/>
      <c r="BX16">
        <f t="shared" si="12"/>
        <v>0</v>
      </c>
      <c r="BY16">
        <f t="shared" si="13"/>
        <v>4840</v>
      </c>
      <c r="BZ16">
        <f t="shared" si="14"/>
        <v>0</v>
      </c>
      <c r="CA16">
        <f t="shared" si="15"/>
        <v>4840</v>
      </c>
      <c r="CB16">
        <f t="shared" si="16"/>
        <v>0</v>
      </c>
      <c r="CC16">
        <f t="shared" si="17"/>
        <v>7.1999999999974307E-3</v>
      </c>
      <c r="CD16">
        <f t="shared" si="18"/>
        <v>8.0999999999988859E-3</v>
      </c>
      <c r="CE16">
        <f t="shared" si="19"/>
        <v>-5.6999999999973738E-3</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2.039724494148702</v>
      </c>
      <c r="K17" s="18">
        <f t="shared" si="2"/>
        <v>0.87847149637567412</v>
      </c>
      <c r="L17" s="18">
        <f t="shared" si="3"/>
        <v>1.1609506170649169</v>
      </c>
      <c r="M17" s="19"/>
      <c r="N17" s="18">
        <f t="shared" si="4"/>
        <v>2.039724494148702</v>
      </c>
      <c r="O17" s="20">
        <v>2592758</v>
      </c>
      <c r="P17" s="21">
        <v>5288512</v>
      </c>
      <c r="Q17" s="21">
        <v>2277664</v>
      </c>
      <c r="R17" s="21">
        <v>3010064</v>
      </c>
      <c r="S17" s="37"/>
      <c r="T17" s="38">
        <v>41.288699999999999</v>
      </c>
      <c r="U17" s="38">
        <v>46.950099999999999</v>
      </c>
      <c r="V17" s="38">
        <v>48.036999999999999</v>
      </c>
      <c r="W17" s="39"/>
      <c r="X17" s="38">
        <v>34.151400000000002</v>
      </c>
      <c r="Y17" s="38">
        <v>34.151400000000002</v>
      </c>
      <c r="Z17" s="38">
        <v>34.151400000000002</v>
      </c>
      <c r="AA17" s="39"/>
      <c r="AB17" s="49">
        <v>3.0459999999999998</v>
      </c>
      <c r="AC17" s="49">
        <v>2.1709999999999998</v>
      </c>
      <c r="AE17" s="17" t="str">
        <f t="shared" si="5"/>
        <v>·</v>
      </c>
      <c r="AF17" s="18">
        <f t="shared" si="6"/>
        <v>2.0400700721008285</v>
      </c>
      <c r="AG17" s="18">
        <f t="shared" si="7"/>
        <v>0.87847149637567412</v>
      </c>
      <c r="AH17" s="18">
        <f t="shared" si="8"/>
        <v>1.1612961950170437</v>
      </c>
      <c r="AI17" s="19"/>
      <c r="AJ17" s="18">
        <f t="shared" si="9"/>
        <v>2.0400700721008285</v>
      </c>
      <c r="AK17" s="20">
        <v>2592758</v>
      </c>
      <c r="AL17" s="21">
        <v>5289408</v>
      </c>
      <c r="AM17" s="21">
        <v>2277664</v>
      </c>
      <c r="AN17" s="21">
        <v>3010960</v>
      </c>
      <c r="AO17" s="37"/>
      <c r="AP17" s="38">
        <v>41.287300000000002</v>
      </c>
      <c r="AQ17" s="38">
        <v>46.997100000000003</v>
      </c>
      <c r="AR17" s="38">
        <v>48.047800000000002</v>
      </c>
      <c r="AS17" s="39"/>
      <c r="AT17" s="38">
        <v>34.151400000000002</v>
      </c>
      <c r="AU17" s="38">
        <v>34.151400000000002</v>
      </c>
      <c r="AV17" s="38">
        <v>34.151400000000002</v>
      </c>
      <c r="AW17" s="39"/>
      <c r="AX17" s="49">
        <v>3.0779999999999998</v>
      </c>
      <c r="AY17" s="49">
        <v>2.218</v>
      </c>
      <c r="BA17" s="53">
        <f t="shared" si="10"/>
        <v>-7.2955343283054308E-5</v>
      </c>
      <c r="BB17" s="53"/>
      <c r="BD17" s="54"/>
      <c r="BE17" s="54"/>
      <c r="BF17" s="54"/>
      <c r="BG17" s="61"/>
      <c r="BI17" s="54"/>
      <c r="BJ17" s="54"/>
      <c r="BK17" s="54"/>
      <c r="BL17" s="61"/>
      <c r="BN17" s="54"/>
      <c r="BO17" s="54"/>
      <c r="BP17" s="54"/>
      <c r="BQ17" s="61"/>
      <c r="BS17" s="54"/>
      <c r="BT17" s="54"/>
      <c r="BU17" s="54"/>
      <c r="BV17" s="61"/>
      <c r="BX17">
        <f t="shared" si="12"/>
        <v>0</v>
      </c>
      <c r="BY17">
        <f t="shared" si="13"/>
        <v>896</v>
      </c>
      <c r="BZ17">
        <f t="shared" si="14"/>
        <v>0</v>
      </c>
      <c r="CA17">
        <f t="shared" si="15"/>
        <v>896</v>
      </c>
      <c r="CB17">
        <f t="shared" si="16"/>
        <v>0</v>
      </c>
      <c r="CC17">
        <f t="shared" si="17"/>
        <v>-1.3999999999967372E-3</v>
      </c>
      <c r="CD17">
        <f t="shared" si="18"/>
        <v>4.700000000000415E-2</v>
      </c>
      <c r="CE17">
        <f t="shared" si="19"/>
        <v>1.0800000000003251E-2</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1.3494263637408506</v>
      </c>
      <c r="K18" s="23">
        <f t="shared" si="2"/>
        <v>0.87847149637567412</v>
      </c>
      <c r="L18" s="23">
        <f t="shared" si="3"/>
        <v>0.47065248665706555</v>
      </c>
      <c r="M18" s="24"/>
      <c r="N18" s="23">
        <f t="shared" si="4"/>
        <v>1.3494263637408506</v>
      </c>
      <c r="O18" s="25">
        <v>2592758</v>
      </c>
      <c r="P18" s="26">
        <v>3498736</v>
      </c>
      <c r="Q18" s="26">
        <v>2277664</v>
      </c>
      <c r="R18" s="26">
        <v>1220288</v>
      </c>
      <c r="S18" s="40"/>
      <c r="T18" s="41">
        <v>35.868400000000001</v>
      </c>
      <c r="U18" s="41">
        <v>42.567799999999998</v>
      </c>
      <c r="V18" s="41">
        <v>44.018599999999999</v>
      </c>
      <c r="W18" s="42"/>
      <c r="X18" s="41">
        <v>28.130800000000001</v>
      </c>
      <c r="Y18" s="41">
        <v>28.130800000000001</v>
      </c>
      <c r="Z18" s="41">
        <v>28.130800000000001</v>
      </c>
      <c r="AA18" s="42"/>
      <c r="AB18" s="50">
        <v>3.0779999999999998</v>
      </c>
      <c r="AC18" s="50">
        <v>2.14</v>
      </c>
      <c r="AE18" s="22" t="str">
        <f t="shared" si="5"/>
        <v>·</v>
      </c>
      <c r="AF18" s="23">
        <f t="shared" si="6"/>
        <v>1.3498675927332979</v>
      </c>
      <c r="AG18" s="23">
        <f t="shared" si="7"/>
        <v>0.87847149637567412</v>
      </c>
      <c r="AH18" s="23">
        <f t="shared" si="8"/>
        <v>0.47109371564951297</v>
      </c>
      <c r="AI18" s="24"/>
      <c r="AJ18" s="23">
        <f t="shared" si="9"/>
        <v>1.3498675927332979</v>
      </c>
      <c r="AK18" s="25">
        <v>2592758</v>
      </c>
      <c r="AL18" s="26">
        <v>3499880</v>
      </c>
      <c r="AM18" s="26">
        <v>2277664</v>
      </c>
      <c r="AN18" s="26">
        <v>1221432</v>
      </c>
      <c r="AO18" s="40"/>
      <c r="AP18" s="41">
        <v>35.9026</v>
      </c>
      <c r="AQ18" s="41">
        <v>42.541800000000002</v>
      </c>
      <c r="AR18" s="41">
        <v>44.240499999999997</v>
      </c>
      <c r="AS18" s="42"/>
      <c r="AT18" s="41">
        <v>28.130800000000001</v>
      </c>
      <c r="AU18" s="41">
        <v>28.130800000000001</v>
      </c>
      <c r="AV18" s="41">
        <v>28.130800000000001</v>
      </c>
      <c r="AW18" s="42"/>
      <c r="AX18" s="50">
        <v>2.9369999999999998</v>
      </c>
      <c r="AY18" s="50">
        <v>2.2029999999999998</v>
      </c>
      <c r="BA18" s="55">
        <f t="shared" si="10"/>
        <v>-2.1279006847474413E-4</v>
      </c>
      <c r="BB18" s="55"/>
      <c r="BD18" s="56"/>
      <c r="BE18" s="56"/>
      <c r="BF18" s="56"/>
      <c r="BG18" s="62"/>
      <c r="BI18" s="56"/>
      <c r="BJ18" s="56"/>
      <c r="BK18" s="56"/>
      <c r="BL18" s="62"/>
      <c r="BN18" s="56"/>
      <c r="BO18" s="56"/>
      <c r="BP18" s="56"/>
      <c r="BQ18" s="62"/>
      <c r="BS18" s="56"/>
      <c r="BT18" s="56"/>
      <c r="BU18" s="56"/>
      <c r="BV18" s="62"/>
      <c r="BX18">
        <f t="shared" si="12"/>
        <v>0</v>
      </c>
      <c r="BY18">
        <f t="shared" si="13"/>
        <v>1144</v>
      </c>
      <c r="BZ18">
        <f t="shared" si="14"/>
        <v>0</v>
      </c>
      <c r="CA18">
        <f t="shared" si="15"/>
        <v>1144</v>
      </c>
      <c r="CB18">
        <f t="shared" si="16"/>
        <v>0</v>
      </c>
      <c r="CC18">
        <f t="shared" si="17"/>
        <v>3.4199999999998454E-2</v>
      </c>
      <c r="CD18">
        <f t="shared" si="18"/>
        <v>-2.5999999999996248E-2</v>
      </c>
      <c r="CE18">
        <f t="shared" si="19"/>
        <v>0.22189999999999799</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1.0246972528866944</v>
      </c>
      <c r="K19" s="28">
        <f t="shared" si="2"/>
        <v>0.87847149637567412</v>
      </c>
      <c r="L19" s="28">
        <f t="shared" si="3"/>
        <v>0.14592337580290948</v>
      </c>
      <c r="M19" s="29"/>
      <c r="N19" s="28">
        <f t="shared" si="4"/>
        <v>1.0246972528866944</v>
      </c>
      <c r="O19" s="30">
        <v>2592758</v>
      </c>
      <c r="P19" s="31">
        <v>2656792</v>
      </c>
      <c r="Q19" s="31">
        <v>2277664</v>
      </c>
      <c r="R19" s="31">
        <v>378344</v>
      </c>
      <c r="S19" s="43"/>
      <c r="T19" s="44">
        <v>29.6449</v>
      </c>
      <c r="U19" s="44">
        <v>38.689300000000003</v>
      </c>
      <c r="V19" s="44">
        <v>39.481000000000002</v>
      </c>
      <c r="W19" s="45"/>
      <c r="X19" s="44">
        <v>21.686399999999999</v>
      </c>
      <c r="Y19" s="44">
        <v>21.686399999999999</v>
      </c>
      <c r="Z19" s="44">
        <v>21.686399999999999</v>
      </c>
      <c r="AA19" s="45"/>
      <c r="AB19" s="51">
        <v>3.0619999999999998</v>
      </c>
      <c r="AC19" s="51">
        <v>2.218</v>
      </c>
      <c r="AE19" s="27" t="str">
        <f t="shared" si="5"/>
        <v>·</v>
      </c>
      <c r="AF19" s="28">
        <f t="shared" si="6"/>
        <v>1.0223769437795582</v>
      </c>
      <c r="AG19" s="28">
        <f t="shared" si="7"/>
        <v>0.87847149637567412</v>
      </c>
      <c r="AH19" s="28">
        <f t="shared" si="8"/>
        <v>0.14360306669577338</v>
      </c>
      <c r="AI19" s="29"/>
      <c r="AJ19" s="28">
        <f t="shared" si="9"/>
        <v>1.0223769437795582</v>
      </c>
      <c r="AK19" s="30">
        <v>2592758</v>
      </c>
      <c r="AL19" s="31">
        <v>2650776</v>
      </c>
      <c r="AM19" s="31">
        <v>2277664</v>
      </c>
      <c r="AN19" s="31">
        <v>372328</v>
      </c>
      <c r="AO19" s="43"/>
      <c r="AP19" s="44">
        <v>29.764099999999999</v>
      </c>
      <c r="AQ19" s="44">
        <v>38.642299999999999</v>
      </c>
      <c r="AR19" s="44">
        <v>41.293900000000001</v>
      </c>
      <c r="AS19" s="45"/>
      <c r="AT19" s="44">
        <v>21.686399999999999</v>
      </c>
      <c r="AU19" s="44">
        <v>21.686399999999999</v>
      </c>
      <c r="AV19" s="44">
        <v>21.686399999999999</v>
      </c>
      <c r="AW19" s="45"/>
      <c r="AX19" s="51">
        <v>3.0150000000000001</v>
      </c>
      <c r="AY19" s="51">
        <v>2.2029999999999998</v>
      </c>
      <c r="BA19" s="57">
        <f t="shared" si="10"/>
        <v>1.9456597754776706E-3</v>
      </c>
      <c r="BB19" s="57"/>
      <c r="BD19" s="58"/>
      <c r="BE19" s="58"/>
      <c r="BF19" s="58"/>
      <c r="BG19" s="63"/>
      <c r="BI19" s="58"/>
      <c r="BJ19" s="58"/>
      <c r="BK19" s="58"/>
      <c r="BL19" s="63"/>
      <c r="BN19" s="58"/>
      <c r="BO19" s="58"/>
      <c r="BP19" s="58"/>
      <c r="BQ19" s="63"/>
      <c r="BS19" s="58"/>
      <c r="BT19" s="58"/>
      <c r="BU19" s="58"/>
      <c r="BV19" s="63"/>
      <c r="BX19">
        <f t="shared" si="12"/>
        <v>0</v>
      </c>
      <c r="BY19">
        <f t="shared" si="13"/>
        <v>-6016</v>
      </c>
      <c r="BZ19">
        <f t="shared" si="14"/>
        <v>0</v>
      </c>
      <c r="CA19">
        <f t="shared" si="15"/>
        <v>-6016</v>
      </c>
      <c r="CB19">
        <f t="shared" si="16"/>
        <v>0</v>
      </c>
      <c r="CC19">
        <f t="shared" si="17"/>
        <v>0.11919999999999931</v>
      </c>
      <c r="CD19">
        <f t="shared" si="18"/>
        <v>-4.700000000000415E-2</v>
      </c>
      <c r="CE19">
        <f t="shared" si="19"/>
        <v>1.8128999999999991</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17.475524783265612</v>
      </c>
      <c r="K20" s="23">
        <f t="shared" si="2"/>
        <v>11.739009256135306</v>
      </c>
      <c r="L20" s="23">
        <f t="shared" si="3"/>
        <v>5.7346085578911854</v>
      </c>
      <c r="M20" s="24"/>
      <c r="N20" s="23">
        <f t="shared" si="4"/>
        <v>17.475524783265612</v>
      </c>
      <c r="O20" s="25">
        <v>272684</v>
      </c>
      <c r="P20" s="26">
        <v>4765296</v>
      </c>
      <c r="Q20" s="26">
        <v>3201040</v>
      </c>
      <c r="R20" s="26">
        <v>1563736</v>
      </c>
      <c r="S20" s="40"/>
      <c r="T20" s="41">
        <v>52.904800000000002</v>
      </c>
      <c r="U20" s="41">
        <v>54.7258</v>
      </c>
      <c r="V20" s="41">
        <v>56.291400000000003</v>
      </c>
      <c r="W20" s="42"/>
      <c r="X20" s="41">
        <v>48.130800000000001</v>
      </c>
      <c r="Y20" s="41">
        <v>48.130800000000001</v>
      </c>
      <c r="Z20" s="41">
        <v>48.130800000000001</v>
      </c>
      <c r="AA20" s="42"/>
      <c r="AB20" s="50">
        <v>0.60899999999999999</v>
      </c>
      <c r="AC20" s="50">
        <v>0.54600000000000004</v>
      </c>
      <c r="AE20" s="22" t="str">
        <f t="shared" si="5"/>
        <v>·</v>
      </c>
      <c r="AF20" s="23">
        <f t="shared" si="6"/>
        <v>17.479837467544851</v>
      </c>
      <c r="AG20" s="23">
        <f t="shared" si="7"/>
        <v>11.739009256135306</v>
      </c>
      <c r="AH20" s="23">
        <f t="shared" si="8"/>
        <v>5.7389212421704245</v>
      </c>
      <c r="AI20" s="24"/>
      <c r="AJ20" s="23">
        <f t="shared" si="9"/>
        <v>17.479837467544851</v>
      </c>
      <c r="AK20" s="25">
        <v>272684</v>
      </c>
      <c r="AL20" s="26">
        <v>4766472</v>
      </c>
      <c r="AM20" s="26">
        <v>3201040</v>
      </c>
      <c r="AN20" s="26">
        <v>1564912</v>
      </c>
      <c r="AO20" s="40"/>
      <c r="AP20" s="41">
        <v>52.914499999999997</v>
      </c>
      <c r="AQ20" s="41">
        <v>54.741199999999999</v>
      </c>
      <c r="AR20" s="41">
        <v>56.296599999999998</v>
      </c>
      <c r="AS20" s="42"/>
      <c r="AT20" s="41">
        <v>48.130800000000001</v>
      </c>
      <c r="AU20" s="41">
        <v>48.130800000000001</v>
      </c>
      <c r="AV20" s="41">
        <v>48.130800000000001</v>
      </c>
      <c r="AW20" s="42"/>
      <c r="AX20" s="50">
        <v>0.59299999999999997</v>
      </c>
      <c r="AY20" s="50">
        <v>0.53100000000000003</v>
      </c>
      <c r="BA20" s="55">
        <f t="shared" si="10"/>
        <v>-1.6573395501562338E-4</v>
      </c>
      <c r="BB20" s="55">
        <f t="array" ref="BB20">AVERAGE(AM20:AM24/AL20:AL24)-AVERAGE(Q20:Q24/P20:P24)</f>
        <v>4.2856243640310154E-5</v>
      </c>
      <c r="BD20" s="56">
        <f>IF(OR(ISBLANK(R20:R24),ISBLANK(AN20:AN24),ISBLANK(T20:T24),ISBLANK(AP20:AP24)),"·",bdRateExtend(R20:R24,T20:T24,AN20:AN24,AP20:AP24))</f>
        <v>-9.1092958364934473E-3</v>
      </c>
      <c r="BE20" s="56">
        <f>IF(OR(ISBLANK(R20:R24),ISBLANK(AN20:AN24),ISBLANK(U20:U24),ISBLANK(AQ20:AQ24)),"·",bdRateExtend(R20:R24,U20:U24,AN20:AN24,AQ20:AQ24))</f>
        <v>-1.5840997826781278E-2</v>
      </c>
      <c r="BF20" s="56">
        <f>IF(OR(ISBLANK(R20:R24),ISBLANK(AN20:AN24),ISBLANK(V20:V24),ISBLANK(AR20:AR24)),"·",bdRateExtend(R20:R24,V20:V24,AN20:AN24,AR20:AR24))</f>
        <v>-1.3326583821585691E-3</v>
      </c>
      <c r="BG20" s="62"/>
      <c r="BI20" s="56">
        <f>IF(OR(ISBLANK(R20:R24),ISBLANK(AN20:AN24),ISBLANK(X20:X24),ISBLANK(AT20:AT24)),"·",bdRateExtend(R20:R24,X20:X24,AN20:AN24,AT20:AT24))</f>
        <v>-1.2893761260611702E-3</v>
      </c>
      <c r="BJ20" s="56">
        <f>IF(OR(ISBLANK(R20:R24),ISBLANK(AN20:AN24),ISBLANK(Y20:Y24),ISBLANK(AU20:AU24)),"·",bdRateExtend(R20:R24,Y20:Y24,AN20:AN24,AU20:AU24))</f>
        <v>-1.2893761260611702E-3</v>
      </c>
      <c r="BK20" s="56">
        <f>IF(OR(ISBLANK(R20:R24),ISBLANK(AN20:AN24),ISBLANK(Z20:Z24),ISBLANK(AV20:AV24)),"·",bdRateExtend(R20:R24,Z20:Z24,AN20:AN24,AV20:AV24))</f>
        <v>-1.2893761260611702E-3</v>
      </c>
      <c r="BL20" s="62"/>
      <c r="BN20" s="56">
        <f>IF(OR(ISBLANK(P20:P24),ISBLANK(AL20:AL24),ISBLANK(T20:T24),ISBLANK(AP20:AP24)),"·",bdRateExtend(P20:P24,T20:T24,AL20:AL24,AP20:AP24))</f>
        <v>-4.7236977655107371E-4</v>
      </c>
      <c r="BO20" s="56">
        <f>IF(OR(ISBLANK(P20:P24),ISBLANK(AL20:AL24),ISBLANK(U20:U24),ISBLANK(AQ20:AQ24)),"·",bdRateExtend(P20:P24,U20:U24,AL20:AL24,AQ20:AQ24))</f>
        <v>-7.6925865897414791E-4</v>
      </c>
      <c r="BP20" s="56">
        <f>IF(OR(ISBLANK(P20:P24),ISBLANK(AL20:AL24),ISBLANK(V20:V24),ISBLANK(AR20:AR24)),"·",bdRateExtend(P20:P24,V20:V24,AL20:AL24,AR20:AR24))</f>
        <v>-2.1171576423173466E-4</v>
      </c>
      <c r="BQ20" s="62"/>
      <c r="BS20" s="56">
        <f>IF(OR(ISBLANK(P20:P24),ISBLANK(AL20:AL24),ISBLANK(X20:X24),ISBLANK(AT20:AT24)),"·",bdRateExtend(P20:P24,X20:X24,AL20:AL24,AT20:AT24))</f>
        <v>-3.9282277344621086E-5</v>
      </c>
      <c r="BT20" s="56">
        <f>IF(OR(ISBLANK(P20:P24),ISBLANK(AL20:AL24),ISBLANK(Y20:Y24),ISBLANK(AU20:AU24)),"·",bdRateExtend(P20:P24,Y20:Y24,AL20:AL24,AU20:AU24))</f>
        <v>-3.9282277344621086E-5</v>
      </c>
      <c r="BU20" s="56">
        <f>IF(OR(ISBLANK(P20:P24),ISBLANK(AL20:AL24),ISBLANK(Z20:Z24),ISBLANK(AV20:AV24)),"·",bdRateExtend(P20:P24,Z20:Z24,AL20:AL24,AV20:AV24))</f>
        <v>-3.9282277344621086E-5</v>
      </c>
      <c r="BV20" s="62"/>
      <c r="BX20">
        <f t="shared" si="12"/>
        <v>0</v>
      </c>
      <c r="BY20">
        <f t="shared" si="13"/>
        <v>1176</v>
      </c>
      <c r="BZ20">
        <f t="shared" si="14"/>
        <v>0</v>
      </c>
      <c r="CA20">
        <f t="shared" si="15"/>
        <v>1176</v>
      </c>
      <c r="CB20">
        <f t="shared" si="16"/>
        <v>0</v>
      </c>
      <c r="CC20">
        <f t="shared" si="17"/>
        <v>9.6999999999951569E-3</v>
      </c>
      <c r="CD20">
        <f t="shared" si="18"/>
        <v>1.5399999999999636E-2</v>
      </c>
      <c r="CE20">
        <f t="shared" si="19"/>
        <v>5.1999999999949864E-3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15.534611491690015</v>
      </c>
      <c r="K21" s="18">
        <f t="shared" si="2"/>
        <v>11.739009256135306</v>
      </c>
      <c r="L21" s="18">
        <f t="shared" si="3"/>
        <v>3.7936952663155887</v>
      </c>
      <c r="M21" s="19"/>
      <c r="N21" s="18">
        <f t="shared" si="4"/>
        <v>15.534611491690015</v>
      </c>
      <c r="O21" s="20">
        <v>272684</v>
      </c>
      <c r="P21" s="21">
        <v>4236040</v>
      </c>
      <c r="Q21" s="21">
        <v>3201040</v>
      </c>
      <c r="R21" s="21">
        <v>1034480</v>
      </c>
      <c r="S21" s="37"/>
      <c r="T21" s="38">
        <v>48.256100000000004</v>
      </c>
      <c r="U21" s="38">
        <v>51.230400000000003</v>
      </c>
      <c r="V21" s="38">
        <v>51.0334</v>
      </c>
      <c r="W21" s="39"/>
      <c r="X21" s="38">
        <v>42.110199999999999</v>
      </c>
      <c r="Y21" s="38">
        <v>42.110199999999999</v>
      </c>
      <c r="Z21" s="38">
        <v>42.110199999999999</v>
      </c>
      <c r="AA21" s="39"/>
      <c r="AB21" s="49">
        <v>0.56200000000000006</v>
      </c>
      <c r="AC21" s="49">
        <v>0.56200000000000006</v>
      </c>
      <c r="AE21" s="17" t="str">
        <f t="shared" si="5"/>
        <v>·</v>
      </c>
      <c r="AF21" s="18">
        <f t="shared" si="6"/>
        <v>15.534816857608075</v>
      </c>
      <c r="AG21" s="18">
        <f t="shared" si="7"/>
        <v>11.739009256135306</v>
      </c>
      <c r="AH21" s="18">
        <f t="shared" si="8"/>
        <v>3.7939006322336479</v>
      </c>
      <c r="AI21" s="19"/>
      <c r="AJ21" s="18">
        <f t="shared" si="9"/>
        <v>15.534816857608075</v>
      </c>
      <c r="AK21" s="20">
        <v>272684</v>
      </c>
      <c r="AL21" s="21">
        <v>4236096</v>
      </c>
      <c r="AM21" s="21">
        <v>3201040</v>
      </c>
      <c r="AN21" s="21">
        <v>1034536</v>
      </c>
      <c r="AO21" s="37"/>
      <c r="AP21" s="38">
        <v>48.270499999999998</v>
      </c>
      <c r="AQ21" s="38">
        <v>51.247199999999999</v>
      </c>
      <c r="AR21" s="38">
        <v>51.035600000000002</v>
      </c>
      <c r="AS21" s="39"/>
      <c r="AT21" s="38">
        <v>42.110199999999999</v>
      </c>
      <c r="AU21" s="38">
        <v>42.110199999999999</v>
      </c>
      <c r="AV21" s="38">
        <v>42.110199999999999</v>
      </c>
      <c r="AW21" s="39"/>
      <c r="AX21" s="49">
        <v>0.59299999999999997</v>
      </c>
      <c r="AY21" s="49">
        <v>0.53100000000000003</v>
      </c>
      <c r="BA21" s="53">
        <f t="shared" si="10"/>
        <v>-9.9897192263886936E-6</v>
      </c>
      <c r="BB21" s="53"/>
      <c r="BD21" s="54"/>
      <c r="BE21" s="54"/>
      <c r="BF21" s="54"/>
      <c r="BG21" s="61"/>
      <c r="BI21" s="54"/>
      <c r="BJ21" s="54"/>
      <c r="BK21" s="54"/>
      <c r="BL21" s="61"/>
      <c r="BN21" s="54"/>
      <c r="BO21" s="54"/>
      <c r="BP21" s="54"/>
      <c r="BQ21" s="61"/>
      <c r="BS21" s="54"/>
      <c r="BT21" s="54"/>
      <c r="BU21" s="54"/>
      <c r="BV21" s="61"/>
      <c r="BX21">
        <f t="shared" si="12"/>
        <v>0</v>
      </c>
      <c r="BY21">
        <f t="shared" si="13"/>
        <v>56</v>
      </c>
      <c r="BZ21">
        <f t="shared" si="14"/>
        <v>0</v>
      </c>
      <c r="CA21">
        <f t="shared" si="15"/>
        <v>56</v>
      </c>
      <c r="CB21">
        <f t="shared" si="16"/>
        <v>0</v>
      </c>
      <c r="CC21">
        <f t="shared" si="17"/>
        <v>1.4399999999994861E-2</v>
      </c>
      <c r="CD21">
        <f t="shared" si="18"/>
        <v>1.6799999999996373E-2</v>
      </c>
      <c r="CE21">
        <f t="shared" si="19"/>
        <v>2.2000000000019782E-3</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13.571283977057693</v>
      </c>
      <c r="K22" s="23">
        <f t="shared" si="2"/>
        <v>11.739009256135306</v>
      </c>
      <c r="L22" s="23">
        <f t="shared" si="3"/>
        <v>1.830367751683267</v>
      </c>
      <c r="M22" s="24"/>
      <c r="N22" s="23">
        <f t="shared" si="4"/>
        <v>13.571283977057693</v>
      </c>
      <c r="O22" s="25">
        <v>272684</v>
      </c>
      <c r="P22" s="26">
        <v>3700672</v>
      </c>
      <c r="Q22" s="26">
        <v>3201040</v>
      </c>
      <c r="R22" s="26">
        <v>499112</v>
      </c>
      <c r="S22" s="40"/>
      <c r="T22" s="41">
        <v>41.400300000000001</v>
      </c>
      <c r="U22" s="41">
        <v>46.384399999999999</v>
      </c>
      <c r="V22" s="41">
        <v>46.099899999999998</v>
      </c>
      <c r="W22" s="42"/>
      <c r="X22" s="41">
        <v>34.151400000000002</v>
      </c>
      <c r="Y22" s="41">
        <v>34.151400000000002</v>
      </c>
      <c r="Z22" s="41">
        <v>34.151400000000002</v>
      </c>
      <c r="AA22" s="42"/>
      <c r="AB22" s="50">
        <v>0.56200000000000006</v>
      </c>
      <c r="AC22" s="50">
        <v>0.53100000000000003</v>
      </c>
      <c r="AE22" s="22" t="str">
        <f t="shared" si="5"/>
        <v>·</v>
      </c>
      <c r="AF22" s="23">
        <f t="shared" si="6"/>
        <v>13.57069721729181</v>
      </c>
      <c r="AG22" s="23">
        <f t="shared" si="7"/>
        <v>11.739009256135306</v>
      </c>
      <c r="AH22" s="23">
        <f t="shared" si="8"/>
        <v>1.8297809919173842</v>
      </c>
      <c r="AI22" s="24"/>
      <c r="AJ22" s="23">
        <f t="shared" si="9"/>
        <v>13.57069721729181</v>
      </c>
      <c r="AK22" s="25">
        <v>272684</v>
      </c>
      <c r="AL22" s="26">
        <v>3700512</v>
      </c>
      <c r="AM22" s="26">
        <v>3201040</v>
      </c>
      <c r="AN22" s="26">
        <v>498952</v>
      </c>
      <c r="AO22" s="40"/>
      <c r="AP22" s="41">
        <v>41.402700000000003</v>
      </c>
      <c r="AQ22" s="41">
        <v>46.404400000000003</v>
      </c>
      <c r="AR22" s="41">
        <v>46.095500000000001</v>
      </c>
      <c r="AS22" s="42"/>
      <c r="AT22" s="41">
        <v>34.151400000000002</v>
      </c>
      <c r="AU22" s="41">
        <v>34.151400000000002</v>
      </c>
      <c r="AV22" s="41">
        <v>34.151400000000002</v>
      </c>
      <c r="AW22" s="42"/>
      <c r="AX22" s="50">
        <v>0.57799999999999996</v>
      </c>
      <c r="AY22" s="50">
        <v>0.51500000000000001</v>
      </c>
      <c r="BA22" s="55">
        <f t="shared" si="10"/>
        <v>3.7399747722210996E-5</v>
      </c>
      <c r="BB22" s="55"/>
      <c r="BD22" s="56"/>
      <c r="BE22" s="56"/>
      <c r="BF22" s="56"/>
      <c r="BG22" s="62"/>
      <c r="BI22" s="56"/>
      <c r="BJ22" s="56"/>
      <c r="BK22" s="56"/>
      <c r="BL22" s="62"/>
      <c r="BN22" s="56"/>
      <c r="BO22" s="56"/>
      <c r="BP22" s="56"/>
      <c r="BQ22" s="62"/>
      <c r="BS22" s="56"/>
      <c r="BT22" s="56"/>
      <c r="BU22" s="56"/>
      <c r="BV22" s="62"/>
      <c r="BX22">
        <f t="shared" si="12"/>
        <v>0</v>
      </c>
      <c r="BY22">
        <f t="shared" si="13"/>
        <v>-160</v>
      </c>
      <c r="BZ22">
        <f t="shared" si="14"/>
        <v>0</v>
      </c>
      <c r="CA22">
        <f t="shared" si="15"/>
        <v>-160</v>
      </c>
      <c r="CB22">
        <f t="shared" si="16"/>
        <v>0</v>
      </c>
      <c r="CC22">
        <f t="shared" si="17"/>
        <v>2.400000000001512E-3</v>
      </c>
      <c r="CD22">
        <f t="shared" si="18"/>
        <v>2.0000000000003126E-2</v>
      </c>
      <c r="CE22">
        <f t="shared" si="19"/>
        <v>-4.3999999999968509E-3</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12.629329186897655</v>
      </c>
      <c r="K23" s="18">
        <f t="shared" si="2"/>
        <v>11.739009256135306</v>
      </c>
      <c r="L23" s="18">
        <f t="shared" si="3"/>
        <v>0.88841296152322835</v>
      </c>
      <c r="M23" s="19"/>
      <c r="N23" s="18">
        <f t="shared" si="4"/>
        <v>12.629329186897655</v>
      </c>
      <c r="O23" s="20">
        <v>272684</v>
      </c>
      <c r="P23" s="21">
        <v>3443816</v>
      </c>
      <c r="Q23" s="21">
        <v>3201040</v>
      </c>
      <c r="R23" s="21">
        <v>242256</v>
      </c>
      <c r="S23" s="37"/>
      <c r="T23" s="38">
        <v>35.885399999999997</v>
      </c>
      <c r="U23" s="38">
        <v>42.330300000000001</v>
      </c>
      <c r="V23" s="38">
        <v>41.557899999999997</v>
      </c>
      <c r="W23" s="39"/>
      <c r="X23" s="38">
        <v>28.130800000000001</v>
      </c>
      <c r="Y23" s="38">
        <v>28.130800000000001</v>
      </c>
      <c r="Z23" s="38">
        <v>28.130800000000001</v>
      </c>
      <c r="AA23" s="39"/>
      <c r="AB23" s="49">
        <v>0.56200000000000006</v>
      </c>
      <c r="AC23" s="49">
        <v>0.51500000000000001</v>
      </c>
      <c r="AE23" s="17" t="str">
        <f t="shared" si="5"/>
        <v>·</v>
      </c>
      <c r="AF23" s="18">
        <f t="shared" si="6"/>
        <v>12.628038315412713</v>
      </c>
      <c r="AG23" s="18">
        <f t="shared" si="7"/>
        <v>11.739009256135306</v>
      </c>
      <c r="AH23" s="18">
        <f t="shared" si="8"/>
        <v>0.88712209003828613</v>
      </c>
      <c r="AI23" s="19"/>
      <c r="AJ23" s="18">
        <f t="shared" si="9"/>
        <v>12.628038315412713</v>
      </c>
      <c r="AK23" s="20">
        <v>272684</v>
      </c>
      <c r="AL23" s="21">
        <v>3443464</v>
      </c>
      <c r="AM23" s="21">
        <v>3201040</v>
      </c>
      <c r="AN23" s="21">
        <v>241904</v>
      </c>
      <c r="AO23" s="37"/>
      <c r="AP23" s="38">
        <v>35.942900000000002</v>
      </c>
      <c r="AQ23" s="38">
        <v>42.358600000000003</v>
      </c>
      <c r="AR23" s="38">
        <v>41.645800000000001</v>
      </c>
      <c r="AS23" s="39"/>
      <c r="AT23" s="38">
        <v>28.130800000000001</v>
      </c>
      <c r="AU23" s="38">
        <v>28.130800000000001</v>
      </c>
      <c r="AV23" s="38">
        <v>28.130800000000001</v>
      </c>
      <c r="AW23" s="39"/>
      <c r="AX23" s="49">
        <v>0.59299999999999997</v>
      </c>
      <c r="AY23" s="49">
        <v>0.56200000000000006</v>
      </c>
      <c r="BA23" s="53">
        <f t="shared" si="10"/>
        <v>9.5016335765474302E-5</v>
      </c>
      <c r="BB23" s="53"/>
      <c r="BD23" s="54"/>
      <c r="BE23" s="54"/>
      <c r="BF23" s="54"/>
      <c r="BG23" s="61"/>
      <c r="BI23" s="54"/>
      <c r="BJ23" s="54"/>
      <c r="BK23" s="54"/>
      <c r="BL23" s="61"/>
      <c r="BN23" s="54"/>
      <c r="BO23" s="54"/>
      <c r="BP23" s="54"/>
      <c r="BQ23" s="61"/>
      <c r="BS23" s="54"/>
      <c r="BT23" s="54"/>
      <c r="BU23" s="54"/>
      <c r="BV23" s="61"/>
      <c r="BX23">
        <f t="shared" si="12"/>
        <v>0</v>
      </c>
      <c r="BY23">
        <f t="shared" si="13"/>
        <v>-352</v>
      </c>
      <c r="BZ23">
        <f t="shared" si="14"/>
        <v>0</v>
      </c>
      <c r="CA23">
        <f t="shared" si="15"/>
        <v>-352</v>
      </c>
      <c r="CB23">
        <f t="shared" si="16"/>
        <v>0</v>
      </c>
      <c r="CC23">
        <f t="shared" si="17"/>
        <v>5.7500000000004547E-2</v>
      </c>
      <c r="CD23">
        <f t="shared" si="18"/>
        <v>2.8300000000001546E-2</v>
      </c>
      <c r="CE23">
        <f t="shared" si="19"/>
        <v>8.7900000000004752E-2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12.073638350618298</v>
      </c>
      <c r="K24" s="33">
        <f t="shared" si="2"/>
        <v>11.739009256135306</v>
      </c>
      <c r="L24" s="33">
        <f t="shared" si="3"/>
        <v>0.33272212524387201</v>
      </c>
      <c r="M24" s="34"/>
      <c r="N24" s="33">
        <f t="shared" si="4"/>
        <v>12.073638350618298</v>
      </c>
      <c r="O24" s="35">
        <v>272684</v>
      </c>
      <c r="P24" s="36">
        <v>3292288</v>
      </c>
      <c r="Q24" s="36">
        <v>3201040</v>
      </c>
      <c r="R24" s="36">
        <v>90728</v>
      </c>
      <c r="S24" s="46"/>
      <c r="T24" s="47">
        <v>29.951699999999999</v>
      </c>
      <c r="U24" s="47">
        <v>37.154400000000003</v>
      </c>
      <c r="V24" s="47">
        <v>37.331299999999999</v>
      </c>
      <c r="W24" s="48"/>
      <c r="X24" s="47">
        <v>21.686399999999999</v>
      </c>
      <c r="Y24" s="47">
        <v>21.686399999999999</v>
      </c>
      <c r="Z24" s="47">
        <v>21.686399999999999</v>
      </c>
      <c r="AA24" s="48"/>
      <c r="AB24" s="52">
        <v>0.57799999999999996</v>
      </c>
      <c r="AC24" s="52">
        <v>0.53100000000000003</v>
      </c>
      <c r="AE24" s="32" t="str">
        <f t="shared" si="5"/>
        <v>·</v>
      </c>
      <c r="AF24" s="33">
        <f t="shared" si="6"/>
        <v>12.070440509894237</v>
      </c>
      <c r="AG24" s="33">
        <f t="shared" si="7"/>
        <v>11.739009256135306</v>
      </c>
      <c r="AH24" s="33">
        <f t="shared" si="8"/>
        <v>0.32952428451981047</v>
      </c>
      <c r="AI24" s="34"/>
      <c r="AJ24" s="33">
        <f t="shared" si="9"/>
        <v>12.070440509894237</v>
      </c>
      <c r="AK24" s="35">
        <v>272684</v>
      </c>
      <c r="AL24" s="36">
        <v>3291416</v>
      </c>
      <c r="AM24" s="36">
        <v>3201040</v>
      </c>
      <c r="AN24" s="36">
        <v>89856</v>
      </c>
      <c r="AO24" s="46"/>
      <c r="AP24" s="47">
        <v>30.231400000000001</v>
      </c>
      <c r="AQ24" s="47">
        <v>37.715600000000002</v>
      </c>
      <c r="AR24" s="47">
        <v>37.131100000000004</v>
      </c>
      <c r="AS24" s="48"/>
      <c r="AT24" s="47">
        <v>21.686399999999999</v>
      </c>
      <c r="AU24" s="47">
        <v>21.686399999999999</v>
      </c>
      <c r="AV24" s="47">
        <v>21.686399999999999</v>
      </c>
      <c r="AW24" s="48"/>
      <c r="AX24" s="52">
        <v>0.56200000000000006</v>
      </c>
      <c r="AY24" s="52">
        <v>0.53100000000000003</v>
      </c>
      <c r="BA24" s="59">
        <f t="shared" si="10"/>
        <v>2.5758880895609959E-4</v>
      </c>
      <c r="BB24" s="59"/>
      <c r="BD24" s="60"/>
      <c r="BE24" s="60"/>
      <c r="BF24" s="60"/>
      <c r="BG24" s="64"/>
      <c r="BI24" s="60"/>
      <c r="BJ24" s="60"/>
      <c r="BK24" s="60"/>
      <c r="BL24" s="64"/>
      <c r="BN24" s="60"/>
      <c r="BO24" s="60"/>
      <c r="BP24" s="60"/>
      <c r="BQ24" s="64"/>
      <c r="BS24" s="60"/>
      <c r="BT24" s="60"/>
      <c r="BU24" s="60"/>
      <c r="BV24" s="64"/>
      <c r="BX24">
        <f t="shared" si="12"/>
        <v>0</v>
      </c>
      <c r="BY24">
        <f t="shared" si="13"/>
        <v>-872</v>
      </c>
      <c r="BZ24">
        <f t="shared" si="14"/>
        <v>0</v>
      </c>
      <c r="CA24">
        <f t="shared" si="15"/>
        <v>-872</v>
      </c>
      <c r="CB24">
        <f t="shared" si="16"/>
        <v>0</v>
      </c>
      <c r="CC24">
        <f t="shared" si="17"/>
        <v>0.27970000000000184</v>
      </c>
      <c r="CD24">
        <f t="shared" si="18"/>
        <v>0.56119999999999948</v>
      </c>
      <c r="CE24">
        <f t="shared" si="19"/>
        <v>-0.20019999999999527</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15.070731195393728</v>
      </c>
      <c r="K25" s="18">
        <f t="shared" si="2"/>
        <v>6.9863096263670164</v>
      </c>
      <c r="L25" s="18">
        <f t="shared" si="3"/>
        <v>8.0840456491978809</v>
      </c>
      <c r="M25" s="19"/>
      <c r="N25" s="18">
        <f t="shared" si="4"/>
        <v>15.070731195393728</v>
      </c>
      <c r="O25" s="20">
        <v>1596085</v>
      </c>
      <c r="P25" s="21">
        <v>24054168</v>
      </c>
      <c r="Q25" s="21">
        <v>11150744</v>
      </c>
      <c r="R25" s="21">
        <v>12902824</v>
      </c>
      <c r="S25" s="37"/>
      <c r="T25" s="38">
        <v>53.427399999999999</v>
      </c>
      <c r="U25" s="38">
        <v>55.360399999999998</v>
      </c>
      <c r="V25" s="38">
        <v>54.751100000000001</v>
      </c>
      <c r="W25" s="39"/>
      <c r="X25" s="38">
        <v>48.130800000000001</v>
      </c>
      <c r="Y25" s="38">
        <v>48.130800000000001</v>
      </c>
      <c r="Z25" s="38">
        <v>48.130800000000001</v>
      </c>
      <c r="AA25" s="39"/>
      <c r="AB25" s="49">
        <v>3.5310000000000001</v>
      </c>
      <c r="AC25" s="49">
        <v>3.093</v>
      </c>
      <c r="AE25" s="17" t="str">
        <f t="shared" si="5"/>
        <v>·</v>
      </c>
      <c r="AF25" s="18">
        <f t="shared" si="6"/>
        <v>15.102749540281376</v>
      </c>
      <c r="AG25" s="18">
        <f t="shared" si="7"/>
        <v>6.9863096263670164</v>
      </c>
      <c r="AH25" s="18">
        <f t="shared" si="8"/>
        <v>8.1160639940855273</v>
      </c>
      <c r="AI25" s="19"/>
      <c r="AJ25" s="18">
        <f t="shared" si="9"/>
        <v>15.102749540281376</v>
      </c>
      <c r="AK25" s="20">
        <v>1596085</v>
      </c>
      <c r="AL25" s="21">
        <v>24105272</v>
      </c>
      <c r="AM25" s="21">
        <v>11150744</v>
      </c>
      <c r="AN25" s="21">
        <v>12953928</v>
      </c>
      <c r="AO25" s="37"/>
      <c r="AP25" s="38">
        <v>53.5</v>
      </c>
      <c r="AQ25" s="38">
        <v>55.456699999999998</v>
      </c>
      <c r="AR25" s="38">
        <v>54.84</v>
      </c>
      <c r="AS25" s="39"/>
      <c r="AT25" s="38">
        <v>48.130800000000001</v>
      </c>
      <c r="AU25" s="38">
        <v>48.130800000000001</v>
      </c>
      <c r="AV25" s="38">
        <v>48.130800000000001</v>
      </c>
      <c r="AW25" s="39"/>
      <c r="AX25" s="49">
        <v>3.593</v>
      </c>
      <c r="AY25" s="49">
        <v>3.0619999999999998</v>
      </c>
      <c r="BA25" s="53">
        <f t="shared" si="10"/>
        <v>-9.8278012169100704E-4</v>
      </c>
      <c r="BB25" s="53">
        <f t="array" ref="BB25">AVERAGE(AM25:AM29/AL25:AL29)-AVERAGE(Q25:Q29/P25:P29)</f>
        <v>-6.1818865123430822E-4</v>
      </c>
      <c r="BD25" s="54">
        <f>IF(OR(ISBLANK(R25:R29),ISBLANK(AN25:AN29),ISBLANK(T25:T29),ISBLANK(AP25:AP29)),"·",bdRateExtend(R25:R29,T25:T29,AN25:AN29,AP25:AP29))</f>
        <v>-3.2866628635216388E-3</v>
      </c>
      <c r="BE25" s="54">
        <f>IF(OR(ISBLANK(R25:R29),ISBLANK(AN25:AN29),ISBLANK(U25:U29),ISBLANK(AQ25:AQ29)),"·",bdRateExtend(R25:R29,U25:U29,AN25:AN29,AQ25:AQ29))</f>
        <v>-1.1891778960710919E-2</v>
      </c>
      <c r="BF25" s="54">
        <f>IF(OR(ISBLANK(R25:R29),ISBLANK(AN25:AN29),ISBLANK(V25:V29),ISBLANK(AR25:AR29)),"·",bdRateExtend(R25:R29,V25:V29,AN25:AN29,AR25:AR29))</f>
        <v>-1.1739339835046936E-2</v>
      </c>
      <c r="BG25" s="61"/>
      <c r="BI25" s="54">
        <f>IF(OR(ISBLANK(R25:R29),ISBLANK(AN25:AN29),ISBLANK(X25:X29),ISBLANK(AT25:AT29)),"·",bdRateExtend(R25:R29,X25:X29,AN25:AN29,AT25:AT29))</f>
        <v>2.4769651478016019E-3</v>
      </c>
      <c r="BJ25" s="54">
        <f>IF(OR(ISBLANK(R25:R29),ISBLANK(AN25:AN29),ISBLANK(Y25:Y29),ISBLANK(AU25:AU29)),"·",bdRateExtend(R25:R29,Y25:Y29,AN25:AN29,AU25:AU29))</f>
        <v>2.4769651478016019E-3</v>
      </c>
      <c r="BK25" s="54">
        <f>IF(OR(ISBLANK(R25:R29),ISBLANK(AN25:AN29),ISBLANK(Z25:Z29),ISBLANK(AV25:AV29)),"·",bdRateExtend(R25:R29,Z25:Z29,AN25:AN29,AV25:AV29))</f>
        <v>2.4769651478016019E-3</v>
      </c>
      <c r="BL25" s="61"/>
      <c r="BN25" s="54">
        <f>IF(OR(ISBLANK(P25:P29),ISBLANK(AL25:AL29),ISBLANK(T25:T29),ISBLANK(AP25:AP29)),"·",bdRateExtend(P25:P29,T25:T29,AL25:AL29,AP25:AP29))</f>
        <v>-8.6484416321797042E-4</v>
      </c>
      <c r="BO25" s="54">
        <f>IF(OR(ISBLANK(P25:P29),ISBLANK(AL25:AL29),ISBLANK(U25:U29),ISBLANK(AQ25:AQ29)),"·",bdRateExtend(P25:P29,U25:U29,AL25:AL29,AQ25:AQ29))</f>
        <v>-3.3934601345921855E-3</v>
      </c>
      <c r="BP25" s="54">
        <f>IF(OR(ISBLANK(P25:P29),ISBLANK(AL25:AL29),ISBLANK(V25:V29),ISBLANK(AR25:AR29)),"·",bdRateExtend(P25:P29,V25:V29,AL25:AL29,AR25:AR29))</f>
        <v>-2.8602313516546962E-3</v>
      </c>
      <c r="BQ25" s="61"/>
      <c r="BS25" s="54">
        <f>IF(OR(ISBLANK(P25:P29),ISBLANK(AL25:AL29),ISBLANK(X25:X29),ISBLANK(AT25:AT29)),"·",bdRateExtend(P25:P29,X25:X29,AL25:AL29,AT25:AT29))</f>
        <v>7.5980652385498892E-4</v>
      </c>
      <c r="BT25" s="54">
        <f>IF(OR(ISBLANK(P25:P29),ISBLANK(AL25:AL29),ISBLANK(Y25:Y29),ISBLANK(AU25:AU29)),"·",bdRateExtend(P25:P29,Y25:Y29,AL25:AL29,AU25:AU29))</f>
        <v>7.5980652385498892E-4</v>
      </c>
      <c r="BU25" s="54">
        <f>IF(OR(ISBLANK(P25:P29),ISBLANK(AL25:AL29),ISBLANK(Z25:Z29),ISBLANK(AV25:AV29)),"·",bdRateExtend(P25:P29,Z25:Z29,AL25:AL29,AV25:AV29))</f>
        <v>7.5980652385498892E-4</v>
      </c>
      <c r="BV25" s="61"/>
      <c r="BX25">
        <f t="shared" si="12"/>
        <v>0</v>
      </c>
      <c r="BY25">
        <f t="shared" si="13"/>
        <v>51104</v>
      </c>
      <c r="BZ25">
        <f t="shared" si="14"/>
        <v>0</v>
      </c>
      <c r="CA25">
        <f t="shared" si="15"/>
        <v>51104</v>
      </c>
      <c r="CB25">
        <f t="shared" si="16"/>
        <v>0</v>
      </c>
      <c r="CC25">
        <f t="shared" si="17"/>
        <v>7.260000000000133E-2</v>
      </c>
      <c r="CD25">
        <f t="shared" si="18"/>
        <v>9.6299999999999386E-2</v>
      </c>
      <c r="CE25">
        <f t="shared" si="19"/>
        <v>8.8900000000002422E-2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12.879278985768302</v>
      </c>
      <c r="K26" s="23">
        <f t="shared" si="2"/>
        <v>6.9863096263670164</v>
      </c>
      <c r="L26" s="23">
        <f t="shared" si="3"/>
        <v>5.8925934395724537</v>
      </c>
      <c r="M26" s="24"/>
      <c r="N26" s="23">
        <f t="shared" si="4"/>
        <v>12.879278985768302</v>
      </c>
      <c r="O26" s="25">
        <v>1596085</v>
      </c>
      <c r="P26" s="26">
        <v>20556424</v>
      </c>
      <c r="Q26" s="26">
        <v>11150744</v>
      </c>
      <c r="R26" s="26">
        <v>9405080</v>
      </c>
      <c r="S26" s="40"/>
      <c r="T26" s="41">
        <v>48.349499999999999</v>
      </c>
      <c r="U26" s="41">
        <v>51.098300000000002</v>
      </c>
      <c r="V26" s="41">
        <v>50.4373</v>
      </c>
      <c r="W26" s="42"/>
      <c r="X26" s="41">
        <v>42.110199999999999</v>
      </c>
      <c r="Y26" s="41">
        <v>42.110199999999999</v>
      </c>
      <c r="Z26" s="41">
        <v>42.110199999999999</v>
      </c>
      <c r="AA26" s="42"/>
      <c r="AB26" s="50">
        <v>3.484</v>
      </c>
      <c r="AC26" s="50">
        <v>3.0310000000000001</v>
      </c>
      <c r="AE26" s="22" t="str">
        <f t="shared" si="5"/>
        <v>·</v>
      </c>
      <c r="AF26" s="23">
        <f t="shared" si="6"/>
        <v>12.89181967125811</v>
      </c>
      <c r="AG26" s="23">
        <f t="shared" si="7"/>
        <v>6.9863096263670164</v>
      </c>
      <c r="AH26" s="23">
        <f t="shared" si="8"/>
        <v>5.9051341250622613</v>
      </c>
      <c r="AI26" s="24"/>
      <c r="AJ26" s="23">
        <f t="shared" si="9"/>
        <v>12.89181967125811</v>
      </c>
      <c r="AK26" s="25">
        <v>1596085</v>
      </c>
      <c r="AL26" s="26">
        <v>20576440</v>
      </c>
      <c r="AM26" s="26">
        <v>11150744</v>
      </c>
      <c r="AN26" s="26">
        <v>9425096</v>
      </c>
      <c r="AO26" s="40"/>
      <c r="AP26" s="41">
        <v>48.400399999999998</v>
      </c>
      <c r="AQ26" s="41">
        <v>51.176400000000001</v>
      </c>
      <c r="AR26" s="41">
        <v>50.505499999999998</v>
      </c>
      <c r="AS26" s="42"/>
      <c r="AT26" s="41">
        <v>42.110199999999999</v>
      </c>
      <c r="AU26" s="41">
        <v>42.110199999999999</v>
      </c>
      <c r="AV26" s="41">
        <v>42.110199999999999</v>
      </c>
      <c r="AW26" s="42"/>
      <c r="AX26" s="50">
        <v>3.5459999999999998</v>
      </c>
      <c r="AY26" s="50">
        <v>3</v>
      </c>
      <c r="BA26" s="55">
        <f t="shared" si="10"/>
        <v>-5.2767112872431632E-4</v>
      </c>
      <c r="BB26" s="55"/>
      <c r="BD26" s="56"/>
      <c r="BE26" s="56"/>
      <c r="BF26" s="56"/>
      <c r="BG26" s="62"/>
      <c r="BI26" s="56"/>
      <c r="BJ26" s="56"/>
      <c r="BK26" s="56"/>
      <c r="BL26" s="62"/>
      <c r="BN26" s="56"/>
      <c r="BO26" s="56"/>
      <c r="BP26" s="56"/>
      <c r="BQ26" s="62"/>
      <c r="BS26" s="56"/>
      <c r="BT26" s="56"/>
      <c r="BU26" s="56"/>
      <c r="BV26" s="62"/>
      <c r="BX26">
        <f t="shared" si="12"/>
        <v>0</v>
      </c>
      <c r="BY26">
        <f t="shared" si="13"/>
        <v>20016</v>
      </c>
      <c r="BZ26">
        <f t="shared" si="14"/>
        <v>0</v>
      </c>
      <c r="CA26">
        <f t="shared" si="15"/>
        <v>20016</v>
      </c>
      <c r="CB26">
        <f t="shared" si="16"/>
        <v>0</v>
      </c>
      <c r="CC26">
        <f t="shared" si="17"/>
        <v>5.0899999999998613E-2</v>
      </c>
      <c r="CD26">
        <f t="shared" si="18"/>
        <v>7.809999999999917E-2</v>
      </c>
      <c r="CE26">
        <f t="shared" si="19"/>
        <v>6.8199999999997374E-2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10.493150427452171</v>
      </c>
      <c r="K27" s="18">
        <f t="shared" si="2"/>
        <v>6.9863096263670164</v>
      </c>
      <c r="L27" s="18">
        <f t="shared" si="3"/>
        <v>3.5064648812563242</v>
      </c>
      <c r="M27" s="19"/>
      <c r="N27" s="18">
        <f t="shared" si="4"/>
        <v>10.493150427452171</v>
      </c>
      <c r="O27" s="20">
        <v>1596085</v>
      </c>
      <c r="P27" s="21">
        <v>16747960</v>
      </c>
      <c r="Q27" s="21">
        <v>11150744</v>
      </c>
      <c r="R27" s="21">
        <v>5596616</v>
      </c>
      <c r="S27" s="37"/>
      <c r="T27" s="38">
        <v>41.169800000000002</v>
      </c>
      <c r="U27" s="38">
        <v>45.584800000000001</v>
      </c>
      <c r="V27" s="38">
        <v>44.780299999999997</v>
      </c>
      <c r="W27" s="39"/>
      <c r="X27" s="38">
        <v>34.151400000000002</v>
      </c>
      <c r="Y27" s="38">
        <v>34.151400000000002</v>
      </c>
      <c r="Z27" s="38">
        <v>34.151400000000002</v>
      </c>
      <c r="AA27" s="39"/>
      <c r="AB27" s="49">
        <v>3.4529999999999998</v>
      </c>
      <c r="AC27" s="49">
        <v>2.9209999999999998</v>
      </c>
      <c r="AE27" s="17" t="str">
        <f t="shared" si="5"/>
        <v>·</v>
      </c>
      <c r="AF27" s="18">
        <f t="shared" si="6"/>
        <v>10.499972119279361</v>
      </c>
      <c r="AG27" s="18">
        <f t="shared" si="7"/>
        <v>6.9863096263670164</v>
      </c>
      <c r="AH27" s="18">
        <f t="shared" si="8"/>
        <v>3.5132865730835139</v>
      </c>
      <c r="AI27" s="19"/>
      <c r="AJ27" s="18">
        <f t="shared" si="9"/>
        <v>10.499972119279361</v>
      </c>
      <c r="AK27" s="20">
        <v>1596085</v>
      </c>
      <c r="AL27" s="21">
        <v>16758848</v>
      </c>
      <c r="AM27" s="21">
        <v>11150744</v>
      </c>
      <c r="AN27" s="21">
        <v>5607504</v>
      </c>
      <c r="AO27" s="37"/>
      <c r="AP27" s="38">
        <v>41.224200000000003</v>
      </c>
      <c r="AQ27" s="38">
        <v>45.719000000000001</v>
      </c>
      <c r="AR27" s="38">
        <v>44.878399999999999</v>
      </c>
      <c r="AS27" s="39"/>
      <c r="AT27" s="38">
        <v>34.151400000000002</v>
      </c>
      <c r="AU27" s="38">
        <v>34.151400000000002</v>
      </c>
      <c r="AV27" s="38">
        <v>34.151400000000002</v>
      </c>
      <c r="AW27" s="39"/>
      <c r="AX27" s="49">
        <v>3.468</v>
      </c>
      <c r="AY27" s="49">
        <v>3.0310000000000001</v>
      </c>
      <c r="BA27" s="53">
        <f t="shared" si="10"/>
        <v>-4.3255952590492974E-4</v>
      </c>
      <c r="BB27" s="53"/>
      <c r="BD27" s="54"/>
      <c r="BE27" s="54"/>
      <c r="BF27" s="54"/>
      <c r="BG27" s="61"/>
      <c r="BI27" s="54"/>
      <c r="BJ27" s="54"/>
      <c r="BK27" s="54"/>
      <c r="BL27" s="61"/>
      <c r="BN27" s="54"/>
      <c r="BO27" s="54"/>
      <c r="BP27" s="54"/>
      <c r="BQ27" s="61"/>
      <c r="BS27" s="54"/>
      <c r="BT27" s="54"/>
      <c r="BU27" s="54"/>
      <c r="BV27" s="61"/>
      <c r="BX27">
        <f t="shared" si="12"/>
        <v>0</v>
      </c>
      <c r="BY27">
        <f t="shared" si="13"/>
        <v>10888</v>
      </c>
      <c r="BZ27">
        <f t="shared" si="14"/>
        <v>0</v>
      </c>
      <c r="CA27">
        <f t="shared" si="15"/>
        <v>10888</v>
      </c>
      <c r="CB27">
        <f t="shared" si="16"/>
        <v>0</v>
      </c>
      <c r="CC27">
        <f t="shared" si="17"/>
        <v>5.4400000000001114E-2</v>
      </c>
      <c r="CD27">
        <f t="shared" si="18"/>
        <v>0.13419999999999987</v>
      </c>
      <c r="CE27">
        <f t="shared" si="19"/>
        <v>9.8100000000002296E-2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9.0374384822863441</v>
      </c>
      <c r="K28" s="23">
        <f t="shared" si="2"/>
        <v>6.9863096263670164</v>
      </c>
      <c r="L28" s="23">
        <f t="shared" si="3"/>
        <v>2.0507529360904964</v>
      </c>
      <c r="M28" s="24"/>
      <c r="N28" s="23">
        <f t="shared" si="4"/>
        <v>9.0374384822863441</v>
      </c>
      <c r="O28" s="25">
        <v>1596085</v>
      </c>
      <c r="P28" s="26">
        <v>14424520</v>
      </c>
      <c r="Q28" s="26">
        <v>11150744</v>
      </c>
      <c r="R28" s="26">
        <v>3273176</v>
      </c>
      <c r="S28" s="40"/>
      <c r="T28" s="41">
        <v>35.5122</v>
      </c>
      <c r="U28" s="41">
        <v>41.036200000000001</v>
      </c>
      <c r="V28" s="41">
        <v>40.319099999999999</v>
      </c>
      <c r="W28" s="42"/>
      <c r="X28" s="41">
        <v>28.130800000000001</v>
      </c>
      <c r="Y28" s="41">
        <v>28.130800000000001</v>
      </c>
      <c r="Z28" s="41">
        <v>28.130800000000001</v>
      </c>
      <c r="AA28" s="42"/>
      <c r="AB28" s="50">
        <v>3.4369999999999998</v>
      </c>
      <c r="AC28" s="50">
        <v>2.984</v>
      </c>
      <c r="AE28" s="22" t="str">
        <f t="shared" si="5"/>
        <v>·</v>
      </c>
      <c r="AF28" s="23">
        <f t="shared" si="6"/>
        <v>9.0378645247590192</v>
      </c>
      <c r="AG28" s="23">
        <f t="shared" si="7"/>
        <v>6.9863096263670164</v>
      </c>
      <c r="AH28" s="23">
        <f t="shared" si="8"/>
        <v>2.0511789785631716</v>
      </c>
      <c r="AI28" s="24"/>
      <c r="AJ28" s="23">
        <f t="shared" si="9"/>
        <v>9.0378645247590192</v>
      </c>
      <c r="AK28" s="25">
        <v>1596085</v>
      </c>
      <c r="AL28" s="26">
        <v>14425200</v>
      </c>
      <c r="AM28" s="26">
        <v>11150744</v>
      </c>
      <c r="AN28" s="26">
        <v>3273856</v>
      </c>
      <c r="AO28" s="40"/>
      <c r="AP28" s="41">
        <v>35.573799999999999</v>
      </c>
      <c r="AQ28" s="41">
        <v>41.229900000000001</v>
      </c>
      <c r="AR28" s="41">
        <v>40.452300000000001</v>
      </c>
      <c r="AS28" s="42"/>
      <c r="AT28" s="41">
        <v>28.130800000000001</v>
      </c>
      <c r="AU28" s="41">
        <v>28.130800000000001</v>
      </c>
      <c r="AV28" s="41">
        <v>28.130800000000001</v>
      </c>
      <c r="AW28" s="42"/>
      <c r="AX28" s="50">
        <v>3.4209999999999998</v>
      </c>
      <c r="AY28" s="50">
        <v>2.968</v>
      </c>
      <c r="BA28" s="55">
        <f t="shared" si="10"/>
        <v>-3.6440937778103866E-5</v>
      </c>
      <c r="BB28" s="55"/>
      <c r="BD28" s="56"/>
      <c r="BE28" s="56"/>
      <c r="BF28" s="56"/>
      <c r="BG28" s="62"/>
      <c r="BI28" s="56"/>
      <c r="BJ28" s="56"/>
      <c r="BK28" s="56"/>
      <c r="BL28" s="62"/>
      <c r="BN28" s="56"/>
      <c r="BO28" s="56"/>
      <c r="BP28" s="56"/>
      <c r="BQ28" s="62"/>
      <c r="BS28" s="56"/>
      <c r="BT28" s="56"/>
      <c r="BU28" s="56"/>
      <c r="BV28" s="62"/>
      <c r="BX28">
        <f t="shared" si="12"/>
        <v>0</v>
      </c>
      <c r="BY28">
        <f t="shared" si="13"/>
        <v>680</v>
      </c>
      <c r="BZ28">
        <f t="shared" si="14"/>
        <v>0</v>
      </c>
      <c r="CA28">
        <f t="shared" si="15"/>
        <v>680</v>
      </c>
      <c r="CB28">
        <f t="shared" si="16"/>
        <v>0</v>
      </c>
      <c r="CC28">
        <f t="shared" si="17"/>
        <v>6.1599999999998545E-2</v>
      </c>
      <c r="CD28">
        <f t="shared" si="18"/>
        <v>0.19369999999999976</v>
      </c>
      <c r="CE28">
        <f t="shared" si="19"/>
        <v>0.13320000000000221</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7.9308558128169864</v>
      </c>
      <c r="K29" s="28">
        <f t="shared" si="2"/>
        <v>6.9863096263670164</v>
      </c>
      <c r="L29" s="28">
        <f t="shared" si="3"/>
        <v>0.94417026662113857</v>
      </c>
      <c r="M29" s="29"/>
      <c r="N29" s="28">
        <f t="shared" si="4"/>
        <v>7.9308558128169864</v>
      </c>
      <c r="O29" s="30">
        <v>1596085</v>
      </c>
      <c r="P29" s="31">
        <v>12658320</v>
      </c>
      <c r="Q29" s="31">
        <v>11150744</v>
      </c>
      <c r="R29" s="31">
        <v>1506976</v>
      </c>
      <c r="S29" s="43"/>
      <c r="T29" s="44">
        <v>29.357700000000001</v>
      </c>
      <c r="U29" s="44">
        <v>36.799500000000002</v>
      </c>
      <c r="V29" s="44">
        <v>35.762900000000002</v>
      </c>
      <c r="W29" s="45"/>
      <c r="X29" s="44">
        <v>21.686399999999999</v>
      </c>
      <c r="Y29" s="44">
        <v>21.686399999999999</v>
      </c>
      <c r="Z29" s="44">
        <v>21.686399999999999</v>
      </c>
      <c r="AA29" s="45"/>
      <c r="AB29" s="51">
        <v>3.4060000000000001</v>
      </c>
      <c r="AC29" s="51">
        <v>2.9529999999999998</v>
      </c>
      <c r="AE29" s="27" t="str">
        <f t="shared" si="5"/>
        <v>·</v>
      </c>
      <c r="AF29" s="28">
        <f t="shared" si="6"/>
        <v>7.9408753293214334</v>
      </c>
      <c r="AG29" s="28">
        <f t="shared" si="7"/>
        <v>6.9863096263670164</v>
      </c>
      <c r="AH29" s="28">
        <f t="shared" si="8"/>
        <v>0.95418978312558544</v>
      </c>
      <c r="AI29" s="29"/>
      <c r="AJ29" s="28">
        <f t="shared" si="9"/>
        <v>7.9408753293214334</v>
      </c>
      <c r="AK29" s="30">
        <v>1596085</v>
      </c>
      <c r="AL29" s="31">
        <v>12674312</v>
      </c>
      <c r="AM29" s="31">
        <v>11150744</v>
      </c>
      <c r="AN29" s="31">
        <v>1522968</v>
      </c>
      <c r="AO29" s="43"/>
      <c r="AP29" s="44">
        <v>29.462</v>
      </c>
      <c r="AQ29" s="44">
        <v>36.833500000000001</v>
      </c>
      <c r="AR29" s="44">
        <v>36.014200000000002</v>
      </c>
      <c r="AS29" s="45"/>
      <c r="AT29" s="44">
        <v>21.686399999999999</v>
      </c>
      <c r="AU29" s="44">
        <v>21.686399999999999</v>
      </c>
      <c r="AV29" s="44">
        <v>21.686399999999999</v>
      </c>
      <c r="AW29" s="45"/>
      <c r="AX29" s="51">
        <v>3.4209999999999998</v>
      </c>
      <c r="AY29" s="51">
        <v>2.968</v>
      </c>
      <c r="BA29" s="57">
        <f t="shared" si="10"/>
        <v>-1.1114915420725735E-3</v>
      </c>
      <c r="BB29" s="57"/>
      <c r="BD29" s="58"/>
      <c r="BE29" s="58"/>
      <c r="BF29" s="58"/>
      <c r="BG29" s="63"/>
      <c r="BI29" s="58"/>
      <c r="BJ29" s="58"/>
      <c r="BK29" s="58"/>
      <c r="BL29" s="63"/>
      <c r="BN29" s="58"/>
      <c r="BO29" s="58"/>
      <c r="BP29" s="58"/>
      <c r="BQ29" s="63"/>
      <c r="BS29" s="58"/>
      <c r="BT29" s="58"/>
      <c r="BU29" s="58"/>
      <c r="BV29" s="63"/>
      <c r="BX29">
        <f t="shared" si="12"/>
        <v>0</v>
      </c>
      <c r="BY29">
        <f t="shared" si="13"/>
        <v>15992</v>
      </c>
      <c r="BZ29">
        <f t="shared" si="14"/>
        <v>0</v>
      </c>
      <c r="CA29">
        <f t="shared" si="15"/>
        <v>15992</v>
      </c>
      <c r="CB29">
        <f t="shared" si="16"/>
        <v>0</v>
      </c>
      <c r="CC29">
        <f t="shared" si="17"/>
        <v>0.10429999999999851</v>
      </c>
      <c r="CD29">
        <f t="shared" si="18"/>
        <v>3.399999999999892E-2</v>
      </c>
      <c r="CE29">
        <f t="shared" si="19"/>
        <v>0.25130000000000052</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15.965038595041694</v>
      </c>
      <c r="K30" s="23">
        <f t="shared" si="2"/>
        <v>8.6158762803270807</v>
      </c>
      <c r="L30" s="23">
        <f t="shared" si="3"/>
        <v>7.3490222140397039</v>
      </c>
      <c r="M30" s="24"/>
      <c r="N30" s="23">
        <f t="shared" si="4"/>
        <v>15.965038595041694</v>
      </c>
      <c r="O30" s="25">
        <v>8907880</v>
      </c>
      <c r="P30" s="26">
        <v>142214648</v>
      </c>
      <c r="Q30" s="26">
        <v>76749192</v>
      </c>
      <c r="R30" s="26">
        <v>65464208</v>
      </c>
      <c r="S30" s="40"/>
      <c r="T30" s="41">
        <v>53.1479</v>
      </c>
      <c r="U30" s="41">
        <v>55.472099999999998</v>
      </c>
      <c r="V30" s="41">
        <v>55.257899999999999</v>
      </c>
      <c r="W30" s="42"/>
      <c r="X30" s="41">
        <v>48.130800000000001</v>
      </c>
      <c r="Y30" s="41">
        <v>48.130800000000001</v>
      </c>
      <c r="Z30" s="41">
        <v>48.130800000000001</v>
      </c>
      <c r="AA30" s="42"/>
      <c r="AB30" s="50">
        <v>21.405999999999999</v>
      </c>
      <c r="AC30" s="50">
        <v>18.155999999999999</v>
      </c>
      <c r="AE30" s="22" t="str">
        <f t="shared" si="5"/>
        <v>·</v>
      </c>
      <c r="AF30" s="23">
        <f t="shared" si="6"/>
        <v>15.979605472907133</v>
      </c>
      <c r="AG30" s="23">
        <f t="shared" si="7"/>
        <v>8.6158762803270807</v>
      </c>
      <c r="AH30" s="23">
        <f t="shared" si="8"/>
        <v>7.363589091905145</v>
      </c>
      <c r="AI30" s="24"/>
      <c r="AJ30" s="23">
        <f t="shared" si="9"/>
        <v>15.979605472907133</v>
      </c>
      <c r="AK30" s="25">
        <v>8907880</v>
      </c>
      <c r="AL30" s="26">
        <v>142344408</v>
      </c>
      <c r="AM30" s="26">
        <v>76749192</v>
      </c>
      <c r="AN30" s="26">
        <v>65593968</v>
      </c>
      <c r="AO30" s="40"/>
      <c r="AP30" s="41">
        <v>53.1813</v>
      </c>
      <c r="AQ30" s="41">
        <v>55.5167</v>
      </c>
      <c r="AR30" s="41">
        <v>55.294400000000003</v>
      </c>
      <c r="AS30" s="42"/>
      <c r="AT30" s="41">
        <v>48.130800000000001</v>
      </c>
      <c r="AU30" s="41">
        <v>48.130800000000001</v>
      </c>
      <c r="AV30" s="41">
        <v>48.130800000000001</v>
      </c>
      <c r="AW30" s="42"/>
      <c r="AX30" s="50">
        <v>21.452999999999999</v>
      </c>
      <c r="AY30" s="50">
        <v>18.155999999999999</v>
      </c>
      <c r="BA30" s="55">
        <f t="shared" si="10"/>
        <v>-4.919601300221732E-4</v>
      </c>
      <c r="BB30" s="55">
        <f t="array" ref="BB30">AVERAGE(AM30:AM34/AL30:AL34)-AVERAGE(Q30:Q34/P30:P34)</f>
        <v>-5.3231436339928884E-4</v>
      </c>
      <c r="BD30" s="56">
        <f>IF(OR(ISBLANK(R30:R34),ISBLANK(AN30:AN34),ISBLANK(T30:T34),ISBLANK(AP30:AP34)),"·",bdRateExtend(R30:R34,T30:T34,AN30:AN34,AP30:AP34))</f>
        <v>-4.4140912034507096E-4</v>
      </c>
      <c r="BE30" s="56">
        <f>IF(OR(ISBLANK(R30:R34),ISBLANK(AN30:AN34),ISBLANK(U30:U34),ISBLANK(AQ30:AQ34)),"·",bdRateExtend(R30:R34,U30:U34,AN30:AN34,AQ30:AQ34))</f>
        <v>-6.6377042107893525E-3</v>
      </c>
      <c r="BF30" s="56">
        <f>IF(OR(ISBLANK(R30:R34),ISBLANK(AN30:AN34),ISBLANK(V30:V34),ISBLANK(AR30:AR34)),"·",bdRateExtend(R30:R34,V30:V34,AN30:AN34,AR30:AR34))</f>
        <v>-1.4326657919309094E-3</v>
      </c>
      <c r="BG30" s="62"/>
      <c r="BI30" s="56">
        <f>IF(OR(ISBLANK(R30:R34),ISBLANK(AN30:AN34),ISBLANK(X30:X34),ISBLANK(AT30:AT34)),"·",bdRateExtend(R30:R34,X30:X34,AN30:AN34,AT30:AT34))</f>
        <v>3.02802037278882E-3</v>
      </c>
      <c r="BJ30" s="56">
        <f>IF(OR(ISBLANK(R30:R34),ISBLANK(AN30:AN34),ISBLANK(Y30:Y34),ISBLANK(AU30:AU34)),"·",bdRateExtend(R30:R34,Y30:Y34,AN30:AN34,AU30:AU34))</f>
        <v>3.02802037278882E-3</v>
      </c>
      <c r="BK30" s="56">
        <f>IF(OR(ISBLANK(R30:R34),ISBLANK(AN30:AN34),ISBLANK(Z30:Z34),ISBLANK(AV30:AV34)),"·",bdRateExtend(R30:R34,Z30:Z34,AN30:AN34,AV30:AV34))</f>
        <v>3.02802037278882E-3</v>
      </c>
      <c r="BL30" s="62"/>
      <c r="BN30" s="56">
        <f>IF(OR(ISBLANK(P30:P34),ISBLANK(AL30:AL34),ISBLANK(T30:T34),ISBLANK(AP30:AP34)),"·",bdRateExtend(P30:P34,T30:T34,AL30:AL34,AP30:AP34))</f>
        <v>-1.5945405632844523E-4</v>
      </c>
      <c r="BO30" s="56">
        <f>IF(OR(ISBLANK(P30:P34),ISBLANK(AL30:AL34),ISBLANK(U30:U34),ISBLANK(AQ30:AQ34)),"·",bdRateExtend(P30:P34,U30:U34,AL30:AL34,AQ30:AQ34))</f>
        <v>-1.2194789568384934E-3</v>
      </c>
      <c r="BP30" s="56">
        <f>IF(OR(ISBLANK(P30:P34),ISBLANK(AL30:AL34),ISBLANK(V30:V34),ISBLANK(AR30:AR34)),"·",bdRateExtend(P30:P34,V30:V34,AL30:AL34,AR30:AR34))</f>
        <v>-4.6672556438331902E-4</v>
      </c>
      <c r="BQ30" s="62"/>
      <c r="BS30" s="56">
        <f>IF(OR(ISBLANK(P30:P34),ISBLANK(AL30:AL34),ISBLANK(X30:X34),ISBLANK(AT30:AT34)),"·",bdRateExtend(P30:P34,X30:X34,AL30:AL34,AT30:AT34))</f>
        <v>5.9075213972414886E-4</v>
      </c>
      <c r="BT30" s="56">
        <f>IF(OR(ISBLANK(P30:P34),ISBLANK(AL30:AL34),ISBLANK(Y30:Y34),ISBLANK(AU30:AU34)),"·",bdRateExtend(P30:P34,Y30:Y34,AL30:AL34,AU30:AU34))</f>
        <v>5.9075213972414886E-4</v>
      </c>
      <c r="BU30" s="56">
        <f>IF(OR(ISBLANK(P30:P34),ISBLANK(AL30:AL34),ISBLANK(Z30:Z34),ISBLANK(AV30:AV34)),"·",bdRateExtend(P30:P34,Z30:Z34,AL30:AL34,AV30:AV34))</f>
        <v>5.9075213972414886E-4</v>
      </c>
      <c r="BV30" s="62"/>
      <c r="BX30">
        <f t="shared" si="12"/>
        <v>0</v>
      </c>
      <c r="BY30">
        <f t="shared" si="13"/>
        <v>129760</v>
      </c>
      <c r="BZ30">
        <f t="shared" si="14"/>
        <v>0</v>
      </c>
      <c r="CA30">
        <f t="shared" si="15"/>
        <v>129760</v>
      </c>
      <c r="CB30">
        <f t="shared" si="16"/>
        <v>0</v>
      </c>
      <c r="CC30">
        <f t="shared" si="17"/>
        <v>3.3400000000000318E-2</v>
      </c>
      <c r="CD30">
        <f t="shared" si="18"/>
        <v>4.4600000000002638E-2</v>
      </c>
      <c r="CE30">
        <f t="shared" si="19"/>
        <v>3.6500000000003752E-2</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13.905014436656085</v>
      </c>
      <c r="K31" s="18">
        <f t="shared" si="2"/>
        <v>8.6158762803270807</v>
      </c>
      <c r="L31" s="18">
        <f t="shared" si="3"/>
        <v>5.288998055654095</v>
      </c>
      <c r="M31" s="19"/>
      <c r="N31" s="18">
        <f t="shared" si="4"/>
        <v>13.905014436656085</v>
      </c>
      <c r="O31" s="20">
        <v>8907880</v>
      </c>
      <c r="P31" s="21">
        <v>123864200</v>
      </c>
      <c r="Q31" s="21">
        <v>76749192</v>
      </c>
      <c r="R31" s="21">
        <v>47113760</v>
      </c>
      <c r="S31" s="37"/>
      <c r="T31" s="38">
        <v>48.286999999999999</v>
      </c>
      <c r="U31" s="38">
        <v>51.111600000000003</v>
      </c>
      <c r="V31" s="38">
        <v>50.878599999999999</v>
      </c>
      <c r="W31" s="39"/>
      <c r="X31" s="38">
        <v>42.110199999999999</v>
      </c>
      <c r="Y31" s="38">
        <v>42.110199999999999</v>
      </c>
      <c r="Z31" s="38">
        <v>42.110199999999999</v>
      </c>
      <c r="AA31" s="39"/>
      <c r="AB31" s="49">
        <v>21.280999999999999</v>
      </c>
      <c r="AC31" s="49">
        <v>18.045999999999999</v>
      </c>
      <c r="AE31" s="17" t="str">
        <f t="shared" si="5"/>
        <v>·</v>
      </c>
      <c r="AF31" s="18">
        <f t="shared" si="6"/>
        <v>13.911327049758192</v>
      </c>
      <c r="AG31" s="18">
        <f t="shared" si="7"/>
        <v>8.6158762803270807</v>
      </c>
      <c r="AH31" s="18">
        <f t="shared" si="8"/>
        <v>5.2953106687562022</v>
      </c>
      <c r="AI31" s="19"/>
      <c r="AJ31" s="18">
        <f t="shared" si="9"/>
        <v>13.911327049758192</v>
      </c>
      <c r="AK31" s="20">
        <v>8907880</v>
      </c>
      <c r="AL31" s="21">
        <v>123920432</v>
      </c>
      <c r="AM31" s="21">
        <v>76749192</v>
      </c>
      <c r="AN31" s="21">
        <v>47169992</v>
      </c>
      <c r="AO31" s="37"/>
      <c r="AP31" s="38">
        <v>48.313400000000001</v>
      </c>
      <c r="AQ31" s="38">
        <v>51.144100000000002</v>
      </c>
      <c r="AR31" s="38">
        <v>50.906599999999997</v>
      </c>
      <c r="AS31" s="39"/>
      <c r="AT31" s="38">
        <v>42.110199999999999</v>
      </c>
      <c r="AU31" s="38">
        <v>42.110199999999999</v>
      </c>
      <c r="AV31" s="38">
        <v>42.110199999999999</v>
      </c>
      <c r="AW31" s="39"/>
      <c r="AX31" s="49">
        <v>21.015000000000001</v>
      </c>
      <c r="AY31" s="49">
        <v>18.045999999999999</v>
      </c>
      <c r="BA31" s="53">
        <f t="shared" si="10"/>
        <v>-2.8116976734826604E-4</v>
      </c>
      <c r="BB31" s="53"/>
      <c r="BD31" s="54"/>
      <c r="BE31" s="54"/>
      <c r="BF31" s="54"/>
      <c r="BG31" s="61"/>
      <c r="BI31" s="54"/>
      <c r="BJ31" s="54"/>
      <c r="BK31" s="54"/>
      <c r="BL31" s="61"/>
      <c r="BN31" s="54"/>
      <c r="BO31" s="54"/>
      <c r="BP31" s="54"/>
      <c r="BQ31" s="61"/>
      <c r="BS31" s="54"/>
      <c r="BT31" s="54"/>
      <c r="BU31" s="54"/>
      <c r="BV31" s="61"/>
      <c r="BX31">
        <f t="shared" si="12"/>
        <v>0</v>
      </c>
      <c r="BY31">
        <f t="shared" si="13"/>
        <v>56232</v>
      </c>
      <c r="BZ31">
        <f t="shared" si="14"/>
        <v>0</v>
      </c>
      <c r="CA31">
        <f t="shared" si="15"/>
        <v>56232</v>
      </c>
      <c r="CB31">
        <f t="shared" si="16"/>
        <v>0</v>
      </c>
      <c r="CC31">
        <f t="shared" si="17"/>
        <v>2.6400000000002422E-2</v>
      </c>
      <c r="CD31">
        <f t="shared" si="18"/>
        <v>3.2499999999998863E-2</v>
      </c>
      <c r="CE31">
        <f t="shared" si="19"/>
        <v>2.7999999999998693E-2</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11.751432664113123</v>
      </c>
      <c r="K32" s="23">
        <f t="shared" si="2"/>
        <v>8.6158762803270807</v>
      </c>
      <c r="L32" s="23">
        <f t="shared" si="3"/>
        <v>3.135416283111133</v>
      </c>
      <c r="M32" s="24"/>
      <c r="N32" s="23">
        <f t="shared" si="4"/>
        <v>11.751432664113123</v>
      </c>
      <c r="O32" s="25">
        <v>8907880</v>
      </c>
      <c r="P32" s="26">
        <v>104680352</v>
      </c>
      <c r="Q32" s="26">
        <v>76749192</v>
      </c>
      <c r="R32" s="26">
        <v>27929912</v>
      </c>
      <c r="S32" s="40"/>
      <c r="T32" s="41">
        <v>41.0578</v>
      </c>
      <c r="U32" s="41">
        <v>45.614600000000003</v>
      </c>
      <c r="V32" s="41">
        <v>45.691600000000001</v>
      </c>
      <c r="W32" s="42"/>
      <c r="X32" s="41">
        <v>34.151400000000002</v>
      </c>
      <c r="Y32" s="41">
        <v>34.151400000000002</v>
      </c>
      <c r="Z32" s="41">
        <v>34.151400000000002</v>
      </c>
      <c r="AA32" s="42"/>
      <c r="AB32" s="50">
        <v>20.795999999999999</v>
      </c>
      <c r="AC32" s="50">
        <v>17.75</v>
      </c>
      <c r="AE32" s="22" t="str">
        <f t="shared" si="5"/>
        <v>·</v>
      </c>
      <c r="AF32" s="23">
        <f t="shared" si="6"/>
        <v>11.758099121227497</v>
      </c>
      <c r="AG32" s="23">
        <f t="shared" si="7"/>
        <v>8.6158762803270807</v>
      </c>
      <c r="AH32" s="23">
        <f t="shared" si="8"/>
        <v>3.1420827402255083</v>
      </c>
      <c r="AI32" s="24"/>
      <c r="AJ32" s="23">
        <f t="shared" si="9"/>
        <v>11.758099121227497</v>
      </c>
      <c r="AK32" s="25">
        <v>8907880</v>
      </c>
      <c r="AL32" s="26">
        <v>104739736</v>
      </c>
      <c r="AM32" s="26">
        <v>76749192</v>
      </c>
      <c r="AN32" s="26">
        <v>27989296</v>
      </c>
      <c r="AO32" s="40"/>
      <c r="AP32" s="41">
        <v>41.093699999999998</v>
      </c>
      <c r="AQ32" s="41">
        <v>45.677500000000002</v>
      </c>
      <c r="AR32" s="41">
        <v>45.725200000000001</v>
      </c>
      <c r="AS32" s="42"/>
      <c r="AT32" s="41">
        <v>34.151400000000002</v>
      </c>
      <c r="AU32" s="41">
        <v>34.151400000000002</v>
      </c>
      <c r="AV32" s="41">
        <v>34.151400000000002</v>
      </c>
      <c r="AW32" s="42"/>
      <c r="AX32" s="50">
        <v>20.952999999999999</v>
      </c>
      <c r="AY32" s="50">
        <v>17.968</v>
      </c>
      <c r="BA32" s="55">
        <f t="shared" si="10"/>
        <v>-4.1568716032980291E-4</v>
      </c>
      <c r="BB32" s="55"/>
      <c r="BD32" s="56"/>
      <c r="BE32" s="56"/>
      <c r="BF32" s="56"/>
      <c r="BG32" s="62"/>
      <c r="BI32" s="56"/>
      <c r="BJ32" s="56"/>
      <c r="BK32" s="56"/>
      <c r="BL32" s="62"/>
      <c r="BN32" s="56"/>
      <c r="BO32" s="56"/>
      <c r="BP32" s="56"/>
      <c r="BQ32" s="62"/>
      <c r="BS32" s="56"/>
      <c r="BT32" s="56"/>
      <c r="BU32" s="56"/>
      <c r="BV32" s="62"/>
      <c r="BX32">
        <f t="shared" si="12"/>
        <v>0</v>
      </c>
      <c r="BY32">
        <f t="shared" si="13"/>
        <v>59384</v>
      </c>
      <c r="BZ32">
        <f t="shared" si="14"/>
        <v>0</v>
      </c>
      <c r="CA32">
        <f t="shared" si="15"/>
        <v>59384</v>
      </c>
      <c r="CB32">
        <f t="shared" si="16"/>
        <v>0</v>
      </c>
      <c r="CC32">
        <f t="shared" si="17"/>
        <v>3.5899999999998045E-2</v>
      </c>
      <c r="CD32">
        <f t="shared" si="18"/>
        <v>6.2899999999999068E-2</v>
      </c>
      <c r="CE32">
        <f t="shared" si="19"/>
        <v>3.3599999999999852E-2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10.449343278086369</v>
      </c>
      <c r="K33" s="18">
        <f t="shared" si="2"/>
        <v>8.6158762803270807</v>
      </c>
      <c r="L33" s="18">
        <f t="shared" si="3"/>
        <v>1.8333268970843792</v>
      </c>
      <c r="M33" s="19"/>
      <c r="N33" s="18">
        <f t="shared" si="4"/>
        <v>10.449343278086369</v>
      </c>
      <c r="O33" s="20">
        <v>8907880</v>
      </c>
      <c r="P33" s="21">
        <v>93081496</v>
      </c>
      <c r="Q33" s="21">
        <v>76749192</v>
      </c>
      <c r="R33" s="21">
        <v>16331056</v>
      </c>
      <c r="S33" s="37"/>
      <c r="T33" s="38">
        <v>35.381500000000003</v>
      </c>
      <c r="U33" s="38">
        <v>41.180300000000003</v>
      </c>
      <c r="V33" s="38">
        <v>41.328000000000003</v>
      </c>
      <c r="W33" s="39"/>
      <c r="X33" s="38">
        <v>28.130800000000001</v>
      </c>
      <c r="Y33" s="38">
        <v>28.130800000000001</v>
      </c>
      <c r="Z33" s="38">
        <v>28.130800000000001</v>
      </c>
      <c r="AA33" s="39"/>
      <c r="AB33" s="49">
        <v>20.702999999999999</v>
      </c>
      <c r="AC33" s="49">
        <v>17.625</v>
      </c>
      <c r="AE33" s="17" t="str">
        <f t="shared" si="5"/>
        <v>·</v>
      </c>
      <c r="AF33" s="18">
        <f t="shared" si="6"/>
        <v>10.45418752834569</v>
      </c>
      <c r="AG33" s="18">
        <f t="shared" si="7"/>
        <v>8.6158762803270807</v>
      </c>
      <c r="AH33" s="18">
        <f t="shared" si="8"/>
        <v>1.8381711473437001</v>
      </c>
      <c r="AI33" s="19"/>
      <c r="AJ33" s="18">
        <f t="shared" si="9"/>
        <v>10.45418752834569</v>
      </c>
      <c r="AK33" s="20">
        <v>8907880</v>
      </c>
      <c r="AL33" s="21">
        <v>93124648</v>
      </c>
      <c r="AM33" s="21">
        <v>76749192</v>
      </c>
      <c r="AN33" s="21">
        <v>16374208</v>
      </c>
      <c r="AO33" s="37"/>
      <c r="AP33" s="38">
        <v>35.412599999999998</v>
      </c>
      <c r="AQ33" s="38">
        <v>41.267899999999997</v>
      </c>
      <c r="AR33" s="38">
        <v>41.392499999999998</v>
      </c>
      <c r="AS33" s="39"/>
      <c r="AT33" s="38">
        <v>28.130800000000001</v>
      </c>
      <c r="AU33" s="38">
        <v>28.130800000000001</v>
      </c>
      <c r="AV33" s="38">
        <v>28.130800000000001</v>
      </c>
      <c r="AW33" s="39"/>
      <c r="AX33" s="49">
        <v>20.827999999999999</v>
      </c>
      <c r="AY33" s="49">
        <v>17.718</v>
      </c>
      <c r="BA33" s="53">
        <f t="shared" si="10"/>
        <v>-3.8207334652151648E-4</v>
      </c>
      <c r="BB33" s="53"/>
      <c r="BD33" s="54"/>
      <c r="BE33" s="54"/>
      <c r="BF33" s="54"/>
      <c r="BG33" s="61"/>
      <c r="BI33" s="54"/>
      <c r="BJ33" s="54"/>
      <c r="BK33" s="54"/>
      <c r="BL33" s="61"/>
      <c r="BN33" s="54"/>
      <c r="BO33" s="54"/>
      <c r="BP33" s="54"/>
      <c r="BQ33" s="61"/>
      <c r="BS33" s="54"/>
      <c r="BT33" s="54"/>
      <c r="BU33" s="54"/>
      <c r="BV33" s="61"/>
      <c r="BX33">
        <f t="shared" si="12"/>
        <v>0</v>
      </c>
      <c r="BY33">
        <f t="shared" si="13"/>
        <v>43152</v>
      </c>
      <c r="BZ33">
        <f t="shared" si="14"/>
        <v>0</v>
      </c>
      <c r="CA33">
        <f t="shared" si="15"/>
        <v>43152</v>
      </c>
      <c r="CB33">
        <f t="shared" si="16"/>
        <v>0</v>
      </c>
      <c r="CC33">
        <f t="shared" si="17"/>
        <v>3.1099999999995021E-2</v>
      </c>
      <c r="CD33">
        <f t="shared" si="18"/>
        <v>8.7599999999994793E-2</v>
      </c>
      <c r="CE33">
        <f t="shared" si="19"/>
        <v>6.4499999999995339E-2</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9.4388357274682644</v>
      </c>
      <c r="K34" s="33">
        <f t="shared" si="2"/>
        <v>8.6158762803270807</v>
      </c>
      <c r="L34" s="33">
        <f t="shared" si="3"/>
        <v>0.82281934646627486</v>
      </c>
      <c r="M34" s="34"/>
      <c r="N34" s="33">
        <f t="shared" si="4"/>
        <v>9.4388357274682644</v>
      </c>
      <c r="O34" s="35">
        <v>8907880</v>
      </c>
      <c r="P34" s="36">
        <v>84080016</v>
      </c>
      <c r="Q34" s="36">
        <v>76749192</v>
      </c>
      <c r="R34" s="36">
        <v>7329576</v>
      </c>
      <c r="S34" s="46"/>
      <c r="T34" s="47">
        <v>29.293800000000001</v>
      </c>
      <c r="U34" s="47">
        <v>36.564700000000002</v>
      </c>
      <c r="V34" s="47">
        <v>36.931699999999999</v>
      </c>
      <c r="W34" s="48"/>
      <c r="X34" s="47">
        <v>21.686399999999999</v>
      </c>
      <c r="Y34" s="47">
        <v>21.686399999999999</v>
      </c>
      <c r="Z34" s="47">
        <v>21.686399999999999</v>
      </c>
      <c r="AA34" s="48"/>
      <c r="AB34" s="52">
        <v>20.655999999999999</v>
      </c>
      <c r="AC34" s="52">
        <v>17.609000000000002</v>
      </c>
      <c r="AE34" s="32" t="str">
        <f t="shared" si="5"/>
        <v>·</v>
      </c>
      <c r="AF34" s="33">
        <f t="shared" si="6"/>
        <v>9.4501273030171031</v>
      </c>
      <c r="AG34" s="33">
        <f t="shared" si="7"/>
        <v>8.6158762803270807</v>
      </c>
      <c r="AH34" s="33">
        <f t="shared" si="8"/>
        <v>0.83411092201511472</v>
      </c>
      <c r="AI34" s="34"/>
      <c r="AJ34" s="33">
        <f t="shared" si="9"/>
        <v>9.4501273030171031</v>
      </c>
      <c r="AK34" s="35">
        <v>8907880</v>
      </c>
      <c r="AL34" s="36">
        <v>84180600</v>
      </c>
      <c r="AM34" s="36">
        <v>76749192</v>
      </c>
      <c r="AN34" s="36">
        <v>7430160</v>
      </c>
      <c r="AO34" s="46"/>
      <c r="AP34" s="47">
        <v>29.370699999999999</v>
      </c>
      <c r="AQ34" s="47">
        <v>36.755200000000002</v>
      </c>
      <c r="AR34" s="47">
        <v>36.929400000000001</v>
      </c>
      <c r="AS34" s="48"/>
      <c r="AT34" s="47">
        <v>21.686399999999999</v>
      </c>
      <c r="AU34" s="47">
        <v>21.686399999999999</v>
      </c>
      <c r="AV34" s="47">
        <v>21.686399999999999</v>
      </c>
      <c r="AW34" s="48"/>
      <c r="AX34" s="52">
        <v>20.795999999999999</v>
      </c>
      <c r="AY34" s="52">
        <v>17.702999999999999</v>
      </c>
      <c r="BA34" s="59">
        <f t="shared" si="10"/>
        <v>-1.0906814127745745E-3</v>
      </c>
      <c r="BB34" s="59"/>
      <c r="BD34" s="60"/>
      <c r="BE34" s="60"/>
      <c r="BF34" s="60"/>
      <c r="BG34" s="64"/>
      <c r="BI34" s="60"/>
      <c r="BJ34" s="60"/>
      <c r="BK34" s="60"/>
      <c r="BL34" s="64"/>
      <c r="BN34" s="60"/>
      <c r="BO34" s="60"/>
      <c r="BP34" s="60"/>
      <c r="BQ34" s="64"/>
      <c r="BS34" s="60"/>
      <c r="BT34" s="60"/>
      <c r="BU34" s="60"/>
      <c r="BV34" s="64"/>
      <c r="BX34">
        <f t="shared" si="12"/>
        <v>0</v>
      </c>
      <c r="BY34">
        <f t="shared" si="13"/>
        <v>100584</v>
      </c>
      <c r="BZ34">
        <f t="shared" si="14"/>
        <v>0</v>
      </c>
      <c r="CA34">
        <f t="shared" si="15"/>
        <v>100584</v>
      </c>
      <c r="CB34">
        <f t="shared" si="16"/>
        <v>0</v>
      </c>
      <c r="CC34">
        <f t="shared" si="17"/>
        <v>7.6899999999998414E-2</v>
      </c>
      <c r="CD34">
        <f t="shared" si="18"/>
        <v>0.19050000000000011</v>
      </c>
      <c r="CE34">
        <f t="shared" si="19"/>
        <v>-2.2999999999981924E-3</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7.7614804437983089</v>
      </c>
      <c r="K35" s="18">
        <f t="shared" si="2"/>
        <v>1.2030622231030674</v>
      </c>
      <c r="L35" s="18">
        <f t="shared" si="3"/>
        <v>6.5581917176196001</v>
      </c>
      <c r="M35" s="19"/>
      <c r="N35" s="18">
        <f t="shared" si="4"/>
        <v>7.7614804437983089</v>
      </c>
      <c r="O35" s="20">
        <v>4061755</v>
      </c>
      <c r="P35" s="21">
        <v>31525232</v>
      </c>
      <c r="Q35" s="21">
        <v>4886544</v>
      </c>
      <c r="R35" s="21">
        <v>26637768</v>
      </c>
      <c r="S35" s="37"/>
      <c r="T35" s="38">
        <v>53.100999999999999</v>
      </c>
      <c r="U35" s="38">
        <v>55.982300000000002</v>
      </c>
      <c r="V35" s="38">
        <v>55.197200000000002</v>
      </c>
      <c r="W35" s="39"/>
      <c r="X35" s="38">
        <v>48.130800000000001</v>
      </c>
      <c r="Y35" s="38">
        <v>48.130800000000001</v>
      </c>
      <c r="Z35" s="38">
        <v>48.130800000000001</v>
      </c>
      <c r="AA35" s="39"/>
      <c r="AB35" s="49">
        <v>4.9059999999999997</v>
      </c>
      <c r="AC35" s="49">
        <v>3.625</v>
      </c>
      <c r="AE35" s="17" t="str">
        <f t="shared" si="5"/>
        <v>·</v>
      </c>
      <c r="AF35" s="18">
        <f t="shared" si="6"/>
        <v>7.7628177967405714</v>
      </c>
      <c r="AG35" s="18">
        <f t="shared" si="7"/>
        <v>1.2030622231030674</v>
      </c>
      <c r="AH35" s="18">
        <f t="shared" si="8"/>
        <v>6.5595290705618634</v>
      </c>
      <c r="AI35" s="19"/>
      <c r="AJ35" s="18">
        <f t="shared" si="9"/>
        <v>7.7628177967405714</v>
      </c>
      <c r="AK35" s="20">
        <v>4061755</v>
      </c>
      <c r="AL35" s="21">
        <v>31530664</v>
      </c>
      <c r="AM35" s="21">
        <v>4886544</v>
      </c>
      <c r="AN35" s="21">
        <v>26643200</v>
      </c>
      <c r="AO35" s="37"/>
      <c r="AP35" s="38">
        <v>53.102600000000002</v>
      </c>
      <c r="AQ35" s="38">
        <v>55.984900000000003</v>
      </c>
      <c r="AR35" s="38">
        <v>55.200499999999998</v>
      </c>
      <c r="AS35" s="39"/>
      <c r="AT35" s="38">
        <v>48.130800000000001</v>
      </c>
      <c r="AU35" s="38">
        <v>48.130800000000001</v>
      </c>
      <c r="AV35" s="38">
        <v>48.130800000000001</v>
      </c>
      <c r="AW35" s="39"/>
      <c r="AX35" s="49">
        <v>4.875</v>
      </c>
      <c r="AY35" s="49">
        <v>3.6560000000000001</v>
      </c>
      <c r="BA35" s="53">
        <f t="shared" si="10"/>
        <v>-2.6703621707646619E-5</v>
      </c>
      <c r="BB35" s="53">
        <f t="array" ref="BB35">AVERAGE(AM35:AM39/AL35:AL39)-AVERAGE(Q35:Q39/P35:P39)</f>
        <v>-1.9433873591134798E-4</v>
      </c>
      <c r="BD35" s="54">
        <f>IF(OR(ISBLANK(R35:R39),ISBLANK(AN35:AN39),ISBLANK(T35:T39),ISBLANK(AP35:AP39)),"·",bdRateExtend(R35:R39,T35:T39,AN35:AN39,AP35:AP39))</f>
        <v>-7.459888752836541E-5</v>
      </c>
      <c r="BE35" s="54">
        <f>IF(OR(ISBLANK(R35:R39),ISBLANK(AN35:AN39),ISBLANK(U35:U39),ISBLANK(AQ35:AQ39)),"·",bdRateExtend(R35:R39,U35:U39,AN35:AN39,AQ35:AQ39))</f>
        <v>1.293602986847997E-3</v>
      </c>
      <c r="BF35" s="54">
        <f>IF(OR(ISBLANK(R35:R39),ISBLANK(AN35:AN39),ISBLANK(V35:V39),ISBLANK(AR35:AR39)),"·",bdRateExtend(R35:R39,V35:V39,AN35:AN39,AR35:AR39))</f>
        <v>-1.4643779486432917E-3</v>
      </c>
      <c r="BG35" s="61"/>
      <c r="BI35" s="54">
        <f>IF(OR(ISBLANK(R35:R39),ISBLANK(AN35:AN39),ISBLANK(X35:X39),ISBLANK(AT35:AT39)),"·",bdRateExtend(R35:R39,X35:X39,AN35:AN39,AT35:AT39))</f>
        <v>4.3127770165041213E-4</v>
      </c>
      <c r="BJ35" s="54">
        <f>IF(OR(ISBLANK(R35:R39),ISBLANK(AN35:AN39),ISBLANK(Y35:Y39),ISBLANK(AU35:AU39)),"·",bdRateExtend(R35:R39,Y35:Y39,AN35:AN39,AU35:AU39))</f>
        <v>4.3127770165041213E-4</v>
      </c>
      <c r="BK35" s="54">
        <f>IF(OR(ISBLANK(R35:R39),ISBLANK(AN35:AN39),ISBLANK(Z35:Z39),ISBLANK(AV35:AV39)),"·",bdRateExtend(R35:R39,Z35:Z39,AN35:AN39,AV35:AV39))</f>
        <v>4.3127770165041213E-4</v>
      </c>
      <c r="BL35" s="61"/>
      <c r="BN35" s="54">
        <f>IF(OR(ISBLANK(P35:P39),ISBLANK(AL35:AL39),ISBLANK(T35:T39),ISBLANK(AP35:AP39)),"·",bdRateExtend(P35:P39,T35:T39,AL35:AL39,AP35:AP39))</f>
        <v>-4.9736591948956743E-5</v>
      </c>
      <c r="BO35" s="54">
        <f>IF(OR(ISBLANK(P35:P39),ISBLANK(AL35:AL39),ISBLANK(U35:U39),ISBLANK(AQ35:AQ39)),"·",bdRateExtend(P35:P39,U35:U39,AL35:AL39,AQ35:AQ39))</f>
        <v>2.2983553435107495E-4</v>
      </c>
      <c r="BP35" s="54">
        <f>IF(OR(ISBLANK(P35:P39),ISBLANK(AL35:AL39),ISBLANK(V35:V39),ISBLANK(AR35:AR39)),"·",bdRateExtend(P35:P39,V35:V39,AL35:AL39,AR35:AR39))</f>
        <v>-1.3342785223575682E-3</v>
      </c>
      <c r="BQ35" s="61"/>
      <c r="BS35" s="54">
        <f>IF(OR(ISBLANK(P35:P39),ISBLANK(AL35:AL39),ISBLANK(X35:X39),ISBLANK(AT35:AT39)),"·",bdRateExtend(P35:P39,X35:X39,AL35:AL39,AT35:AT39))</f>
        <v>6.4723033257996221E-5</v>
      </c>
      <c r="BT35" s="54">
        <f>IF(OR(ISBLANK(P35:P39),ISBLANK(AL35:AL39),ISBLANK(Y35:Y39),ISBLANK(AU35:AU39)),"·",bdRateExtend(P35:P39,Y35:Y39,AL35:AL39,AU35:AU39))</f>
        <v>6.4723033257996221E-5</v>
      </c>
      <c r="BU35" s="54">
        <f>IF(OR(ISBLANK(P35:P39),ISBLANK(AL35:AL39),ISBLANK(Z35:Z39),ISBLANK(AV35:AV39)),"·",bdRateExtend(P35:P39,Z35:Z39,AL35:AL39,AV35:AV39))</f>
        <v>6.4723033257996221E-5</v>
      </c>
      <c r="BV35" s="61"/>
      <c r="BX35">
        <f t="shared" si="12"/>
        <v>0</v>
      </c>
      <c r="BY35">
        <f t="shared" si="13"/>
        <v>5432</v>
      </c>
      <c r="BZ35">
        <f t="shared" si="14"/>
        <v>0</v>
      </c>
      <c r="CA35">
        <f t="shared" si="15"/>
        <v>5432</v>
      </c>
      <c r="CB35">
        <f t="shared" si="16"/>
        <v>0</v>
      </c>
      <c r="CC35">
        <f t="shared" si="17"/>
        <v>1.6000000000033765E-3</v>
      </c>
      <c r="CD35">
        <f t="shared" si="18"/>
        <v>2.6000000000010459E-3</v>
      </c>
      <c r="CE35">
        <f t="shared" si="19"/>
        <v>3.2999999999958618E-3</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5.8184582772717706</v>
      </c>
      <c r="K36" s="23">
        <f t="shared" si="2"/>
        <v>1.2030622231030674</v>
      </c>
      <c r="L36" s="23">
        <f t="shared" si="3"/>
        <v>4.6151695510930617</v>
      </c>
      <c r="M36" s="24"/>
      <c r="N36" s="23">
        <f t="shared" si="4"/>
        <v>5.8184582772717706</v>
      </c>
      <c r="O36" s="25">
        <v>4061755</v>
      </c>
      <c r="P36" s="26">
        <v>23633152</v>
      </c>
      <c r="Q36" s="26">
        <v>4886544</v>
      </c>
      <c r="R36" s="26">
        <v>18745688</v>
      </c>
      <c r="S36" s="40"/>
      <c r="T36" s="41">
        <v>48.073</v>
      </c>
      <c r="U36" s="41">
        <v>51.109299999999998</v>
      </c>
      <c r="V36" s="41">
        <v>51.145099999999999</v>
      </c>
      <c r="W36" s="42"/>
      <c r="X36" s="41">
        <v>42.110199999999999</v>
      </c>
      <c r="Y36" s="41">
        <v>42.110199999999999</v>
      </c>
      <c r="Z36" s="41">
        <v>42.110199999999999</v>
      </c>
      <c r="AA36" s="42"/>
      <c r="AB36" s="50">
        <v>4.859</v>
      </c>
      <c r="AC36" s="50">
        <v>3.5779999999999998</v>
      </c>
      <c r="AE36" s="22" t="str">
        <f t="shared" si="5"/>
        <v>·</v>
      </c>
      <c r="AF36" s="23">
        <f t="shared" si="6"/>
        <v>5.8182751052192954</v>
      </c>
      <c r="AG36" s="23">
        <f t="shared" si="7"/>
        <v>1.2030622231030674</v>
      </c>
      <c r="AH36" s="23">
        <f t="shared" si="8"/>
        <v>4.6149863790405874</v>
      </c>
      <c r="AI36" s="24"/>
      <c r="AJ36" s="23">
        <f t="shared" si="9"/>
        <v>5.8182751052192954</v>
      </c>
      <c r="AK36" s="25">
        <v>4061755</v>
      </c>
      <c r="AL36" s="26">
        <v>23632408</v>
      </c>
      <c r="AM36" s="26">
        <v>4886544</v>
      </c>
      <c r="AN36" s="26">
        <v>18744944</v>
      </c>
      <c r="AO36" s="40"/>
      <c r="AP36" s="41">
        <v>48.072000000000003</v>
      </c>
      <c r="AQ36" s="41">
        <v>51.113399999999999</v>
      </c>
      <c r="AR36" s="41">
        <v>51.154000000000003</v>
      </c>
      <c r="AS36" s="42"/>
      <c r="AT36" s="41">
        <v>42.110199999999999</v>
      </c>
      <c r="AU36" s="41">
        <v>42.110199999999999</v>
      </c>
      <c r="AV36" s="41">
        <v>42.110199999999999</v>
      </c>
      <c r="AW36" s="42"/>
      <c r="AX36" s="50">
        <v>4.8899999999999997</v>
      </c>
      <c r="AY36" s="50">
        <v>3.5779999999999998</v>
      </c>
      <c r="BA36" s="55">
        <f t="shared" si="10"/>
        <v>6.5094624351058616E-6</v>
      </c>
      <c r="BB36" s="55"/>
      <c r="BD36" s="56"/>
      <c r="BE36" s="56"/>
      <c r="BF36" s="56"/>
      <c r="BG36" s="62"/>
      <c r="BI36" s="56"/>
      <c r="BJ36" s="56"/>
      <c r="BK36" s="56"/>
      <c r="BL36" s="62"/>
      <c r="BN36" s="56"/>
      <c r="BO36" s="56"/>
      <c r="BP36" s="56"/>
      <c r="BQ36" s="62"/>
      <c r="BS36" s="56"/>
      <c r="BT36" s="56"/>
      <c r="BU36" s="56"/>
      <c r="BV36" s="62"/>
      <c r="BX36">
        <f t="shared" si="12"/>
        <v>0</v>
      </c>
      <c r="BY36">
        <f t="shared" si="13"/>
        <v>-744</v>
      </c>
      <c r="BZ36">
        <f t="shared" si="14"/>
        <v>0</v>
      </c>
      <c r="CA36">
        <f t="shared" si="15"/>
        <v>-744</v>
      </c>
      <c r="CB36">
        <f t="shared" si="16"/>
        <v>0</v>
      </c>
      <c r="CC36">
        <f t="shared" si="17"/>
        <v>-9.9999999999766942E-4</v>
      </c>
      <c r="CD36">
        <f t="shared" si="18"/>
        <v>4.1000000000011028E-3</v>
      </c>
      <c r="CE36">
        <f t="shared" si="19"/>
        <v>8.9000000000041268E-3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3.6961303672919712</v>
      </c>
      <c r="K37" s="18">
        <f t="shared" si="2"/>
        <v>1.2030622231030674</v>
      </c>
      <c r="L37" s="18">
        <f t="shared" si="3"/>
        <v>2.4928416411132628</v>
      </c>
      <c r="M37" s="19"/>
      <c r="N37" s="18">
        <f t="shared" si="4"/>
        <v>3.6961303672919712</v>
      </c>
      <c r="O37" s="20">
        <v>4061755</v>
      </c>
      <c r="P37" s="21">
        <v>15012776</v>
      </c>
      <c r="Q37" s="21">
        <v>4886544</v>
      </c>
      <c r="R37" s="21">
        <v>10125312</v>
      </c>
      <c r="S37" s="37"/>
      <c r="T37" s="38">
        <v>40.743299999999998</v>
      </c>
      <c r="U37" s="38">
        <v>45.994999999999997</v>
      </c>
      <c r="V37" s="38">
        <v>46.664999999999999</v>
      </c>
      <c r="W37" s="39"/>
      <c r="X37" s="38">
        <v>34.151400000000002</v>
      </c>
      <c r="Y37" s="38">
        <v>34.151400000000002</v>
      </c>
      <c r="Z37" s="38">
        <v>34.151400000000002</v>
      </c>
      <c r="AA37" s="39"/>
      <c r="AB37" s="49">
        <v>4.718</v>
      </c>
      <c r="AC37" s="49">
        <v>3.5779999999999998</v>
      </c>
      <c r="AE37" s="17" t="str">
        <f t="shared" si="5"/>
        <v>·</v>
      </c>
      <c r="AF37" s="18">
        <f t="shared" si="6"/>
        <v>3.6955414592953044</v>
      </c>
      <c r="AG37" s="18">
        <f t="shared" si="7"/>
        <v>1.2030622231030674</v>
      </c>
      <c r="AH37" s="18">
        <f t="shared" si="8"/>
        <v>2.492252733116596</v>
      </c>
      <c r="AI37" s="19"/>
      <c r="AJ37" s="18">
        <f t="shared" si="9"/>
        <v>3.6955414592953044</v>
      </c>
      <c r="AK37" s="20">
        <v>4061755</v>
      </c>
      <c r="AL37" s="21">
        <v>15010384</v>
      </c>
      <c r="AM37" s="21">
        <v>4886544</v>
      </c>
      <c r="AN37" s="21">
        <v>10122920</v>
      </c>
      <c r="AO37" s="37"/>
      <c r="AP37" s="38">
        <v>40.741100000000003</v>
      </c>
      <c r="AQ37" s="38">
        <v>45.998399999999997</v>
      </c>
      <c r="AR37" s="38">
        <v>46.6736</v>
      </c>
      <c r="AS37" s="39"/>
      <c r="AT37" s="38">
        <v>34.151400000000002</v>
      </c>
      <c r="AU37" s="38">
        <v>34.151400000000002</v>
      </c>
      <c r="AV37" s="38">
        <v>34.151400000000002</v>
      </c>
      <c r="AW37" s="39"/>
      <c r="AX37" s="49">
        <v>4.718</v>
      </c>
      <c r="AY37" s="49">
        <v>3.5779999999999998</v>
      </c>
      <c r="BA37" s="53">
        <f t="shared" si="10"/>
        <v>5.1869275468519049E-5</v>
      </c>
      <c r="BB37" s="53"/>
      <c r="BD37" s="54"/>
      <c r="BE37" s="54"/>
      <c r="BF37" s="54"/>
      <c r="BG37" s="61"/>
      <c r="BI37" s="54"/>
      <c r="BJ37" s="54"/>
      <c r="BK37" s="54"/>
      <c r="BL37" s="61"/>
      <c r="BN37" s="54"/>
      <c r="BO37" s="54"/>
      <c r="BP37" s="54"/>
      <c r="BQ37" s="61"/>
      <c r="BS37" s="54"/>
      <c r="BT37" s="54"/>
      <c r="BU37" s="54"/>
      <c r="BV37" s="61"/>
      <c r="BX37">
        <f t="shared" si="12"/>
        <v>0</v>
      </c>
      <c r="BY37">
        <f t="shared" si="13"/>
        <v>-2392</v>
      </c>
      <c r="BZ37">
        <f t="shared" si="14"/>
        <v>0</v>
      </c>
      <c r="CA37">
        <f t="shared" si="15"/>
        <v>-2392</v>
      </c>
      <c r="CB37">
        <f t="shared" si="16"/>
        <v>0</v>
      </c>
      <c r="CC37">
        <f t="shared" si="17"/>
        <v>-2.1999999999948727E-3</v>
      </c>
      <c r="CD37">
        <f t="shared" si="18"/>
        <v>3.3999999999991815E-3</v>
      </c>
      <c r="CE37">
        <f t="shared" si="19"/>
        <v>8.6000000000012733E-3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2.4288121760175096</v>
      </c>
      <c r="K38" s="23">
        <f t="shared" si="2"/>
        <v>1.2030622231030674</v>
      </c>
      <c r="L38" s="23">
        <f t="shared" si="3"/>
        <v>1.2255234498388012</v>
      </c>
      <c r="M38" s="24"/>
      <c r="N38" s="23">
        <f t="shared" si="4"/>
        <v>2.4288121760175096</v>
      </c>
      <c r="O38" s="25">
        <v>4061755</v>
      </c>
      <c r="P38" s="26">
        <v>9865240</v>
      </c>
      <c r="Q38" s="26">
        <v>4886544</v>
      </c>
      <c r="R38" s="26">
        <v>4977776</v>
      </c>
      <c r="S38" s="40"/>
      <c r="T38" s="41">
        <v>35.344099999999997</v>
      </c>
      <c r="U38" s="41">
        <v>41.843200000000003</v>
      </c>
      <c r="V38" s="41">
        <v>42.879399999999997</v>
      </c>
      <c r="W38" s="42"/>
      <c r="X38" s="41">
        <v>28.130800000000001</v>
      </c>
      <c r="Y38" s="41">
        <v>28.130800000000001</v>
      </c>
      <c r="Z38" s="41">
        <v>28.130800000000001</v>
      </c>
      <c r="AA38" s="42"/>
      <c r="AB38" s="50">
        <v>4.625</v>
      </c>
      <c r="AC38" s="50">
        <v>3.4529999999999998</v>
      </c>
      <c r="AE38" s="22" t="str">
        <f t="shared" si="5"/>
        <v>·</v>
      </c>
      <c r="AF38" s="23">
        <f t="shared" si="6"/>
        <v>2.4285797641659825</v>
      </c>
      <c r="AG38" s="23">
        <f t="shared" si="7"/>
        <v>1.2030622231030674</v>
      </c>
      <c r="AH38" s="23">
        <f t="shared" si="8"/>
        <v>1.2252910379872739</v>
      </c>
      <c r="AI38" s="24"/>
      <c r="AJ38" s="23">
        <f t="shared" si="9"/>
        <v>2.4285797641659825</v>
      </c>
      <c r="AK38" s="25">
        <v>4061755</v>
      </c>
      <c r="AL38" s="26">
        <v>9864296</v>
      </c>
      <c r="AM38" s="26">
        <v>4886544</v>
      </c>
      <c r="AN38" s="26">
        <v>4976832</v>
      </c>
      <c r="AO38" s="40"/>
      <c r="AP38" s="41">
        <v>35.343000000000004</v>
      </c>
      <c r="AQ38" s="41">
        <v>41.841999999999999</v>
      </c>
      <c r="AR38" s="41">
        <v>42.929000000000002</v>
      </c>
      <c r="AS38" s="42"/>
      <c r="AT38" s="41">
        <v>28.130800000000001</v>
      </c>
      <c r="AU38" s="41">
        <v>28.130800000000001</v>
      </c>
      <c r="AV38" s="41">
        <v>28.130800000000001</v>
      </c>
      <c r="AW38" s="42"/>
      <c r="AX38" s="50">
        <v>4.6870000000000003</v>
      </c>
      <c r="AY38" s="50">
        <v>3.484</v>
      </c>
      <c r="BA38" s="55">
        <f t="shared" si="10"/>
        <v>4.7402370128735161E-5</v>
      </c>
      <c r="BB38" s="55"/>
      <c r="BD38" s="56"/>
      <c r="BE38" s="56"/>
      <c r="BF38" s="56"/>
      <c r="BG38" s="62"/>
      <c r="BI38" s="56"/>
      <c r="BJ38" s="56"/>
      <c r="BK38" s="56"/>
      <c r="BL38" s="62"/>
      <c r="BN38" s="56"/>
      <c r="BO38" s="56"/>
      <c r="BP38" s="56"/>
      <c r="BQ38" s="62"/>
      <c r="BS38" s="56"/>
      <c r="BT38" s="56"/>
      <c r="BU38" s="56"/>
      <c r="BV38" s="62"/>
      <c r="BX38">
        <f t="shared" si="12"/>
        <v>0</v>
      </c>
      <c r="BY38">
        <f t="shared" si="13"/>
        <v>-944</v>
      </c>
      <c r="BZ38">
        <f t="shared" si="14"/>
        <v>0</v>
      </c>
      <c r="CA38">
        <f t="shared" si="15"/>
        <v>-944</v>
      </c>
      <c r="CB38">
        <f t="shared" si="16"/>
        <v>0</v>
      </c>
      <c r="CC38">
        <f t="shared" si="17"/>
        <v>-1.0999999999938836E-3</v>
      </c>
      <c r="CD38">
        <f t="shared" si="18"/>
        <v>-1.2000000000043087E-3</v>
      </c>
      <c r="CE38">
        <f t="shared" si="19"/>
        <v>4.9600000000005195E-2</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1.5703162795392631</v>
      </c>
      <c r="K39" s="28">
        <f t="shared" si="2"/>
        <v>1.2030622231030674</v>
      </c>
      <c r="L39" s="28">
        <f t="shared" si="3"/>
        <v>0.36702755336055476</v>
      </c>
      <c r="M39" s="29"/>
      <c r="N39" s="28">
        <f t="shared" si="4"/>
        <v>1.5703162795392631</v>
      </c>
      <c r="O39" s="30">
        <v>4061755</v>
      </c>
      <c r="P39" s="31">
        <v>6378240</v>
      </c>
      <c r="Q39" s="31">
        <v>4886544</v>
      </c>
      <c r="R39" s="31">
        <v>1490776</v>
      </c>
      <c r="S39" s="43"/>
      <c r="T39" s="44">
        <v>29.831</v>
      </c>
      <c r="U39" s="44">
        <v>37.871400000000001</v>
      </c>
      <c r="V39" s="44">
        <v>38.621699999999997</v>
      </c>
      <c r="W39" s="45"/>
      <c r="X39" s="44">
        <v>21.686399999999999</v>
      </c>
      <c r="Y39" s="44">
        <v>21.686399999999999</v>
      </c>
      <c r="Z39" s="44">
        <v>21.686399999999999</v>
      </c>
      <c r="AA39" s="45"/>
      <c r="AB39" s="51">
        <v>4.5620000000000003</v>
      </c>
      <c r="AC39" s="51">
        <v>3.4529999999999998</v>
      </c>
      <c r="AE39" s="27" t="str">
        <f t="shared" si="5"/>
        <v>·</v>
      </c>
      <c r="AF39" s="28">
        <f t="shared" si="6"/>
        <v>1.5724729827377575</v>
      </c>
      <c r="AG39" s="28">
        <f t="shared" si="7"/>
        <v>1.2030622231030674</v>
      </c>
      <c r="AH39" s="28">
        <f t="shared" si="8"/>
        <v>0.36918425655904896</v>
      </c>
      <c r="AI39" s="29"/>
      <c r="AJ39" s="28">
        <f t="shared" si="9"/>
        <v>1.5724729827377575</v>
      </c>
      <c r="AK39" s="30">
        <v>4061755</v>
      </c>
      <c r="AL39" s="31">
        <v>6387000</v>
      </c>
      <c r="AM39" s="31">
        <v>4886544</v>
      </c>
      <c r="AN39" s="31">
        <v>1499536</v>
      </c>
      <c r="AO39" s="43"/>
      <c r="AP39" s="44">
        <v>29.8567</v>
      </c>
      <c r="AQ39" s="44">
        <v>37.835299999999997</v>
      </c>
      <c r="AR39" s="44">
        <v>38.559699999999999</v>
      </c>
      <c r="AS39" s="45"/>
      <c r="AT39" s="44">
        <v>21.686399999999999</v>
      </c>
      <c r="AU39" s="44">
        <v>21.686399999999999</v>
      </c>
      <c r="AV39" s="44">
        <v>21.686399999999999</v>
      </c>
      <c r="AW39" s="45"/>
      <c r="AX39" s="51">
        <v>4.5780000000000003</v>
      </c>
      <c r="AY39" s="51">
        <v>3.39</v>
      </c>
      <c r="BA39" s="57">
        <f t="shared" si="10"/>
        <v>-1.0507711658812591E-3</v>
      </c>
      <c r="BB39" s="57"/>
      <c r="BD39" s="58"/>
      <c r="BE39" s="58"/>
      <c r="BF39" s="58"/>
      <c r="BG39" s="63"/>
      <c r="BI39" s="58"/>
      <c r="BJ39" s="58"/>
      <c r="BK39" s="58"/>
      <c r="BL39" s="63"/>
      <c r="BN39" s="58"/>
      <c r="BO39" s="58"/>
      <c r="BP39" s="58"/>
      <c r="BQ39" s="63"/>
      <c r="BS39" s="58"/>
      <c r="BT39" s="58"/>
      <c r="BU39" s="58"/>
      <c r="BV39" s="63"/>
      <c r="BX39">
        <f t="shared" si="12"/>
        <v>0</v>
      </c>
      <c r="BY39">
        <f t="shared" si="13"/>
        <v>8760</v>
      </c>
      <c r="BZ39">
        <f t="shared" si="14"/>
        <v>0</v>
      </c>
      <c r="CA39">
        <f t="shared" si="15"/>
        <v>8760</v>
      </c>
      <c r="CB39">
        <f t="shared" si="16"/>
        <v>0</v>
      </c>
      <c r="CC39">
        <f t="shared" si="17"/>
        <v>2.57000000000005E-2</v>
      </c>
      <c r="CD39">
        <f t="shared" si="18"/>
        <v>-3.6100000000004684E-2</v>
      </c>
      <c r="CE39">
        <f t="shared" si="19"/>
        <v>-6.1999999999997613E-2</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12.647920689514923</v>
      </c>
      <c r="K40" s="23">
        <f t="shared" si="2"/>
        <v>6.4338221114139555</v>
      </c>
      <c r="L40" s="23">
        <f t="shared" si="3"/>
        <v>6.2138661648015034</v>
      </c>
      <c r="M40" s="24"/>
      <c r="N40" s="23">
        <f t="shared" si="4"/>
        <v>12.647920689514923</v>
      </c>
      <c r="O40" s="25">
        <v>3614251</v>
      </c>
      <c r="P40" s="26">
        <v>45712760</v>
      </c>
      <c r="Q40" s="26">
        <v>23253448</v>
      </c>
      <c r="R40" s="26">
        <v>22458472</v>
      </c>
      <c r="S40" s="40"/>
      <c r="T40" s="41">
        <v>52.923900000000003</v>
      </c>
      <c r="U40" s="41">
        <v>55.715699999999998</v>
      </c>
      <c r="V40" s="41">
        <v>55.835900000000002</v>
      </c>
      <c r="W40" s="42"/>
      <c r="X40" s="41">
        <v>48.130800000000001</v>
      </c>
      <c r="Y40" s="41">
        <v>48.130800000000001</v>
      </c>
      <c r="Z40" s="41">
        <v>48.130800000000001</v>
      </c>
      <c r="AA40" s="42"/>
      <c r="AB40" s="50">
        <v>7.625</v>
      </c>
      <c r="AC40" s="50">
        <v>6.359</v>
      </c>
      <c r="AE40" s="22" t="str">
        <f t="shared" si="5"/>
        <v>·</v>
      </c>
      <c r="AF40" s="23">
        <f t="shared" si="6"/>
        <v>12.65096862392789</v>
      </c>
      <c r="AG40" s="23">
        <f t="shared" si="7"/>
        <v>6.4338221114139555</v>
      </c>
      <c r="AH40" s="23">
        <f t="shared" si="8"/>
        <v>6.2169140992144705</v>
      </c>
      <c r="AI40" s="24"/>
      <c r="AJ40" s="23">
        <f t="shared" si="9"/>
        <v>12.65096862392789</v>
      </c>
      <c r="AK40" s="25">
        <v>3614251</v>
      </c>
      <c r="AL40" s="26">
        <v>45723776</v>
      </c>
      <c r="AM40" s="26">
        <v>23253448</v>
      </c>
      <c r="AN40" s="26">
        <v>22469488</v>
      </c>
      <c r="AO40" s="40"/>
      <c r="AP40" s="41">
        <v>52.93</v>
      </c>
      <c r="AQ40" s="41">
        <v>55.722499999999997</v>
      </c>
      <c r="AR40" s="41">
        <v>55.844900000000003</v>
      </c>
      <c r="AS40" s="42"/>
      <c r="AT40" s="41">
        <v>48.130800000000001</v>
      </c>
      <c r="AU40" s="41">
        <v>48.130800000000001</v>
      </c>
      <c r="AV40" s="41">
        <v>48.130800000000001</v>
      </c>
      <c r="AW40" s="42"/>
      <c r="AX40" s="50">
        <v>7.7649999999999997</v>
      </c>
      <c r="AY40" s="50">
        <v>6.343</v>
      </c>
      <c r="BA40" s="55">
        <f t="shared" si="10"/>
        <v>-1.2255520311443835E-4</v>
      </c>
      <c r="BB40" s="55">
        <f t="array" ref="BB40">AVERAGE(AM40:AM44/AL40:AL44)-AVERAGE(Q40:Q44/P40:P44)</f>
        <v>-1.9322319621450923E-4</v>
      </c>
      <c r="BD40" s="56">
        <f>IF(OR(ISBLANK(R40:R44),ISBLANK(AN40:AN44),ISBLANK(T40:T44),ISBLANK(AP40:AP44)),"·",bdRateExtend(R40:R44,T40:T44,AN40:AN44,AP40:AP44))</f>
        <v>-1.7050305177652714E-3</v>
      </c>
      <c r="BE40" s="56">
        <f>IF(OR(ISBLANK(R40:R44),ISBLANK(AN40:AN44),ISBLANK(U40:U44),ISBLANK(AQ40:AQ44)),"·",bdRateExtend(R40:R44,U40:U44,AN40:AN44,AQ40:AQ44))</f>
        <v>-1.7032718906434541E-3</v>
      </c>
      <c r="BF40" s="56">
        <f>IF(OR(ISBLANK(R40:R44),ISBLANK(AN40:AN44),ISBLANK(V40:V44),ISBLANK(AR40:AR44)),"·",bdRateExtend(R40:R44,V40:V44,AN40:AN44,AR40:AR44))</f>
        <v>7.683509594795801E-4</v>
      </c>
      <c r="BG40" s="62"/>
      <c r="BI40" s="56">
        <f>IF(OR(ISBLANK(R40:R44),ISBLANK(AN40:AN44),ISBLANK(X40:X44),ISBLANK(AT40:AT44)),"·",bdRateExtend(R40:R44,X40:X44,AN40:AN44,AT40:AT44))</f>
        <v>1.408527154427297E-3</v>
      </c>
      <c r="BJ40" s="56">
        <f>IF(OR(ISBLANK(R40:R44),ISBLANK(AN40:AN44),ISBLANK(Y40:Y44),ISBLANK(AU40:AU44)),"·",bdRateExtend(R40:R44,Y40:Y44,AN40:AN44,AU40:AU44))</f>
        <v>1.408527154427297E-3</v>
      </c>
      <c r="BK40" s="56">
        <f>IF(OR(ISBLANK(R40:R44),ISBLANK(AN40:AN44),ISBLANK(Z40:Z44),ISBLANK(AV40:AV44)),"·",bdRateExtend(R40:R44,Z40:Z44,AN40:AN44,AV40:AV44))</f>
        <v>1.408527154427297E-3</v>
      </c>
      <c r="BL40" s="62"/>
      <c r="BN40" s="56">
        <f>IF(OR(ISBLANK(P40:P44),ISBLANK(AL40:AL44),ISBLANK(T40:T44),ISBLANK(AP40:AP44)),"·",bdRateExtend(P40:P44,T40:T44,AL40:AL44,AP40:AP44))</f>
        <v>-1.8832657923384399E-4</v>
      </c>
      <c r="BO40" s="56">
        <f>IF(OR(ISBLANK(P40:P44),ISBLANK(AL40:AL44),ISBLANK(U40:U44),ISBLANK(AQ40:AQ44)),"·",bdRateExtend(P40:P44,U40:U44,AL40:AL44,AQ40:AQ44))</f>
        <v>-9.8119534088669802E-5</v>
      </c>
      <c r="BP40" s="56">
        <f>IF(OR(ISBLANK(P40:P44),ISBLANK(AL40:AL44),ISBLANK(V40:V44),ISBLANK(AR40:AR44)),"·",bdRateExtend(P40:P44,V40:V44,AL40:AL44,AR40:AR44))</f>
        <v>-1.017033900199138E-4</v>
      </c>
      <c r="BQ40" s="62"/>
      <c r="BS40" s="56">
        <f>IF(OR(ISBLANK(P40:P44),ISBLANK(AL40:AL44),ISBLANK(X40:X44),ISBLANK(AT40:AT44)),"·",bdRateExtend(P40:P44,X40:X44,AL40:AL44,AT40:AT44))</f>
        <v>1.8064114544591447E-4</v>
      </c>
      <c r="BT40" s="56">
        <f>IF(OR(ISBLANK(P40:P44),ISBLANK(AL40:AL44),ISBLANK(Y40:Y44),ISBLANK(AU40:AU44)),"·",bdRateExtend(P40:P44,Y40:Y44,AL40:AL44,AU40:AU44))</f>
        <v>1.8064114544591447E-4</v>
      </c>
      <c r="BU40" s="56">
        <f>IF(OR(ISBLANK(P40:P44),ISBLANK(AL40:AL44),ISBLANK(Z40:Z44),ISBLANK(AV40:AV44)),"·",bdRateExtend(P40:P44,Z40:Z44,AL40:AL44,AV40:AV44))</f>
        <v>1.8064114544591447E-4</v>
      </c>
      <c r="BV40" s="62"/>
      <c r="BX40">
        <f t="shared" si="12"/>
        <v>0</v>
      </c>
      <c r="BY40">
        <f t="shared" si="13"/>
        <v>11016</v>
      </c>
      <c r="BZ40">
        <f t="shared" si="14"/>
        <v>0</v>
      </c>
      <c r="CA40">
        <f t="shared" si="15"/>
        <v>11016</v>
      </c>
      <c r="CB40">
        <f t="shared" si="16"/>
        <v>0</v>
      </c>
      <c r="CC40">
        <f t="shared" si="17"/>
        <v>6.0999999999964416E-3</v>
      </c>
      <c r="CD40">
        <f t="shared" si="18"/>
        <v>6.7999999999983629E-3</v>
      </c>
      <c r="CE40">
        <f t="shared" si="19"/>
        <v>9.0000000000003411E-3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10.740562290776152</v>
      </c>
      <c r="K41" s="18">
        <f t="shared" si="2"/>
        <v>6.4338221114139555</v>
      </c>
      <c r="L41" s="18">
        <f t="shared" si="3"/>
        <v>4.3065077660627331</v>
      </c>
      <c r="M41" s="19"/>
      <c r="N41" s="18">
        <f t="shared" si="4"/>
        <v>10.740562290776152</v>
      </c>
      <c r="O41" s="20">
        <v>3614251</v>
      </c>
      <c r="P41" s="21">
        <v>38819088</v>
      </c>
      <c r="Q41" s="21">
        <v>23253448</v>
      </c>
      <c r="R41" s="21">
        <v>15564800</v>
      </c>
      <c r="S41" s="37"/>
      <c r="T41" s="38">
        <v>48.131999999999998</v>
      </c>
      <c r="U41" s="38">
        <v>51.109200000000001</v>
      </c>
      <c r="V41" s="38">
        <v>51.230699999999999</v>
      </c>
      <c r="W41" s="39"/>
      <c r="X41" s="38">
        <v>42.110199999999999</v>
      </c>
      <c r="Y41" s="38">
        <v>42.110199999999999</v>
      </c>
      <c r="Z41" s="38">
        <v>42.110199999999999</v>
      </c>
      <c r="AA41" s="39"/>
      <c r="AB41" s="49">
        <v>7.6559999999999997</v>
      </c>
      <c r="AC41" s="49">
        <v>6.2649999999999997</v>
      </c>
      <c r="AE41" s="17" t="str">
        <f t="shared" si="5"/>
        <v>·</v>
      </c>
      <c r="AF41" s="18">
        <f t="shared" si="6"/>
        <v>10.742344126072041</v>
      </c>
      <c r="AG41" s="18">
        <f t="shared" si="7"/>
        <v>6.4338221114139555</v>
      </c>
      <c r="AH41" s="18">
        <f t="shared" si="8"/>
        <v>4.3082896013586218</v>
      </c>
      <c r="AI41" s="19"/>
      <c r="AJ41" s="18">
        <f t="shared" si="9"/>
        <v>10.742344126072041</v>
      </c>
      <c r="AK41" s="20">
        <v>3614251</v>
      </c>
      <c r="AL41" s="21">
        <v>38825528</v>
      </c>
      <c r="AM41" s="21">
        <v>23253448</v>
      </c>
      <c r="AN41" s="21">
        <v>15571240</v>
      </c>
      <c r="AO41" s="37"/>
      <c r="AP41" s="38">
        <v>48.138599999999997</v>
      </c>
      <c r="AQ41" s="38">
        <v>51.1126</v>
      </c>
      <c r="AR41" s="38">
        <v>51.232100000000003</v>
      </c>
      <c r="AS41" s="39"/>
      <c r="AT41" s="38">
        <v>42.110199999999999</v>
      </c>
      <c r="AU41" s="38">
        <v>42.110199999999999</v>
      </c>
      <c r="AV41" s="38">
        <v>42.110199999999999</v>
      </c>
      <c r="AW41" s="39"/>
      <c r="AX41" s="49">
        <v>7.64</v>
      </c>
      <c r="AY41" s="49">
        <v>6.2809999999999997</v>
      </c>
      <c r="BA41" s="53">
        <f t="shared" si="10"/>
        <v>-9.9359758573336343E-5</v>
      </c>
      <c r="BB41" s="53"/>
      <c r="BD41" s="54"/>
      <c r="BE41" s="54"/>
      <c r="BF41" s="54"/>
      <c r="BG41" s="61"/>
      <c r="BI41" s="54"/>
      <c r="BJ41" s="54"/>
      <c r="BK41" s="54"/>
      <c r="BL41" s="61"/>
      <c r="BN41" s="54"/>
      <c r="BO41" s="54"/>
      <c r="BP41" s="54"/>
      <c r="BQ41" s="61"/>
      <c r="BS41" s="54"/>
      <c r="BT41" s="54"/>
      <c r="BU41" s="54"/>
      <c r="BV41" s="61"/>
      <c r="BX41">
        <f t="shared" si="12"/>
        <v>0</v>
      </c>
      <c r="BY41">
        <f t="shared" si="13"/>
        <v>6440</v>
      </c>
      <c r="BZ41">
        <f t="shared" si="14"/>
        <v>0</v>
      </c>
      <c r="CA41">
        <f t="shared" si="15"/>
        <v>6440</v>
      </c>
      <c r="CB41">
        <f t="shared" si="16"/>
        <v>0</v>
      </c>
      <c r="CC41">
        <f t="shared" si="17"/>
        <v>6.599999999998829E-3</v>
      </c>
      <c r="CD41">
        <f t="shared" si="18"/>
        <v>3.3999999999991815E-3</v>
      </c>
      <c r="CE41">
        <f t="shared" si="19"/>
        <v>1.4000000000038426E-3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8.667340480780112</v>
      </c>
      <c r="K42" s="23">
        <f t="shared" si="2"/>
        <v>6.4338221114139555</v>
      </c>
      <c r="L42" s="23">
        <f t="shared" si="3"/>
        <v>2.2332859560666924</v>
      </c>
      <c r="M42" s="24"/>
      <c r="N42" s="23">
        <f t="shared" si="4"/>
        <v>8.667340480780112</v>
      </c>
      <c r="O42" s="25">
        <v>3614251</v>
      </c>
      <c r="P42" s="26">
        <v>31325944</v>
      </c>
      <c r="Q42" s="26">
        <v>23253448</v>
      </c>
      <c r="R42" s="26">
        <v>8071656</v>
      </c>
      <c r="S42" s="40"/>
      <c r="T42" s="41">
        <v>41.020400000000002</v>
      </c>
      <c r="U42" s="41">
        <v>46.084499999999998</v>
      </c>
      <c r="V42" s="41">
        <v>46.666499999999999</v>
      </c>
      <c r="W42" s="42"/>
      <c r="X42" s="41">
        <v>34.151400000000002</v>
      </c>
      <c r="Y42" s="41">
        <v>34.151400000000002</v>
      </c>
      <c r="Z42" s="41">
        <v>34.151400000000002</v>
      </c>
      <c r="AA42" s="42"/>
      <c r="AB42" s="50">
        <v>7.5309999999999997</v>
      </c>
      <c r="AC42" s="50">
        <v>6.1710000000000003</v>
      </c>
      <c r="AE42" s="22" t="str">
        <f t="shared" si="5"/>
        <v>·</v>
      </c>
      <c r="AF42" s="23">
        <f t="shared" si="6"/>
        <v>8.6688146451367096</v>
      </c>
      <c r="AG42" s="23">
        <f t="shared" si="7"/>
        <v>6.4338221114139555</v>
      </c>
      <c r="AH42" s="23">
        <f t="shared" si="8"/>
        <v>2.234760120423291</v>
      </c>
      <c r="AI42" s="24"/>
      <c r="AJ42" s="23">
        <f t="shared" si="9"/>
        <v>8.6688146451367096</v>
      </c>
      <c r="AK42" s="25">
        <v>3614251</v>
      </c>
      <c r="AL42" s="26">
        <v>31331272</v>
      </c>
      <c r="AM42" s="26">
        <v>23253448</v>
      </c>
      <c r="AN42" s="26">
        <v>8076984</v>
      </c>
      <c r="AO42" s="40"/>
      <c r="AP42" s="41">
        <v>41.033299999999997</v>
      </c>
      <c r="AQ42" s="41">
        <v>46.088500000000003</v>
      </c>
      <c r="AR42" s="41">
        <v>46.667400000000001</v>
      </c>
      <c r="AS42" s="42"/>
      <c r="AT42" s="41">
        <v>34.151400000000002</v>
      </c>
      <c r="AU42" s="41">
        <v>34.151400000000002</v>
      </c>
      <c r="AV42" s="41">
        <v>34.151400000000002</v>
      </c>
      <c r="AW42" s="42"/>
      <c r="AX42" s="50">
        <v>7.5460000000000003</v>
      </c>
      <c r="AY42" s="50">
        <v>6.1710000000000003</v>
      </c>
      <c r="BA42" s="55">
        <f t="shared" si="10"/>
        <v>-1.2623197606553838E-4</v>
      </c>
      <c r="BB42" s="55"/>
      <c r="BD42" s="56"/>
      <c r="BE42" s="56"/>
      <c r="BF42" s="56"/>
      <c r="BG42" s="62"/>
      <c r="BI42" s="56"/>
      <c r="BJ42" s="56"/>
      <c r="BK42" s="56"/>
      <c r="BL42" s="62"/>
      <c r="BN42" s="56"/>
      <c r="BO42" s="56"/>
      <c r="BP42" s="56"/>
      <c r="BQ42" s="62"/>
      <c r="BS42" s="56"/>
      <c r="BT42" s="56"/>
      <c r="BU42" s="56"/>
      <c r="BV42" s="62"/>
      <c r="BX42">
        <f t="shared" si="12"/>
        <v>0</v>
      </c>
      <c r="BY42">
        <f t="shared" si="13"/>
        <v>5328</v>
      </c>
      <c r="BZ42">
        <f t="shared" si="14"/>
        <v>0</v>
      </c>
      <c r="CA42">
        <f t="shared" si="15"/>
        <v>5328</v>
      </c>
      <c r="CB42">
        <f t="shared" si="16"/>
        <v>0</v>
      </c>
      <c r="CC42">
        <f t="shared" si="17"/>
        <v>1.2899999999994805E-2</v>
      </c>
      <c r="CD42">
        <f t="shared" si="18"/>
        <v>4.0000000000048885E-3</v>
      </c>
      <c r="CE42">
        <f t="shared" si="19"/>
        <v>9.0000000000145519E-4</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7.5280150714491052</v>
      </c>
      <c r="K43" s="18">
        <f t="shared" si="2"/>
        <v>6.4338221114139555</v>
      </c>
      <c r="L43" s="18">
        <f t="shared" si="3"/>
        <v>1.0939605467356861</v>
      </c>
      <c r="M43" s="19"/>
      <c r="N43" s="18">
        <f t="shared" si="4"/>
        <v>7.5280150714491052</v>
      </c>
      <c r="O43" s="20">
        <v>3614251</v>
      </c>
      <c r="P43" s="21">
        <v>27208136</v>
      </c>
      <c r="Q43" s="21">
        <v>23253448</v>
      </c>
      <c r="R43" s="21">
        <v>3953848</v>
      </c>
      <c r="S43" s="37"/>
      <c r="T43" s="38">
        <v>35.527700000000003</v>
      </c>
      <c r="U43" s="38">
        <v>42.105800000000002</v>
      </c>
      <c r="V43" s="38">
        <v>42.921300000000002</v>
      </c>
      <c r="W43" s="39"/>
      <c r="X43" s="38">
        <v>28.130800000000001</v>
      </c>
      <c r="Y43" s="38">
        <v>28.130800000000001</v>
      </c>
      <c r="Z43" s="38">
        <v>28.130800000000001</v>
      </c>
      <c r="AA43" s="39"/>
      <c r="AB43" s="49">
        <v>7.4530000000000003</v>
      </c>
      <c r="AC43" s="49">
        <v>6.125</v>
      </c>
      <c r="AE43" s="17" t="str">
        <f t="shared" si="5"/>
        <v>·</v>
      </c>
      <c r="AF43" s="18">
        <f t="shared" si="6"/>
        <v>7.5282917539484666</v>
      </c>
      <c r="AG43" s="18">
        <f t="shared" si="7"/>
        <v>6.4338221114139555</v>
      </c>
      <c r="AH43" s="18">
        <f t="shared" si="8"/>
        <v>1.0942372292350475</v>
      </c>
      <c r="AI43" s="19"/>
      <c r="AJ43" s="18">
        <f t="shared" si="9"/>
        <v>7.5282917539484666</v>
      </c>
      <c r="AK43" s="20">
        <v>3614251</v>
      </c>
      <c r="AL43" s="21">
        <v>27209136</v>
      </c>
      <c r="AM43" s="21">
        <v>23253448</v>
      </c>
      <c r="AN43" s="21">
        <v>3954848</v>
      </c>
      <c r="AO43" s="37"/>
      <c r="AP43" s="38">
        <v>35.537300000000002</v>
      </c>
      <c r="AQ43" s="38">
        <v>42.105499999999999</v>
      </c>
      <c r="AR43" s="38">
        <v>42.959400000000002</v>
      </c>
      <c r="AS43" s="39"/>
      <c r="AT43" s="38">
        <v>28.130800000000001</v>
      </c>
      <c r="AU43" s="38">
        <v>28.130800000000001</v>
      </c>
      <c r="AV43" s="38">
        <v>28.130800000000001</v>
      </c>
      <c r="AW43" s="39"/>
      <c r="AX43" s="49">
        <v>7.468</v>
      </c>
      <c r="AY43" s="49">
        <v>6.2030000000000003</v>
      </c>
      <c r="BA43" s="53">
        <f t="shared" si="10"/>
        <v>-3.1410425359146288E-5</v>
      </c>
      <c r="BB43" s="53"/>
      <c r="BD43" s="54"/>
      <c r="BE43" s="54"/>
      <c r="BF43" s="54"/>
      <c r="BG43" s="61"/>
      <c r="BI43" s="54"/>
      <c r="BJ43" s="54"/>
      <c r="BK43" s="54"/>
      <c r="BL43" s="61"/>
      <c r="BN43" s="54"/>
      <c r="BO43" s="54"/>
      <c r="BP43" s="54"/>
      <c r="BQ43" s="61"/>
      <c r="BS43" s="54"/>
      <c r="BT43" s="54"/>
      <c r="BU43" s="54"/>
      <c r="BV43" s="61"/>
      <c r="BX43">
        <f t="shared" si="12"/>
        <v>0</v>
      </c>
      <c r="BY43">
        <f t="shared" si="13"/>
        <v>1000</v>
      </c>
      <c r="BZ43">
        <f t="shared" si="14"/>
        <v>0</v>
      </c>
      <c r="CA43">
        <f t="shared" si="15"/>
        <v>1000</v>
      </c>
      <c r="CB43">
        <f t="shared" si="16"/>
        <v>0</v>
      </c>
      <c r="CC43">
        <f t="shared" si="17"/>
        <v>9.5999999999989427E-3</v>
      </c>
      <c r="CD43">
        <f t="shared" si="18"/>
        <v>-3.0000000000285354E-4</v>
      </c>
      <c r="CE43">
        <f t="shared" si="19"/>
        <v>3.8100000000000023E-2</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6.8183200336667262</v>
      </c>
      <c r="K44" s="33">
        <f t="shared" si="2"/>
        <v>6.4338221114139555</v>
      </c>
      <c r="L44" s="33">
        <f t="shared" si="3"/>
        <v>0.38426550895330736</v>
      </c>
      <c r="M44" s="34"/>
      <c r="N44" s="33">
        <f t="shared" si="4"/>
        <v>6.8183200336667262</v>
      </c>
      <c r="O44" s="35">
        <v>3614251</v>
      </c>
      <c r="P44" s="36">
        <v>24643120</v>
      </c>
      <c r="Q44" s="36">
        <v>23253448</v>
      </c>
      <c r="R44" s="36">
        <v>1388832</v>
      </c>
      <c r="S44" s="46"/>
      <c r="T44" s="47">
        <v>29.485099999999999</v>
      </c>
      <c r="U44" s="47">
        <v>37.869700000000002</v>
      </c>
      <c r="V44" s="47">
        <v>37.648099999999999</v>
      </c>
      <c r="W44" s="48"/>
      <c r="X44" s="47">
        <v>21.686399999999999</v>
      </c>
      <c r="Y44" s="47">
        <v>21.686399999999999</v>
      </c>
      <c r="Z44" s="47">
        <v>21.686399999999999</v>
      </c>
      <c r="AA44" s="48"/>
      <c r="AB44" s="52">
        <v>7.375</v>
      </c>
      <c r="AC44" s="52">
        <v>6.14</v>
      </c>
      <c r="AE44" s="32" t="str">
        <f t="shared" si="5"/>
        <v>·</v>
      </c>
      <c r="AF44" s="33">
        <f t="shared" si="6"/>
        <v>6.8225610230169407</v>
      </c>
      <c r="AG44" s="33">
        <f t="shared" si="7"/>
        <v>6.4338221114139555</v>
      </c>
      <c r="AH44" s="33">
        <f t="shared" si="8"/>
        <v>0.38850649830352124</v>
      </c>
      <c r="AI44" s="34"/>
      <c r="AJ44" s="33">
        <f t="shared" si="9"/>
        <v>6.8225610230169407</v>
      </c>
      <c r="AK44" s="35">
        <v>3614251</v>
      </c>
      <c r="AL44" s="36">
        <v>24658448</v>
      </c>
      <c r="AM44" s="36">
        <v>23253448</v>
      </c>
      <c r="AN44" s="36">
        <v>1404160</v>
      </c>
      <c r="AO44" s="46"/>
      <c r="AP44" s="47">
        <v>29.601700000000001</v>
      </c>
      <c r="AQ44" s="47">
        <v>37.982300000000002</v>
      </c>
      <c r="AR44" s="47">
        <v>37.575499999999998</v>
      </c>
      <c r="AS44" s="48"/>
      <c r="AT44" s="47">
        <v>21.686399999999999</v>
      </c>
      <c r="AU44" s="47">
        <v>21.686399999999999</v>
      </c>
      <c r="AV44" s="47">
        <v>21.686399999999999</v>
      </c>
      <c r="AW44" s="48"/>
      <c r="AX44" s="52">
        <v>7.484</v>
      </c>
      <c r="AY44" s="52">
        <v>6.1870000000000003</v>
      </c>
      <c r="BA44" s="59">
        <f t="shared" si="10"/>
        <v>-5.8655861796041986E-4</v>
      </c>
      <c r="BB44" s="59"/>
      <c r="BD44" s="60"/>
      <c r="BE44" s="60"/>
      <c r="BF44" s="60"/>
      <c r="BG44" s="64"/>
      <c r="BI44" s="60"/>
      <c r="BJ44" s="60"/>
      <c r="BK44" s="60"/>
      <c r="BL44" s="64"/>
      <c r="BN44" s="60"/>
      <c r="BO44" s="60"/>
      <c r="BP44" s="60"/>
      <c r="BQ44" s="64"/>
      <c r="BS44" s="60"/>
      <c r="BT44" s="60"/>
      <c r="BU44" s="60"/>
      <c r="BV44" s="64"/>
      <c r="BX44">
        <f t="shared" si="12"/>
        <v>0</v>
      </c>
      <c r="BY44">
        <f t="shared" si="13"/>
        <v>15328</v>
      </c>
      <c r="BZ44">
        <f t="shared" si="14"/>
        <v>0</v>
      </c>
      <c r="CA44">
        <f t="shared" si="15"/>
        <v>15328</v>
      </c>
      <c r="CB44">
        <f t="shared" si="16"/>
        <v>0</v>
      </c>
      <c r="CC44">
        <f t="shared" si="17"/>
        <v>0.11660000000000181</v>
      </c>
      <c r="CD44">
        <f t="shared" si="18"/>
        <v>0.11260000000000048</v>
      </c>
      <c r="CE44">
        <f t="shared" si="19"/>
        <v>-7.260000000000133E-2</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11.233259845926742</v>
      </c>
      <c r="K45" s="18">
        <f t="shared" si="2"/>
        <v>4.9336815234362303</v>
      </c>
      <c r="L45" s="18">
        <f t="shared" si="3"/>
        <v>6.2994603667158726</v>
      </c>
      <c r="M45" s="19"/>
      <c r="N45" s="18">
        <f t="shared" si="4"/>
        <v>11.233259845926742</v>
      </c>
      <c r="O45" s="20">
        <v>13903516</v>
      </c>
      <c r="P45" s="21">
        <v>156181808</v>
      </c>
      <c r="Q45" s="21">
        <v>68595520</v>
      </c>
      <c r="R45" s="21">
        <v>87584648</v>
      </c>
      <c r="S45" s="37"/>
      <c r="T45" s="38">
        <v>52.808599999999998</v>
      </c>
      <c r="U45" s="38">
        <v>56.145699999999998</v>
      </c>
      <c r="V45" s="38">
        <v>55.9129</v>
      </c>
      <c r="W45" s="39"/>
      <c r="X45" s="38">
        <v>48.130800000000001</v>
      </c>
      <c r="Y45" s="38">
        <v>48.130800000000001</v>
      </c>
      <c r="Z45" s="38">
        <v>48.130800000000001</v>
      </c>
      <c r="AA45" s="39"/>
      <c r="AB45" s="49">
        <v>28.187000000000001</v>
      </c>
      <c r="AC45" s="49">
        <v>21.405999999999999</v>
      </c>
      <c r="AE45" s="17" t="str">
        <f t="shared" si="5"/>
        <v>·</v>
      </c>
      <c r="AF45" s="18">
        <f t="shared" si="6"/>
        <v>11.241177267678189</v>
      </c>
      <c r="AG45" s="18">
        <f t="shared" si="7"/>
        <v>4.9336815234362303</v>
      </c>
      <c r="AH45" s="18">
        <f t="shared" si="8"/>
        <v>6.3073777884673197</v>
      </c>
      <c r="AI45" s="19"/>
      <c r="AJ45" s="18">
        <f t="shared" si="9"/>
        <v>11.241177267678189</v>
      </c>
      <c r="AK45" s="20">
        <v>13903516</v>
      </c>
      <c r="AL45" s="21">
        <v>156291888</v>
      </c>
      <c r="AM45" s="21">
        <v>68595520</v>
      </c>
      <c r="AN45" s="21">
        <v>87694728</v>
      </c>
      <c r="AO45" s="37"/>
      <c r="AP45" s="38">
        <v>52.828200000000002</v>
      </c>
      <c r="AQ45" s="38">
        <v>56.169400000000003</v>
      </c>
      <c r="AR45" s="38">
        <v>55.938099999999999</v>
      </c>
      <c r="AS45" s="39"/>
      <c r="AT45" s="38">
        <v>48.130800000000001</v>
      </c>
      <c r="AU45" s="38">
        <v>48.130800000000001</v>
      </c>
      <c r="AV45" s="38">
        <v>48.130800000000001</v>
      </c>
      <c r="AW45" s="39"/>
      <c r="AX45" s="49">
        <v>28.170999999999999</v>
      </c>
      <c r="AY45" s="49">
        <v>21.437000000000001</v>
      </c>
      <c r="BA45" s="53">
        <f t="shared" si="10"/>
        <v>-3.0934086107742287E-4</v>
      </c>
      <c r="BB45" s="53">
        <f t="array" ref="BB45">AVERAGE(AM45:AM49/AL45:AL49)-AVERAGE(Q45:Q49/P45:P49)</f>
        <v>-6.118295934967044E-4</v>
      </c>
      <c r="BD45" s="54">
        <f>IF(OR(ISBLANK(R45:R49),ISBLANK(AN45:AN49),ISBLANK(T45:T49),ISBLANK(AP45:AP49)),"·",bdRateExtend(R45:R49,T45:T49,AN45:AN49,AP45:AP49))</f>
        <v>8.9887385432918521E-5</v>
      </c>
      <c r="BE45" s="54">
        <f>IF(OR(ISBLANK(R45:R49),ISBLANK(AN45:AN49),ISBLANK(U45:U49),ISBLANK(AQ45:AQ49)),"·",bdRateExtend(R45:R49,U45:U49,AN45:AN49,AQ45:AQ49))</f>
        <v>-7.3562051341535817E-4</v>
      </c>
      <c r="BF45" s="54">
        <f>IF(OR(ISBLANK(R45:R49),ISBLANK(AN45:AN49),ISBLANK(V45:V49),ISBLANK(AR45:AR49)),"·",bdRateExtend(R45:R49,V45:V49,AN45:AN49,AR45:AR49))</f>
        <v>-1.3099400631041425E-3</v>
      </c>
      <c r="BG45" s="61"/>
      <c r="BI45" s="54">
        <f>IF(OR(ISBLANK(R45:R49),ISBLANK(AN45:AN49),ISBLANK(X45:X49),ISBLANK(AT45:AT49)),"·",bdRateExtend(R45:R49,X45:X49,AN45:AN49,AT45:AT49))</f>
        <v>2.9969130091644924E-3</v>
      </c>
      <c r="BJ45" s="54">
        <f>IF(OR(ISBLANK(R45:R49),ISBLANK(AN45:AN49),ISBLANK(Y45:Y49),ISBLANK(AU45:AU49)),"·",bdRateExtend(R45:R49,Y45:Y49,AN45:AN49,AU45:AU49))</f>
        <v>2.9969130091644924E-3</v>
      </c>
      <c r="BK45" s="54">
        <f>IF(OR(ISBLANK(R45:R49),ISBLANK(AN45:AN49),ISBLANK(Z45:Z49),ISBLANK(AV45:AV49)),"·",bdRateExtend(R45:R49,Z45:Z49,AN45:AN49,AV45:AV49))</f>
        <v>2.9969130091644924E-3</v>
      </c>
      <c r="BL45" s="61"/>
      <c r="BN45" s="54">
        <f>IF(OR(ISBLANK(P45:P49),ISBLANK(AL45:AL49),ISBLANK(T45:T49),ISBLANK(AP45:AP49)),"·",bdRateExtend(P45:P49,T45:T49,AL45:AL49,AP45:AP49))</f>
        <v>-1.1178129194600039E-4</v>
      </c>
      <c r="BO45" s="54">
        <f>IF(OR(ISBLANK(P45:P49),ISBLANK(AL45:AL49),ISBLANK(U45:U49),ISBLANK(AQ45:AQ49)),"·",bdRateExtend(P45:P49,U45:U49,AL45:AL49,AQ45:AQ49))</f>
        <v>-3.4870274059017881E-4</v>
      </c>
      <c r="BP45" s="54">
        <f>IF(OR(ISBLANK(P45:P49),ISBLANK(AL45:AL49),ISBLANK(V45:V49),ISBLANK(AR45:AR49)),"·",bdRateExtend(P45:P49,V45:V49,AL45:AL49,AR45:AR49))</f>
        <v>-4.4433635128349191E-4</v>
      </c>
      <c r="BQ45" s="61"/>
      <c r="BS45" s="54">
        <f>IF(OR(ISBLANK(P45:P49),ISBLANK(AL45:AL49),ISBLANK(X45:X49),ISBLANK(AT45:AT49)),"·",bdRateExtend(P45:P49,X45:X49,AL45:AL49,AT45:AT49))</f>
        <v>6.5631631639151422E-4</v>
      </c>
      <c r="BT45" s="54">
        <f>IF(OR(ISBLANK(P45:P49),ISBLANK(AL45:AL49),ISBLANK(Y45:Y49),ISBLANK(AU45:AU49)),"·",bdRateExtend(P45:P49,Y45:Y49,AL45:AL49,AU45:AU49))</f>
        <v>6.5631631639151422E-4</v>
      </c>
      <c r="BU45" s="54">
        <f>IF(OR(ISBLANK(P45:P49),ISBLANK(AL45:AL49),ISBLANK(Z45:Z49),ISBLANK(AV45:AV49)),"·",bdRateExtend(P45:P49,Z45:Z49,AL45:AL49,AV45:AV49))</f>
        <v>6.5631631639151422E-4</v>
      </c>
      <c r="BV45" s="61"/>
      <c r="BX45">
        <f t="shared" si="12"/>
        <v>0</v>
      </c>
      <c r="BY45">
        <f t="shared" si="13"/>
        <v>110080</v>
      </c>
      <c r="BZ45">
        <f t="shared" si="14"/>
        <v>0</v>
      </c>
      <c r="CA45">
        <f t="shared" si="15"/>
        <v>110080</v>
      </c>
      <c r="CB45">
        <f t="shared" si="16"/>
        <v>0</v>
      </c>
      <c r="CC45">
        <f t="shared" si="17"/>
        <v>1.9600000000004059E-2</v>
      </c>
      <c r="CD45">
        <f t="shared" si="18"/>
        <v>2.3700000000005161E-2</v>
      </c>
      <c r="CE45">
        <f t="shared" si="19"/>
        <v>2.5199999999998113E-2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9.4778627219186866</v>
      </c>
      <c r="K46" s="23">
        <f t="shared" si="2"/>
        <v>4.9336815234362303</v>
      </c>
      <c r="L46" s="23">
        <f t="shared" si="3"/>
        <v>4.544063242707816</v>
      </c>
      <c r="M46" s="24"/>
      <c r="N46" s="23">
        <f t="shared" si="4"/>
        <v>9.4778627219186866</v>
      </c>
      <c r="O46" s="25">
        <v>13903516</v>
      </c>
      <c r="P46" s="26">
        <v>131775616</v>
      </c>
      <c r="Q46" s="26">
        <v>68595520</v>
      </c>
      <c r="R46" s="26">
        <v>63178456</v>
      </c>
      <c r="S46" s="40"/>
      <c r="T46" s="41">
        <v>47.980699999999999</v>
      </c>
      <c r="U46" s="41">
        <v>51.436399999999999</v>
      </c>
      <c r="V46" s="41">
        <v>51.631100000000004</v>
      </c>
      <c r="W46" s="42"/>
      <c r="X46" s="41">
        <v>42.110199999999999</v>
      </c>
      <c r="Y46" s="41">
        <v>42.110199999999999</v>
      </c>
      <c r="Z46" s="41">
        <v>42.110199999999999</v>
      </c>
      <c r="AA46" s="42"/>
      <c r="AB46" s="50">
        <v>27.905999999999999</v>
      </c>
      <c r="AC46" s="50">
        <v>21.045999999999999</v>
      </c>
      <c r="AE46" s="22" t="str">
        <f t="shared" si="5"/>
        <v>·</v>
      </c>
      <c r="AF46" s="23">
        <f t="shared" si="6"/>
        <v>9.4807017160263634</v>
      </c>
      <c r="AG46" s="23">
        <f t="shared" si="7"/>
        <v>4.9336815234362303</v>
      </c>
      <c r="AH46" s="23">
        <f t="shared" si="8"/>
        <v>4.5469022368154937</v>
      </c>
      <c r="AI46" s="24"/>
      <c r="AJ46" s="23">
        <f t="shared" si="9"/>
        <v>9.4807017160263634</v>
      </c>
      <c r="AK46" s="25">
        <v>13903516</v>
      </c>
      <c r="AL46" s="26">
        <v>131815088</v>
      </c>
      <c r="AM46" s="26">
        <v>68595520</v>
      </c>
      <c r="AN46" s="26">
        <v>63217928</v>
      </c>
      <c r="AO46" s="40"/>
      <c r="AP46" s="41">
        <v>47.994900000000001</v>
      </c>
      <c r="AQ46" s="41">
        <v>51.451099999999997</v>
      </c>
      <c r="AR46" s="41">
        <v>51.648099999999999</v>
      </c>
      <c r="AS46" s="42"/>
      <c r="AT46" s="41">
        <v>42.110199999999999</v>
      </c>
      <c r="AU46" s="41">
        <v>42.110199999999999</v>
      </c>
      <c r="AV46" s="41">
        <v>42.110199999999999</v>
      </c>
      <c r="AW46" s="42"/>
      <c r="AX46" s="50">
        <v>27.952999999999999</v>
      </c>
      <c r="AY46" s="50">
        <v>21.25</v>
      </c>
      <c r="BA46" s="55">
        <f t="shared" si="10"/>
        <v>-1.5587795727056708E-4</v>
      </c>
      <c r="BB46" s="55"/>
      <c r="BD46" s="56"/>
      <c r="BE46" s="56"/>
      <c r="BF46" s="56"/>
      <c r="BG46" s="62"/>
      <c r="BI46" s="56"/>
      <c r="BJ46" s="56"/>
      <c r="BK46" s="56"/>
      <c r="BL46" s="62"/>
      <c r="BN46" s="56"/>
      <c r="BO46" s="56"/>
      <c r="BP46" s="56"/>
      <c r="BQ46" s="62"/>
      <c r="BS46" s="56"/>
      <c r="BT46" s="56"/>
      <c r="BU46" s="56"/>
      <c r="BV46" s="62"/>
      <c r="BX46">
        <f t="shared" si="12"/>
        <v>0</v>
      </c>
      <c r="BY46">
        <f t="shared" si="13"/>
        <v>39472</v>
      </c>
      <c r="BZ46">
        <f t="shared" si="14"/>
        <v>0</v>
      </c>
      <c r="CA46">
        <f t="shared" si="15"/>
        <v>39472</v>
      </c>
      <c r="CB46">
        <f t="shared" si="16"/>
        <v>0</v>
      </c>
      <c r="CC46">
        <f t="shared" si="17"/>
        <v>1.4200000000002433E-2</v>
      </c>
      <c r="CD46">
        <f t="shared" si="18"/>
        <v>1.4699999999997715E-2</v>
      </c>
      <c r="CE46">
        <f t="shared" si="19"/>
        <v>1.6999999999995907E-2</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7.5776084265303822</v>
      </c>
      <c r="K47" s="18">
        <f t="shared" si="2"/>
        <v>4.9336815234362303</v>
      </c>
      <c r="L47" s="18">
        <f t="shared" si="3"/>
        <v>2.6438089473195125</v>
      </c>
      <c r="M47" s="19"/>
      <c r="N47" s="18">
        <f t="shared" si="4"/>
        <v>7.5776084265303822</v>
      </c>
      <c r="O47" s="20">
        <v>13903516</v>
      </c>
      <c r="P47" s="21">
        <v>105355400</v>
      </c>
      <c r="Q47" s="21">
        <v>68595520</v>
      </c>
      <c r="R47" s="21">
        <v>36758240</v>
      </c>
      <c r="S47" s="37"/>
      <c r="T47" s="38">
        <v>40.959699999999998</v>
      </c>
      <c r="U47" s="38">
        <v>46.129199999999997</v>
      </c>
      <c r="V47" s="38">
        <v>46.795400000000001</v>
      </c>
      <c r="W47" s="39"/>
      <c r="X47" s="38">
        <v>34.151400000000002</v>
      </c>
      <c r="Y47" s="38">
        <v>34.151400000000002</v>
      </c>
      <c r="Z47" s="38">
        <v>34.151400000000002</v>
      </c>
      <c r="AA47" s="39"/>
      <c r="AB47" s="49">
        <v>27.405999999999999</v>
      </c>
      <c r="AC47" s="49">
        <v>20.920999999999999</v>
      </c>
      <c r="AE47" s="17" t="str">
        <f t="shared" si="5"/>
        <v>·</v>
      </c>
      <c r="AF47" s="18">
        <f t="shared" si="6"/>
        <v>7.5811361672831534</v>
      </c>
      <c r="AG47" s="18">
        <f t="shared" si="7"/>
        <v>4.9336815234362303</v>
      </c>
      <c r="AH47" s="18">
        <f t="shared" si="8"/>
        <v>2.6473366880722833</v>
      </c>
      <c r="AI47" s="19"/>
      <c r="AJ47" s="18">
        <f t="shared" si="9"/>
        <v>7.5811361672831534</v>
      </c>
      <c r="AK47" s="20">
        <v>13903516</v>
      </c>
      <c r="AL47" s="21">
        <v>105404448</v>
      </c>
      <c r="AM47" s="21">
        <v>68595520</v>
      </c>
      <c r="AN47" s="21">
        <v>36807288</v>
      </c>
      <c r="AO47" s="37"/>
      <c r="AP47" s="38">
        <v>40.987200000000001</v>
      </c>
      <c r="AQ47" s="38">
        <v>46.159100000000002</v>
      </c>
      <c r="AR47" s="38">
        <v>46.814300000000003</v>
      </c>
      <c r="AS47" s="39"/>
      <c r="AT47" s="38">
        <v>34.151400000000002</v>
      </c>
      <c r="AU47" s="38">
        <v>34.151400000000002</v>
      </c>
      <c r="AV47" s="38">
        <v>34.151400000000002</v>
      </c>
      <c r="AW47" s="39"/>
      <c r="AX47" s="49">
        <v>27.405999999999999</v>
      </c>
      <c r="AY47" s="49">
        <v>20.952999999999999</v>
      </c>
      <c r="BA47" s="53">
        <f t="shared" si="10"/>
        <v>-3.0297117922473138E-4</v>
      </c>
      <c r="BB47" s="53"/>
      <c r="BD47" s="54"/>
      <c r="BE47" s="54"/>
      <c r="BF47" s="54"/>
      <c r="BG47" s="61"/>
      <c r="BI47" s="54"/>
      <c r="BJ47" s="54"/>
      <c r="BK47" s="54"/>
      <c r="BL47" s="61"/>
      <c r="BN47" s="54"/>
      <c r="BO47" s="54"/>
      <c r="BP47" s="54"/>
      <c r="BQ47" s="61"/>
      <c r="BS47" s="54"/>
      <c r="BT47" s="54"/>
      <c r="BU47" s="54"/>
      <c r="BV47" s="61"/>
      <c r="BX47">
        <f t="shared" si="12"/>
        <v>0</v>
      </c>
      <c r="BY47">
        <f t="shared" si="13"/>
        <v>49048</v>
      </c>
      <c r="BZ47">
        <f t="shared" si="14"/>
        <v>0</v>
      </c>
      <c r="CA47">
        <f t="shared" si="15"/>
        <v>49048</v>
      </c>
      <c r="CB47">
        <f t="shared" si="16"/>
        <v>0</v>
      </c>
      <c r="CC47">
        <f t="shared" si="17"/>
        <v>2.7500000000003411E-2</v>
      </c>
      <c r="CD47">
        <f t="shared" si="18"/>
        <v>2.9900000000004923E-2</v>
      </c>
      <c r="CE47">
        <f t="shared" si="19"/>
        <v>1.8900000000002137E-2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6.4674034970722509</v>
      </c>
      <c r="K48" s="23">
        <f t="shared" si="2"/>
        <v>4.9336815234362303</v>
      </c>
      <c r="L48" s="23">
        <f t="shared" si="3"/>
        <v>1.5336040178613812</v>
      </c>
      <c r="M48" s="24"/>
      <c r="N48" s="23">
        <f t="shared" si="4"/>
        <v>6.4674034970722509</v>
      </c>
      <c r="O48" s="25">
        <v>13903516</v>
      </c>
      <c r="P48" s="26">
        <v>89919648</v>
      </c>
      <c r="Q48" s="26">
        <v>68595520</v>
      </c>
      <c r="R48" s="26">
        <v>21322488</v>
      </c>
      <c r="S48" s="40"/>
      <c r="T48" s="41">
        <v>35.413200000000003</v>
      </c>
      <c r="U48" s="41">
        <v>41.464700000000001</v>
      </c>
      <c r="V48" s="41">
        <v>42.525300000000001</v>
      </c>
      <c r="W48" s="42"/>
      <c r="X48" s="41">
        <v>28.130800000000001</v>
      </c>
      <c r="Y48" s="41">
        <v>28.130800000000001</v>
      </c>
      <c r="Z48" s="41">
        <v>28.130800000000001</v>
      </c>
      <c r="AA48" s="42"/>
      <c r="AB48" s="50">
        <v>27.265000000000001</v>
      </c>
      <c r="AC48" s="50">
        <v>20.859000000000002</v>
      </c>
      <c r="AE48" s="22" t="str">
        <f t="shared" si="5"/>
        <v>·</v>
      </c>
      <c r="AF48" s="23">
        <f t="shared" si="6"/>
        <v>6.47251874993347</v>
      </c>
      <c r="AG48" s="23">
        <f t="shared" si="7"/>
        <v>4.9336815234362303</v>
      </c>
      <c r="AH48" s="23">
        <f t="shared" si="8"/>
        <v>1.5387192707226001</v>
      </c>
      <c r="AI48" s="24"/>
      <c r="AJ48" s="23">
        <f t="shared" si="9"/>
        <v>6.47251874993347</v>
      </c>
      <c r="AK48" s="25">
        <v>13903516</v>
      </c>
      <c r="AL48" s="26">
        <v>89990768</v>
      </c>
      <c r="AM48" s="26">
        <v>68595520</v>
      </c>
      <c r="AN48" s="26">
        <v>21393608</v>
      </c>
      <c r="AO48" s="40"/>
      <c r="AP48" s="41">
        <v>35.446399999999997</v>
      </c>
      <c r="AQ48" s="41">
        <v>41.505000000000003</v>
      </c>
      <c r="AR48" s="41">
        <v>42.572000000000003</v>
      </c>
      <c r="AS48" s="42"/>
      <c r="AT48" s="41">
        <v>28.130800000000001</v>
      </c>
      <c r="AU48" s="41">
        <v>28.130800000000001</v>
      </c>
      <c r="AV48" s="41">
        <v>28.130800000000001</v>
      </c>
      <c r="AW48" s="42"/>
      <c r="AX48" s="50">
        <v>27.359000000000002</v>
      </c>
      <c r="AY48" s="50">
        <v>20.780999999999999</v>
      </c>
      <c r="BA48" s="55">
        <f t="shared" si="10"/>
        <v>-6.0288564652744014E-4</v>
      </c>
      <c r="BB48" s="55"/>
      <c r="BD48" s="56"/>
      <c r="BE48" s="56"/>
      <c r="BF48" s="56"/>
      <c r="BG48" s="62"/>
      <c r="BI48" s="56"/>
      <c r="BJ48" s="56"/>
      <c r="BK48" s="56"/>
      <c r="BL48" s="62"/>
      <c r="BN48" s="56"/>
      <c r="BO48" s="56"/>
      <c r="BP48" s="56"/>
      <c r="BQ48" s="62"/>
      <c r="BS48" s="56"/>
      <c r="BT48" s="56"/>
      <c r="BU48" s="56"/>
      <c r="BV48" s="62"/>
      <c r="BX48">
        <f t="shared" si="12"/>
        <v>0</v>
      </c>
      <c r="BY48">
        <f t="shared" si="13"/>
        <v>71120</v>
      </c>
      <c r="BZ48">
        <f t="shared" si="14"/>
        <v>0</v>
      </c>
      <c r="CA48">
        <f t="shared" si="15"/>
        <v>71120</v>
      </c>
      <c r="CB48">
        <f t="shared" si="16"/>
        <v>0</v>
      </c>
      <c r="CC48">
        <f t="shared" si="17"/>
        <v>3.3199999999993679E-2</v>
      </c>
      <c r="CD48">
        <f t="shared" si="18"/>
        <v>4.0300000000002001E-2</v>
      </c>
      <c r="CE48">
        <f t="shared" si="19"/>
        <v>4.6700000000001296E-2</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5.606025986520244</v>
      </c>
      <c r="K49" s="28">
        <f t="shared" si="2"/>
        <v>4.9336815234362303</v>
      </c>
      <c r="L49" s="28">
        <f t="shared" si="3"/>
        <v>0.67222650730937417</v>
      </c>
      <c r="M49" s="29"/>
      <c r="N49" s="28">
        <f t="shared" si="4"/>
        <v>5.606025986520244</v>
      </c>
      <c r="O49" s="30">
        <v>13903516</v>
      </c>
      <c r="P49" s="31">
        <v>77943472</v>
      </c>
      <c r="Q49" s="31">
        <v>68595520</v>
      </c>
      <c r="R49" s="31">
        <v>9346312</v>
      </c>
      <c r="S49" s="43"/>
      <c r="T49" s="44">
        <v>29.439800000000002</v>
      </c>
      <c r="U49" s="44">
        <v>36.981499999999997</v>
      </c>
      <c r="V49" s="44">
        <v>37.8733</v>
      </c>
      <c r="W49" s="45"/>
      <c r="X49" s="44">
        <v>21.686399999999999</v>
      </c>
      <c r="Y49" s="44">
        <v>21.686399999999999</v>
      </c>
      <c r="Z49" s="44">
        <v>21.686399999999999</v>
      </c>
      <c r="AA49" s="45"/>
      <c r="AB49" s="51">
        <v>27.218</v>
      </c>
      <c r="AC49" s="51">
        <v>20.577999999999999</v>
      </c>
      <c r="AE49" s="27" t="str">
        <f t="shared" si="5"/>
        <v>·</v>
      </c>
      <c r="AF49" s="28">
        <f t="shared" si="6"/>
        <v>5.6167996642000482</v>
      </c>
      <c r="AG49" s="28">
        <f t="shared" si="7"/>
        <v>4.9336815234362303</v>
      </c>
      <c r="AH49" s="28">
        <f t="shared" si="8"/>
        <v>0.68300018498917825</v>
      </c>
      <c r="AI49" s="29"/>
      <c r="AJ49" s="28">
        <f t="shared" si="9"/>
        <v>5.6167996642000482</v>
      </c>
      <c r="AK49" s="30">
        <v>13903516</v>
      </c>
      <c r="AL49" s="31">
        <v>78093264</v>
      </c>
      <c r="AM49" s="31">
        <v>68595520</v>
      </c>
      <c r="AN49" s="31">
        <v>9496104</v>
      </c>
      <c r="AO49" s="43"/>
      <c r="AP49" s="44">
        <v>29.499600000000001</v>
      </c>
      <c r="AQ49" s="44">
        <v>37.021599999999999</v>
      </c>
      <c r="AR49" s="44">
        <v>37.937800000000003</v>
      </c>
      <c r="AS49" s="45"/>
      <c r="AT49" s="44">
        <v>21.686399999999999</v>
      </c>
      <c r="AU49" s="44">
        <v>21.686399999999999</v>
      </c>
      <c r="AV49" s="44">
        <v>21.686399999999999</v>
      </c>
      <c r="AW49" s="45"/>
      <c r="AX49" s="51">
        <v>27.202999999999999</v>
      </c>
      <c r="AY49" s="51">
        <v>20.765000000000001</v>
      </c>
      <c r="BA49" s="57">
        <f t="shared" si="10"/>
        <v>-1.688072323383194E-3</v>
      </c>
      <c r="BB49" s="57"/>
      <c r="BD49" s="58"/>
      <c r="BE49" s="58"/>
      <c r="BF49" s="58"/>
      <c r="BG49" s="63"/>
      <c r="BI49" s="58"/>
      <c r="BJ49" s="58"/>
      <c r="BK49" s="58"/>
      <c r="BL49" s="63"/>
      <c r="BN49" s="58"/>
      <c r="BO49" s="58"/>
      <c r="BP49" s="58"/>
      <c r="BQ49" s="63"/>
      <c r="BS49" s="58"/>
      <c r="BT49" s="58"/>
      <c r="BU49" s="58"/>
      <c r="BV49" s="63"/>
      <c r="BX49">
        <f t="shared" si="12"/>
        <v>0</v>
      </c>
      <c r="BY49">
        <f t="shared" si="13"/>
        <v>149792</v>
      </c>
      <c r="BZ49">
        <f t="shared" si="14"/>
        <v>0</v>
      </c>
      <c r="CA49">
        <f t="shared" si="15"/>
        <v>149792</v>
      </c>
      <c r="CB49">
        <f t="shared" si="16"/>
        <v>0</v>
      </c>
      <c r="CC49">
        <f t="shared" si="17"/>
        <v>5.9799999999999187E-2</v>
      </c>
      <c r="CD49">
        <f t="shared" si="18"/>
        <v>4.0100000000002467E-2</v>
      </c>
      <c r="CE49">
        <f t="shared" si="19"/>
        <v>6.4500000000002444E-2</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11.88124184711714</v>
      </c>
      <c r="K50" s="23">
        <f t="shared" si="2"/>
        <v>5.2585796943332763</v>
      </c>
      <c r="L50" s="23">
        <f t="shared" si="3"/>
        <v>6.6224724129645915</v>
      </c>
      <c r="M50" s="24"/>
      <c r="N50" s="23">
        <f t="shared" si="4"/>
        <v>11.88124184711714</v>
      </c>
      <c r="O50" s="25">
        <v>4848745</v>
      </c>
      <c r="P50" s="26">
        <v>57609112</v>
      </c>
      <c r="Q50" s="26">
        <v>25497512</v>
      </c>
      <c r="R50" s="26">
        <v>32110680</v>
      </c>
      <c r="S50" s="40"/>
      <c r="T50" s="41">
        <v>53.153700000000001</v>
      </c>
      <c r="U50" s="41">
        <v>55.812800000000003</v>
      </c>
      <c r="V50" s="41">
        <v>55.128300000000003</v>
      </c>
      <c r="W50" s="42"/>
      <c r="X50" s="41">
        <v>48.130800000000001</v>
      </c>
      <c r="Y50" s="41">
        <v>48.130800000000001</v>
      </c>
      <c r="Z50" s="41">
        <v>48.130800000000001</v>
      </c>
      <c r="AA50" s="42"/>
      <c r="AB50" s="50">
        <v>9.109</v>
      </c>
      <c r="AC50" s="50">
        <v>7.25</v>
      </c>
      <c r="AE50" s="22" t="str">
        <f t="shared" si="5"/>
        <v>·</v>
      </c>
      <c r="AF50" s="23">
        <f t="shared" si="6"/>
        <v>11.892510742470474</v>
      </c>
      <c r="AG50" s="23">
        <f t="shared" si="7"/>
        <v>5.2585796943332763</v>
      </c>
      <c r="AH50" s="23">
        <f t="shared" si="8"/>
        <v>6.6337413083179255</v>
      </c>
      <c r="AI50" s="24"/>
      <c r="AJ50" s="23">
        <f t="shared" si="9"/>
        <v>11.892510742470474</v>
      </c>
      <c r="AK50" s="25">
        <v>4848745</v>
      </c>
      <c r="AL50" s="26">
        <v>57663752</v>
      </c>
      <c r="AM50" s="26">
        <v>25497512</v>
      </c>
      <c r="AN50" s="26">
        <v>32165320</v>
      </c>
      <c r="AO50" s="40"/>
      <c r="AP50" s="41">
        <v>53.177900000000001</v>
      </c>
      <c r="AQ50" s="41">
        <v>55.844099999999997</v>
      </c>
      <c r="AR50" s="41">
        <v>55.158499999999997</v>
      </c>
      <c r="AS50" s="42"/>
      <c r="AT50" s="41">
        <v>48.130800000000001</v>
      </c>
      <c r="AU50" s="41">
        <v>48.130800000000001</v>
      </c>
      <c r="AV50" s="41">
        <v>48.130800000000001</v>
      </c>
      <c r="AW50" s="42"/>
      <c r="AX50" s="50">
        <v>9.1869999999999994</v>
      </c>
      <c r="AY50" s="50">
        <v>7.2960000000000003</v>
      </c>
      <c r="BA50" s="55">
        <f t="shared" si="10"/>
        <v>-4.1938647193395795E-4</v>
      </c>
      <c r="BB50" s="55">
        <f t="array" ref="BB50">AVERAGE(AM50:AM54/AL50:AL54)-AVERAGE(Q50:Q54/P50:P54)</f>
        <v>-4.2483072912979924E-4</v>
      </c>
      <c r="BD50" s="56">
        <f>IF(OR(ISBLANK(R50:R54),ISBLANK(AN50:AN54),ISBLANK(T50:T54),ISBLANK(AP50:AP54)),"·",bdRateExtend(R50:R54,T50:T54,AN50:AN54,AP50:AP54))</f>
        <v>-6.8182025751339914E-4</v>
      </c>
      <c r="BE50" s="56">
        <f>IF(OR(ISBLANK(R50:R54),ISBLANK(AN50:AN54),ISBLANK(U50:U54),ISBLANK(AQ50:AQ54)),"·",bdRateExtend(R50:R54,U50:U54,AN50:AN54,AQ50:AQ54))</f>
        <v>-1.7385438249299501E-2</v>
      </c>
      <c r="BF50" s="56">
        <f>IF(OR(ISBLANK(R50:R54),ISBLANK(AN50:AN54),ISBLANK(V50:V54),ISBLANK(AR50:AR54)),"·",bdRateExtend(R50:R54,V50:V54,AN50:AN54,AR50:AR54))</f>
        <v>-1.2342354674057532E-3</v>
      </c>
      <c r="BG50" s="62"/>
      <c r="BI50" s="56">
        <f>IF(OR(ISBLANK(R50:R54),ISBLANK(AN50:AN54),ISBLANK(X50:X54),ISBLANK(AT50:AT54)),"·",bdRateExtend(R50:R54,X50:X54,AN50:AN54,AT50:AT54))</f>
        <v>2.2329745643312471E-3</v>
      </c>
      <c r="BJ50" s="56">
        <f>IF(OR(ISBLANK(R50:R54),ISBLANK(AN50:AN54),ISBLANK(Y50:Y54),ISBLANK(AU50:AU54)),"·",bdRateExtend(R50:R54,Y50:Y54,AN50:AN54,AU50:AU54))</f>
        <v>2.2329745643312471E-3</v>
      </c>
      <c r="BK50" s="56">
        <f>IF(OR(ISBLANK(R50:R54),ISBLANK(AN50:AN54),ISBLANK(Z50:Z54),ISBLANK(AV50:AV54)),"·",bdRateExtend(R50:R54,Z50:Z54,AN50:AN54,AV50:AV54))</f>
        <v>2.2329745643312471E-3</v>
      </c>
      <c r="BL50" s="62"/>
      <c r="BN50" s="56">
        <f>IF(OR(ISBLANK(P50:P54),ISBLANK(AL50:AL54),ISBLANK(T50:T54),ISBLANK(AP50:AP54)),"·",bdRateExtend(P50:P54,T50:T54,AL50:AL54,AP50:AP54))</f>
        <v>-1.4613062232937679E-4</v>
      </c>
      <c r="BO50" s="56">
        <f>IF(OR(ISBLANK(P50:P54),ISBLANK(AL50:AL54),ISBLANK(U50:U54),ISBLANK(AQ50:AQ54)),"·",bdRateExtend(P50:P54,U50:U54,AL50:AL54,AQ50:AQ54))</f>
        <v>-2.2136901637715978E-3</v>
      </c>
      <c r="BP50" s="56">
        <f>IF(OR(ISBLANK(P50:P54),ISBLANK(AL50:AL54),ISBLANK(V50:V54),ISBLANK(AR50:AR54)),"·",bdRateExtend(P50:P54,V50:V54,AL50:AL54,AR50:AR54))</f>
        <v>-5.8432169105149256E-4</v>
      </c>
      <c r="BQ50" s="62"/>
      <c r="BS50" s="56">
        <f>IF(OR(ISBLANK(P50:P54),ISBLANK(AL50:AL54),ISBLANK(X50:X54),ISBLANK(AT50:AT54)),"·",bdRateExtend(P50:P54,X50:X54,AL50:AL54,AT50:AT54))</f>
        <v>6.1550714246805249E-4</v>
      </c>
      <c r="BT50" s="56">
        <f>IF(OR(ISBLANK(P50:P54),ISBLANK(AL50:AL54),ISBLANK(Y50:Y54),ISBLANK(AU50:AU54)),"·",bdRateExtend(P50:P54,Y50:Y54,AL50:AL54,AU50:AU54))</f>
        <v>6.1550714246805249E-4</v>
      </c>
      <c r="BU50" s="56">
        <f>IF(OR(ISBLANK(P50:P54),ISBLANK(AL50:AL54),ISBLANK(Z50:Z54),ISBLANK(AV50:AV54)),"·",bdRateExtend(P50:P54,Z50:Z54,AL50:AL54,AV50:AV54))</f>
        <v>6.1550714246805249E-4</v>
      </c>
      <c r="BV50" s="62"/>
      <c r="BX50">
        <f t="shared" si="12"/>
        <v>0</v>
      </c>
      <c r="BY50">
        <f t="shared" si="13"/>
        <v>54640</v>
      </c>
      <c r="BZ50">
        <f t="shared" si="14"/>
        <v>0</v>
      </c>
      <c r="CA50">
        <f t="shared" si="15"/>
        <v>54640</v>
      </c>
      <c r="CB50">
        <f t="shared" si="16"/>
        <v>0</v>
      </c>
      <c r="CC50">
        <f t="shared" si="17"/>
        <v>2.4200000000000443E-2</v>
      </c>
      <c r="CD50">
        <f t="shared" si="18"/>
        <v>3.1299999999994554E-2</v>
      </c>
      <c r="CE50">
        <f t="shared" si="19"/>
        <v>3.0199999999993565E-2</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9.8981010550152675</v>
      </c>
      <c r="K51" s="18">
        <f t="shared" si="2"/>
        <v>5.2585796943332763</v>
      </c>
      <c r="L51" s="18">
        <f t="shared" si="3"/>
        <v>4.639331620862718</v>
      </c>
      <c r="M51" s="19"/>
      <c r="N51" s="18">
        <f t="shared" si="4"/>
        <v>9.8981010550152675</v>
      </c>
      <c r="O51" s="20">
        <v>4848745</v>
      </c>
      <c r="P51" s="21">
        <v>47993368</v>
      </c>
      <c r="Q51" s="21">
        <v>25497512</v>
      </c>
      <c r="R51" s="21">
        <v>22494936</v>
      </c>
      <c r="S51" s="37"/>
      <c r="T51" s="38">
        <v>48.284599999999998</v>
      </c>
      <c r="U51" s="38">
        <v>51.2562</v>
      </c>
      <c r="V51" s="38">
        <v>50.9818</v>
      </c>
      <c r="W51" s="39"/>
      <c r="X51" s="38">
        <v>42.110199999999999</v>
      </c>
      <c r="Y51" s="38">
        <v>42.110199999999999</v>
      </c>
      <c r="Z51" s="38">
        <v>42.110199999999999</v>
      </c>
      <c r="AA51" s="39"/>
      <c r="AB51" s="49">
        <v>9.0619999999999994</v>
      </c>
      <c r="AC51" s="49">
        <v>7.14</v>
      </c>
      <c r="AE51" s="17" t="str">
        <f t="shared" si="5"/>
        <v>·</v>
      </c>
      <c r="AF51" s="18">
        <f t="shared" si="6"/>
        <v>9.9042502750711776</v>
      </c>
      <c r="AG51" s="18">
        <f t="shared" si="7"/>
        <v>5.2585796943332763</v>
      </c>
      <c r="AH51" s="18">
        <f t="shared" si="8"/>
        <v>4.6454808409186299</v>
      </c>
      <c r="AI51" s="19"/>
      <c r="AJ51" s="18">
        <f t="shared" si="9"/>
        <v>9.9042502750711776</v>
      </c>
      <c r="AK51" s="20">
        <v>4848745</v>
      </c>
      <c r="AL51" s="21">
        <v>48023184</v>
      </c>
      <c r="AM51" s="21">
        <v>25497512</v>
      </c>
      <c r="AN51" s="21">
        <v>22524752</v>
      </c>
      <c r="AO51" s="37"/>
      <c r="AP51" s="38">
        <v>48.3005</v>
      </c>
      <c r="AQ51" s="38">
        <v>51.279000000000003</v>
      </c>
      <c r="AR51" s="38">
        <v>51.0045</v>
      </c>
      <c r="AS51" s="39"/>
      <c r="AT51" s="38">
        <v>42.110199999999999</v>
      </c>
      <c r="AU51" s="38">
        <v>42.110199999999999</v>
      </c>
      <c r="AV51" s="38">
        <v>42.110199999999999</v>
      </c>
      <c r="AW51" s="39"/>
      <c r="AX51" s="49">
        <v>9.125</v>
      </c>
      <c r="AY51" s="49">
        <v>7.1870000000000003</v>
      </c>
      <c r="BA51" s="53">
        <f t="shared" si="10"/>
        <v>-3.2984887365350435E-4</v>
      </c>
      <c r="BB51" s="53"/>
      <c r="BD51" s="54"/>
      <c r="BE51" s="54"/>
      <c r="BF51" s="54"/>
      <c r="BG51" s="61"/>
      <c r="BI51" s="54"/>
      <c r="BJ51" s="54"/>
      <c r="BK51" s="54"/>
      <c r="BL51" s="61"/>
      <c r="BN51" s="54"/>
      <c r="BO51" s="54"/>
      <c r="BP51" s="54"/>
      <c r="BQ51" s="61"/>
      <c r="BS51" s="54"/>
      <c r="BT51" s="54"/>
      <c r="BU51" s="54"/>
      <c r="BV51" s="61"/>
      <c r="BX51">
        <f t="shared" si="12"/>
        <v>0</v>
      </c>
      <c r="BY51">
        <f t="shared" si="13"/>
        <v>29816</v>
      </c>
      <c r="BZ51">
        <f t="shared" si="14"/>
        <v>0</v>
      </c>
      <c r="CA51">
        <f t="shared" si="15"/>
        <v>29816</v>
      </c>
      <c r="CB51">
        <f t="shared" si="16"/>
        <v>0</v>
      </c>
      <c r="CC51">
        <f t="shared" si="17"/>
        <v>1.5900000000002024E-2</v>
      </c>
      <c r="CD51">
        <f t="shared" si="18"/>
        <v>2.2800000000003706E-2</v>
      </c>
      <c r="CE51">
        <f t="shared" si="19"/>
        <v>2.2700000000000387E-2</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7.7623038538838403</v>
      </c>
      <c r="K52" s="23">
        <f t="shared" si="2"/>
        <v>5.2585796943332763</v>
      </c>
      <c r="L52" s="23">
        <f t="shared" si="3"/>
        <v>2.5035344197312912</v>
      </c>
      <c r="M52" s="24"/>
      <c r="N52" s="23">
        <f t="shared" si="4"/>
        <v>7.7623038538838403</v>
      </c>
      <c r="O52" s="25">
        <v>4848745</v>
      </c>
      <c r="P52" s="26">
        <v>37637432</v>
      </c>
      <c r="Q52" s="26">
        <v>25497512</v>
      </c>
      <c r="R52" s="26">
        <v>12139000</v>
      </c>
      <c r="S52" s="40"/>
      <c r="T52" s="41">
        <v>41.349499999999999</v>
      </c>
      <c r="U52" s="41">
        <v>46.0227</v>
      </c>
      <c r="V52" s="41">
        <v>46.005800000000001</v>
      </c>
      <c r="W52" s="42"/>
      <c r="X52" s="41">
        <v>34.151400000000002</v>
      </c>
      <c r="Y52" s="41">
        <v>34.151400000000002</v>
      </c>
      <c r="Z52" s="41">
        <v>34.151400000000002</v>
      </c>
      <c r="AA52" s="42"/>
      <c r="AB52" s="50">
        <v>8.9369999999999994</v>
      </c>
      <c r="AC52" s="50">
        <v>7.0309999999999997</v>
      </c>
      <c r="AE52" s="22" t="str">
        <f t="shared" si="5"/>
        <v>·</v>
      </c>
      <c r="AF52" s="23">
        <f t="shared" si="6"/>
        <v>7.767477976259836</v>
      </c>
      <c r="AG52" s="23">
        <f t="shared" si="7"/>
        <v>5.2585796943332763</v>
      </c>
      <c r="AH52" s="23">
        <f t="shared" si="8"/>
        <v>2.5087085421072874</v>
      </c>
      <c r="AI52" s="24"/>
      <c r="AJ52" s="23">
        <f t="shared" si="9"/>
        <v>7.767477976259836</v>
      </c>
      <c r="AK52" s="25">
        <v>4848745</v>
      </c>
      <c r="AL52" s="26">
        <v>37662520</v>
      </c>
      <c r="AM52" s="26">
        <v>25497512</v>
      </c>
      <c r="AN52" s="26">
        <v>12164088</v>
      </c>
      <c r="AO52" s="40"/>
      <c r="AP52" s="41">
        <v>41.377099999999999</v>
      </c>
      <c r="AQ52" s="41">
        <v>46.064599999999999</v>
      </c>
      <c r="AR52" s="41">
        <v>46.052900000000001</v>
      </c>
      <c r="AS52" s="42"/>
      <c r="AT52" s="41">
        <v>34.151400000000002</v>
      </c>
      <c r="AU52" s="41">
        <v>34.151400000000002</v>
      </c>
      <c r="AV52" s="41">
        <v>34.151400000000002</v>
      </c>
      <c r="AW52" s="42"/>
      <c r="AX52" s="50">
        <v>8.9060000000000006</v>
      </c>
      <c r="AY52" s="50">
        <v>7.0780000000000003</v>
      </c>
      <c r="BA52" s="55">
        <f t="shared" si="10"/>
        <v>-4.5126794643124413E-4</v>
      </c>
      <c r="BB52" s="55"/>
      <c r="BD52" s="56"/>
      <c r="BE52" s="56"/>
      <c r="BF52" s="56"/>
      <c r="BG52" s="62"/>
      <c r="BI52" s="56"/>
      <c r="BJ52" s="56"/>
      <c r="BK52" s="56"/>
      <c r="BL52" s="62"/>
      <c r="BN52" s="56"/>
      <c r="BO52" s="56"/>
      <c r="BP52" s="56"/>
      <c r="BQ52" s="62"/>
      <c r="BS52" s="56"/>
      <c r="BT52" s="56"/>
      <c r="BU52" s="56"/>
      <c r="BV52" s="62"/>
      <c r="BX52">
        <f t="shared" si="12"/>
        <v>0</v>
      </c>
      <c r="BY52">
        <f t="shared" si="13"/>
        <v>25088</v>
      </c>
      <c r="BZ52">
        <f t="shared" si="14"/>
        <v>0</v>
      </c>
      <c r="CA52">
        <f t="shared" si="15"/>
        <v>25088</v>
      </c>
      <c r="CB52">
        <f t="shared" si="16"/>
        <v>0</v>
      </c>
      <c r="CC52">
        <f t="shared" si="17"/>
        <v>2.7599999999999625E-2</v>
      </c>
      <c r="CD52">
        <f t="shared" si="18"/>
        <v>4.1899999999998272E-2</v>
      </c>
      <c r="CE52">
        <f t="shared" si="19"/>
        <v>4.7100000000000364E-2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6.6224328150892653</v>
      </c>
      <c r="K53" s="18">
        <f t="shared" si="2"/>
        <v>5.2585796943332763</v>
      </c>
      <c r="L53" s="18">
        <f t="shared" si="3"/>
        <v>1.3636633809367167</v>
      </c>
      <c r="M53" s="19"/>
      <c r="N53" s="18">
        <f t="shared" si="4"/>
        <v>6.6224328150892653</v>
      </c>
      <c r="O53" s="20">
        <v>4848745</v>
      </c>
      <c r="P53" s="21">
        <v>32110488</v>
      </c>
      <c r="Q53" s="21">
        <v>25497512</v>
      </c>
      <c r="R53" s="21">
        <v>6612056</v>
      </c>
      <c r="S53" s="37"/>
      <c r="T53" s="38">
        <v>35.854100000000003</v>
      </c>
      <c r="U53" s="38">
        <v>41.431199999999997</v>
      </c>
      <c r="V53" s="38">
        <v>41.9009</v>
      </c>
      <c r="W53" s="39"/>
      <c r="X53" s="38">
        <v>28.130800000000001</v>
      </c>
      <c r="Y53" s="38">
        <v>28.130800000000001</v>
      </c>
      <c r="Z53" s="38">
        <v>28.130800000000001</v>
      </c>
      <c r="AA53" s="39"/>
      <c r="AB53" s="49">
        <v>8.843</v>
      </c>
      <c r="AC53" s="49">
        <v>7.0149999999999997</v>
      </c>
      <c r="AE53" s="17" t="str">
        <f t="shared" si="5"/>
        <v>·</v>
      </c>
      <c r="AF53" s="18">
        <f t="shared" si="6"/>
        <v>6.6254818514894058</v>
      </c>
      <c r="AG53" s="18">
        <f t="shared" si="7"/>
        <v>5.2585796943332763</v>
      </c>
      <c r="AH53" s="18">
        <f t="shared" si="8"/>
        <v>1.3667124173368572</v>
      </c>
      <c r="AI53" s="19"/>
      <c r="AJ53" s="18">
        <f t="shared" si="9"/>
        <v>6.6254818514894058</v>
      </c>
      <c r="AK53" s="20">
        <v>4848745</v>
      </c>
      <c r="AL53" s="21">
        <v>32125272</v>
      </c>
      <c r="AM53" s="21">
        <v>25497512</v>
      </c>
      <c r="AN53" s="21">
        <v>6626840</v>
      </c>
      <c r="AO53" s="37"/>
      <c r="AP53" s="38">
        <v>35.884700000000002</v>
      </c>
      <c r="AQ53" s="38">
        <v>41.436500000000002</v>
      </c>
      <c r="AR53" s="38">
        <v>41.936900000000001</v>
      </c>
      <c r="AS53" s="39"/>
      <c r="AT53" s="38">
        <v>28.130800000000001</v>
      </c>
      <c r="AU53" s="38">
        <v>28.130800000000001</v>
      </c>
      <c r="AV53" s="38">
        <v>28.130800000000001</v>
      </c>
      <c r="AW53" s="39"/>
      <c r="AX53" s="49">
        <v>8.89</v>
      </c>
      <c r="AY53" s="49">
        <v>7.0149999999999997</v>
      </c>
      <c r="BA53" s="53">
        <f t="shared" si="10"/>
        <v>-3.6542313525333991E-4</v>
      </c>
      <c r="BB53" s="53"/>
      <c r="BD53" s="54"/>
      <c r="BE53" s="54"/>
      <c r="BF53" s="54"/>
      <c r="BG53" s="61"/>
      <c r="BI53" s="54"/>
      <c r="BJ53" s="54"/>
      <c r="BK53" s="54"/>
      <c r="BL53" s="61"/>
      <c r="BN53" s="54"/>
      <c r="BO53" s="54"/>
      <c r="BP53" s="54"/>
      <c r="BQ53" s="61"/>
      <c r="BS53" s="54"/>
      <c r="BT53" s="54"/>
      <c r="BU53" s="54"/>
      <c r="BV53" s="61"/>
      <c r="BX53">
        <f t="shared" si="12"/>
        <v>0</v>
      </c>
      <c r="BY53">
        <f t="shared" si="13"/>
        <v>14784</v>
      </c>
      <c r="BZ53">
        <f t="shared" si="14"/>
        <v>0</v>
      </c>
      <c r="CA53">
        <f t="shared" si="15"/>
        <v>14784</v>
      </c>
      <c r="CB53">
        <f t="shared" si="16"/>
        <v>0</v>
      </c>
      <c r="CC53">
        <f t="shared" si="17"/>
        <v>3.0599999999999739E-2</v>
      </c>
      <c r="CD53">
        <f t="shared" si="18"/>
        <v>5.3000000000054115E-3</v>
      </c>
      <c r="CE53">
        <f t="shared" si="19"/>
        <v>3.6000000000001364E-2</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5.84568749233049</v>
      </c>
      <c r="K54" s="33">
        <f t="shared" si="2"/>
        <v>5.2585796943332763</v>
      </c>
      <c r="L54" s="33">
        <f t="shared" si="3"/>
        <v>0.58691805817794085</v>
      </c>
      <c r="M54" s="34"/>
      <c r="N54" s="33">
        <f t="shared" si="4"/>
        <v>5.84568749233049</v>
      </c>
      <c r="O54" s="35">
        <v>4848745</v>
      </c>
      <c r="P54" s="36">
        <v>28344248</v>
      </c>
      <c r="Q54" s="36">
        <v>25497512</v>
      </c>
      <c r="R54" s="36">
        <v>2845816</v>
      </c>
      <c r="S54" s="46"/>
      <c r="T54" s="47">
        <v>29.738900000000001</v>
      </c>
      <c r="U54" s="47">
        <v>35.945599999999999</v>
      </c>
      <c r="V54" s="47">
        <v>37.084899999999998</v>
      </c>
      <c r="W54" s="48"/>
      <c r="X54" s="47">
        <v>21.686399999999999</v>
      </c>
      <c r="Y54" s="47">
        <v>21.686399999999999</v>
      </c>
      <c r="Z54" s="47">
        <v>21.686399999999999</v>
      </c>
      <c r="AA54" s="48"/>
      <c r="AB54" s="52">
        <v>8.7810000000000006</v>
      </c>
      <c r="AC54" s="52">
        <v>6.9059999999999997</v>
      </c>
      <c r="AE54" s="32" t="str">
        <f t="shared" si="5"/>
        <v>·</v>
      </c>
      <c r="AF54" s="33">
        <f t="shared" si="6"/>
        <v>5.849317297568752</v>
      </c>
      <c r="AG54" s="33">
        <f t="shared" si="7"/>
        <v>5.2585796943332763</v>
      </c>
      <c r="AH54" s="33">
        <f t="shared" si="8"/>
        <v>0.59054786341620358</v>
      </c>
      <c r="AI54" s="34"/>
      <c r="AJ54" s="33">
        <f t="shared" si="9"/>
        <v>5.849317297568752</v>
      </c>
      <c r="AK54" s="35">
        <v>4848745</v>
      </c>
      <c r="AL54" s="36">
        <v>28361848</v>
      </c>
      <c r="AM54" s="36">
        <v>25497512</v>
      </c>
      <c r="AN54" s="36">
        <v>2863416</v>
      </c>
      <c r="AO54" s="46"/>
      <c r="AP54" s="47">
        <v>29.785499999999999</v>
      </c>
      <c r="AQ54" s="47">
        <v>37.2104</v>
      </c>
      <c r="AR54" s="47">
        <v>37.057400000000001</v>
      </c>
      <c r="AS54" s="48"/>
      <c r="AT54" s="47">
        <v>21.686399999999999</v>
      </c>
      <c r="AU54" s="47">
        <v>21.686399999999999</v>
      </c>
      <c r="AV54" s="47">
        <v>21.686399999999999</v>
      </c>
      <c r="AW54" s="48"/>
      <c r="AX54" s="52">
        <v>8.89</v>
      </c>
      <c r="AY54" s="52">
        <v>6.9530000000000003</v>
      </c>
      <c r="BA54" s="59">
        <f t="shared" si="10"/>
        <v>-5.5822721837694989E-4</v>
      </c>
      <c r="BB54" s="59"/>
      <c r="BD54" s="60"/>
      <c r="BE54" s="60"/>
      <c r="BF54" s="60"/>
      <c r="BG54" s="64"/>
      <c r="BI54" s="60"/>
      <c r="BJ54" s="60"/>
      <c r="BK54" s="60"/>
      <c r="BL54" s="64"/>
      <c r="BN54" s="60"/>
      <c r="BO54" s="60"/>
      <c r="BP54" s="60"/>
      <c r="BQ54" s="64"/>
      <c r="BS54" s="60"/>
      <c r="BT54" s="60"/>
      <c r="BU54" s="60"/>
      <c r="BV54" s="64"/>
      <c r="BX54">
        <f t="shared" si="12"/>
        <v>0</v>
      </c>
      <c r="BY54">
        <f t="shared" si="13"/>
        <v>17600</v>
      </c>
      <c r="BZ54">
        <f t="shared" si="14"/>
        <v>0</v>
      </c>
      <c r="CA54">
        <f t="shared" si="15"/>
        <v>17600</v>
      </c>
      <c r="CB54">
        <f t="shared" si="16"/>
        <v>0</v>
      </c>
      <c r="CC54">
        <f t="shared" si="17"/>
        <v>4.6599999999997976E-2</v>
      </c>
      <c r="CD54">
        <f t="shared" si="18"/>
        <v>1.264800000000001</v>
      </c>
      <c r="CE54">
        <f t="shared" si="19"/>
        <v>-2.7499999999996305E-2</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10.376420567406582</v>
      </c>
      <c r="K55" s="18">
        <f t="shared" si="2"/>
        <v>3.8253841418393719</v>
      </c>
      <c r="L55" s="18">
        <f t="shared" si="3"/>
        <v>6.5507909572038825</v>
      </c>
      <c r="M55" s="19"/>
      <c r="N55" s="18">
        <f t="shared" si="4"/>
        <v>10.376420567406582</v>
      </c>
      <c r="O55" s="20">
        <v>3096122</v>
      </c>
      <c r="P55" s="21">
        <v>32126664</v>
      </c>
      <c r="Q55" s="21">
        <v>11843856</v>
      </c>
      <c r="R55" s="21">
        <v>20282048</v>
      </c>
      <c r="S55" s="37"/>
      <c r="T55" s="38">
        <v>53.130499999999998</v>
      </c>
      <c r="U55" s="38">
        <v>55.2014</v>
      </c>
      <c r="V55" s="38">
        <v>55.4086</v>
      </c>
      <c r="W55" s="39"/>
      <c r="X55" s="38">
        <v>48.130800000000001</v>
      </c>
      <c r="Y55" s="38">
        <v>48.130800000000001</v>
      </c>
      <c r="Z55" s="38">
        <v>48.130800000000001</v>
      </c>
      <c r="AA55" s="39"/>
      <c r="AB55" s="49">
        <v>5.234</v>
      </c>
      <c r="AC55" s="49">
        <v>4.2030000000000003</v>
      </c>
      <c r="AE55" s="17" t="str">
        <f t="shared" si="5"/>
        <v>·</v>
      </c>
      <c r="AF55" s="18">
        <f t="shared" si="6"/>
        <v>10.384732901352079</v>
      </c>
      <c r="AG55" s="18">
        <f t="shared" si="7"/>
        <v>3.8253841418393719</v>
      </c>
      <c r="AH55" s="18">
        <f t="shared" si="8"/>
        <v>6.5591032911493796</v>
      </c>
      <c r="AI55" s="19"/>
      <c r="AJ55" s="18">
        <f t="shared" si="9"/>
        <v>10.384732901352079</v>
      </c>
      <c r="AK55" s="20">
        <v>3096122</v>
      </c>
      <c r="AL55" s="21">
        <v>32152400</v>
      </c>
      <c r="AM55" s="21">
        <v>11843856</v>
      </c>
      <c r="AN55" s="21">
        <v>20307784</v>
      </c>
      <c r="AO55" s="37"/>
      <c r="AP55" s="38">
        <v>53.1462</v>
      </c>
      <c r="AQ55" s="38">
        <v>55.226599999999998</v>
      </c>
      <c r="AR55" s="38">
        <v>55.433399999999999</v>
      </c>
      <c r="AS55" s="39"/>
      <c r="AT55" s="38">
        <v>48.130800000000001</v>
      </c>
      <c r="AU55" s="38">
        <v>48.130800000000001</v>
      </c>
      <c r="AV55" s="38">
        <v>48.130800000000001</v>
      </c>
      <c r="AW55" s="39"/>
      <c r="AX55" s="49">
        <v>5.1710000000000003</v>
      </c>
      <c r="AY55" s="49">
        <v>4.1870000000000003</v>
      </c>
      <c r="BA55" s="53">
        <f t="shared" si="10"/>
        <v>-2.9509043937703261E-4</v>
      </c>
      <c r="BB55" s="53">
        <f t="array" ref="BB55">AVERAGE(AM55:AM59/AL55:AL59)-AVERAGE(Q55:Q59/P55:P59)</f>
        <v>5.8350750574032162E-5</v>
      </c>
      <c r="BD55" s="54">
        <f>IF(OR(ISBLANK(R55:R59),ISBLANK(AN55:AN59),ISBLANK(T55:T59),ISBLANK(AP55:AP59)),"·",bdRateExtend(R55:R59,T55:T59,AN55:AN59,AP55:AP59))</f>
        <v>-3.4708253887375529E-3</v>
      </c>
      <c r="BE55" s="54">
        <f>IF(OR(ISBLANK(R55:R59),ISBLANK(AN55:AN59),ISBLANK(U55:U59),ISBLANK(AQ55:AQ59)),"·",bdRateExtend(R55:R59,U55:U59,AN55:AN59,AQ55:AQ59))</f>
        <v>-1.0921646723252243E-2</v>
      </c>
      <c r="BF55" s="54">
        <f>IF(OR(ISBLANK(R55:R59),ISBLANK(AN55:AN59),ISBLANK(V55:V59),ISBLANK(AR55:AR59)),"·",bdRateExtend(R55:R59,V55:V59,AN55:AN59,AR55:AR59))</f>
        <v>-7.6942745093386833E-3</v>
      </c>
      <c r="BG55" s="61"/>
      <c r="BI55" s="54">
        <f>IF(OR(ISBLANK(R55:R59),ISBLANK(AN55:AN59),ISBLANK(X55:X59),ISBLANK(AT55:AT59)),"·",bdRateExtend(R55:R59,X55:X59,AN55:AN59,AT55:AT59))</f>
        <v>-4.5582239496977373E-4</v>
      </c>
      <c r="BJ55" s="54">
        <f>IF(OR(ISBLANK(R55:R59),ISBLANK(AN55:AN59),ISBLANK(Y55:Y59),ISBLANK(AU55:AU59)),"·",bdRateExtend(R55:R59,Y55:Y59,AN55:AN59,AU55:AU59))</f>
        <v>-4.5582239496977373E-4</v>
      </c>
      <c r="BK55" s="54">
        <f>IF(OR(ISBLANK(R55:R59),ISBLANK(AN55:AN59),ISBLANK(Z55:Z59),ISBLANK(AV55:AV59)),"·",bdRateExtend(R55:R59,Z55:Z59,AN55:AN59,AV55:AV59))</f>
        <v>-4.5582239496977373E-4</v>
      </c>
      <c r="BL55" s="61"/>
      <c r="BN55" s="54">
        <f>IF(OR(ISBLANK(P55:P59),ISBLANK(AL55:AL59),ISBLANK(T55:T59),ISBLANK(AP55:AP59)),"·",bdRateExtend(P55:P59,T55:T59,AL55:AL59,AP55:AP59))</f>
        <v>-6.9313661441328112E-4</v>
      </c>
      <c r="BO55" s="54">
        <f>IF(OR(ISBLANK(P55:P59),ISBLANK(AL55:AL59),ISBLANK(U55:U59),ISBLANK(AQ55:AQ59)),"·",bdRateExtend(P55:P59,U55:U59,AL55:AL59,AQ55:AQ59))</f>
        <v>-2.5225461860757248E-3</v>
      </c>
      <c r="BP55" s="54">
        <f>IF(OR(ISBLANK(P55:P59),ISBLANK(AL55:AL59),ISBLANK(V55:V59),ISBLANK(AR55:AR59)),"·",bdRateExtend(P55:P59,V55:V59,AL55:AL59,AR55:AR59))</f>
        <v>-1.422689250693554E-3</v>
      </c>
      <c r="BQ55" s="61"/>
      <c r="BS55" s="54">
        <f>IF(OR(ISBLANK(P55:P59),ISBLANK(AL55:AL59),ISBLANK(X55:X59),ISBLANK(AT55:AT59)),"·",bdRateExtend(P55:P59,X55:X59,AL55:AL59,AT55:AT59))</f>
        <v>9.1225015686591249E-5</v>
      </c>
      <c r="BT55" s="54">
        <f>IF(OR(ISBLANK(P55:P59),ISBLANK(AL55:AL59),ISBLANK(Y55:Y59),ISBLANK(AU55:AU59)),"·",bdRateExtend(P55:P59,Y55:Y59,AL55:AL59,AU55:AU59))</f>
        <v>9.1225015686591249E-5</v>
      </c>
      <c r="BU55" s="54">
        <f>IF(OR(ISBLANK(P55:P59),ISBLANK(AL55:AL59),ISBLANK(Z55:Z59),ISBLANK(AV55:AV59)),"·",bdRateExtend(P55:P59,Z55:Z59,AL55:AL59,AV55:AV59))</f>
        <v>9.1225015686591249E-5</v>
      </c>
      <c r="BV55" s="61"/>
      <c r="BX55">
        <f t="shared" si="12"/>
        <v>0</v>
      </c>
      <c r="BY55">
        <f t="shared" si="13"/>
        <v>25736</v>
      </c>
      <c r="BZ55">
        <f t="shared" si="14"/>
        <v>0</v>
      </c>
      <c r="CA55">
        <f t="shared" si="15"/>
        <v>25736</v>
      </c>
      <c r="CB55">
        <f t="shared" si="16"/>
        <v>0</v>
      </c>
      <c r="CC55">
        <f t="shared" si="17"/>
        <v>1.570000000000249E-2</v>
      </c>
      <c r="CD55">
        <f t="shared" si="18"/>
        <v>2.5199999999998113E-2</v>
      </c>
      <c r="CE55">
        <f t="shared" si="19"/>
        <v>2.4799999999999045E-2</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8.3490069189779987</v>
      </c>
      <c r="K56" s="23">
        <f t="shared" si="2"/>
        <v>3.8253841418393719</v>
      </c>
      <c r="L56" s="23">
        <f t="shared" si="3"/>
        <v>4.5233773087753004</v>
      </c>
      <c r="M56" s="24"/>
      <c r="N56" s="23">
        <f t="shared" si="4"/>
        <v>8.3490069189779987</v>
      </c>
      <c r="O56" s="25">
        <v>3096122</v>
      </c>
      <c r="P56" s="26">
        <v>25849544</v>
      </c>
      <c r="Q56" s="26">
        <v>11843856</v>
      </c>
      <c r="R56" s="26">
        <v>14004928</v>
      </c>
      <c r="S56" s="40"/>
      <c r="T56" s="41">
        <v>48.323399999999999</v>
      </c>
      <c r="U56" s="41">
        <v>51.174199999999999</v>
      </c>
      <c r="V56" s="41">
        <v>50.889099999999999</v>
      </c>
      <c r="W56" s="42"/>
      <c r="X56" s="41">
        <v>42.110199999999999</v>
      </c>
      <c r="Y56" s="41">
        <v>42.110199999999999</v>
      </c>
      <c r="Z56" s="41">
        <v>42.110199999999999</v>
      </c>
      <c r="AA56" s="42"/>
      <c r="AB56" s="50">
        <v>5.0309999999999997</v>
      </c>
      <c r="AC56" s="50">
        <v>4.125</v>
      </c>
      <c r="AE56" s="22" t="str">
        <f t="shared" si="5"/>
        <v>·</v>
      </c>
      <c r="AF56" s="23">
        <f t="shared" si="6"/>
        <v>8.3534718593130375</v>
      </c>
      <c r="AG56" s="23">
        <f t="shared" si="7"/>
        <v>3.8253841418393719</v>
      </c>
      <c r="AH56" s="23">
        <f t="shared" si="8"/>
        <v>4.5278422491103383</v>
      </c>
      <c r="AI56" s="24"/>
      <c r="AJ56" s="23">
        <f t="shared" si="9"/>
        <v>8.3534718593130375</v>
      </c>
      <c r="AK56" s="25">
        <v>3096122</v>
      </c>
      <c r="AL56" s="26">
        <v>25863368</v>
      </c>
      <c r="AM56" s="26">
        <v>11843856</v>
      </c>
      <c r="AN56" s="26">
        <v>14018752</v>
      </c>
      <c r="AO56" s="40"/>
      <c r="AP56" s="41">
        <v>48.334800000000001</v>
      </c>
      <c r="AQ56" s="41">
        <v>51.189500000000002</v>
      </c>
      <c r="AR56" s="41">
        <v>50.9041</v>
      </c>
      <c r="AS56" s="42"/>
      <c r="AT56" s="41">
        <v>42.110199999999999</v>
      </c>
      <c r="AU56" s="41">
        <v>42.110199999999999</v>
      </c>
      <c r="AV56" s="41">
        <v>42.110199999999999</v>
      </c>
      <c r="AW56" s="42"/>
      <c r="AX56" s="50">
        <v>5.14</v>
      </c>
      <c r="AY56" s="50">
        <v>4.1399999999999997</v>
      </c>
      <c r="BA56" s="55">
        <f t="shared" si="10"/>
        <v>-2.4490005241201152E-4</v>
      </c>
      <c r="BB56" s="55"/>
      <c r="BD56" s="56"/>
      <c r="BE56" s="56"/>
      <c r="BF56" s="56"/>
      <c r="BG56" s="62"/>
      <c r="BI56" s="56"/>
      <c r="BJ56" s="56"/>
      <c r="BK56" s="56"/>
      <c r="BL56" s="62"/>
      <c r="BN56" s="56"/>
      <c r="BO56" s="56"/>
      <c r="BP56" s="56"/>
      <c r="BQ56" s="62"/>
      <c r="BS56" s="56"/>
      <c r="BT56" s="56"/>
      <c r="BU56" s="56"/>
      <c r="BV56" s="62"/>
      <c r="BX56">
        <f t="shared" si="12"/>
        <v>0</v>
      </c>
      <c r="BY56">
        <f t="shared" si="13"/>
        <v>13824</v>
      </c>
      <c r="BZ56">
        <f t="shared" si="14"/>
        <v>0</v>
      </c>
      <c r="CA56">
        <f t="shared" si="15"/>
        <v>13824</v>
      </c>
      <c r="CB56">
        <f t="shared" si="16"/>
        <v>0</v>
      </c>
      <c r="CC56">
        <f t="shared" si="17"/>
        <v>1.1400000000001853E-2</v>
      </c>
      <c r="CD56">
        <f t="shared" si="18"/>
        <v>1.5300000000003422E-2</v>
      </c>
      <c r="CE56">
        <f t="shared" si="19"/>
        <v>1.5000000000000568E-2</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6.3475715750219148</v>
      </c>
      <c r="K57" s="18">
        <f t="shared" si="2"/>
        <v>3.8253841418393719</v>
      </c>
      <c r="L57" s="18">
        <f t="shared" si="3"/>
        <v>2.5219419648192156</v>
      </c>
      <c r="M57" s="19"/>
      <c r="N57" s="18">
        <f t="shared" si="4"/>
        <v>6.3475715750219148</v>
      </c>
      <c r="O57" s="20">
        <v>3096122</v>
      </c>
      <c r="P57" s="21">
        <v>19652856</v>
      </c>
      <c r="Q57" s="21">
        <v>11843856</v>
      </c>
      <c r="R57" s="21">
        <v>7808240</v>
      </c>
      <c r="S57" s="37"/>
      <c r="T57" s="38">
        <v>41.315100000000001</v>
      </c>
      <c r="U57" s="38">
        <v>45.322400000000002</v>
      </c>
      <c r="V57" s="38">
        <v>45.063499999999998</v>
      </c>
      <c r="W57" s="39"/>
      <c r="X57" s="38">
        <v>34.151400000000002</v>
      </c>
      <c r="Y57" s="38">
        <v>34.151400000000002</v>
      </c>
      <c r="Z57" s="38">
        <v>34.151400000000002</v>
      </c>
      <c r="AA57" s="39"/>
      <c r="AB57" s="49">
        <v>5.0460000000000003</v>
      </c>
      <c r="AC57" s="49">
        <v>4.109</v>
      </c>
      <c r="AE57" s="17" t="str">
        <f t="shared" si="5"/>
        <v>·</v>
      </c>
      <c r="AF57" s="18">
        <f t="shared" si="6"/>
        <v>6.348473348272452</v>
      </c>
      <c r="AG57" s="18">
        <f t="shared" si="7"/>
        <v>3.8253841418393719</v>
      </c>
      <c r="AH57" s="18">
        <f t="shared" si="8"/>
        <v>2.5228437380697533</v>
      </c>
      <c r="AI57" s="19"/>
      <c r="AJ57" s="18">
        <f t="shared" si="9"/>
        <v>6.348473348272452</v>
      </c>
      <c r="AK57" s="20">
        <v>3096122</v>
      </c>
      <c r="AL57" s="21">
        <v>19655648</v>
      </c>
      <c r="AM57" s="21">
        <v>11843856</v>
      </c>
      <c r="AN57" s="21">
        <v>7811032</v>
      </c>
      <c r="AO57" s="37"/>
      <c r="AP57" s="38">
        <v>41.338299999999997</v>
      </c>
      <c r="AQ57" s="38">
        <v>45.360399999999998</v>
      </c>
      <c r="AR57" s="38">
        <v>45.081899999999997</v>
      </c>
      <c r="AS57" s="39"/>
      <c r="AT57" s="38">
        <v>34.151400000000002</v>
      </c>
      <c r="AU57" s="38">
        <v>34.151400000000002</v>
      </c>
      <c r="AV57" s="38">
        <v>34.151400000000002</v>
      </c>
      <c r="AW57" s="39"/>
      <c r="AX57" s="49">
        <v>5.0309999999999997</v>
      </c>
      <c r="AY57" s="49">
        <v>4.0780000000000003</v>
      </c>
      <c r="BA57" s="53">
        <f t="shared" si="10"/>
        <v>-8.5604283063700493E-5</v>
      </c>
      <c r="BB57" s="53"/>
      <c r="BD57" s="54"/>
      <c r="BE57" s="54"/>
      <c r="BF57" s="54"/>
      <c r="BG57" s="61"/>
      <c r="BI57" s="54"/>
      <c r="BJ57" s="54"/>
      <c r="BK57" s="54"/>
      <c r="BL57" s="61"/>
      <c r="BN57" s="54"/>
      <c r="BO57" s="54"/>
      <c r="BP57" s="54"/>
      <c r="BQ57" s="61"/>
      <c r="BS57" s="54"/>
      <c r="BT57" s="54"/>
      <c r="BU57" s="54"/>
      <c r="BV57" s="61"/>
      <c r="BX57">
        <f t="shared" si="12"/>
        <v>0</v>
      </c>
      <c r="BY57">
        <f t="shared" si="13"/>
        <v>2792</v>
      </c>
      <c r="BZ57">
        <f t="shared" si="14"/>
        <v>0</v>
      </c>
      <c r="CA57">
        <f t="shared" si="15"/>
        <v>2792</v>
      </c>
      <c r="CB57">
        <f t="shared" si="16"/>
        <v>0</v>
      </c>
      <c r="CC57">
        <f t="shared" si="17"/>
        <v>2.3199999999995669E-2</v>
      </c>
      <c r="CD57">
        <f t="shared" si="18"/>
        <v>3.7999999999996703E-2</v>
      </c>
      <c r="CE57">
        <f t="shared" si="19"/>
        <v>1.839999999999975E-2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5.1523680268413194</v>
      </c>
      <c r="K58" s="23">
        <f t="shared" si="2"/>
        <v>3.8253841418393719</v>
      </c>
      <c r="L58" s="23">
        <f t="shared" si="3"/>
        <v>1.3267384166386209</v>
      </c>
      <c r="M58" s="24"/>
      <c r="N58" s="23">
        <f t="shared" si="4"/>
        <v>5.1523680268413194</v>
      </c>
      <c r="O58" s="25">
        <v>3096122</v>
      </c>
      <c r="P58" s="26">
        <v>15952360</v>
      </c>
      <c r="Q58" s="26">
        <v>11843856</v>
      </c>
      <c r="R58" s="26">
        <v>4107744</v>
      </c>
      <c r="S58" s="40"/>
      <c r="T58" s="41">
        <v>35.839399999999998</v>
      </c>
      <c r="U58" s="41">
        <v>40.642499999999998</v>
      </c>
      <c r="V58" s="41">
        <v>40.090400000000002</v>
      </c>
      <c r="W58" s="42"/>
      <c r="X58" s="41">
        <v>28.130800000000001</v>
      </c>
      <c r="Y58" s="41">
        <v>28.130800000000001</v>
      </c>
      <c r="Z58" s="41">
        <v>28.130800000000001</v>
      </c>
      <c r="AA58" s="42"/>
      <c r="AB58" s="50">
        <v>5</v>
      </c>
      <c r="AC58" s="50">
        <v>4.093</v>
      </c>
      <c r="AE58" s="22" t="str">
        <f t="shared" si="5"/>
        <v>·</v>
      </c>
      <c r="AF58" s="23">
        <f t="shared" si="6"/>
        <v>5.1503655217720752</v>
      </c>
      <c r="AG58" s="23">
        <f t="shared" si="7"/>
        <v>3.8253841418393719</v>
      </c>
      <c r="AH58" s="23">
        <f t="shared" si="8"/>
        <v>1.3247359115693762</v>
      </c>
      <c r="AI58" s="24"/>
      <c r="AJ58" s="23">
        <f t="shared" si="9"/>
        <v>5.1503655217720752</v>
      </c>
      <c r="AK58" s="25">
        <v>3096122</v>
      </c>
      <c r="AL58" s="26">
        <v>15946160</v>
      </c>
      <c r="AM58" s="26">
        <v>11843856</v>
      </c>
      <c r="AN58" s="26">
        <v>4101544</v>
      </c>
      <c r="AO58" s="40"/>
      <c r="AP58" s="41">
        <v>35.852600000000002</v>
      </c>
      <c r="AQ58" s="41">
        <v>40.767099999999999</v>
      </c>
      <c r="AR58" s="41">
        <v>40.122</v>
      </c>
      <c r="AS58" s="42"/>
      <c r="AT58" s="41">
        <v>28.130800000000001</v>
      </c>
      <c r="AU58" s="41">
        <v>28.130800000000001</v>
      </c>
      <c r="AV58" s="41">
        <v>28.130800000000001</v>
      </c>
      <c r="AW58" s="42"/>
      <c r="AX58" s="50">
        <v>4.9210000000000003</v>
      </c>
      <c r="AY58" s="50">
        <v>4.0460000000000003</v>
      </c>
      <c r="BA58" s="55">
        <f t="shared" si="10"/>
        <v>2.8867139353172533E-4</v>
      </c>
      <c r="BB58" s="55"/>
      <c r="BD58" s="56"/>
      <c r="BE58" s="56"/>
      <c r="BF58" s="56"/>
      <c r="BG58" s="62"/>
      <c r="BI58" s="56"/>
      <c r="BJ58" s="56"/>
      <c r="BK58" s="56"/>
      <c r="BL58" s="62"/>
      <c r="BN58" s="56"/>
      <c r="BO58" s="56"/>
      <c r="BP58" s="56"/>
      <c r="BQ58" s="62"/>
      <c r="BS58" s="56"/>
      <c r="BT58" s="56"/>
      <c r="BU58" s="56"/>
      <c r="BV58" s="62"/>
      <c r="BX58">
        <f t="shared" si="12"/>
        <v>0</v>
      </c>
      <c r="BY58">
        <f t="shared" si="13"/>
        <v>-6200</v>
      </c>
      <c r="BZ58">
        <f t="shared" si="14"/>
        <v>0</v>
      </c>
      <c r="CA58">
        <f t="shared" si="15"/>
        <v>-6200</v>
      </c>
      <c r="CB58">
        <f t="shared" si="16"/>
        <v>0</v>
      </c>
      <c r="CC58">
        <f t="shared" si="17"/>
        <v>1.3200000000004763E-2</v>
      </c>
      <c r="CD58">
        <f t="shared" si="18"/>
        <v>0.12460000000000093</v>
      </c>
      <c r="CE58">
        <f t="shared" si="19"/>
        <v>3.1599999999997408E-2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4.3650321272869741</v>
      </c>
      <c r="K59" s="28">
        <f t="shared" si="2"/>
        <v>3.8253841418393719</v>
      </c>
      <c r="L59" s="28">
        <f t="shared" si="3"/>
        <v>0.53940251708427511</v>
      </c>
      <c r="M59" s="29"/>
      <c r="N59" s="28">
        <f t="shared" si="4"/>
        <v>4.3650321272869741</v>
      </c>
      <c r="O59" s="30">
        <v>3096122</v>
      </c>
      <c r="P59" s="31">
        <v>13514672</v>
      </c>
      <c r="Q59" s="31">
        <v>11843856</v>
      </c>
      <c r="R59" s="31">
        <v>1670056</v>
      </c>
      <c r="S59" s="43"/>
      <c r="T59" s="44">
        <v>29.948699999999999</v>
      </c>
      <c r="U59" s="44">
        <v>35.236899999999999</v>
      </c>
      <c r="V59" s="44">
        <v>34.303400000000003</v>
      </c>
      <c r="W59" s="45"/>
      <c r="X59" s="44">
        <v>21.686399999999999</v>
      </c>
      <c r="Y59" s="44">
        <v>21.686399999999999</v>
      </c>
      <c r="Z59" s="44">
        <v>21.686399999999999</v>
      </c>
      <c r="AA59" s="45"/>
      <c r="AB59" s="51">
        <v>4.859</v>
      </c>
      <c r="AC59" s="51">
        <v>4.0149999999999997</v>
      </c>
      <c r="AE59" s="27" t="str">
        <f t="shared" si="5"/>
        <v>·</v>
      </c>
      <c r="AF59" s="28">
        <f t="shared" si="6"/>
        <v>4.3619030516239343</v>
      </c>
      <c r="AG59" s="28">
        <f t="shared" si="7"/>
        <v>3.8253841418393719</v>
      </c>
      <c r="AH59" s="28">
        <f t="shared" si="8"/>
        <v>0.53627344142123601</v>
      </c>
      <c r="AI59" s="29"/>
      <c r="AJ59" s="28">
        <f t="shared" si="9"/>
        <v>4.3619030516239343</v>
      </c>
      <c r="AK59" s="30">
        <v>3096122</v>
      </c>
      <c r="AL59" s="31">
        <v>13504984</v>
      </c>
      <c r="AM59" s="31">
        <v>11843856</v>
      </c>
      <c r="AN59" s="31">
        <v>1660368</v>
      </c>
      <c r="AO59" s="43"/>
      <c r="AP59" s="44">
        <v>30.043399999999998</v>
      </c>
      <c r="AQ59" s="44">
        <v>35.404299999999999</v>
      </c>
      <c r="AR59" s="44">
        <v>34.584699999999998</v>
      </c>
      <c r="AS59" s="45"/>
      <c r="AT59" s="44">
        <v>21.686399999999999</v>
      </c>
      <c r="AU59" s="44">
        <v>21.686399999999999</v>
      </c>
      <c r="AV59" s="44">
        <v>21.686399999999999</v>
      </c>
      <c r="AW59" s="45"/>
      <c r="AX59" s="51">
        <v>4.9530000000000003</v>
      </c>
      <c r="AY59" s="51">
        <v>4.0149999999999997</v>
      </c>
      <c r="BA59" s="57">
        <f t="shared" si="10"/>
        <v>6.2867713419034743E-4</v>
      </c>
      <c r="BB59" s="57"/>
      <c r="BD59" s="58"/>
      <c r="BE59" s="58"/>
      <c r="BF59" s="58"/>
      <c r="BG59" s="63"/>
      <c r="BI59" s="58"/>
      <c r="BJ59" s="58"/>
      <c r="BK59" s="58"/>
      <c r="BL59" s="63"/>
      <c r="BN59" s="58"/>
      <c r="BO59" s="58"/>
      <c r="BP59" s="58"/>
      <c r="BQ59" s="63"/>
      <c r="BS59" s="58"/>
      <c r="BT59" s="58"/>
      <c r="BU59" s="58"/>
      <c r="BV59" s="63"/>
      <c r="BX59">
        <f t="shared" si="12"/>
        <v>0</v>
      </c>
      <c r="BY59">
        <f t="shared" si="13"/>
        <v>-9688</v>
      </c>
      <c r="BZ59">
        <f t="shared" si="14"/>
        <v>0</v>
      </c>
      <c r="CA59">
        <f t="shared" si="15"/>
        <v>-9688</v>
      </c>
      <c r="CB59">
        <f t="shared" si="16"/>
        <v>0</v>
      </c>
      <c r="CC59">
        <f t="shared" si="17"/>
        <v>9.4699999999999562E-2</v>
      </c>
      <c r="CD59">
        <f t="shared" si="18"/>
        <v>0.16740000000000066</v>
      </c>
      <c r="CE59">
        <f t="shared" si="19"/>
        <v>0.28129999999999455</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9.4772333635598613</v>
      </c>
      <c r="K60" s="23">
        <f t="shared" si="2"/>
        <v>1.0206278570479483</v>
      </c>
      <c r="L60" s="23">
        <f t="shared" si="3"/>
        <v>8.4559807731308698</v>
      </c>
      <c r="M60" s="24"/>
      <c r="N60" s="23">
        <f t="shared" si="4"/>
        <v>9.4772333635598613</v>
      </c>
      <c r="O60" s="25">
        <v>857966</v>
      </c>
      <c r="P60" s="26">
        <v>8131144</v>
      </c>
      <c r="Q60" s="26">
        <v>875664</v>
      </c>
      <c r="R60" s="26">
        <v>7254944</v>
      </c>
      <c r="S60" s="40"/>
      <c r="T60" s="41">
        <v>53.256700000000002</v>
      </c>
      <c r="U60" s="41">
        <v>54.907200000000003</v>
      </c>
      <c r="V60" s="41">
        <v>55.231099999999998</v>
      </c>
      <c r="W60" s="42"/>
      <c r="X60" s="41">
        <v>48.130800000000001</v>
      </c>
      <c r="Y60" s="41">
        <v>48.130800000000001</v>
      </c>
      <c r="Z60" s="41">
        <v>48.130800000000001</v>
      </c>
      <c r="AA60" s="42"/>
      <c r="AB60" s="50">
        <v>1.0620000000000001</v>
      </c>
      <c r="AC60" s="50">
        <v>0.82799999999999996</v>
      </c>
      <c r="AE60" s="22" t="str">
        <f t="shared" si="5"/>
        <v>·</v>
      </c>
      <c r="AF60" s="23">
        <f t="shared" si="6"/>
        <v>9.5002459304914186</v>
      </c>
      <c r="AG60" s="23">
        <f t="shared" si="7"/>
        <v>1.0206278570479483</v>
      </c>
      <c r="AH60" s="23">
        <f t="shared" si="8"/>
        <v>8.4789933400624271</v>
      </c>
      <c r="AI60" s="24"/>
      <c r="AJ60" s="23">
        <f t="shared" si="9"/>
        <v>9.5002459304914186</v>
      </c>
      <c r="AK60" s="25">
        <v>857966</v>
      </c>
      <c r="AL60" s="26">
        <v>8150888</v>
      </c>
      <c r="AM60" s="26">
        <v>875664</v>
      </c>
      <c r="AN60" s="26">
        <v>7274688</v>
      </c>
      <c r="AO60" s="40"/>
      <c r="AP60" s="41">
        <v>53.2956</v>
      </c>
      <c r="AQ60" s="41">
        <v>54.968400000000003</v>
      </c>
      <c r="AR60" s="41">
        <v>55.293399999999998</v>
      </c>
      <c r="AS60" s="42"/>
      <c r="AT60" s="41">
        <v>48.130800000000001</v>
      </c>
      <c r="AU60" s="41">
        <v>48.130800000000001</v>
      </c>
      <c r="AV60" s="41">
        <v>48.130800000000001</v>
      </c>
      <c r="AW60" s="42"/>
      <c r="AX60" s="50">
        <v>1.093</v>
      </c>
      <c r="AY60" s="50">
        <v>0.81200000000000006</v>
      </c>
      <c r="BA60" s="55">
        <f t="shared" si="10"/>
        <v>-2.6086514761540502E-4</v>
      </c>
      <c r="BB60" s="55">
        <f t="array" ref="BB60">AVERAGE(AM60:AM64/AL60:AL64)-AVERAGE(Q60:Q64/P60:P64)</f>
        <v>-2.6901279982433079E-4</v>
      </c>
      <c r="BD60" s="56">
        <f>IF(OR(ISBLANK(R60:R64),ISBLANK(AN60:AN64),ISBLANK(T60:T64),ISBLANK(AP60:AP64)),"·",bdRateExtend(R60:R64,T60:T64,AN60:AN64,AP60:AP64))</f>
        <v>-2.556070651313247E-3</v>
      </c>
      <c r="BE60" s="56">
        <f>IF(OR(ISBLANK(R60:R64),ISBLANK(AN60:AN64),ISBLANK(U60:U64),ISBLANK(AQ60:AQ64)),"·",bdRateExtend(R60:R64,U60:U64,AN60:AN64,AQ60:AQ64))</f>
        <v>-9.7179127562126988E-3</v>
      </c>
      <c r="BF60" s="56">
        <f>IF(OR(ISBLANK(R60:R64),ISBLANK(AN60:AN64),ISBLANK(V60:V64),ISBLANK(AR60:AR64)),"·",bdRateExtend(R60:R64,V60:V64,AN60:AN64,AR60:AR64))</f>
        <v>-6.6604519198785184E-3</v>
      </c>
      <c r="BG60" s="62"/>
      <c r="BI60" s="56">
        <f>IF(OR(ISBLANK(R60:R64),ISBLANK(AN60:AN64),ISBLANK(X60:X64),ISBLANK(AT60:AT64)),"·",bdRateExtend(R60:R64,X60:X64,AN60:AN64,AT60:AT64))</f>
        <v>1.5629413915987378E-3</v>
      </c>
      <c r="BJ60" s="56">
        <f>IF(OR(ISBLANK(R60:R64),ISBLANK(AN60:AN64),ISBLANK(Y60:Y64),ISBLANK(AU60:AU64)),"·",bdRateExtend(R60:R64,Y60:Y64,AN60:AN64,AU60:AU64))</f>
        <v>1.5629413915987378E-3</v>
      </c>
      <c r="BK60" s="56">
        <f>IF(OR(ISBLANK(R60:R64),ISBLANK(AN60:AN64),ISBLANK(Z60:Z64),ISBLANK(AV60:AV64)),"·",bdRateExtend(R60:R64,Z60:Z64,AN60:AN64,AV60:AV64))</f>
        <v>1.5629413915987378E-3</v>
      </c>
      <c r="BL60" s="62"/>
      <c r="BN60" s="56">
        <f>IF(OR(ISBLANK(P60:P64),ISBLANK(AL60:AL64),ISBLANK(T60:T64),ISBLANK(AP60:AP64)),"·",bdRateExtend(P60:P64,T60:T64,AL60:AL64,AP60:AP64))</f>
        <v>-1.5428569096394007E-3</v>
      </c>
      <c r="BO60" s="56">
        <f>IF(OR(ISBLANK(P60:P64),ISBLANK(AL60:AL64),ISBLANK(U60:U64),ISBLANK(AQ60:AQ64)),"·",bdRateExtend(P60:P64,U60:U64,AL60:AL64,AQ60:AQ64))</f>
        <v>-6.3840600327775832E-3</v>
      </c>
      <c r="BP60" s="56">
        <f>IF(OR(ISBLANK(P60:P64),ISBLANK(AL60:AL64),ISBLANK(V60:V64),ISBLANK(AR60:AR64)),"·",bdRateExtend(P60:P64,V60:V64,AL60:AL64,AR60:AR64))</f>
        <v>-4.2923638075162973E-3</v>
      </c>
      <c r="BQ60" s="62"/>
      <c r="BS60" s="56">
        <f>IF(OR(ISBLANK(P60:P64),ISBLANK(AL60:AL64),ISBLANK(X60:X64),ISBLANK(AT60:AT64)),"·",bdRateExtend(P60:P64,X60:X64,AL60:AL64,AT60:AT64))</f>
        <v>1.2566487218583777E-3</v>
      </c>
      <c r="BT60" s="56">
        <f>IF(OR(ISBLANK(P60:P64),ISBLANK(AL60:AL64),ISBLANK(Y60:Y64),ISBLANK(AU60:AU64)),"·",bdRateExtend(P60:P64,Y60:Y64,AL60:AL64,AU60:AU64))</f>
        <v>1.2566487218583777E-3</v>
      </c>
      <c r="BU60" s="56">
        <f>IF(OR(ISBLANK(P60:P64),ISBLANK(AL60:AL64),ISBLANK(Z60:Z64),ISBLANK(AV60:AV64)),"·",bdRateExtend(P60:P64,Z60:Z64,AL60:AL64,AV60:AV64))</f>
        <v>1.2566487218583777E-3</v>
      </c>
      <c r="BV60" s="62"/>
      <c r="BX60">
        <f t="shared" si="12"/>
        <v>0</v>
      </c>
      <c r="BY60">
        <f t="shared" si="13"/>
        <v>19744</v>
      </c>
      <c r="BZ60">
        <f t="shared" si="14"/>
        <v>0</v>
      </c>
      <c r="CA60">
        <f t="shared" si="15"/>
        <v>19744</v>
      </c>
      <c r="CB60">
        <f t="shared" si="16"/>
        <v>0</v>
      </c>
      <c r="CC60">
        <f t="shared" si="17"/>
        <v>3.8899999999998158E-2</v>
      </c>
      <c r="CD60">
        <f t="shared" si="18"/>
        <v>6.1199999999999477E-2</v>
      </c>
      <c r="CE60">
        <f t="shared" si="19"/>
        <v>6.2300000000000466E-2</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7.1260632705724936</v>
      </c>
      <c r="K61" s="18">
        <f t="shared" si="2"/>
        <v>1.0206278570479483</v>
      </c>
      <c r="L61" s="18">
        <f t="shared" si="3"/>
        <v>6.104810680143502</v>
      </c>
      <c r="M61" s="19"/>
      <c r="N61" s="18">
        <f t="shared" si="4"/>
        <v>7.1260632705724936</v>
      </c>
      <c r="O61" s="20">
        <v>857966</v>
      </c>
      <c r="P61" s="21">
        <v>6113920</v>
      </c>
      <c r="Q61" s="21">
        <v>875664</v>
      </c>
      <c r="R61" s="21">
        <v>5237720</v>
      </c>
      <c r="S61" s="37"/>
      <c r="T61" s="38">
        <v>48.403199999999998</v>
      </c>
      <c r="U61" s="38">
        <v>50.777500000000003</v>
      </c>
      <c r="V61" s="38">
        <v>50.579900000000002</v>
      </c>
      <c r="W61" s="39"/>
      <c r="X61" s="38">
        <v>42.110199999999999</v>
      </c>
      <c r="Y61" s="38">
        <v>42.110199999999999</v>
      </c>
      <c r="Z61" s="38">
        <v>42.110199999999999</v>
      </c>
      <c r="AA61" s="39"/>
      <c r="AB61" s="49">
        <v>1.0620000000000001</v>
      </c>
      <c r="AC61" s="49">
        <v>0.79600000000000004</v>
      </c>
      <c r="AE61" s="17" t="str">
        <f t="shared" si="5"/>
        <v>·</v>
      </c>
      <c r="AF61" s="18">
        <f t="shared" si="6"/>
        <v>7.1384740187839615</v>
      </c>
      <c r="AG61" s="18">
        <f t="shared" si="7"/>
        <v>1.0206278570479483</v>
      </c>
      <c r="AH61" s="18">
        <f t="shared" si="8"/>
        <v>6.11722142835497</v>
      </c>
      <c r="AI61" s="19"/>
      <c r="AJ61" s="18">
        <f t="shared" si="9"/>
        <v>7.1384740187839615</v>
      </c>
      <c r="AK61" s="20">
        <v>857966</v>
      </c>
      <c r="AL61" s="21">
        <v>6124568</v>
      </c>
      <c r="AM61" s="21">
        <v>875664</v>
      </c>
      <c r="AN61" s="21">
        <v>5248368</v>
      </c>
      <c r="AO61" s="37"/>
      <c r="AP61" s="38">
        <v>48.438600000000001</v>
      </c>
      <c r="AQ61" s="38">
        <v>50.831200000000003</v>
      </c>
      <c r="AR61" s="38">
        <v>50.616399999999999</v>
      </c>
      <c r="AS61" s="39"/>
      <c r="AT61" s="38">
        <v>42.110199999999999</v>
      </c>
      <c r="AU61" s="38">
        <v>42.110199999999999</v>
      </c>
      <c r="AV61" s="38">
        <v>42.110199999999999</v>
      </c>
      <c r="AW61" s="39"/>
      <c r="AX61" s="49">
        <v>1.0620000000000001</v>
      </c>
      <c r="AY61" s="49">
        <v>0.81200000000000006</v>
      </c>
      <c r="BA61" s="53">
        <f t="shared" si="10"/>
        <v>-2.490062943890925E-4</v>
      </c>
      <c r="BB61" s="53"/>
      <c r="BD61" s="54"/>
      <c r="BE61" s="54"/>
      <c r="BF61" s="54"/>
      <c r="BG61" s="61"/>
      <c r="BI61" s="54"/>
      <c r="BJ61" s="54"/>
      <c r="BK61" s="54"/>
      <c r="BL61" s="61"/>
      <c r="BN61" s="54"/>
      <c r="BO61" s="54"/>
      <c r="BP61" s="54"/>
      <c r="BQ61" s="61"/>
      <c r="BS61" s="54"/>
      <c r="BT61" s="54"/>
      <c r="BU61" s="54"/>
      <c r="BV61" s="61"/>
      <c r="BX61">
        <f t="shared" si="12"/>
        <v>0</v>
      </c>
      <c r="BY61">
        <f t="shared" si="13"/>
        <v>10648</v>
      </c>
      <c r="BZ61">
        <f t="shared" si="14"/>
        <v>0</v>
      </c>
      <c r="CA61">
        <f t="shared" si="15"/>
        <v>10648</v>
      </c>
      <c r="CB61">
        <f t="shared" si="16"/>
        <v>0</v>
      </c>
      <c r="CC61">
        <f t="shared" si="17"/>
        <v>3.5400000000002763E-2</v>
      </c>
      <c r="CD61">
        <f t="shared" si="18"/>
        <v>5.3699999999999193E-2</v>
      </c>
      <c r="CE61">
        <f t="shared" si="19"/>
        <v>3.6499999999996646E-2</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4.7543888685565632</v>
      </c>
      <c r="K62" s="23">
        <f t="shared" si="2"/>
        <v>1.0206278570479483</v>
      </c>
      <c r="L62" s="23">
        <f t="shared" si="3"/>
        <v>3.7331362781275717</v>
      </c>
      <c r="M62" s="24"/>
      <c r="N62" s="23">
        <f t="shared" si="4"/>
        <v>4.7543888685565632</v>
      </c>
      <c r="O62" s="25">
        <v>857966</v>
      </c>
      <c r="P62" s="26">
        <v>4079104</v>
      </c>
      <c r="Q62" s="26">
        <v>875664</v>
      </c>
      <c r="R62" s="26">
        <v>3202904</v>
      </c>
      <c r="S62" s="40"/>
      <c r="T62" s="41">
        <v>41.318300000000001</v>
      </c>
      <c r="U62" s="41">
        <v>44.743699999999997</v>
      </c>
      <c r="V62" s="41">
        <v>44.570500000000003</v>
      </c>
      <c r="W62" s="42"/>
      <c r="X62" s="41">
        <v>34.151400000000002</v>
      </c>
      <c r="Y62" s="41">
        <v>34.151400000000002</v>
      </c>
      <c r="Z62" s="41">
        <v>34.151400000000002</v>
      </c>
      <c r="AA62" s="42"/>
      <c r="AB62" s="50">
        <v>1.0149999999999999</v>
      </c>
      <c r="AC62" s="50">
        <v>0.78100000000000003</v>
      </c>
      <c r="AE62" s="22" t="str">
        <f t="shared" si="5"/>
        <v>·</v>
      </c>
      <c r="AF62" s="23">
        <f t="shared" si="6"/>
        <v>4.7640489250156763</v>
      </c>
      <c r="AG62" s="23">
        <f t="shared" si="7"/>
        <v>1.0206278570479483</v>
      </c>
      <c r="AH62" s="23">
        <f t="shared" si="8"/>
        <v>3.7427963345866853</v>
      </c>
      <c r="AI62" s="24"/>
      <c r="AJ62" s="23">
        <f t="shared" si="9"/>
        <v>4.7640489250156763</v>
      </c>
      <c r="AK62" s="25">
        <v>857966</v>
      </c>
      <c r="AL62" s="26">
        <v>4087392</v>
      </c>
      <c r="AM62" s="26">
        <v>875664</v>
      </c>
      <c r="AN62" s="26">
        <v>3211192</v>
      </c>
      <c r="AO62" s="40"/>
      <c r="AP62" s="41">
        <v>41.350700000000003</v>
      </c>
      <c r="AQ62" s="41">
        <v>44.823399999999999</v>
      </c>
      <c r="AR62" s="41">
        <v>44.647199999999998</v>
      </c>
      <c r="AS62" s="42"/>
      <c r="AT62" s="41">
        <v>34.151400000000002</v>
      </c>
      <c r="AU62" s="41">
        <v>34.151400000000002</v>
      </c>
      <c r="AV62" s="41">
        <v>34.151400000000002</v>
      </c>
      <c r="AW62" s="42"/>
      <c r="AX62" s="50">
        <v>1.0620000000000001</v>
      </c>
      <c r="AY62" s="50">
        <v>0.81200000000000006</v>
      </c>
      <c r="BA62" s="55">
        <f t="shared" si="10"/>
        <v>-4.3528747327412076E-4</v>
      </c>
      <c r="BB62" s="55"/>
      <c r="BD62" s="56"/>
      <c r="BE62" s="56"/>
      <c r="BF62" s="56"/>
      <c r="BG62" s="62"/>
      <c r="BI62" s="56"/>
      <c r="BJ62" s="56"/>
      <c r="BK62" s="56"/>
      <c r="BL62" s="62"/>
      <c r="BN62" s="56"/>
      <c r="BO62" s="56"/>
      <c r="BP62" s="56"/>
      <c r="BQ62" s="62"/>
      <c r="BS62" s="56"/>
      <c r="BT62" s="56"/>
      <c r="BU62" s="56"/>
      <c r="BV62" s="62"/>
      <c r="BX62">
        <f t="shared" si="12"/>
        <v>0</v>
      </c>
      <c r="BY62">
        <f t="shared" si="13"/>
        <v>8288</v>
      </c>
      <c r="BZ62">
        <f t="shared" si="14"/>
        <v>0</v>
      </c>
      <c r="CA62">
        <f t="shared" si="15"/>
        <v>8288</v>
      </c>
      <c r="CB62">
        <f t="shared" si="16"/>
        <v>0</v>
      </c>
      <c r="CC62">
        <f t="shared" si="17"/>
        <v>3.2400000000002649E-2</v>
      </c>
      <c r="CD62">
        <f t="shared" si="18"/>
        <v>7.9700000000002547E-2</v>
      </c>
      <c r="CE62">
        <f t="shared" si="19"/>
        <v>7.6699999999995327E-2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3.1811144031348562</v>
      </c>
      <c r="K63" s="18">
        <f t="shared" si="2"/>
        <v>1.0206278570479483</v>
      </c>
      <c r="L63" s="18">
        <f t="shared" si="3"/>
        <v>2.1598618127058646</v>
      </c>
      <c r="M63" s="19"/>
      <c r="N63" s="18">
        <f t="shared" si="4"/>
        <v>3.1811144031348562</v>
      </c>
      <c r="O63" s="20">
        <v>857966</v>
      </c>
      <c r="P63" s="21">
        <v>2729288</v>
      </c>
      <c r="Q63" s="21">
        <v>875664</v>
      </c>
      <c r="R63" s="21">
        <v>1853088</v>
      </c>
      <c r="S63" s="37"/>
      <c r="T63" s="38">
        <v>35.738900000000001</v>
      </c>
      <c r="U63" s="38">
        <v>40.11</v>
      </c>
      <c r="V63" s="38">
        <v>39.5642</v>
      </c>
      <c r="W63" s="39"/>
      <c r="X63" s="38">
        <v>28.130800000000001</v>
      </c>
      <c r="Y63" s="38">
        <v>28.130800000000001</v>
      </c>
      <c r="Z63" s="38">
        <v>28.130800000000001</v>
      </c>
      <c r="AA63" s="39"/>
      <c r="AB63" s="49">
        <v>1.0620000000000001</v>
      </c>
      <c r="AC63" s="49">
        <v>0.81200000000000006</v>
      </c>
      <c r="AE63" s="17" t="str">
        <f t="shared" si="5"/>
        <v>·</v>
      </c>
      <c r="AF63" s="18">
        <f t="shared" si="6"/>
        <v>3.1803964259655979</v>
      </c>
      <c r="AG63" s="18">
        <f t="shared" si="7"/>
        <v>1.0206278570479483</v>
      </c>
      <c r="AH63" s="18">
        <f t="shared" si="8"/>
        <v>2.1591438355366064</v>
      </c>
      <c r="AI63" s="19"/>
      <c r="AJ63" s="18">
        <f t="shared" si="9"/>
        <v>3.1803964259655979</v>
      </c>
      <c r="AK63" s="20">
        <v>857966</v>
      </c>
      <c r="AL63" s="21">
        <v>2728672</v>
      </c>
      <c r="AM63" s="21">
        <v>875664</v>
      </c>
      <c r="AN63" s="21">
        <v>1852472</v>
      </c>
      <c r="AO63" s="37"/>
      <c r="AP63" s="38">
        <v>35.769799999999996</v>
      </c>
      <c r="AQ63" s="38">
        <v>40.229900000000001</v>
      </c>
      <c r="AR63" s="38">
        <v>39.634300000000003</v>
      </c>
      <c r="AS63" s="39"/>
      <c r="AT63" s="38">
        <v>28.130800000000001</v>
      </c>
      <c r="AU63" s="38">
        <v>28.130800000000001</v>
      </c>
      <c r="AV63" s="38">
        <v>28.130800000000001</v>
      </c>
      <c r="AW63" s="39"/>
      <c r="AX63" s="49">
        <v>1.0620000000000001</v>
      </c>
      <c r="AY63" s="49">
        <v>0.75</v>
      </c>
      <c r="BA63" s="53">
        <f t="shared" si="10"/>
        <v>7.242983694444316E-5</v>
      </c>
      <c r="BB63" s="53"/>
      <c r="BD63" s="54"/>
      <c r="BE63" s="54"/>
      <c r="BF63" s="54"/>
      <c r="BG63" s="61"/>
      <c r="BI63" s="54"/>
      <c r="BJ63" s="54"/>
      <c r="BK63" s="54"/>
      <c r="BL63" s="61"/>
      <c r="BN63" s="54"/>
      <c r="BO63" s="54"/>
      <c r="BP63" s="54"/>
      <c r="BQ63" s="61"/>
      <c r="BS63" s="54"/>
      <c r="BT63" s="54"/>
      <c r="BU63" s="54"/>
      <c r="BV63" s="61"/>
      <c r="BX63">
        <f t="shared" si="12"/>
        <v>0</v>
      </c>
      <c r="BY63">
        <f t="shared" si="13"/>
        <v>-616</v>
      </c>
      <c r="BZ63">
        <f t="shared" si="14"/>
        <v>0</v>
      </c>
      <c r="CA63">
        <f t="shared" si="15"/>
        <v>-616</v>
      </c>
      <c r="CB63">
        <f t="shared" si="16"/>
        <v>0</v>
      </c>
      <c r="CC63">
        <f t="shared" si="17"/>
        <v>3.0899999999995487E-2</v>
      </c>
      <c r="CD63">
        <f t="shared" si="18"/>
        <v>0.11990000000000123</v>
      </c>
      <c r="CE63">
        <f t="shared" si="19"/>
        <v>7.0100000000003604E-2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2.006466456712737</v>
      </c>
      <c r="K64" s="33">
        <f t="shared" si="2"/>
        <v>1.0206278570479483</v>
      </c>
      <c r="L64" s="33">
        <f t="shared" si="3"/>
        <v>0.98521386628374552</v>
      </c>
      <c r="M64" s="34"/>
      <c r="N64" s="33">
        <f t="shared" si="4"/>
        <v>2.006466456712737</v>
      </c>
      <c r="O64" s="35">
        <v>857966</v>
      </c>
      <c r="P64" s="36">
        <v>1721480</v>
      </c>
      <c r="Q64" s="36">
        <v>875664</v>
      </c>
      <c r="R64" s="36">
        <v>845280</v>
      </c>
      <c r="S64" s="46"/>
      <c r="T64" s="47">
        <v>29.774100000000001</v>
      </c>
      <c r="U64" s="47">
        <v>34.931899999999999</v>
      </c>
      <c r="V64" s="47">
        <v>33.999400000000001</v>
      </c>
      <c r="W64" s="48"/>
      <c r="X64" s="47">
        <v>21.686399999999999</v>
      </c>
      <c r="Y64" s="47">
        <v>21.686399999999999</v>
      </c>
      <c r="Z64" s="47">
        <v>21.686399999999999</v>
      </c>
      <c r="AA64" s="48"/>
      <c r="AB64" s="52">
        <v>1.046</v>
      </c>
      <c r="AC64" s="52">
        <v>0.78100000000000003</v>
      </c>
      <c r="AE64" s="32" t="str">
        <f t="shared" si="5"/>
        <v>·</v>
      </c>
      <c r="AF64" s="33">
        <f t="shared" si="6"/>
        <v>2.0083313324770447</v>
      </c>
      <c r="AG64" s="33">
        <f t="shared" si="7"/>
        <v>1.0206278570479483</v>
      </c>
      <c r="AH64" s="33">
        <f t="shared" si="8"/>
        <v>0.98707874204805324</v>
      </c>
      <c r="AI64" s="34"/>
      <c r="AJ64" s="33">
        <f t="shared" si="9"/>
        <v>2.0083313324770447</v>
      </c>
      <c r="AK64" s="35">
        <v>857966</v>
      </c>
      <c r="AL64" s="36">
        <v>1723080</v>
      </c>
      <c r="AM64" s="36">
        <v>875664</v>
      </c>
      <c r="AN64" s="36">
        <v>846880</v>
      </c>
      <c r="AO64" s="46"/>
      <c r="AP64" s="47">
        <v>29.883600000000001</v>
      </c>
      <c r="AQ64" s="47">
        <v>35.125799999999998</v>
      </c>
      <c r="AR64" s="47">
        <v>34.182299999999998</v>
      </c>
      <c r="AS64" s="48"/>
      <c r="AT64" s="47">
        <v>21.686399999999999</v>
      </c>
      <c r="AU64" s="47">
        <v>21.686399999999999</v>
      </c>
      <c r="AV64" s="47">
        <v>21.686399999999999</v>
      </c>
      <c r="AW64" s="48"/>
      <c r="AX64" s="52">
        <v>0.98399999999999999</v>
      </c>
      <c r="AY64" s="52">
        <v>0.75</v>
      </c>
      <c r="BA64" s="59">
        <f t="shared" si="10"/>
        <v>-4.7233492078746497E-4</v>
      </c>
      <c r="BB64" s="59"/>
      <c r="BD64" s="60"/>
      <c r="BE64" s="60"/>
      <c r="BF64" s="60"/>
      <c r="BG64" s="64"/>
      <c r="BI64" s="60"/>
      <c r="BJ64" s="60"/>
      <c r="BK64" s="60"/>
      <c r="BL64" s="64"/>
      <c r="BN64" s="60"/>
      <c r="BO64" s="60"/>
      <c r="BP64" s="60"/>
      <c r="BQ64" s="64"/>
      <c r="BS64" s="60"/>
      <c r="BT64" s="60"/>
      <c r="BU64" s="60"/>
      <c r="BV64" s="64"/>
      <c r="BX64">
        <f t="shared" si="12"/>
        <v>0</v>
      </c>
      <c r="BY64">
        <f t="shared" si="13"/>
        <v>1600</v>
      </c>
      <c r="BZ64">
        <f t="shared" si="14"/>
        <v>0</v>
      </c>
      <c r="CA64">
        <f t="shared" si="15"/>
        <v>1600</v>
      </c>
      <c r="CB64">
        <f t="shared" si="16"/>
        <v>0</v>
      </c>
      <c r="CC64">
        <f t="shared" si="17"/>
        <v>0.1095000000000006</v>
      </c>
      <c r="CD64">
        <f t="shared" si="18"/>
        <v>0.1938999999999993</v>
      </c>
      <c r="CE64">
        <f t="shared" si="19"/>
        <v>0.18289999999999651</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5.9215884478927245</v>
      </c>
      <c r="K65" s="18">
        <f t="shared" si="2"/>
        <v>3.7168832244882402</v>
      </c>
      <c r="L65" s="18">
        <f t="shared" si="3"/>
        <v>2.2044268274292951</v>
      </c>
      <c r="M65" s="19"/>
      <c r="N65" s="18">
        <f t="shared" si="4"/>
        <v>5.9215884478927245</v>
      </c>
      <c r="O65" s="20">
        <v>3017285</v>
      </c>
      <c r="P65" s="21">
        <v>17867120</v>
      </c>
      <c r="Q65" s="21">
        <v>11214896</v>
      </c>
      <c r="R65" s="21">
        <v>6651384</v>
      </c>
      <c r="S65" s="37"/>
      <c r="T65" s="38">
        <v>52.4208</v>
      </c>
      <c r="U65" s="38">
        <v>57.418300000000002</v>
      </c>
      <c r="V65" s="38">
        <v>56.804200000000002</v>
      </c>
      <c r="W65" s="39"/>
      <c r="X65" s="38">
        <v>48.130800000000001</v>
      </c>
      <c r="Y65" s="38">
        <v>48.130800000000001</v>
      </c>
      <c r="Z65" s="38">
        <v>48.130800000000001</v>
      </c>
      <c r="AA65" s="39"/>
      <c r="AB65" s="49">
        <v>4.9530000000000003</v>
      </c>
      <c r="AC65" s="49">
        <v>3.968</v>
      </c>
      <c r="AE65" s="17" t="str">
        <f t="shared" si="5"/>
        <v>·</v>
      </c>
      <c r="AF65" s="18">
        <f t="shared" si="6"/>
        <v>5.9213312630394546</v>
      </c>
      <c r="AG65" s="18">
        <f t="shared" si="7"/>
        <v>3.7168832244882402</v>
      </c>
      <c r="AH65" s="18">
        <f t="shared" si="8"/>
        <v>2.2041696425760247</v>
      </c>
      <c r="AI65" s="19"/>
      <c r="AJ65" s="18">
        <f t="shared" si="9"/>
        <v>5.9213312630394546</v>
      </c>
      <c r="AK65" s="20">
        <v>3017285</v>
      </c>
      <c r="AL65" s="21">
        <v>17866344</v>
      </c>
      <c r="AM65" s="21">
        <v>11214896</v>
      </c>
      <c r="AN65" s="21">
        <v>6650608</v>
      </c>
      <c r="AO65" s="37"/>
      <c r="AP65" s="38">
        <v>52.420900000000003</v>
      </c>
      <c r="AQ65" s="38">
        <v>57.420400000000001</v>
      </c>
      <c r="AR65" s="38">
        <v>56.805900000000001</v>
      </c>
      <c r="AS65" s="39"/>
      <c r="AT65" s="38">
        <v>48.130800000000001</v>
      </c>
      <c r="AU65" s="38">
        <v>48.130800000000001</v>
      </c>
      <c r="AV65" s="38">
        <v>48.130800000000001</v>
      </c>
      <c r="AW65" s="39"/>
      <c r="AX65" s="49">
        <v>4.859</v>
      </c>
      <c r="AY65" s="49">
        <v>4</v>
      </c>
      <c r="BA65" s="53">
        <f t="shared" si="10"/>
        <v>2.7262565744257117E-5</v>
      </c>
      <c r="BB65" s="53">
        <f t="array" ref="BB65">AVERAGE(AM65:AM69/AL65:AL69)-AVERAGE(Q65:Q69/P65:P69)</f>
        <v>-7.5783745948965198E-5</v>
      </c>
      <c r="BD65" s="54">
        <f>IF(OR(ISBLANK(R65:R69),ISBLANK(AN65:AN69),ISBLANK(T65:T69),ISBLANK(AP65:AP69)),"·",bdRateExtend(R65:R69,T65:T69,AN65:AN69,AP65:AP69))</f>
        <v>-6.9365953699959126E-3</v>
      </c>
      <c r="BE65" s="54">
        <f>IF(OR(ISBLANK(R65:R69),ISBLANK(AN65:AN69),ISBLANK(U65:U69),ISBLANK(AQ65:AQ69)),"·",bdRateExtend(R65:R69,U65:U69,AN65:AN69,AQ65:AQ69))</f>
        <v>-3.043798598003522E-3</v>
      </c>
      <c r="BF65" s="54">
        <f>IF(OR(ISBLANK(R65:R69),ISBLANK(AN65:AN69),ISBLANK(V65:V69),ISBLANK(AR65:AR69)),"·",bdRateExtend(R65:R69,V65:V69,AN65:AN69,AR65:AR69))</f>
        <v>1.352833329899239E-2</v>
      </c>
      <c r="BG65" s="61"/>
      <c r="BI65" s="54">
        <f>IF(OR(ISBLANK(R65:R69),ISBLANK(AN65:AN69),ISBLANK(X65:X69),ISBLANK(AT65:AT69)),"·",bdRateExtend(R65:R69,X65:X69,AN65:AN69,AT65:AT69))</f>
        <v>2.3262391060989707E-3</v>
      </c>
      <c r="BJ65" s="54">
        <f>IF(OR(ISBLANK(R65:R69),ISBLANK(AN65:AN69),ISBLANK(Y65:Y69),ISBLANK(AU65:AU69)),"·",bdRateExtend(R65:R69,Y65:Y69,AN65:AN69,AU65:AU69))</f>
        <v>2.3262391060989707E-3</v>
      </c>
      <c r="BK65" s="54">
        <f>IF(OR(ISBLANK(R65:R69),ISBLANK(AN65:AN69),ISBLANK(Z65:Z69),ISBLANK(AV65:AV69)),"·",bdRateExtend(R65:R69,Z65:Z69,AN65:AN69,AV65:AV69))</f>
        <v>2.3262391060989707E-3</v>
      </c>
      <c r="BL65" s="61"/>
      <c r="BN65" s="54">
        <f>IF(OR(ISBLANK(P65:P69),ISBLANK(AL65:AL69),ISBLANK(T65:T69),ISBLANK(AP65:AP69)),"·",bdRateExtend(P65:P69,T65:T69,AL65:AL69,AP65:AP69))</f>
        <v>-7.3515080694641632E-5</v>
      </c>
      <c r="BO65" s="54">
        <f>IF(OR(ISBLANK(P65:P69),ISBLANK(AL65:AL69),ISBLANK(U65:U69),ISBLANK(AQ65:AQ69)),"·",bdRateExtend(P65:P69,U65:U69,AL65:AL69,AQ65:AQ69))</f>
        <v>-3.4309527999509815E-4</v>
      </c>
      <c r="BP65" s="54">
        <f>IF(OR(ISBLANK(P65:P69),ISBLANK(AL65:AL69),ISBLANK(V65:V69),ISBLANK(AR65:AR69)),"·",bdRateExtend(P65:P69,V65:V69,AL65:AL69,AR65:AR69))</f>
        <v>1.0878108135403686E-3</v>
      </c>
      <c r="BQ65" s="61"/>
      <c r="BS65" s="54">
        <f>IF(OR(ISBLANK(P65:P69),ISBLANK(AL65:AL69),ISBLANK(X65:X69),ISBLANK(AT65:AT69)),"·",bdRateExtend(P65:P69,X65:X69,AL65:AL69,AT65:AT69))</f>
        <v>1.4658027795189099E-4</v>
      </c>
      <c r="BT65" s="54">
        <f>IF(OR(ISBLANK(P65:P69),ISBLANK(AL65:AL69),ISBLANK(Y65:Y69),ISBLANK(AU65:AU69)),"·",bdRateExtend(P65:P69,Y65:Y69,AL65:AL69,AU65:AU69))</f>
        <v>1.4658027795189099E-4</v>
      </c>
      <c r="BU65" s="54">
        <f>IF(OR(ISBLANK(P65:P69),ISBLANK(AL65:AL69),ISBLANK(Z65:Z69),ISBLANK(AV65:AV69)),"·",bdRateExtend(P65:P69,Z65:Z69,AL65:AL69,AV65:AV69))</f>
        <v>1.4658027795189099E-4</v>
      </c>
      <c r="BV65" s="61"/>
      <c r="BX65">
        <f t="shared" si="12"/>
        <v>0</v>
      </c>
      <c r="BY65">
        <f t="shared" si="13"/>
        <v>-776</v>
      </c>
      <c r="BZ65">
        <f t="shared" si="14"/>
        <v>0</v>
      </c>
      <c r="CA65">
        <f t="shared" si="15"/>
        <v>-776</v>
      </c>
      <c r="CB65">
        <f t="shared" si="16"/>
        <v>0</v>
      </c>
      <c r="CC65">
        <f t="shared" si="17"/>
        <v>1.0000000000331966E-4</v>
      </c>
      <c r="CD65">
        <f t="shared" si="18"/>
        <v>2.0999999999986585E-3</v>
      </c>
      <c r="CE65">
        <f t="shared" si="19"/>
        <v>1.6999999999995907E-3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5.0590302208773785</v>
      </c>
      <c r="K66" s="23">
        <f t="shared" si="2"/>
        <v>3.7168832244882402</v>
      </c>
      <c r="L66" s="23">
        <f t="shared" si="3"/>
        <v>1.3418686004139484</v>
      </c>
      <c r="M66" s="24"/>
      <c r="N66" s="23">
        <f t="shared" si="4"/>
        <v>5.0590302208773785</v>
      </c>
      <c r="O66" s="25">
        <v>3017285</v>
      </c>
      <c r="P66" s="26">
        <v>15264536</v>
      </c>
      <c r="Q66" s="26">
        <v>11214896</v>
      </c>
      <c r="R66" s="26">
        <v>4048800</v>
      </c>
      <c r="S66" s="40"/>
      <c r="T66" s="41">
        <v>47.939100000000003</v>
      </c>
      <c r="U66" s="41">
        <v>53.675699999999999</v>
      </c>
      <c r="V66" s="41">
        <v>53.171399999999998</v>
      </c>
      <c r="W66" s="42"/>
      <c r="X66" s="41">
        <v>42.110199999999999</v>
      </c>
      <c r="Y66" s="41">
        <v>42.110199999999999</v>
      </c>
      <c r="Z66" s="41">
        <v>42.110199999999999</v>
      </c>
      <c r="AA66" s="42"/>
      <c r="AB66" s="50">
        <v>4.8120000000000003</v>
      </c>
      <c r="AC66" s="50">
        <v>3.9209999999999998</v>
      </c>
      <c r="AE66" s="22" t="str">
        <f t="shared" si="5"/>
        <v>·</v>
      </c>
      <c r="AF66" s="23">
        <f t="shared" si="6"/>
        <v>5.0602472089974926</v>
      </c>
      <c r="AG66" s="23">
        <f t="shared" si="7"/>
        <v>3.7168832244882402</v>
      </c>
      <c r="AH66" s="23">
        <f t="shared" si="8"/>
        <v>1.3430855885340629</v>
      </c>
      <c r="AI66" s="24"/>
      <c r="AJ66" s="23">
        <f t="shared" si="9"/>
        <v>5.0602472089974926</v>
      </c>
      <c r="AK66" s="25">
        <v>3017285</v>
      </c>
      <c r="AL66" s="26">
        <v>15268208</v>
      </c>
      <c r="AM66" s="26">
        <v>11214896</v>
      </c>
      <c r="AN66" s="26">
        <v>4052472</v>
      </c>
      <c r="AO66" s="40"/>
      <c r="AP66" s="41">
        <v>47.945</v>
      </c>
      <c r="AQ66" s="41">
        <v>53.674399999999999</v>
      </c>
      <c r="AR66" s="41">
        <v>53.150100000000002</v>
      </c>
      <c r="AS66" s="42"/>
      <c r="AT66" s="41">
        <v>42.110199999999999</v>
      </c>
      <c r="AU66" s="41">
        <v>42.110199999999999</v>
      </c>
      <c r="AV66" s="41">
        <v>42.110199999999999</v>
      </c>
      <c r="AW66" s="42"/>
      <c r="AX66" s="50">
        <v>4.984</v>
      </c>
      <c r="AY66" s="50">
        <v>3.9209999999999998</v>
      </c>
      <c r="BA66" s="55">
        <f t="shared" si="10"/>
        <v>-1.7669580865520285E-4</v>
      </c>
      <c r="BB66" s="55"/>
      <c r="BD66" s="56"/>
      <c r="BE66" s="56"/>
      <c r="BF66" s="56"/>
      <c r="BG66" s="62"/>
      <c r="BI66" s="56"/>
      <c r="BJ66" s="56"/>
      <c r="BK66" s="56"/>
      <c r="BL66" s="62"/>
      <c r="BN66" s="56"/>
      <c r="BO66" s="56"/>
      <c r="BP66" s="56"/>
      <c r="BQ66" s="62"/>
      <c r="BS66" s="56"/>
      <c r="BT66" s="56"/>
      <c r="BU66" s="56"/>
      <c r="BV66" s="62"/>
      <c r="BX66">
        <f t="shared" si="12"/>
        <v>0</v>
      </c>
      <c r="BY66">
        <f t="shared" si="13"/>
        <v>3672</v>
      </c>
      <c r="BZ66">
        <f t="shared" si="14"/>
        <v>0</v>
      </c>
      <c r="CA66">
        <f t="shared" si="15"/>
        <v>3672</v>
      </c>
      <c r="CB66">
        <f t="shared" si="16"/>
        <v>0</v>
      </c>
      <c r="CC66">
        <f t="shared" si="17"/>
        <v>5.8999999999969077E-3</v>
      </c>
      <c r="CD66">
        <f t="shared" si="18"/>
        <v>-1.300000000000523E-3</v>
      </c>
      <c r="CE66">
        <f t="shared" si="19"/>
        <v>-2.1299999999996544E-2</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4.2556192073337451</v>
      </c>
      <c r="K67" s="18">
        <f t="shared" si="2"/>
        <v>3.7168832244882402</v>
      </c>
      <c r="L67" s="18">
        <f t="shared" si="3"/>
        <v>0.53845758687031553</v>
      </c>
      <c r="M67" s="19"/>
      <c r="N67" s="18">
        <f t="shared" si="4"/>
        <v>4.2556192073337451</v>
      </c>
      <c r="O67" s="20">
        <v>3017285</v>
      </c>
      <c r="P67" s="21">
        <v>12840416</v>
      </c>
      <c r="Q67" s="21">
        <v>11214896</v>
      </c>
      <c r="R67" s="21">
        <v>1624680</v>
      </c>
      <c r="S67" s="37"/>
      <c r="T67" s="38">
        <v>41.057099999999998</v>
      </c>
      <c r="U67" s="38">
        <v>48.831400000000002</v>
      </c>
      <c r="V67" s="38">
        <v>48.428600000000003</v>
      </c>
      <c r="W67" s="39"/>
      <c r="X67" s="38">
        <v>34.151400000000002</v>
      </c>
      <c r="Y67" s="38">
        <v>34.151400000000002</v>
      </c>
      <c r="Z67" s="38">
        <v>34.151400000000002</v>
      </c>
      <c r="AA67" s="39"/>
      <c r="AB67" s="49">
        <v>4.8280000000000003</v>
      </c>
      <c r="AC67" s="49">
        <v>3.843</v>
      </c>
      <c r="AE67" s="17" t="str">
        <f t="shared" si="5"/>
        <v>·</v>
      </c>
      <c r="AF67" s="18">
        <f t="shared" si="6"/>
        <v>4.2540363273605246</v>
      </c>
      <c r="AG67" s="18">
        <f t="shared" si="7"/>
        <v>3.7168832244882402</v>
      </c>
      <c r="AH67" s="18">
        <f t="shared" si="8"/>
        <v>0.5368747068970946</v>
      </c>
      <c r="AI67" s="19"/>
      <c r="AJ67" s="18">
        <f t="shared" si="9"/>
        <v>4.2540363273605246</v>
      </c>
      <c r="AK67" s="20">
        <v>3017285</v>
      </c>
      <c r="AL67" s="21">
        <v>12835640</v>
      </c>
      <c r="AM67" s="21">
        <v>11214896</v>
      </c>
      <c r="AN67" s="21">
        <v>1619904</v>
      </c>
      <c r="AO67" s="37"/>
      <c r="AP67" s="38">
        <v>41.051400000000001</v>
      </c>
      <c r="AQ67" s="38">
        <v>48.840299999999999</v>
      </c>
      <c r="AR67" s="38">
        <v>48.49</v>
      </c>
      <c r="AS67" s="39"/>
      <c r="AT67" s="38">
        <v>34.151400000000002</v>
      </c>
      <c r="AU67" s="38">
        <v>34.151400000000002</v>
      </c>
      <c r="AV67" s="38">
        <v>34.151400000000002</v>
      </c>
      <c r="AW67" s="39"/>
      <c r="AX67" s="49">
        <v>4.9530000000000003</v>
      </c>
      <c r="AY67" s="49">
        <v>3.9369999999999998</v>
      </c>
      <c r="BA67" s="53">
        <f t="shared" si="10"/>
        <v>3.2498472345854346E-4</v>
      </c>
      <c r="BB67" s="53"/>
      <c r="BD67" s="54"/>
      <c r="BE67" s="54"/>
      <c r="BF67" s="54"/>
      <c r="BG67" s="61"/>
      <c r="BI67" s="54"/>
      <c r="BJ67" s="54"/>
      <c r="BK67" s="54"/>
      <c r="BL67" s="61"/>
      <c r="BN67" s="54"/>
      <c r="BO67" s="54"/>
      <c r="BP67" s="54"/>
      <c r="BQ67" s="61"/>
      <c r="BS67" s="54"/>
      <c r="BT67" s="54"/>
      <c r="BU67" s="54"/>
      <c r="BV67" s="61"/>
      <c r="BX67">
        <f t="shared" si="12"/>
        <v>0</v>
      </c>
      <c r="BY67">
        <f t="shared" si="13"/>
        <v>-4776</v>
      </c>
      <c r="BZ67">
        <f t="shared" si="14"/>
        <v>0</v>
      </c>
      <c r="CA67">
        <f t="shared" si="15"/>
        <v>-4776</v>
      </c>
      <c r="CB67">
        <f t="shared" si="16"/>
        <v>0</v>
      </c>
      <c r="CC67">
        <f t="shared" si="17"/>
        <v>-5.6999999999973738E-3</v>
      </c>
      <c r="CD67">
        <f t="shared" si="18"/>
        <v>8.8999999999970214E-3</v>
      </c>
      <c r="CE67">
        <f t="shared" si="19"/>
        <v>6.1399999999999011E-2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3.9372057992533023</v>
      </c>
      <c r="K68" s="23">
        <f t="shared" si="2"/>
        <v>3.7168832244882402</v>
      </c>
      <c r="L68" s="23">
        <f t="shared" si="3"/>
        <v>0.22004417878987234</v>
      </c>
      <c r="M68" s="24"/>
      <c r="N68" s="23">
        <f t="shared" si="4"/>
        <v>3.9372057992533023</v>
      </c>
      <c r="O68" s="25">
        <v>3017285</v>
      </c>
      <c r="P68" s="26">
        <v>11879672</v>
      </c>
      <c r="Q68" s="26">
        <v>11214896</v>
      </c>
      <c r="R68" s="26">
        <v>663936</v>
      </c>
      <c r="S68" s="40"/>
      <c r="T68" s="41">
        <v>35.573900000000002</v>
      </c>
      <c r="U68" s="41">
        <v>43.6051</v>
      </c>
      <c r="V68" s="41">
        <v>43.785299999999999</v>
      </c>
      <c r="W68" s="42"/>
      <c r="X68" s="41">
        <v>28.130800000000001</v>
      </c>
      <c r="Y68" s="41">
        <v>28.130800000000001</v>
      </c>
      <c r="Z68" s="41">
        <v>28.130800000000001</v>
      </c>
      <c r="AA68" s="42"/>
      <c r="AB68" s="50">
        <v>4.7649999999999997</v>
      </c>
      <c r="AC68" s="50">
        <v>3.9209999999999998</v>
      </c>
      <c r="AE68" s="22" t="str">
        <f t="shared" si="5"/>
        <v>·</v>
      </c>
      <c r="AF68" s="23">
        <f t="shared" si="6"/>
        <v>3.9399579423223194</v>
      </c>
      <c r="AG68" s="23">
        <f t="shared" si="7"/>
        <v>3.7168832244882402</v>
      </c>
      <c r="AH68" s="23">
        <f t="shared" si="8"/>
        <v>0.2227963218588897</v>
      </c>
      <c r="AI68" s="24"/>
      <c r="AJ68" s="23">
        <f t="shared" si="9"/>
        <v>3.9399579423223194</v>
      </c>
      <c r="AK68" s="25">
        <v>3017285</v>
      </c>
      <c r="AL68" s="26">
        <v>11887976</v>
      </c>
      <c r="AM68" s="26">
        <v>11214896</v>
      </c>
      <c r="AN68" s="26">
        <v>672240</v>
      </c>
      <c r="AO68" s="40"/>
      <c r="AP68" s="41">
        <v>35.601999999999997</v>
      </c>
      <c r="AQ68" s="41">
        <v>43.765099999999997</v>
      </c>
      <c r="AR68" s="41">
        <v>43.461500000000001</v>
      </c>
      <c r="AS68" s="42"/>
      <c r="AT68" s="41">
        <v>28.130800000000001</v>
      </c>
      <c r="AU68" s="41">
        <v>28.130800000000001</v>
      </c>
      <c r="AV68" s="41">
        <v>28.130800000000001</v>
      </c>
      <c r="AW68" s="42"/>
      <c r="AX68" s="50">
        <v>4.8280000000000003</v>
      </c>
      <c r="AY68" s="50">
        <v>3.859</v>
      </c>
      <c r="BA68" s="55">
        <f t="shared" si="10"/>
        <v>-6.5943230885012749E-4</v>
      </c>
      <c r="BB68" s="55"/>
      <c r="BD68" s="56"/>
      <c r="BE68" s="56"/>
      <c r="BF68" s="56"/>
      <c r="BG68" s="62"/>
      <c r="BI68" s="56"/>
      <c r="BJ68" s="56"/>
      <c r="BK68" s="56"/>
      <c r="BL68" s="62"/>
      <c r="BN68" s="56"/>
      <c r="BO68" s="56"/>
      <c r="BP68" s="56"/>
      <c r="BQ68" s="62"/>
      <c r="BS68" s="56"/>
      <c r="BT68" s="56"/>
      <c r="BU68" s="56"/>
      <c r="BV68" s="62"/>
      <c r="BX68">
        <f t="shared" si="12"/>
        <v>0</v>
      </c>
      <c r="BY68">
        <f t="shared" si="13"/>
        <v>8304</v>
      </c>
      <c r="BZ68">
        <f t="shared" si="14"/>
        <v>0</v>
      </c>
      <c r="CA68">
        <f t="shared" si="15"/>
        <v>8304</v>
      </c>
      <c r="CB68">
        <f t="shared" si="16"/>
        <v>0</v>
      </c>
      <c r="CC68">
        <f t="shared" si="17"/>
        <v>2.8099999999994907E-2</v>
      </c>
      <c r="CD68">
        <f t="shared" si="18"/>
        <v>0.15999999999999659</v>
      </c>
      <c r="CE68">
        <f t="shared" si="19"/>
        <v>-0.32379999999999853</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3.777939438932683</v>
      </c>
      <c r="K69" s="28">
        <f t="shared" ref="K69:K132" si="27">IF(Q69="","·",Q69/D69)</f>
        <v>3.7168832244882402</v>
      </c>
      <c r="L69" s="28">
        <f t="shared" ref="L69:L132" si="28">IF(ISBLANK(R69),"·",R69/D69)</f>
        <v>6.0777818469252988E-2</v>
      </c>
      <c r="M69" s="29"/>
      <c r="N69" s="28">
        <f t="shared" ref="N69:N132" si="29">IF(ISBLANK(P69),"·",P69/O69)</f>
        <v>3.777939438932683</v>
      </c>
      <c r="O69" s="30">
        <v>3017285</v>
      </c>
      <c r="P69" s="31">
        <v>11399120</v>
      </c>
      <c r="Q69" s="31">
        <v>11214896</v>
      </c>
      <c r="R69" s="31">
        <v>183384</v>
      </c>
      <c r="S69" s="43"/>
      <c r="T69" s="44">
        <v>29.1724</v>
      </c>
      <c r="U69" s="44">
        <v>38.563899999999997</v>
      </c>
      <c r="V69" s="44">
        <v>37.684399999999997</v>
      </c>
      <c r="W69" s="45"/>
      <c r="X69" s="44">
        <v>21.686399999999999</v>
      </c>
      <c r="Y69" s="44">
        <v>21.686399999999999</v>
      </c>
      <c r="Z69" s="44">
        <v>21.686399999999999</v>
      </c>
      <c r="AA69" s="45"/>
      <c r="AB69" s="51">
        <v>4.9059999999999997</v>
      </c>
      <c r="AC69" s="51">
        <v>3.859</v>
      </c>
      <c r="AE69" s="27" t="str">
        <f t="shared" ref="AE69:AE132" si="30">IF(OR(ISBLANK(AL69),ISBLANK(G69)),"·",AL69*G69/F69/1000000)</f>
        <v>·</v>
      </c>
      <c r="AF69" s="28">
        <f t="shared" ref="AF69:AF132" si="31">IF(ISBLANK(AL69),"·",AL69/D69)</f>
        <v>3.777536427616218</v>
      </c>
      <c r="AG69" s="28">
        <f t="shared" ref="AG69:AG132" si="32">IF(AM69="","·",AM69/D69)</f>
        <v>3.7168832244882402</v>
      </c>
      <c r="AH69" s="28">
        <f t="shared" ref="AH69:AH132" si="33">IF(ISBLANK(AN69),"·",AN69/D69)</f>
        <v>6.0374807152788021E-2</v>
      </c>
      <c r="AI69" s="29"/>
      <c r="AJ69" s="28">
        <f t="shared" ref="AJ69:AJ132" si="34">IF(ISBLANK(AL69),"·",AL69/AK69)</f>
        <v>3.777536427616218</v>
      </c>
      <c r="AK69" s="30">
        <v>3017285</v>
      </c>
      <c r="AL69" s="31">
        <v>11397904</v>
      </c>
      <c r="AM69" s="31">
        <v>11214896</v>
      </c>
      <c r="AN69" s="31">
        <v>182168</v>
      </c>
      <c r="AO69" s="43"/>
      <c r="AP69" s="44">
        <v>29.532499999999999</v>
      </c>
      <c r="AQ69" s="44">
        <v>38.394500000000001</v>
      </c>
      <c r="AR69" s="44">
        <v>38.054600000000001</v>
      </c>
      <c r="AS69" s="45"/>
      <c r="AT69" s="44">
        <v>21.686399999999999</v>
      </c>
      <c r="AU69" s="44">
        <v>21.686399999999999</v>
      </c>
      <c r="AV69" s="44">
        <v>21.686399999999999</v>
      </c>
      <c r="AW69" s="45"/>
      <c r="AX69" s="51">
        <v>4.8120000000000003</v>
      </c>
      <c r="AY69" s="51">
        <v>3.89</v>
      </c>
      <c r="BA69" s="57">
        <f t="shared" ref="BA69:BA132" si="35">(AM69/AL69)-(Q69/P69)</f>
        <v>1.0496209855759275E-4</v>
      </c>
      <c r="BB69" s="57"/>
      <c r="BD69" s="58"/>
      <c r="BE69" s="58"/>
      <c r="BF69" s="58"/>
      <c r="BG69" s="63"/>
      <c r="BI69" s="58"/>
      <c r="BJ69" s="58"/>
      <c r="BK69" s="58"/>
      <c r="BL69" s="63"/>
      <c r="BN69" s="58"/>
      <c r="BO69" s="58"/>
      <c r="BP69" s="58"/>
      <c r="BQ69" s="63"/>
      <c r="BS69" s="58"/>
      <c r="BT69" s="58"/>
      <c r="BU69" s="58"/>
      <c r="BV69" s="63"/>
      <c r="BX69">
        <f t="shared" si="12"/>
        <v>0</v>
      </c>
      <c r="BY69">
        <f t="shared" si="13"/>
        <v>-1216</v>
      </c>
      <c r="BZ69">
        <f t="shared" si="14"/>
        <v>0</v>
      </c>
      <c r="CA69">
        <f t="shared" si="15"/>
        <v>-1216</v>
      </c>
      <c r="CB69">
        <f t="shared" si="16"/>
        <v>0</v>
      </c>
      <c r="CC69">
        <f t="shared" si="17"/>
        <v>0.3600999999999992</v>
      </c>
      <c r="CD69">
        <f t="shared" si="18"/>
        <v>-0.169399999999996</v>
      </c>
      <c r="CE69">
        <f t="shared" si="19"/>
        <v>0.37020000000000408</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4.2377742041637436</v>
      </c>
      <c r="K70" s="23">
        <f t="shared" si="27"/>
        <v>0.97555523820759105</v>
      </c>
      <c r="L70" s="23">
        <f t="shared" si="28"/>
        <v>3.2615533630950533</v>
      </c>
      <c r="M70" s="24"/>
      <c r="N70" s="23">
        <f t="shared" si="29"/>
        <v>4.2377742041637436</v>
      </c>
      <c r="O70" s="25">
        <v>805285</v>
      </c>
      <c r="P70" s="26">
        <v>3412616</v>
      </c>
      <c r="Q70" s="26">
        <v>785600</v>
      </c>
      <c r="R70" s="26">
        <v>2626480</v>
      </c>
      <c r="S70" s="40"/>
      <c r="T70" s="41">
        <v>52.519399999999997</v>
      </c>
      <c r="U70" s="41">
        <v>57.0929</v>
      </c>
      <c r="V70" s="41">
        <v>56.486899999999999</v>
      </c>
      <c r="W70" s="42"/>
      <c r="X70" s="41">
        <v>48.130800000000001</v>
      </c>
      <c r="Y70" s="41">
        <v>48.130800000000001</v>
      </c>
      <c r="Z70" s="41">
        <v>48.130800000000001</v>
      </c>
      <c r="AA70" s="42"/>
      <c r="AB70" s="50">
        <v>0.95299999999999996</v>
      </c>
      <c r="AC70" s="50">
        <v>0.75</v>
      </c>
      <c r="AE70" s="22" t="str">
        <f t="shared" si="30"/>
        <v>·</v>
      </c>
      <c r="AF70" s="23">
        <f t="shared" si="31"/>
        <v>4.2373271574659901</v>
      </c>
      <c r="AG70" s="23">
        <f t="shared" si="32"/>
        <v>0.97555523820759105</v>
      </c>
      <c r="AH70" s="23">
        <f t="shared" si="33"/>
        <v>3.2611063163973002</v>
      </c>
      <c r="AI70" s="24"/>
      <c r="AJ70" s="23">
        <f t="shared" si="34"/>
        <v>4.2373271574659901</v>
      </c>
      <c r="AK70" s="25">
        <v>805285</v>
      </c>
      <c r="AL70" s="26">
        <v>3412256</v>
      </c>
      <c r="AM70" s="26">
        <v>785600</v>
      </c>
      <c r="AN70" s="26">
        <v>2626120</v>
      </c>
      <c r="AO70" s="40"/>
      <c r="AP70" s="41">
        <v>52.517699999999998</v>
      </c>
      <c r="AQ70" s="41">
        <v>57.097799999999999</v>
      </c>
      <c r="AR70" s="41">
        <v>56.496000000000002</v>
      </c>
      <c r="AS70" s="42"/>
      <c r="AT70" s="41">
        <v>48.130800000000001</v>
      </c>
      <c r="AU70" s="41">
        <v>48.130800000000001</v>
      </c>
      <c r="AV70" s="41">
        <v>48.130800000000001</v>
      </c>
      <c r="AW70" s="42"/>
      <c r="AX70" s="50">
        <v>0.95299999999999996</v>
      </c>
      <c r="AY70" s="50">
        <v>0.75</v>
      </c>
      <c r="BA70" s="55">
        <f t="shared" si="35"/>
        <v>2.4287060062022636E-5</v>
      </c>
      <c r="BB70" s="55">
        <f t="array" ref="BB70">AVERAGE(AM70:AM74/AL70:AL74)-AVERAGE(Q70:Q74/P70:P74)</f>
        <v>2.5578621336652674E-4</v>
      </c>
      <c r="BD70" s="56">
        <f>IF(OR(ISBLANK(R70:R74),ISBLANK(AN70:AN74),ISBLANK(T70:T74),ISBLANK(AP70:AP74)),"·",bdRateExtend(R70:R74,T70:T74,AN70:AN74,AP70:AP74))</f>
        <v>6.0727272395793008E-3</v>
      </c>
      <c r="BE70" s="56">
        <f>IF(OR(ISBLANK(R70:R74),ISBLANK(AN70:AN74),ISBLANK(U70:U74),ISBLANK(AQ70:AQ74)),"·",bdRateExtend(R70:R74,U70:U74,AN70:AN74,AQ70:AQ74))</f>
        <v>-1.4010865533431005E-2</v>
      </c>
      <c r="BF70" s="56">
        <f>IF(OR(ISBLANK(R70:R74),ISBLANK(AN70:AN74),ISBLANK(V70:V74),ISBLANK(AR70:AR74)),"·",bdRateExtend(R70:R74,V70:V74,AN70:AN74,AR70:AR74))</f>
        <v>-1.0305179245060914E-2</v>
      </c>
      <c r="BG70" s="62"/>
      <c r="BI70" s="56">
        <f>IF(OR(ISBLANK(R70:R74),ISBLANK(AN70:AN74),ISBLANK(X70:X74),ISBLANK(AT70:AT74)),"·",bdRateExtend(R70:R74,X70:X74,AN70:AN74,AT70:AT74))</f>
        <v>-1.4047546739374139E-3</v>
      </c>
      <c r="BJ70" s="56">
        <f>IF(OR(ISBLANK(R70:R74),ISBLANK(AN70:AN74),ISBLANK(Y70:Y74),ISBLANK(AU70:AU74)),"·",bdRateExtend(R70:R74,Y70:Y74,AN70:AN74,AU70:AU74))</f>
        <v>-1.4047546739374139E-3</v>
      </c>
      <c r="BK70" s="56">
        <f>IF(OR(ISBLANK(R70:R74),ISBLANK(AN70:AN74),ISBLANK(Z70:Z74),ISBLANK(AV70:AV74)),"·",bdRateExtend(R70:R74,Z70:Z74,AN70:AN74,AV70:AV74))</f>
        <v>-1.4047546739374139E-3</v>
      </c>
      <c r="BL70" s="62"/>
      <c r="BN70" s="56">
        <f>IF(OR(ISBLANK(P70:P74),ISBLANK(AL70:AL74),ISBLANK(T70:T74),ISBLANK(AP70:AP74)),"·",bdRateExtend(P70:P74,T70:T74,AL70:AL74,AP70:AP74))</f>
        <v>1.7395467301388745E-3</v>
      </c>
      <c r="BO70" s="56">
        <f>IF(OR(ISBLANK(P70:P74),ISBLANK(AL70:AL74),ISBLANK(U70:U74),ISBLANK(AQ70:AQ74)),"·",bdRateExtend(P70:P74,U70:U74,AL70:AL74,AQ70:AQ74))</f>
        <v>-4.1674562670732662E-3</v>
      </c>
      <c r="BP70" s="56">
        <f>IF(OR(ISBLANK(P70:P74),ISBLANK(AL70:AL74),ISBLANK(V70:V74),ISBLANK(AR70:AR74)),"·",bdRateExtend(P70:P74,V70:V74,AL70:AL74,AR70:AR74))</f>
        <v>-5.3080749309223352E-3</v>
      </c>
      <c r="BQ70" s="62"/>
      <c r="BS70" s="56">
        <f>IF(OR(ISBLANK(P70:P74),ISBLANK(AL70:AL74),ISBLANK(X70:X74),ISBLANK(AT70:AT74)),"·",bdRateExtend(P70:P74,X70:X74,AL70:AL74,AT70:AT74))</f>
        <v>-2.4085307766630315E-4</v>
      </c>
      <c r="BT70" s="56">
        <f>IF(OR(ISBLANK(P70:P74),ISBLANK(AL70:AL74),ISBLANK(Y70:Y74),ISBLANK(AU70:AU74)),"·",bdRateExtend(P70:P74,Y70:Y74,AL70:AL74,AU70:AU74))</f>
        <v>-2.4085307766630315E-4</v>
      </c>
      <c r="BU70" s="56">
        <f>IF(OR(ISBLANK(P70:P74),ISBLANK(AL70:AL74),ISBLANK(Z70:Z74),ISBLANK(AV70:AV74)),"·",bdRateExtend(P70:P74,Z70:Z74,AL70:AL74,AV70:AV74))</f>
        <v>-2.4085307766630315E-4</v>
      </c>
      <c r="BV70" s="62"/>
      <c r="BX70">
        <f t="shared" ref="BX70:BX133" si="36">AK70-O70</f>
        <v>0</v>
      </c>
      <c r="BY70">
        <f t="shared" ref="BY70:BY133" si="37">AL70-P70</f>
        <v>-360</v>
      </c>
      <c r="BZ70">
        <f t="shared" ref="BZ70:BZ133" si="38">AM70-Q70</f>
        <v>0</v>
      </c>
      <c r="CA70">
        <f t="shared" ref="CA70:CA133" si="39">AN70-R70</f>
        <v>-360</v>
      </c>
      <c r="CB70">
        <f t="shared" ref="CB70:CB133" si="40">AO70-S70</f>
        <v>0</v>
      </c>
      <c r="CC70">
        <f t="shared" ref="CC70:CC133" si="41">AP70-T70</f>
        <v>-1.6999999999995907E-3</v>
      </c>
      <c r="CD70">
        <f t="shared" ref="CD70:CD133" si="42">AQ70-U70</f>
        <v>4.8999999999992383E-3</v>
      </c>
      <c r="CE70">
        <f t="shared" ref="CE70:CE133" si="43">AR70-V70</f>
        <v>9.1000000000036607E-3</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3.1083752957027637</v>
      </c>
      <c r="K71" s="18">
        <f t="shared" si="27"/>
        <v>0.97555523820759105</v>
      </c>
      <c r="L71" s="18">
        <f t="shared" si="28"/>
        <v>2.1321544546340738</v>
      </c>
      <c r="M71" s="19"/>
      <c r="N71" s="18">
        <f t="shared" si="29"/>
        <v>3.1083752957027637</v>
      </c>
      <c r="O71" s="20">
        <v>805285</v>
      </c>
      <c r="P71" s="21">
        <v>2503128</v>
      </c>
      <c r="Q71" s="21">
        <v>785600</v>
      </c>
      <c r="R71" s="21">
        <v>1716992</v>
      </c>
      <c r="S71" s="37"/>
      <c r="T71" s="38">
        <v>47.886899999999997</v>
      </c>
      <c r="U71" s="38">
        <v>53.036099999999998</v>
      </c>
      <c r="V71" s="38">
        <v>52.561700000000002</v>
      </c>
      <c r="W71" s="39"/>
      <c r="X71" s="38">
        <v>42.110199999999999</v>
      </c>
      <c r="Y71" s="38">
        <v>42.110199999999999</v>
      </c>
      <c r="Z71" s="38">
        <v>42.110199999999999</v>
      </c>
      <c r="AA71" s="39"/>
      <c r="AB71" s="49">
        <v>0.92100000000000004</v>
      </c>
      <c r="AC71" s="49">
        <v>0.76500000000000001</v>
      </c>
      <c r="AE71" s="17" t="str">
        <f t="shared" si="30"/>
        <v>·</v>
      </c>
      <c r="AF71" s="18">
        <f t="shared" si="31"/>
        <v>3.107272580514973</v>
      </c>
      <c r="AG71" s="18">
        <f t="shared" si="32"/>
        <v>0.97555523820759105</v>
      </c>
      <c r="AH71" s="18">
        <f t="shared" si="33"/>
        <v>2.1310517394462831</v>
      </c>
      <c r="AI71" s="19"/>
      <c r="AJ71" s="18">
        <f t="shared" si="34"/>
        <v>3.107272580514973</v>
      </c>
      <c r="AK71" s="20">
        <v>805285</v>
      </c>
      <c r="AL71" s="21">
        <v>2502240</v>
      </c>
      <c r="AM71" s="21">
        <v>785600</v>
      </c>
      <c r="AN71" s="21">
        <v>1716104</v>
      </c>
      <c r="AO71" s="37"/>
      <c r="AP71" s="38">
        <v>47.875599999999999</v>
      </c>
      <c r="AQ71" s="38">
        <v>53.050899999999999</v>
      </c>
      <c r="AR71" s="38">
        <v>52.617100000000001</v>
      </c>
      <c r="AS71" s="39"/>
      <c r="AT71" s="38">
        <v>42.110199999999999</v>
      </c>
      <c r="AU71" s="38">
        <v>42.110199999999999</v>
      </c>
      <c r="AV71" s="38">
        <v>42.110199999999999</v>
      </c>
      <c r="AW71" s="39"/>
      <c r="AX71" s="49">
        <v>0.93700000000000006</v>
      </c>
      <c r="AY71" s="49">
        <v>0.70299999999999996</v>
      </c>
      <c r="BA71" s="53">
        <f t="shared" si="35"/>
        <v>1.1137877063971402E-4</v>
      </c>
      <c r="BB71" s="53"/>
      <c r="BD71" s="54"/>
      <c r="BE71" s="54"/>
      <c r="BF71" s="54"/>
      <c r="BG71" s="61"/>
      <c r="BI71" s="54"/>
      <c r="BJ71" s="54"/>
      <c r="BK71" s="54"/>
      <c r="BL71" s="61"/>
      <c r="BN71" s="54"/>
      <c r="BO71" s="54"/>
      <c r="BP71" s="54"/>
      <c r="BQ71" s="61"/>
      <c r="BS71" s="54"/>
      <c r="BT71" s="54"/>
      <c r="BU71" s="54"/>
      <c r="BV71" s="61"/>
      <c r="BX71">
        <f t="shared" si="36"/>
        <v>0</v>
      </c>
      <c r="BY71">
        <f t="shared" si="37"/>
        <v>-888</v>
      </c>
      <c r="BZ71">
        <f t="shared" si="38"/>
        <v>0</v>
      </c>
      <c r="CA71">
        <f t="shared" si="39"/>
        <v>-888</v>
      </c>
      <c r="CB71">
        <f t="shared" si="40"/>
        <v>0</v>
      </c>
      <c r="CC71">
        <f t="shared" si="41"/>
        <v>-1.1299999999998533E-2</v>
      </c>
      <c r="CD71">
        <f t="shared" si="42"/>
        <v>1.4800000000001035E-2</v>
      </c>
      <c r="CE71">
        <f t="shared" si="43"/>
        <v>5.5399999999998784E-2</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1.9694592597651763</v>
      </c>
      <c r="K72" s="23">
        <f t="shared" si="27"/>
        <v>0.97555523820759105</v>
      </c>
      <c r="L72" s="23">
        <f t="shared" si="28"/>
        <v>0.99323841869648632</v>
      </c>
      <c r="M72" s="24"/>
      <c r="N72" s="23">
        <f t="shared" si="29"/>
        <v>1.9694592597651763</v>
      </c>
      <c r="O72" s="25">
        <v>805285</v>
      </c>
      <c r="P72" s="26">
        <v>1585976</v>
      </c>
      <c r="Q72" s="26">
        <v>785600</v>
      </c>
      <c r="R72" s="26">
        <v>799840</v>
      </c>
      <c r="S72" s="40"/>
      <c r="T72" s="41">
        <v>41.004800000000003</v>
      </c>
      <c r="U72" s="41">
        <v>48.323099999999997</v>
      </c>
      <c r="V72" s="41">
        <v>47.743099999999998</v>
      </c>
      <c r="W72" s="42"/>
      <c r="X72" s="41">
        <v>34.151400000000002</v>
      </c>
      <c r="Y72" s="41">
        <v>34.151400000000002</v>
      </c>
      <c r="Z72" s="41">
        <v>34.151400000000002</v>
      </c>
      <c r="AA72" s="42"/>
      <c r="AB72" s="50">
        <v>0.92100000000000004</v>
      </c>
      <c r="AC72" s="50">
        <v>0.73399999999999999</v>
      </c>
      <c r="AE72" s="22" t="str">
        <f t="shared" si="30"/>
        <v>·</v>
      </c>
      <c r="AF72" s="23">
        <f t="shared" si="31"/>
        <v>1.9723302930018565</v>
      </c>
      <c r="AG72" s="23">
        <f t="shared" si="32"/>
        <v>0.97555523820759105</v>
      </c>
      <c r="AH72" s="23">
        <f t="shared" si="33"/>
        <v>0.99610945193316647</v>
      </c>
      <c r="AI72" s="24"/>
      <c r="AJ72" s="23">
        <f t="shared" si="34"/>
        <v>1.9723302930018565</v>
      </c>
      <c r="AK72" s="25">
        <v>805285</v>
      </c>
      <c r="AL72" s="26">
        <v>1588288</v>
      </c>
      <c r="AM72" s="26">
        <v>785600</v>
      </c>
      <c r="AN72" s="26">
        <v>802152</v>
      </c>
      <c r="AO72" s="40"/>
      <c r="AP72" s="41">
        <v>40.9773</v>
      </c>
      <c r="AQ72" s="41">
        <v>48.319699999999997</v>
      </c>
      <c r="AR72" s="41">
        <v>47.797600000000003</v>
      </c>
      <c r="AS72" s="42"/>
      <c r="AT72" s="41">
        <v>34.151400000000002</v>
      </c>
      <c r="AU72" s="41">
        <v>34.151400000000002</v>
      </c>
      <c r="AV72" s="41">
        <v>34.151400000000002</v>
      </c>
      <c r="AW72" s="42"/>
      <c r="AX72" s="50">
        <v>0.92100000000000004</v>
      </c>
      <c r="AY72" s="50">
        <v>0.73399999999999999</v>
      </c>
      <c r="BA72" s="55">
        <f t="shared" si="35"/>
        <v>-7.2104677516160454E-4</v>
      </c>
      <c r="BB72" s="55"/>
      <c r="BD72" s="56"/>
      <c r="BE72" s="56"/>
      <c r="BF72" s="56"/>
      <c r="BG72" s="62"/>
      <c r="BI72" s="56"/>
      <c r="BJ72" s="56"/>
      <c r="BK72" s="56"/>
      <c r="BL72" s="62"/>
      <c r="BN72" s="56"/>
      <c r="BO72" s="56"/>
      <c r="BP72" s="56"/>
      <c r="BQ72" s="62"/>
      <c r="BS72" s="56"/>
      <c r="BT72" s="56"/>
      <c r="BU72" s="56"/>
      <c r="BV72" s="62"/>
      <c r="BX72">
        <f t="shared" si="36"/>
        <v>0</v>
      </c>
      <c r="BY72">
        <f t="shared" si="37"/>
        <v>2312</v>
      </c>
      <c r="BZ72">
        <f t="shared" si="38"/>
        <v>0</v>
      </c>
      <c r="CA72">
        <f t="shared" si="39"/>
        <v>2312</v>
      </c>
      <c r="CB72">
        <f t="shared" si="40"/>
        <v>0</v>
      </c>
      <c r="CC72">
        <f t="shared" si="41"/>
        <v>-2.7500000000003411E-2</v>
      </c>
      <c r="CD72">
        <f t="shared" si="42"/>
        <v>-3.3999999999991815E-3</v>
      </c>
      <c r="CE72">
        <f t="shared" si="43"/>
        <v>5.4500000000004434E-2</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1.4393016137143992</v>
      </c>
      <c r="K73" s="18">
        <f t="shared" si="27"/>
        <v>0.97555523820759105</v>
      </c>
      <c r="L73" s="18">
        <f t="shared" si="28"/>
        <v>0.46308077264570929</v>
      </c>
      <c r="M73" s="19"/>
      <c r="N73" s="18">
        <f t="shared" si="29"/>
        <v>1.4393016137143992</v>
      </c>
      <c r="O73" s="20">
        <v>805285</v>
      </c>
      <c r="P73" s="21">
        <v>1159048</v>
      </c>
      <c r="Q73" s="21">
        <v>785600</v>
      </c>
      <c r="R73" s="21">
        <v>372912</v>
      </c>
      <c r="S73" s="37"/>
      <c r="T73" s="38">
        <v>35.611199999999997</v>
      </c>
      <c r="U73" s="38">
        <v>43.580800000000004</v>
      </c>
      <c r="V73" s="38">
        <v>43.459800000000001</v>
      </c>
      <c r="W73" s="39"/>
      <c r="X73" s="38">
        <v>28.130800000000001</v>
      </c>
      <c r="Y73" s="38">
        <v>28.130800000000001</v>
      </c>
      <c r="Z73" s="38">
        <v>28.130800000000001</v>
      </c>
      <c r="AA73" s="39"/>
      <c r="AB73" s="49">
        <v>0.93700000000000006</v>
      </c>
      <c r="AC73" s="49">
        <v>0.73399999999999999</v>
      </c>
      <c r="AE73" s="17" t="str">
        <f t="shared" si="30"/>
        <v>·</v>
      </c>
      <c r="AF73" s="18">
        <f t="shared" si="31"/>
        <v>1.4371458551941239</v>
      </c>
      <c r="AG73" s="18">
        <f t="shared" si="32"/>
        <v>0.97555523820759105</v>
      </c>
      <c r="AH73" s="18">
        <f t="shared" si="33"/>
        <v>0.46092501412543385</v>
      </c>
      <c r="AI73" s="19"/>
      <c r="AJ73" s="18">
        <f t="shared" si="34"/>
        <v>1.4371458551941239</v>
      </c>
      <c r="AK73" s="20">
        <v>805285</v>
      </c>
      <c r="AL73" s="21">
        <v>1157312</v>
      </c>
      <c r="AM73" s="21">
        <v>785600</v>
      </c>
      <c r="AN73" s="21">
        <v>371176</v>
      </c>
      <c r="AO73" s="37"/>
      <c r="AP73" s="38">
        <v>35.566699999999997</v>
      </c>
      <c r="AQ73" s="38">
        <v>43.773200000000003</v>
      </c>
      <c r="AR73" s="38">
        <v>43.639499999999998</v>
      </c>
      <c r="AS73" s="39"/>
      <c r="AT73" s="38">
        <v>28.130800000000001</v>
      </c>
      <c r="AU73" s="38">
        <v>28.130800000000001</v>
      </c>
      <c r="AV73" s="38">
        <v>28.130800000000001</v>
      </c>
      <c r="AW73" s="39"/>
      <c r="AX73" s="49">
        <v>0.95299999999999996</v>
      </c>
      <c r="AY73" s="49">
        <v>0.75</v>
      </c>
      <c r="BA73" s="53">
        <f t="shared" si="35"/>
        <v>1.0167152025277737E-3</v>
      </c>
      <c r="BB73" s="53"/>
      <c r="BD73" s="54"/>
      <c r="BE73" s="54"/>
      <c r="BF73" s="54"/>
      <c r="BG73" s="61"/>
      <c r="BI73" s="54"/>
      <c r="BJ73" s="54"/>
      <c r="BK73" s="54"/>
      <c r="BL73" s="61"/>
      <c r="BN73" s="54"/>
      <c r="BO73" s="54"/>
      <c r="BP73" s="54"/>
      <c r="BQ73" s="61"/>
      <c r="BS73" s="54"/>
      <c r="BT73" s="54"/>
      <c r="BU73" s="54"/>
      <c r="BV73" s="61"/>
      <c r="BX73">
        <f t="shared" si="36"/>
        <v>0</v>
      </c>
      <c r="BY73">
        <f t="shared" si="37"/>
        <v>-1736</v>
      </c>
      <c r="BZ73">
        <f t="shared" si="38"/>
        <v>0</v>
      </c>
      <c r="CA73">
        <f t="shared" si="39"/>
        <v>-1736</v>
      </c>
      <c r="CB73">
        <f t="shared" si="40"/>
        <v>0</v>
      </c>
      <c r="CC73">
        <f t="shared" si="41"/>
        <v>-4.4499999999999318E-2</v>
      </c>
      <c r="CD73">
        <f t="shared" si="42"/>
        <v>0.19239999999999924</v>
      </c>
      <c r="CE73">
        <f t="shared" si="43"/>
        <v>0.17969999999999686</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1.1271338718590314</v>
      </c>
      <c r="K74" s="33">
        <f t="shared" si="27"/>
        <v>0.97555523820759105</v>
      </c>
      <c r="L74" s="33">
        <f t="shared" si="28"/>
        <v>0.1509130307903413</v>
      </c>
      <c r="M74" s="34"/>
      <c r="N74" s="33">
        <f t="shared" si="29"/>
        <v>1.1271338718590314</v>
      </c>
      <c r="O74" s="35">
        <v>805285</v>
      </c>
      <c r="P74" s="36">
        <v>907664</v>
      </c>
      <c r="Q74" s="36">
        <v>785600</v>
      </c>
      <c r="R74" s="36">
        <v>121528</v>
      </c>
      <c r="S74" s="46"/>
      <c r="T74" s="47">
        <v>29.9084</v>
      </c>
      <c r="U74" s="47">
        <v>38.768500000000003</v>
      </c>
      <c r="V74" s="47">
        <v>37.411799999999999</v>
      </c>
      <c r="W74" s="48"/>
      <c r="X74" s="47">
        <v>21.686399999999999</v>
      </c>
      <c r="Y74" s="47">
        <v>21.686399999999999</v>
      </c>
      <c r="Z74" s="47">
        <v>21.686399999999999</v>
      </c>
      <c r="AA74" s="48"/>
      <c r="AB74" s="52">
        <v>0.92100000000000004</v>
      </c>
      <c r="AC74" s="52">
        <v>0.71799999999999997</v>
      </c>
      <c r="AE74" s="32" t="str">
        <f t="shared" si="30"/>
        <v>·</v>
      </c>
      <c r="AF74" s="33">
        <f t="shared" si="31"/>
        <v>1.1260311566712407</v>
      </c>
      <c r="AG74" s="33">
        <f t="shared" si="32"/>
        <v>0.97555523820759105</v>
      </c>
      <c r="AH74" s="33">
        <f t="shared" si="33"/>
        <v>0.14981031560255065</v>
      </c>
      <c r="AI74" s="34"/>
      <c r="AJ74" s="33">
        <f t="shared" si="34"/>
        <v>1.1260311566712407</v>
      </c>
      <c r="AK74" s="35">
        <v>805285</v>
      </c>
      <c r="AL74" s="36">
        <v>906776</v>
      </c>
      <c r="AM74" s="36">
        <v>785600</v>
      </c>
      <c r="AN74" s="36">
        <v>120640</v>
      </c>
      <c r="AO74" s="46"/>
      <c r="AP74" s="47">
        <v>29.706099999999999</v>
      </c>
      <c r="AQ74" s="47">
        <v>38.796100000000003</v>
      </c>
      <c r="AR74" s="47">
        <v>37.086399999999998</v>
      </c>
      <c r="AS74" s="48"/>
      <c r="AT74" s="47">
        <v>21.686399999999999</v>
      </c>
      <c r="AU74" s="47">
        <v>21.686399999999999</v>
      </c>
      <c r="AV74" s="47">
        <v>21.686399999999999</v>
      </c>
      <c r="AW74" s="48"/>
      <c r="AX74" s="52">
        <v>0.93700000000000006</v>
      </c>
      <c r="AY74" s="52">
        <v>0.68700000000000006</v>
      </c>
      <c r="BA74" s="59">
        <f t="shared" si="35"/>
        <v>8.4759680876500543E-4</v>
      </c>
      <c r="BB74" s="59"/>
      <c r="BD74" s="60"/>
      <c r="BE74" s="60"/>
      <c r="BF74" s="60"/>
      <c r="BG74" s="64"/>
      <c r="BI74" s="60"/>
      <c r="BJ74" s="60"/>
      <c r="BK74" s="60"/>
      <c r="BL74" s="64"/>
      <c r="BN74" s="60"/>
      <c r="BO74" s="60"/>
      <c r="BP74" s="60"/>
      <c r="BQ74" s="64"/>
      <c r="BS74" s="60"/>
      <c r="BT74" s="60"/>
      <c r="BU74" s="60"/>
      <c r="BV74" s="64"/>
      <c r="BX74">
        <f t="shared" si="36"/>
        <v>0</v>
      </c>
      <c r="BY74">
        <f t="shared" si="37"/>
        <v>-888</v>
      </c>
      <c r="BZ74">
        <f t="shared" si="38"/>
        <v>0</v>
      </c>
      <c r="CA74">
        <f t="shared" si="39"/>
        <v>-888</v>
      </c>
      <c r="CB74">
        <f t="shared" si="40"/>
        <v>0</v>
      </c>
      <c r="CC74">
        <f t="shared" si="41"/>
        <v>-0.20230000000000103</v>
      </c>
      <c r="CD74">
        <f t="shared" si="42"/>
        <v>2.7599999999999625E-2</v>
      </c>
      <c r="CE74">
        <f t="shared" si="43"/>
        <v>-0.32540000000000191</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5.1325433844192716</v>
      </c>
      <c r="K75" s="18">
        <f t="shared" si="27"/>
        <v>0.77826718068957523</v>
      </c>
      <c r="L75" s="18">
        <f t="shared" si="28"/>
        <v>4.3537327433858177</v>
      </c>
      <c r="M75" s="19"/>
      <c r="N75" s="18">
        <f t="shared" si="29"/>
        <v>5.1325433844192716</v>
      </c>
      <c r="O75" s="20">
        <v>1000993</v>
      </c>
      <c r="P75" s="21">
        <v>5137640</v>
      </c>
      <c r="Q75" s="21">
        <v>779040</v>
      </c>
      <c r="R75" s="21">
        <v>4358056</v>
      </c>
      <c r="S75" s="37"/>
      <c r="T75" s="38">
        <v>52.935299999999998</v>
      </c>
      <c r="U75" s="38">
        <v>56.142499999999998</v>
      </c>
      <c r="V75" s="38">
        <v>55.728099999999998</v>
      </c>
      <c r="W75" s="39"/>
      <c r="X75" s="38">
        <v>48.130800000000001</v>
      </c>
      <c r="Y75" s="38">
        <v>48.130800000000001</v>
      </c>
      <c r="Z75" s="38">
        <v>48.130800000000001</v>
      </c>
      <c r="AA75" s="39"/>
      <c r="AB75" s="49">
        <v>1.1870000000000001</v>
      </c>
      <c r="AC75" s="49">
        <v>0.89</v>
      </c>
      <c r="AE75" s="17" t="str">
        <f t="shared" si="30"/>
        <v>·</v>
      </c>
      <c r="AF75" s="18">
        <f t="shared" si="31"/>
        <v>5.1340299083010574</v>
      </c>
      <c r="AG75" s="18">
        <f t="shared" si="32"/>
        <v>0.77826718068957523</v>
      </c>
      <c r="AH75" s="18">
        <f t="shared" si="33"/>
        <v>4.3552192672676036</v>
      </c>
      <c r="AI75" s="19"/>
      <c r="AJ75" s="18">
        <f t="shared" si="34"/>
        <v>5.1340299083010574</v>
      </c>
      <c r="AK75" s="20">
        <v>1000993</v>
      </c>
      <c r="AL75" s="21">
        <v>5139128</v>
      </c>
      <c r="AM75" s="21">
        <v>779040</v>
      </c>
      <c r="AN75" s="21">
        <v>4359544</v>
      </c>
      <c r="AO75" s="37"/>
      <c r="AP75" s="38">
        <v>52.965000000000003</v>
      </c>
      <c r="AQ75" s="38">
        <v>56.196100000000001</v>
      </c>
      <c r="AR75" s="38">
        <v>55.827500000000001</v>
      </c>
      <c r="AS75" s="39"/>
      <c r="AT75" s="38">
        <v>48.130800000000001</v>
      </c>
      <c r="AU75" s="38">
        <v>48.130800000000001</v>
      </c>
      <c r="AV75" s="38">
        <v>48.130800000000001</v>
      </c>
      <c r="AW75" s="39"/>
      <c r="AX75" s="49">
        <v>1.1870000000000001</v>
      </c>
      <c r="AY75" s="49">
        <v>0.875</v>
      </c>
      <c r="BA75" s="53">
        <f t="shared" si="35"/>
        <v>-4.3904555451140803E-5</v>
      </c>
      <c r="BB75" s="53">
        <f t="array" ref="BB75">AVERAGE(AM75:AM79/AL75:AL79)-AVERAGE(Q75:Q79/P75:P79)</f>
        <v>-1.5043149512720122E-3</v>
      </c>
      <c r="BD75" s="54">
        <f>IF(OR(ISBLANK(R75:R79),ISBLANK(AN75:AN79),ISBLANK(T75:T79),ISBLANK(AP75:AP79)),"·",bdRateExtend(R75:R79,T75:T79,AN75:AN79,AP75:AP79))</f>
        <v>-4.0856427146582774E-3</v>
      </c>
      <c r="BE75" s="54">
        <f>IF(OR(ISBLANK(R75:R79),ISBLANK(AN75:AN79),ISBLANK(U75:U79),ISBLANK(AQ75:AQ79)),"·",bdRateExtend(R75:R79,U75:U79,AN75:AN79,AQ75:AQ79))</f>
        <v>-1.0081124556679866E-2</v>
      </c>
      <c r="BF75" s="54">
        <f>IF(OR(ISBLANK(R75:R79),ISBLANK(AN75:AN79),ISBLANK(V75:V79),ISBLANK(AR75:AR79)),"·",bdRateExtend(R75:R79,V75:V79,AN75:AN79,AR75:AR79))</f>
        <v>-3.894348185367269E-3</v>
      </c>
      <c r="BG75" s="61"/>
      <c r="BI75" s="54">
        <f>IF(OR(ISBLANK(R75:R79),ISBLANK(AN75:AN79),ISBLANK(X75:X79),ISBLANK(AT75:AT79)),"·",bdRateExtend(R75:R79,X75:X79,AN75:AN79,AT75:AT79))</f>
        <v>5.4809209486288424E-3</v>
      </c>
      <c r="BJ75" s="54">
        <f>IF(OR(ISBLANK(R75:R79),ISBLANK(AN75:AN79),ISBLANK(Y75:Y79),ISBLANK(AU75:AU79)),"·",bdRateExtend(R75:R79,Y75:Y79,AN75:AN79,AU75:AU79))</f>
        <v>5.4809209486288424E-3</v>
      </c>
      <c r="BK75" s="54">
        <f>IF(OR(ISBLANK(R75:R79),ISBLANK(AN75:AN79),ISBLANK(Z75:Z79),ISBLANK(AV75:AV79)),"·",bdRateExtend(R75:R79,Z75:Z79,AN75:AN79,AV75:AV79))</f>
        <v>5.4809209486288424E-3</v>
      </c>
      <c r="BL75" s="61"/>
      <c r="BN75" s="54">
        <f>IF(OR(ISBLANK(P75:P79),ISBLANK(AL75:AL79),ISBLANK(T75:T79),ISBLANK(AP75:AP79)),"·",bdRateExtend(P75:P79,T75:T79,AL75:AL79,AP75:AP79))</f>
        <v>-2.3500239631900621E-3</v>
      </c>
      <c r="BO75" s="54">
        <f>IF(OR(ISBLANK(P75:P79),ISBLANK(AL75:AL79),ISBLANK(U75:U79),ISBLANK(AQ75:AQ79)),"·",bdRateExtend(P75:P79,U75:U79,AL75:AL79,AQ75:AQ79))</f>
        <v>-4.5021882817984915E-3</v>
      </c>
      <c r="BP75" s="54">
        <f>IF(OR(ISBLANK(P75:P79),ISBLANK(AL75:AL79),ISBLANK(V75:V79),ISBLANK(AR75:AR79)),"·",bdRateExtend(P75:P79,V75:V79,AL75:AL79,AR75:AR79))</f>
        <v>-5.061691478048691E-3</v>
      </c>
      <c r="BQ75" s="61"/>
      <c r="BS75" s="54">
        <f>IF(OR(ISBLANK(P75:P79),ISBLANK(AL75:AL79),ISBLANK(X75:X79),ISBLANK(AT75:AT79)),"·",bdRateExtend(P75:P79,X75:X79,AL75:AL79,AT75:AT79))</f>
        <v>1.9871109910483131E-3</v>
      </c>
      <c r="BT75" s="54">
        <f>IF(OR(ISBLANK(P75:P79),ISBLANK(AL75:AL79),ISBLANK(Y75:Y79),ISBLANK(AU75:AU79)),"·",bdRateExtend(P75:P79,Y75:Y79,AL75:AL79,AU75:AU79))</f>
        <v>1.9871109910483131E-3</v>
      </c>
      <c r="BU75" s="54">
        <f>IF(OR(ISBLANK(P75:P79),ISBLANK(AL75:AL79),ISBLANK(Z75:Z79),ISBLANK(AV75:AV79)),"·",bdRateExtend(P75:P79,Z75:Z79,AL75:AL79,AV75:AV79))</f>
        <v>1.9871109910483131E-3</v>
      </c>
      <c r="BV75" s="61"/>
      <c r="BX75">
        <f t="shared" si="36"/>
        <v>0</v>
      </c>
      <c r="BY75">
        <f t="shared" si="37"/>
        <v>1488</v>
      </c>
      <c r="BZ75">
        <f t="shared" si="38"/>
        <v>0</v>
      </c>
      <c r="CA75">
        <f t="shared" si="39"/>
        <v>1488</v>
      </c>
      <c r="CB75">
        <f t="shared" si="40"/>
        <v>0</v>
      </c>
      <c r="CC75">
        <f t="shared" si="41"/>
        <v>2.9700000000005389E-2</v>
      </c>
      <c r="CD75">
        <f t="shared" si="42"/>
        <v>5.3600000000002979E-2</v>
      </c>
      <c r="CE75">
        <f t="shared" si="43"/>
        <v>9.9400000000002819E-2</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3.5866864203845581</v>
      </c>
      <c r="K76" s="23">
        <f t="shared" si="27"/>
        <v>0.77826718068957523</v>
      </c>
      <c r="L76" s="23">
        <f t="shared" si="28"/>
        <v>2.8078757793511042</v>
      </c>
      <c r="M76" s="24"/>
      <c r="N76" s="23">
        <f t="shared" si="29"/>
        <v>3.5866864203845581</v>
      </c>
      <c r="O76" s="25">
        <v>1000993</v>
      </c>
      <c r="P76" s="26">
        <v>3590248</v>
      </c>
      <c r="Q76" s="26">
        <v>779040</v>
      </c>
      <c r="R76" s="26">
        <v>2810664</v>
      </c>
      <c r="S76" s="40"/>
      <c r="T76" s="41">
        <v>48.205199999999998</v>
      </c>
      <c r="U76" s="41">
        <v>52.208199999999998</v>
      </c>
      <c r="V76" s="41">
        <v>51.654400000000003</v>
      </c>
      <c r="W76" s="42"/>
      <c r="X76" s="41">
        <v>42.110199999999999</v>
      </c>
      <c r="Y76" s="41">
        <v>42.110199999999999</v>
      </c>
      <c r="Z76" s="41">
        <v>42.110199999999999</v>
      </c>
      <c r="AA76" s="42"/>
      <c r="AB76" s="50">
        <v>1.171</v>
      </c>
      <c r="AC76" s="50">
        <v>0.89</v>
      </c>
      <c r="AE76" s="22" t="str">
        <f t="shared" si="30"/>
        <v>·</v>
      </c>
      <c r="AF76" s="23">
        <f t="shared" si="31"/>
        <v>3.5861109917851572</v>
      </c>
      <c r="AG76" s="23">
        <f t="shared" si="32"/>
        <v>0.77826718068957523</v>
      </c>
      <c r="AH76" s="23">
        <f t="shared" si="33"/>
        <v>2.8073003507517034</v>
      </c>
      <c r="AI76" s="24"/>
      <c r="AJ76" s="23">
        <f t="shared" si="34"/>
        <v>3.5861109917851572</v>
      </c>
      <c r="AK76" s="25">
        <v>1000993</v>
      </c>
      <c r="AL76" s="26">
        <v>3589672</v>
      </c>
      <c r="AM76" s="26">
        <v>779040</v>
      </c>
      <c r="AN76" s="26">
        <v>2810088</v>
      </c>
      <c r="AO76" s="40"/>
      <c r="AP76" s="41">
        <v>48.269599999999997</v>
      </c>
      <c r="AQ76" s="41">
        <v>52.1783</v>
      </c>
      <c r="AR76" s="41">
        <v>51.725700000000003</v>
      </c>
      <c r="AS76" s="42"/>
      <c r="AT76" s="41">
        <v>42.110199999999999</v>
      </c>
      <c r="AU76" s="41">
        <v>42.110199999999999</v>
      </c>
      <c r="AV76" s="41">
        <v>42.110199999999999</v>
      </c>
      <c r="AW76" s="42"/>
      <c r="AX76" s="50">
        <v>1.1399999999999999</v>
      </c>
      <c r="AY76" s="50">
        <v>0.875</v>
      </c>
      <c r="BA76" s="55">
        <f t="shared" si="35"/>
        <v>3.4817936122727433E-5</v>
      </c>
      <c r="BB76" s="55"/>
      <c r="BD76" s="56"/>
      <c r="BE76" s="56"/>
      <c r="BF76" s="56"/>
      <c r="BG76" s="62"/>
      <c r="BI76" s="56"/>
      <c r="BJ76" s="56"/>
      <c r="BK76" s="56"/>
      <c r="BL76" s="62"/>
      <c r="BN76" s="56"/>
      <c r="BO76" s="56"/>
      <c r="BP76" s="56"/>
      <c r="BQ76" s="62"/>
      <c r="BS76" s="56"/>
      <c r="BT76" s="56"/>
      <c r="BU76" s="56"/>
      <c r="BV76" s="62"/>
      <c r="BX76">
        <f t="shared" si="36"/>
        <v>0</v>
      </c>
      <c r="BY76">
        <f t="shared" si="37"/>
        <v>-576</v>
      </c>
      <c r="BZ76">
        <f t="shared" si="38"/>
        <v>0</v>
      </c>
      <c r="CA76">
        <f t="shared" si="39"/>
        <v>-576</v>
      </c>
      <c r="CB76">
        <f t="shared" si="40"/>
        <v>0</v>
      </c>
      <c r="CC76">
        <f t="shared" si="41"/>
        <v>6.4399999999999125E-2</v>
      </c>
      <c r="CD76">
        <f t="shared" si="42"/>
        <v>-2.9899999999997817E-2</v>
      </c>
      <c r="CE76">
        <f t="shared" si="43"/>
        <v>7.1300000000000807E-2</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2.0109551215642867</v>
      </c>
      <c r="K77" s="18">
        <f t="shared" si="27"/>
        <v>0.77826718068957523</v>
      </c>
      <c r="L77" s="18">
        <f t="shared" si="28"/>
        <v>1.2321444805308328</v>
      </c>
      <c r="M77" s="19"/>
      <c r="N77" s="18">
        <f t="shared" si="29"/>
        <v>2.0109551215642867</v>
      </c>
      <c r="O77" s="20">
        <v>1000993</v>
      </c>
      <c r="P77" s="21">
        <v>2012952</v>
      </c>
      <c r="Q77" s="21">
        <v>779040</v>
      </c>
      <c r="R77" s="21">
        <v>1233368</v>
      </c>
      <c r="S77" s="37"/>
      <c r="T77" s="38">
        <v>41.655799999999999</v>
      </c>
      <c r="U77" s="38">
        <v>47.349400000000003</v>
      </c>
      <c r="V77" s="38">
        <v>46.803899999999999</v>
      </c>
      <c r="W77" s="39"/>
      <c r="X77" s="38">
        <v>34.151400000000002</v>
      </c>
      <c r="Y77" s="38">
        <v>34.151400000000002</v>
      </c>
      <c r="Z77" s="38">
        <v>34.151400000000002</v>
      </c>
      <c r="AA77" s="39"/>
      <c r="AB77" s="49">
        <v>1.1399999999999999</v>
      </c>
      <c r="AC77" s="49">
        <v>0.90600000000000003</v>
      </c>
      <c r="AE77" s="17" t="str">
        <f t="shared" si="30"/>
        <v>·</v>
      </c>
      <c r="AF77" s="18">
        <f t="shared" si="31"/>
        <v>2.0156384709982986</v>
      </c>
      <c r="AG77" s="18">
        <f t="shared" si="32"/>
        <v>0.77826718068957523</v>
      </c>
      <c r="AH77" s="18">
        <f t="shared" si="33"/>
        <v>1.236827829964845</v>
      </c>
      <c r="AI77" s="19"/>
      <c r="AJ77" s="18">
        <f t="shared" si="34"/>
        <v>2.0156384709982986</v>
      </c>
      <c r="AK77" s="20">
        <v>1000993</v>
      </c>
      <c r="AL77" s="21">
        <v>2017640</v>
      </c>
      <c r="AM77" s="21">
        <v>779040</v>
      </c>
      <c r="AN77" s="21">
        <v>1238056</v>
      </c>
      <c r="AO77" s="37"/>
      <c r="AP77" s="38">
        <v>41.687600000000003</v>
      </c>
      <c r="AQ77" s="38">
        <v>47.409500000000001</v>
      </c>
      <c r="AR77" s="38">
        <v>46.862900000000003</v>
      </c>
      <c r="AS77" s="39"/>
      <c r="AT77" s="38">
        <v>34.151400000000002</v>
      </c>
      <c r="AU77" s="38">
        <v>34.151400000000002</v>
      </c>
      <c r="AV77" s="38">
        <v>34.151400000000002</v>
      </c>
      <c r="AW77" s="39"/>
      <c r="AX77" s="49">
        <v>1.125</v>
      </c>
      <c r="AY77" s="49">
        <v>0.89</v>
      </c>
      <c r="BA77" s="53">
        <f t="shared" si="35"/>
        <v>-8.9922891211552392E-4</v>
      </c>
      <c r="BB77" s="53"/>
      <c r="BD77" s="54"/>
      <c r="BE77" s="54"/>
      <c r="BF77" s="54"/>
      <c r="BG77" s="61"/>
      <c r="BI77" s="54"/>
      <c r="BJ77" s="54"/>
      <c r="BK77" s="54"/>
      <c r="BL77" s="61"/>
      <c r="BN77" s="54"/>
      <c r="BO77" s="54"/>
      <c r="BP77" s="54"/>
      <c r="BQ77" s="61"/>
      <c r="BS77" s="54"/>
      <c r="BT77" s="54"/>
      <c r="BU77" s="54"/>
      <c r="BV77" s="61"/>
      <c r="BX77">
        <f t="shared" si="36"/>
        <v>0</v>
      </c>
      <c r="BY77">
        <f t="shared" si="37"/>
        <v>4688</v>
      </c>
      <c r="BZ77">
        <f t="shared" si="38"/>
        <v>0</v>
      </c>
      <c r="CA77">
        <f t="shared" si="39"/>
        <v>4688</v>
      </c>
      <c r="CB77">
        <f t="shared" si="40"/>
        <v>0</v>
      </c>
      <c r="CC77">
        <f t="shared" si="41"/>
        <v>3.1800000000004047E-2</v>
      </c>
      <c r="CD77">
        <f t="shared" si="42"/>
        <v>6.0099999999998488E-2</v>
      </c>
      <c r="CE77">
        <f t="shared" si="43"/>
        <v>5.9000000000004604E-2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1.3527766927441052</v>
      </c>
      <c r="K78" s="23">
        <f t="shared" si="27"/>
        <v>0.77826718068957523</v>
      </c>
      <c r="L78" s="23">
        <f t="shared" si="28"/>
        <v>0.57396605171065129</v>
      </c>
      <c r="M78" s="24"/>
      <c r="N78" s="23">
        <f t="shared" si="29"/>
        <v>1.3527766927441052</v>
      </c>
      <c r="O78" s="25">
        <v>1000993</v>
      </c>
      <c r="P78" s="26">
        <v>1354120</v>
      </c>
      <c r="Q78" s="26">
        <v>779040</v>
      </c>
      <c r="R78" s="26">
        <v>574536</v>
      </c>
      <c r="S78" s="40"/>
      <c r="T78" s="41">
        <v>36.579300000000003</v>
      </c>
      <c r="U78" s="41">
        <v>42.494300000000003</v>
      </c>
      <c r="V78" s="41">
        <v>42.360799999999998</v>
      </c>
      <c r="W78" s="42"/>
      <c r="X78" s="41">
        <v>28.130800000000001</v>
      </c>
      <c r="Y78" s="41">
        <v>28.130800000000001</v>
      </c>
      <c r="Z78" s="41">
        <v>28.130800000000001</v>
      </c>
      <c r="AA78" s="42"/>
      <c r="AB78" s="50">
        <v>1.171</v>
      </c>
      <c r="AC78" s="50">
        <v>0.875</v>
      </c>
      <c r="AE78" s="22" t="str">
        <f t="shared" si="30"/>
        <v>·</v>
      </c>
      <c r="AF78" s="23">
        <f t="shared" si="31"/>
        <v>1.3570444548563276</v>
      </c>
      <c r="AG78" s="23">
        <f t="shared" si="32"/>
        <v>0.77826718068957523</v>
      </c>
      <c r="AH78" s="23">
        <f t="shared" si="33"/>
        <v>0.57823381382287387</v>
      </c>
      <c r="AI78" s="24"/>
      <c r="AJ78" s="23">
        <f t="shared" si="34"/>
        <v>1.3570444548563276</v>
      </c>
      <c r="AK78" s="25">
        <v>1000993</v>
      </c>
      <c r="AL78" s="26">
        <v>1358392</v>
      </c>
      <c r="AM78" s="26">
        <v>779040</v>
      </c>
      <c r="AN78" s="26">
        <v>578808</v>
      </c>
      <c r="AO78" s="40"/>
      <c r="AP78" s="41">
        <v>36.643500000000003</v>
      </c>
      <c r="AQ78" s="41">
        <v>42.741</v>
      </c>
      <c r="AR78" s="41">
        <v>42.566800000000001</v>
      </c>
      <c r="AS78" s="42"/>
      <c r="AT78" s="41">
        <v>28.130800000000001</v>
      </c>
      <c r="AU78" s="41">
        <v>28.130800000000001</v>
      </c>
      <c r="AV78" s="41">
        <v>28.130800000000001</v>
      </c>
      <c r="AW78" s="42"/>
      <c r="AX78" s="50">
        <v>1.0780000000000001</v>
      </c>
      <c r="AY78" s="50">
        <v>0.875</v>
      </c>
      <c r="BA78" s="55">
        <f t="shared" si="35"/>
        <v>-1.8092922939104694E-3</v>
      </c>
      <c r="BB78" s="55"/>
      <c r="BD78" s="56"/>
      <c r="BE78" s="56"/>
      <c r="BF78" s="56"/>
      <c r="BG78" s="62"/>
      <c r="BI78" s="56"/>
      <c r="BJ78" s="56"/>
      <c r="BK78" s="56"/>
      <c r="BL78" s="62"/>
      <c r="BN78" s="56"/>
      <c r="BO78" s="56"/>
      <c r="BP78" s="56"/>
      <c r="BQ78" s="62"/>
      <c r="BS78" s="56"/>
      <c r="BT78" s="56"/>
      <c r="BU78" s="56"/>
      <c r="BV78" s="62"/>
      <c r="BX78">
        <f t="shared" si="36"/>
        <v>0</v>
      </c>
      <c r="BY78">
        <f t="shared" si="37"/>
        <v>4272</v>
      </c>
      <c r="BZ78">
        <f t="shared" si="38"/>
        <v>0</v>
      </c>
      <c r="CA78">
        <f t="shared" si="39"/>
        <v>4272</v>
      </c>
      <c r="CB78">
        <f t="shared" si="40"/>
        <v>0</v>
      </c>
      <c r="CC78">
        <f t="shared" si="41"/>
        <v>6.4199999999999591E-2</v>
      </c>
      <c r="CD78">
        <f t="shared" si="42"/>
        <v>0.24669999999999703</v>
      </c>
      <c r="CE78">
        <f t="shared" si="43"/>
        <v>0.20600000000000307</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1.0011898185102193</v>
      </c>
      <c r="K79" s="28">
        <f t="shared" si="27"/>
        <v>0.77826718068957523</v>
      </c>
      <c r="L79" s="28">
        <f t="shared" si="28"/>
        <v>0.22237917747676558</v>
      </c>
      <c r="M79" s="29"/>
      <c r="N79" s="28">
        <f t="shared" si="29"/>
        <v>1.0011898185102193</v>
      </c>
      <c r="O79" s="30">
        <v>1000993</v>
      </c>
      <c r="P79" s="31">
        <v>1002184</v>
      </c>
      <c r="Q79" s="31">
        <v>779040</v>
      </c>
      <c r="R79" s="31">
        <v>222600</v>
      </c>
      <c r="S79" s="43"/>
      <c r="T79" s="44">
        <v>30.221699999999998</v>
      </c>
      <c r="U79" s="44">
        <v>37.046799999999998</v>
      </c>
      <c r="V79" s="44">
        <v>36.332099999999997</v>
      </c>
      <c r="W79" s="45"/>
      <c r="X79" s="44">
        <v>21.686399999999999</v>
      </c>
      <c r="Y79" s="44">
        <v>21.686399999999999</v>
      </c>
      <c r="Z79" s="44">
        <v>21.686399999999999</v>
      </c>
      <c r="AA79" s="45"/>
      <c r="AB79" s="51">
        <v>1.1399999999999999</v>
      </c>
      <c r="AC79" s="51">
        <v>0.84299999999999997</v>
      </c>
      <c r="AE79" s="27" t="str">
        <f t="shared" si="30"/>
        <v>·</v>
      </c>
      <c r="AF79" s="28">
        <f t="shared" si="31"/>
        <v>1.0074156362731808</v>
      </c>
      <c r="AG79" s="28">
        <f t="shared" si="32"/>
        <v>0.77826718068957523</v>
      </c>
      <c r="AH79" s="28">
        <f t="shared" si="33"/>
        <v>0.22860499523972694</v>
      </c>
      <c r="AI79" s="29"/>
      <c r="AJ79" s="28">
        <f t="shared" si="34"/>
        <v>1.0074156362731808</v>
      </c>
      <c r="AK79" s="30">
        <v>1000993</v>
      </c>
      <c r="AL79" s="31">
        <v>1008416</v>
      </c>
      <c r="AM79" s="31">
        <v>779040</v>
      </c>
      <c r="AN79" s="31">
        <v>228832</v>
      </c>
      <c r="AO79" s="43"/>
      <c r="AP79" s="44">
        <v>30.472000000000001</v>
      </c>
      <c r="AQ79" s="44">
        <v>37.140599999999999</v>
      </c>
      <c r="AR79" s="44">
        <v>35.9236</v>
      </c>
      <c r="AS79" s="45"/>
      <c r="AT79" s="44">
        <v>21.686399999999999</v>
      </c>
      <c r="AU79" s="44">
        <v>21.686399999999999</v>
      </c>
      <c r="AV79" s="44">
        <v>21.686399999999999</v>
      </c>
      <c r="AW79" s="45"/>
      <c r="AX79" s="51">
        <v>1.125</v>
      </c>
      <c r="AY79" s="51">
        <v>0.875</v>
      </c>
      <c r="BA79" s="57">
        <f t="shared" si="35"/>
        <v>-4.8039669310058208E-3</v>
      </c>
      <c r="BB79" s="57"/>
      <c r="BD79" s="58"/>
      <c r="BE79" s="58"/>
      <c r="BF79" s="58"/>
      <c r="BG79" s="63"/>
      <c r="BI79" s="58"/>
      <c r="BJ79" s="58"/>
      <c r="BK79" s="58"/>
      <c r="BL79" s="63"/>
      <c r="BN79" s="58"/>
      <c r="BO79" s="58"/>
      <c r="BP79" s="58"/>
      <c r="BQ79" s="63"/>
      <c r="BS79" s="58"/>
      <c r="BT79" s="58"/>
      <c r="BU79" s="58"/>
      <c r="BV79" s="63"/>
      <c r="BX79">
        <f t="shared" si="36"/>
        <v>0</v>
      </c>
      <c r="BY79">
        <f t="shared" si="37"/>
        <v>6232</v>
      </c>
      <c r="BZ79">
        <f t="shared" si="38"/>
        <v>0</v>
      </c>
      <c r="CA79">
        <f t="shared" si="39"/>
        <v>6232</v>
      </c>
      <c r="CB79">
        <f t="shared" si="40"/>
        <v>0</v>
      </c>
      <c r="CC79">
        <f t="shared" si="41"/>
        <v>0.25030000000000285</v>
      </c>
      <c r="CD79">
        <f t="shared" si="42"/>
        <v>9.380000000000166E-2</v>
      </c>
      <c r="CE79">
        <f t="shared" si="43"/>
        <v>-0.40849999999999653</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8.3758884011828627</v>
      </c>
      <c r="K80" s="23">
        <f t="shared" si="27"/>
        <v>3.9133419260389659</v>
      </c>
      <c r="L80" s="23">
        <f t="shared" si="28"/>
        <v>4.4622144131508099</v>
      </c>
      <c r="M80" s="24"/>
      <c r="N80" s="23">
        <f t="shared" si="29"/>
        <v>8.3758884011828627</v>
      </c>
      <c r="O80" s="25">
        <v>2770567</v>
      </c>
      <c r="P80" s="26">
        <v>23205960</v>
      </c>
      <c r="Q80" s="26">
        <v>10842176</v>
      </c>
      <c r="R80" s="26">
        <v>12362864</v>
      </c>
      <c r="S80" s="40"/>
      <c r="T80" s="41">
        <v>53.138100000000001</v>
      </c>
      <c r="U80" s="41">
        <v>55.750100000000003</v>
      </c>
      <c r="V80" s="41">
        <v>55.316400000000002</v>
      </c>
      <c r="W80" s="42"/>
      <c r="X80" s="41">
        <v>48.130800000000001</v>
      </c>
      <c r="Y80" s="41">
        <v>48.130800000000001</v>
      </c>
      <c r="Z80" s="41">
        <v>48.130800000000001</v>
      </c>
      <c r="AA80" s="42"/>
      <c r="AB80" s="50">
        <v>4.5620000000000003</v>
      </c>
      <c r="AC80" s="50">
        <v>3.6869999999999998</v>
      </c>
      <c r="AE80" s="22" t="str">
        <f t="shared" si="30"/>
        <v>·</v>
      </c>
      <c r="AF80" s="23">
        <f t="shared" si="31"/>
        <v>8.380756718751071</v>
      </c>
      <c r="AG80" s="23">
        <f t="shared" si="32"/>
        <v>3.9133419260389659</v>
      </c>
      <c r="AH80" s="23">
        <f t="shared" si="33"/>
        <v>4.4670827307190191</v>
      </c>
      <c r="AI80" s="24"/>
      <c r="AJ80" s="23">
        <f t="shared" si="34"/>
        <v>8.380756718751071</v>
      </c>
      <c r="AK80" s="25">
        <v>2770567</v>
      </c>
      <c r="AL80" s="26">
        <v>23219448</v>
      </c>
      <c r="AM80" s="26">
        <v>10842176</v>
      </c>
      <c r="AN80" s="26">
        <v>12376352</v>
      </c>
      <c r="AO80" s="40"/>
      <c r="AP80" s="41">
        <v>53.145299999999999</v>
      </c>
      <c r="AQ80" s="41">
        <v>55.765099999999997</v>
      </c>
      <c r="AR80" s="41">
        <v>55.334600000000002</v>
      </c>
      <c r="AS80" s="42"/>
      <c r="AT80" s="41">
        <v>48.130800000000001</v>
      </c>
      <c r="AU80" s="41">
        <v>48.130800000000001</v>
      </c>
      <c r="AV80" s="41">
        <v>48.130800000000001</v>
      </c>
      <c r="AW80" s="42"/>
      <c r="AX80" s="50">
        <v>4.625</v>
      </c>
      <c r="AY80" s="50">
        <v>3.6709999999999998</v>
      </c>
      <c r="BA80" s="55">
        <f t="shared" si="35"/>
        <v>-2.7140171012540737E-4</v>
      </c>
      <c r="BB80" s="55">
        <f t="array" ref="BB80">AVERAGE(AM80:AM84/AL80:AL84)-AVERAGE(Q80:Q84/P80:P84)</f>
        <v>1.9993135510110172E-4</v>
      </c>
      <c r="BD80" s="56">
        <f>IF(OR(ISBLANK(R80:R84),ISBLANK(AN80:AN84),ISBLANK(T80:T84),ISBLANK(AP80:AP84)),"·",bdRateExtend(R80:R84,T80:T84,AN80:AN84,AP80:AP84))</f>
        <v>-7.5467993256009835E-3</v>
      </c>
      <c r="BE80" s="56">
        <f>IF(OR(ISBLANK(R80:R84),ISBLANK(AN80:AN84),ISBLANK(U80:U84),ISBLANK(AQ80:AQ84)),"·",bdRateExtend(R80:R84,U80:U84,AN80:AN84,AQ80:AQ84))</f>
        <v>-1.8723133778116074E-2</v>
      </c>
      <c r="BF80" s="56">
        <f>IF(OR(ISBLANK(R80:R84),ISBLANK(AN80:AN84),ISBLANK(V80:V84),ISBLANK(AR80:AR84)),"·",bdRateExtend(R80:R84,V80:V84,AN80:AN84,AR80:AR84))</f>
        <v>-1.7446360656353299E-2</v>
      </c>
      <c r="BG80" s="62"/>
      <c r="BI80" s="56">
        <f>IF(OR(ISBLANK(R80:R84),ISBLANK(AN80:AN84),ISBLANK(X80:X84),ISBLANK(AT80:AT84)),"·",bdRateExtend(R80:R84,X80:X84,AN80:AN84,AT80:AT84))</f>
        <v>-2.4497468396444955E-3</v>
      </c>
      <c r="BJ80" s="56">
        <f>IF(OR(ISBLANK(R80:R84),ISBLANK(AN80:AN84),ISBLANK(Y80:Y84),ISBLANK(AU80:AU84)),"·",bdRateExtend(R80:R84,Y80:Y84,AN80:AN84,AU80:AU84))</f>
        <v>-2.4497468396444955E-3</v>
      </c>
      <c r="BK80" s="56">
        <f>IF(OR(ISBLANK(R80:R84),ISBLANK(AN80:AN84),ISBLANK(Z80:Z84),ISBLANK(AV80:AV84)),"·",bdRateExtend(R80:R84,Z80:Z84,AN80:AN84,AV80:AV84))</f>
        <v>-2.4497468396444955E-3</v>
      </c>
      <c r="BL80" s="62"/>
      <c r="BN80" s="56">
        <f>IF(OR(ISBLANK(P80:P84),ISBLANK(AL80:AL84),ISBLANK(T80:T84),ISBLANK(AP80:AP84)),"·",bdRateExtend(P80:P84,T80:T84,AL80:AL84,AP80:AP84))</f>
        <v>-9.4148057796639151E-4</v>
      </c>
      <c r="BO80" s="56">
        <f>IF(OR(ISBLANK(P80:P84),ISBLANK(AL80:AL84),ISBLANK(U80:U84),ISBLANK(AQ80:AQ84)),"·",bdRateExtend(P80:P84,U80:U84,AL80:AL84,AQ80:AQ84))</f>
        <v>-1.8556626044484714E-3</v>
      </c>
      <c r="BP80" s="56">
        <f>IF(OR(ISBLANK(P80:P84),ISBLANK(AL80:AL84),ISBLANK(V80:V84),ISBLANK(AR80:AR84)),"·",bdRateExtend(P80:P84,V80:V84,AL80:AL84,AR80:AR84))</f>
        <v>-2.1238543415268429E-3</v>
      </c>
      <c r="BQ80" s="62"/>
      <c r="BS80" s="56">
        <f>IF(OR(ISBLANK(P80:P84),ISBLANK(AL80:AL84),ISBLANK(X80:X84),ISBLANK(AT80:AT84)),"·",bdRateExtend(P80:P84,X80:X84,AL80:AL84,AT80:AT84))</f>
        <v>-1.1067661582320198E-4</v>
      </c>
      <c r="BT80" s="56">
        <f>IF(OR(ISBLANK(P80:P84),ISBLANK(AL80:AL84),ISBLANK(Y80:Y84),ISBLANK(AU80:AU84)),"·",bdRateExtend(P80:P84,Y80:Y84,AL80:AL84,AU80:AU84))</f>
        <v>-1.1067661582320198E-4</v>
      </c>
      <c r="BU80" s="56">
        <f>IF(OR(ISBLANK(P80:P84),ISBLANK(AL80:AL84),ISBLANK(Z80:Z84),ISBLANK(AV80:AV84)),"·",bdRateExtend(P80:P84,Z80:Z84,AL80:AL84,AV80:AV84))</f>
        <v>-1.1067661582320198E-4</v>
      </c>
      <c r="BV80" s="62"/>
      <c r="BX80">
        <f t="shared" si="36"/>
        <v>0</v>
      </c>
      <c r="BY80">
        <f t="shared" si="37"/>
        <v>13488</v>
      </c>
      <c r="BZ80">
        <f t="shared" si="38"/>
        <v>0</v>
      </c>
      <c r="CA80">
        <f t="shared" si="39"/>
        <v>13488</v>
      </c>
      <c r="CB80">
        <f t="shared" si="40"/>
        <v>0</v>
      </c>
      <c r="CC80">
        <f t="shared" si="41"/>
        <v>7.1999999999974307E-3</v>
      </c>
      <c r="CD80">
        <f t="shared" si="42"/>
        <v>1.4999999999993463E-2</v>
      </c>
      <c r="CE80">
        <f t="shared" si="43"/>
        <v>1.8200000000000216E-2</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6.7786933144009875</v>
      </c>
      <c r="K81" s="18">
        <f t="shared" si="27"/>
        <v>3.9133419260389659</v>
      </c>
      <c r="L81" s="18">
        <f t="shared" si="28"/>
        <v>2.8650193263689347</v>
      </c>
      <c r="M81" s="19"/>
      <c r="N81" s="18">
        <f t="shared" si="29"/>
        <v>6.7786933144009875</v>
      </c>
      <c r="O81" s="20">
        <v>2770567</v>
      </c>
      <c r="P81" s="21">
        <v>18780824</v>
      </c>
      <c r="Q81" s="21">
        <v>10842176</v>
      </c>
      <c r="R81" s="21">
        <v>7937728</v>
      </c>
      <c r="S81" s="37"/>
      <c r="T81" s="38">
        <v>48.629600000000003</v>
      </c>
      <c r="U81" s="38">
        <v>51.712400000000002</v>
      </c>
      <c r="V81" s="38">
        <v>51.257800000000003</v>
      </c>
      <c r="W81" s="39"/>
      <c r="X81" s="38">
        <v>42.110199999999999</v>
      </c>
      <c r="Y81" s="38">
        <v>42.110199999999999</v>
      </c>
      <c r="Z81" s="38">
        <v>42.110199999999999</v>
      </c>
      <c r="AA81" s="39"/>
      <c r="AB81" s="49">
        <v>4.6559999999999997</v>
      </c>
      <c r="AC81" s="49">
        <v>3.6560000000000001</v>
      </c>
      <c r="AE81" s="17" t="str">
        <f t="shared" si="30"/>
        <v>·</v>
      </c>
      <c r="AF81" s="18">
        <f t="shared" si="31"/>
        <v>6.7809368984760159</v>
      </c>
      <c r="AG81" s="18">
        <f t="shared" si="32"/>
        <v>3.9133419260389659</v>
      </c>
      <c r="AH81" s="18">
        <f t="shared" si="33"/>
        <v>2.8672629104439631</v>
      </c>
      <c r="AI81" s="19"/>
      <c r="AJ81" s="18">
        <f t="shared" si="34"/>
        <v>6.7809368984760159</v>
      </c>
      <c r="AK81" s="20">
        <v>2770567</v>
      </c>
      <c r="AL81" s="21">
        <v>18787040</v>
      </c>
      <c r="AM81" s="21">
        <v>10842176</v>
      </c>
      <c r="AN81" s="21">
        <v>7943944</v>
      </c>
      <c r="AO81" s="37"/>
      <c r="AP81" s="38">
        <v>48.647100000000002</v>
      </c>
      <c r="AQ81" s="38">
        <v>51.7271</v>
      </c>
      <c r="AR81" s="38">
        <v>51.2789</v>
      </c>
      <c r="AS81" s="39"/>
      <c r="AT81" s="38">
        <v>42.110199999999999</v>
      </c>
      <c r="AU81" s="38">
        <v>42.110199999999999</v>
      </c>
      <c r="AV81" s="38">
        <v>42.110199999999999</v>
      </c>
      <c r="AW81" s="39"/>
      <c r="AX81" s="49">
        <v>4.5309999999999997</v>
      </c>
      <c r="AY81" s="49">
        <v>3.6709999999999998</v>
      </c>
      <c r="BA81" s="53">
        <f t="shared" si="35"/>
        <v>-1.9100927483717278E-4</v>
      </c>
      <c r="BB81" s="53"/>
      <c r="BD81" s="54"/>
      <c r="BE81" s="54"/>
      <c r="BF81" s="54"/>
      <c r="BG81" s="61"/>
      <c r="BI81" s="54"/>
      <c r="BJ81" s="54"/>
      <c r="BK81" s="54"/>
      <c r="BL81" s="61"/>
      <c r="BN81" s="54"/>
      <c r="BO81" s="54"/>
      <c r="BP81" s="54"/>
      <c r="BQ81" s="61"/>
      <c r="BS81" s="54"/>
      <c r="BT81" s="54"/>
      <c r="BU81" s="54"/>
      <c r="BV81" s="61"/>
      <c r="BX81">
        <f t="shared" si="36"/>
        <v>0</v>
      </c>
      <c r="BY81">
        <f t="shared" si="37"/>
        <v>6216</v>
      </c>
      <c r="BZ81">
        <f t="shared" si="38"/>
        <v>0</v>
      </c>
      <c r="CA81">
        <f t="shared" si="39"/>
        <v>6216</v>
      </c>
      <c r="CB81">
        <f t="shared" si="40"/>
        <v>0</v>
      </c>
      <c r="CC81">
        <f t="shared" si="41"/>
        <v>1.7499999999998295E-2</v>
      </c>
      <c r="CD81">
        <f t="shared" si="42"/>
        <v>1.4699999999997715E-2</v>
      </c>
      <c r="CE81">
        <f t="shared" si="43"/>
        <v>2.109999999999701E-2</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5.291725484350315</v>
      </c>
      <c r="K82" s="23">
        <f t="shared" si="27"/>
        <v>3.9133419260389659</v>
      </c>
      <c r="L82" s="23">
        <f t="shared" si="28"/>
        <v>1.3780514963182626</v>
      </c>
      <c r="M82" s="24"/>
      <c r="N82" s="23">
        <f t="shared" si="29"/>
        <v>5.291725484350315</v>
      </c>
      <c r="O82" s="25">
        <v>2770567</v>
      </c>
      <c r="P82" s="26">
        <v>14661080</v>
      </c>
      <c r="Q82" s="26">
        <v>10842176</v>
      </c>
      <c r="R82" s="26">
        <v>3817984</v>
      </c>
      <c r="S82" s="40"/>
      <c r="T82" s="41">
        <v>41.905700000000003</v>
      </c>
      <c r="U82" s="41">
        <v>45.802599999999998</v>
      </c>
      <c r="V82" s="41">
        <v>45.0578</v>
      </c>
      <c r="W82" s="42"/>
      <c r="X82" s="41">
        <v>34.151400000000002</v>
      </c>
      <c r="Y82" s="41">
        <v>34.151400000000002</v>
      </c>
      <c r="Z82" s="41">
        <v>34.151400000000002</v>
      </c>
      <c r="AA82" s="42"/>
      <c r="AB82" s="50">
        <v>4.5620000000000003</v>
      </c>
      <c r="AC82" s="50">
        <v>3.5779999999999998</v>
      </c>
      <c r="AE82" s="22" t="str">
        <f t="shared" si="30"/>
        <v>·</v>
      </c>
      <c r="AF82" s="23">
        <f t="shared" si="31"/>
        <v>5.2904809737501388</v>
      </c>
      <c r="AG82" s="23">
        <f t="shared" si="32"/>
        <v>3.9133419260389659</v>
      </c>
      <c r="AH82" s="23">
        <f t="shared" si="33"/>
        <v>1.3768069857180858</v>
      </c>
      <c r="AI82" s="24"/>
      <c r="AJ82" s="23">
        <f t="shared" si="34"/>
        <v>5.2904809737501388</v>
      </c>
      <c r="AK82" s="25">
        <v>2770567</v>
      </c>
      <c r="AL82" s="26">
        <v>14657632</v>
      </c>
      <c r="AM82" s="26">
        <v>10842176</v>
      </c>
      <c r="AN82" s="26">
        <v>3814536</v>
      </c>
      <c r="AO82" s="40"/>
      <c r="AP82" s="41">
        <v>41.939300000000003</v>
      </c>
      <c r="AQ82" s="41">
        <v>45.860900000000001</v>
      </c>
      <c r="AR82" s="41">
        <v>45.124000000000002</v>
      </c>
      <c r="AS82" s="42"/>
      <c r="AT82" s="41">
        <v>34.151400000000002</v>
      </c>
      <c r="AU82" s="41">
        <v>34.151400000000002</v>
      </c>
      <c r="AV82" s="41">
        <v>34.151400000000002</v>
      </c>
      <c r="AW82" s="42"/>
      <c r="AX82" s="50">
        <v>4.4530000000000003</v>
      </c>
      <c r="AY82" s="50">
        <v>3.64</v>
      </c>
      <c r="BA82" s="55">
        <f t="shared" si="35"/>
        <v>1.7396181595852322E-4</v>
      </c>
      <c r="BB82" s="55"/>
      <c r="BD82" s="56"/>
      <c r="BE82" s="56"/>
      <c r="BF82" s="56"/>
      <c r="BG82" s="62"/>
      <c r="BI82" s="56"/>
      <c r="BJ82" s="56"/>
      <c r="BK82" s="56"/>
      <c r="BL82" s="62"/>
      <c r="BN82" s="56"/>
      <c r="BO82" s="56"/>
      <c r="BP82" s="56"/>
      <c r="BQ82" s="62"/>
      <c r="BS82" s="56"/>
      <c r="BT82" s="56"/>
      <c r="BU82" s="56"/>
      <c r="BV82" s="62"/>
      <c r="BX82">
        <f t="shared" si="36"/>
        <v>0</v>
      </c>
      <c r="BY82">
        <f t="shared" si="37"/>
        <v>-3448</v>
      </c>
      <c r="BZ82">
        <f t="shared" si="38"/>
        <v>0</v>
      </c>
      <c r="CA82">
        <f t="shared" si="39"/>
        <v>-3448</v>
      </c>
      <c r="CB82">
        <f t="shared" si="40"/>
        <v>0</v>
      </c>
      <c r="CC82">
        <f t="shared" si="41"/>
        <v>3.3599999999999852E-2</v>
      </c>
      <c r="CD82">
        <f t="shared" si="42"/>
        <v>5.8300000000002683E-2</v>
      </c>
      <c r="CE82">
        <f t="shared" si="43"/>
        <v>6.6200000000002035E-2</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4.5411672051244381</v>
      </c>
      <c r="K83" s="18">
        <f t="shared" si="27"/>
        <v>3.9133419260389659</v>
      </c>
      <c r="L83" s="18">
        <f t="shared" si="28"/>
        <v>0.62749321709238581</v>
      </c>
      <c r="M83" s="19"/>
      <c r="N83" s="18">
        <f t="shared" si="29"/>
        <v>4.5411672051244381</v>
      </c>
      <c r="O83" s="20">
        <v>2770567</v>
      </c>
      <c r="P83" s="21">
        <v>12581608</v>
      </c>
      <c r="Q83" s="21">
        <v>10842176</v>
      </c>
      <c r="R83" s="21">
        <v>1738512</v>
      </c>
      <c r="S83" s="37"/>
      <c r="T83" s="38">
        <v>36.4895</v>
      </c>
      <c r="U83" s="38">
        <v>40.8309</v>
      </c>
      <c r="V83" s="38">
        <v>39.660600000000002</v>
      </c>
      <c r="W83" s="39"/>
      <c r="X83" s="38">
        <v>28.130800000000001</v>
      </c>
      <c r="Y83" s="38">
        <v>28.130800000000001</v>
      </c>
      <c r="Z83" s="38">
        <v>28.130800000000001</v>
      </c>
      <c r="AA83" s="39"/>
      <c r="AB83" s="49">
        <v>4.5149999999999997</v>
      </c>
      <c r="AC83" s="49">
        <v>3.609</v>
      </c>
      <c r="AE83" s="17" t="str">
        <f t="shared" si="30"/>
        <v>·</v>
      </c>
      <c r="AF83" s="18">
        <f t="shared" si="31"/>
        <v>4.5394173827956514</v>
      </c>
      <c r="AG83" s="18">
        <f t="shared" si="32"/>
        <v>3.9133419260389659</v>
      </c>
      <c r="AH83" s="18">
        <f t="shared" si="33"/>
        <v>0.62574339476359897</v>
      </c>
      <c r="AI83" s="19"/>
      <c r="AJ83" s="18">
        <f t="shared" si="34"/>
        <v>4.5394173827956514</v>
      </c>
      <c r="AK83" s="20">
        <v>2770567</v>
      </c>
      <c r="AL83" s="21">
        <v>12576760</v>
      </c>
      <c r="AM83" s="21">
        <v>10842176</v>
      </c>
      <c r="AN83" s="21">
        <v>1733664</v>
      </c>
      <c r="AO83" s="37"/>
      <c r="AP83" s="38">
        <v>36.513599999999997</v>
      </c>
      <c r="AQ83" s="38">
        <v>40.867100000000001</v>
      </c>
      <c r="AR83" s="38">
        <v>39.765599999999999</v>
      </c>
      <c r="AS83" s="39"/>
      <c r="AT83" s="38">
        <v>28.130800000000001</v>
      </c>
      <c r="AU83" s="38">
        <v>28.130800000000001</v>
      </c>
      <c r="AV83" s="38">
        <v>28.130800000000001</v>
      </c>
      <c r="AW83" s="39"/>
      <c r="AX83" s="49">
        <v>4.5309999999999997</v>
      </c>
      <c r="AY83" s="49">
        <v>3.5779999999999998</v>
      </c>
      <c r="BA83" s="53">
        <f t="shared" si="35"/>
        <v>3.3218050474048688E-4</v>
      </c>
      <c r="BB83" s="53"/>
      <c r="BD83" s="54"/>
      <c r="BE83" s="54"/>
      <c r="BF83" s="54"/>
      <c r="BG83" s="61"/>
      <c r="BI83" s="54"/>
      <c r="BJ83" s="54"/>
      <c r="BK83" s="54"/>
      <c r="BL83" s="61"/>
      <c r="BN83" s="54"/>
      <c r="BO83" s="54"/>
      <c r="BP83" s="54"/>
      <c r="BQ83" s="61"/>
      <c r="BS83" s="54"/>
      <c r="BT83" s="54"/>
      <c r="BU83" s="54"/>
      <c r="BV83" s="61"/>
      <c r="BX83">
        <f t="shared" si="36"/>
        <v>0</v>
      </c>
      <c r="BY83">
        <f t="shared" si="37"/>
        <v>-4848</v>
      </c>
      <c r="BZ83">
        <f t="shared" si="38"/>
        <v>0</v>
      </c>
      <c r="CA83">
        <f t="shared" si="39"/>
        <v>-4848</v>
      </c>
      <c r="CB83">
        <f t="shared" si="40"/>
        <v>0</v>
      </c>
      <c r="CC83">
        <f t="shared" si="41"/>
        <v>2.4099999999997124E-2</v>
      </c>
      <c r="CD83">
        <f t="shared" si="42"/>
        <v>3.6200000000000898E-2</v>
      </c>
      <c r="CE83">
        <f t="shared" si="43"/>
        <v>0.10499999999999687</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4.1292717339086185</v>
      </c>
      <c r="K84" s="33">
        <f t="shared" si="27"/>
        <v>3.9133419260389659</v>
      </c>
      <c r="L84" s="33">
        <f t="shared" si="28"/>
        <v>0.21559774587656605</v>
      </c>
      <c r="M84" s="34"/>
      <c r="N84" s="33">
        <f t="shared" si="29"/>
        <v>4.1292717339086185</v>
      </c>
      <c r="O84" s="35">
        <v>2770567</v>
      </c>
      <c r="P84" s="36">
        <v>11440424</v>
      </c>
      <c r="Q84" s="36">
        <v>10842176</v>
      </c>
      <c r="R84" s="36">
        <v>597328</v>
      </c>
      <c r="S84" s="46"/>
      <c r="T84" s="47">
        <v>30.87</v>
      </c>
      <c r="U84" s="47">
        <v>35.067</v>
      </c>
      <c r="V84" s="47">
        <v>33.2455</v>
      </c>
      <c r="W84" s="48"/>
      <c r="X84" s="47">
        <v>21.686399999999999</v>
      </c>
      <c r="Y84" s="47">
        <v>21.686399999999999</v>
      </c>
      <c r="Z84" s="47">
        <v>21.686399999999999</v>
      </c>
      <c r="AA84" s="48"/>
      <c r="AB84" s="52">
        <v>4.4210000000000003</v>
      </c>
      <c r="AC84" s="52">
        <v>3.609</v>
      </c>
      <c r="AE84" s="32" t="str">
        <f t="shared" si="30"/>
        <v>·</v>
      </c>
      <c r="AF84" s="33">
        <f t="shared" si="31"/>
        <v>4.1251108527604634</v>
      </c>
      <c r="AG84" s="33">
        <f t="shared" si="32"/>
        <v>3.9133419260389659</v>
      </c>
      <c r="AH84" s="33">
        <f t="shared" si="33"/>
        <v>0.21143686472841119</v>
      </c>
      <c r="AI84" s="34"/>
      <c r="AJ84" s="33">
        <f t="shared" si="34"/>
        <v>4.1251108527604634</v>
      </c>
      <c r="AK84" s="35">
        <v>2770567</v>
      </c>
      <c r="AL84" s="36">
        <v>11428896</v>
      </c>
      <c r="AM84" s="36">
        <v>10842176</v>
      </c>
      <c r="AN84" s="36">
        <v>585800</v>
      </c>
      <c r="AO84" s="46"/>
      <c r="AP84" s="47">
        <v>30.980399999999999</v>
      </c>
      <c r="AQ84" s="47">
        <v>35.673900000000003</v>
      </c>
      <c r="AR84" s="47">
        <v>33.591500000000003</v>
      </c>
      <c r="AS84" s="48"/>
      <c r="AT84" s="47">
        <v>21.686399999999999</v>
      </c>
      <c r="AU84" s="47">
        <v>21.686399999999999</v>
      </c>
      <c r="AV84" s="47">
        <v>21.686399999999999</v>
      </c>
      <c r="AW84" s="48"/>
      <c r="AX84" s="52">
        <v>4.4210000000000003</v>
      </c>
      <c r="AY84" s="52">
        <v>3.625</v>
      </c>
      <c r="BA84" s="59">
        <f t="shared" si="35"/>
        <v>9.5592543976852351E-4</v>
      </c>
      <c r="BB84" s="59"/>
      <c r="BD84" s="60"/>
      <c r="BE84" s="60"/>
      <c r="BF84" s="60"/>
      <c r="BG84" s="64"/>
      <c r="BI84" s="60"/>
      <c r="BJ84" s="60"/>
      <c r="BK84" s="60"/>
      <c r="BL84" s="64"/>
      <c r="BN84" s="60"/>
      <c r="BO84" s="60"/>
      <c r="BP84" s="60"/>
      <c r="BQ84" s="64"/>
      <c r="BS84" s="60"/>
      <c r="BT84" s="60"/>
      <c r="BU84" s="60"/>
      <c r="BV84" s="64"/>
      <c r="BX84">
        <f t="shared" si="36"/>
        <v>0</v>
      </c>
      <c r="BY84">
        <f t="shared" si="37"/>
        <v>-11528</v>
      </c>
      <c r="BZ84">
        <f t="shared" si="38"/>
        <v>0</v>
      </c>
      <c r="CA84">
        <f t="shared" si="39"/>
        <v>-11528</v>
      </c>
      <c r="CB84">
        <f t="shared" si="40"/>
        <v>0</v>
      </c>
      <c r="CC84">
        <f t="shared" si="41"/>
        <v>0.1103999999999985</v>
      </c>
      <c r="CD84">
        <f t="shared" si="42"/>
        <v>0.6069000000000031</v>
      </c>
      <c r="CE84">
        <f t="shared" si="43"/>
        <v>0.34600000000000364</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7.0677254975973058</v>
      </c>
      <c r="K85" s="18">
        <f t="shared" si="27"/>
        <v>1.1048936835728549</v>
      </c>
      <c r="L85" s="18">
        <f t="shared" si="28"/>
        <v>5.9621244016360233</v>
      </c>
      <c r="M85" s="19"/>
      <c r="N85" s="18">
        <f t="shared" si="29"/>
        <v>7.0677254975973058</v>
      </c>
      <c r="O85" s="20">
        <v>757691</v>
      </c>
      <c r="P85" s="21">
        <v>5355152</v>
      </c>
      <c r="Q85" s="21">
        <v>837168</v>
      </c>
      <c r="R85" s="21">
        <v>4517448</v>
      </c>
      <c r="S85" s="37"/>
      <c r="T85" s="38">
        <v>53.194000000000003</v>
      </c>
      <c r="U85" s="38">
        <v>55.511499999999998</v>
      </c>
      <c r="V85" s="38">
        <v>55.206400000000002</v>
      </c>
      <c r="W85" s="39"/>
      <c r="X85" s="38">
        <v>48.130800000000001</v>
      </c>
      <c r="Y85" s="38">
        <v>48.130800000000001</v>
      </c>
      <c r="Z85" s="38">
        <v>48.130800000000001</v>
      </c>
      <c r="AA85" s="39"/>
      <c r="AB85" s="49">
        <v>0.95299999999999996</v>
      </c>
      <c r="AC85" s="49">
        <v>0.71799999999999997</v>
      </c>
      <c r="AE85" s="17" t="str">
        <f t="shared" si="30"/>
        <v>·</v>
      </c>
      <c r="AF85" s="18">
        <f t="shared" si="31"/>
        <v>7.0828662343884252</v>
      </c>
      <c r="AG85" s="18">
        <f t="shared" si="32"/>
        <v>1.1048936835728549</v>
      </c>
      <c r="AH85" s="18">
        <f t="shared" si="33"/>
        <v>5.9772651384271427</v>
      </c>
      <c r="AI85" s="19"/>
      <c r="AJ85" s="18">
        <f t="shared" si="34"/>
        <v>7.0828662343884252</v>
      </c>
      <c r="AK85" s="20">
        <v>757691</v>
      </c>
      <c r="AL85" s="21">
        <v>5366624</v>
      </c>
      <c r="AM85" s="21">
        <v>837168</v>
      </c>
      <c r="AN85" s="21">
        <v>4528920</v>
      </c>
      <c r="AO85" s="37"/>
      <c r="AP85" s="38">
        <v>53.222700000000003</v>
      </c>
      <c r="AQ85" s="38">
        <v>55.554000000000002</v>
      </c>
      <c r="AR85" s="38">
        <v>55.247999999999998</v>
      </c>
      <c r="AS85" s="39"/>
      <c r="AT85" s="38">
        <v>48.130800000000001</v>
      </c>
      <c r="AU85" s="38">
        <v>48.130800000000001</v>
      </c>
      <c r="AV85" s="38">
        <v>48.130800000000001</v>
      </c>
      <c r="AW85" s="39"/>
      <c r="AX85" s="49">
        <v>0.98399999999999999</v>
      </c>
      <c r="AY85" s="49">
        <v>0.73399999999999999</v>
      </c>
      <c r="BA85" s="53">
        <f t="shared" si="35"/>
        <v>-3.3417871672500321E-4</v>
      </c>
      <c r="BB85" s="53">
        <f t="array" ref="BB85">AVERAGE(AM85:AM89/AL85:AL89)-AVERAGE(Q85:Q89/P85:P89)</f>
        <v>2.7531677214448491E-4</v>
      </c>
      <c r="BD85" s="54">
        <f>IF(OR(ISBLANK(R85:R89),ISBLANK(AN85:AN89),ISBLANK(T85:T89),ISBLANK(AP85:AP89)),"·",bdRateExtend(R85:R89,T85:T89,AN85:AN89,AP85:AP89))</f>
        <v>-7.8970852701670813E-3</v>
      </c>
      <c r="BE85" s="54">
        <f>IF(OR(ISBLANK(R85:R89),ISBLANK(AN85:AN89),ISBLANK(U85:U89),ISBLANK(AQ85:AQ89)),"·",bdRateExtend(R85:R89,U85:U89,AN85:AN89,AQ85:AQ89))</f>
        <v>-2.7695276883521802E-2</v>
      </c>
      <c r="BF85" s="54">
        <f>IF(OR(ISBLANK(R85:R89),ISBLANK(AN85:AN89),ISBLANK(V85:V89),ISBLANK(AR85:AR89)),"·",bdRateExtend(R85:R89,V85:V89,AN85:AN89,AR85:AR89))</f>
        <v>-1.2829545580719692E-2</v>
      </c>
      <c r="BG85" s="61"/>
      <c r="BI85" s="54">
        <f>IF(OR(ISBLANK(R85:R89),ISBLANK(AN85:AN89),ISBLANK(X85:X89),ISBLANK(AT85:AT89)),"·",bdRateExtend(R85:R89,X85:X89,AN85:AN89,AT85:AT89))</f>
        <v>-2.0553288358982069E-4</v>
      </c>
      <c r="BJ85" s="54">
        <f>IF(OR(ISBLANK(R85:R89),ISBLANK(AN85:AN89),ISBLANK(Y85:Y89),ISBLANK(AU85:AU89)),"·",bdRateExtend(R85:R89,Y85:Y89,AN85:AN89,AU85:AU89))</f>
        <v>-2.0553288358982069E-4</v>
      </c>
      <c r="BK85" s="54">
        <f>IF(OR(ISBLANK(R85:R89),ISBLANK(AN85:AN89),ISBLANK(Z85:Z89),ISBLANK(AV85:AV89)),"·",bdRateExtend(R85:R89,Z85:Z89,AN85:AN89,AV85:AV89))</f>
        <v>-2.0553288358982069E-4</v>
      </c>
      <c r="BL85" s="61"/>
      <c r="BN85" s="54">
        <f>IF(OR(ISBLANK(P85:P89),ISBLANK(AL85:AL89),ISBLANK(T85:T89),ISBLANK(AP85:AP89)),"·",bdRateExtend(P85:P89,T85:T89,AL85:AL89,AP85:AP89))</f>
        <v>-3.3205963602892519E-3</v>
      </c>
      <c r="BO85" s="54">
        <f>IF(OR(ISBLANK(P85:P89),ISBLANK(AL85:AL89),ISBLANK(U85:U89),ISBLANK(AQ85:AQ89)),"·",bdRateExtend(P85:P89,U85:U89,AL85:AL89,AQ85:AQ89))</f>
        <v>-1.2598933914349408E-2</v>
      </c>
      <c r="BP85" s="54">
        <f>IF(OR(ISBLANK(P85:P89),ISBLANK(AL85:AL89),ISBLANK(V85:V89),ISBLANK(AR85:AR89)),"·",bdRateExtend(P85:P89,V85:V89,AL85:AL89,AR85:AR89))</f>
        <v>-5.5732949820613831E-3</v>
      </c>
      <c r="BQ85" s="61"/>
      <c r="BS85" s="54">
        <f>IF(OR(ISBLANK(P85:P89),ISBLANK(AL85:AL89),ISBLANK(X85:X89),ISBLANK(AT85:AT89)),"·",bdRateExtend(P85:P89,X85:X89,AL85:AL89,AT85:AT89))</f>
        <v>4.1060707342421843E-4</v>
      </c>
      <c r="BT85" s="54">
        <f>IF(OR(ISBLANK(P85:P89),ISBLANK(AL85:AL89),ISBLANK(Y85:Y89),ISBLANK(AU85:AU89)),"·",bdRateExtend(P85:P89,Y85:Y89,AL85:AL89,AU85:AU89))</f>
        <v>4.1060707342421843E-4</v>
      </c>
      <c r="BU85" s="54">
        <f>IF(OR(ISBLANK(P85:P89),ISBLANK(AL85:AL89),ISBLANK(Z85:Z89),ISBLANK(AV85:AV89)),"·",bdRateExtend(P85:P89,Z85:Z89,AL85:AL89,AV85:AV89))</f>
        <v>4.1060707342421843E-4</v>
      </c>
      <c r="BV85" s="61"/>
      <c r="BX85">
        <f t="shared" si="36"/>
        <v>0</v>
      </c>
      <c r="BY85">
        <f t="shared" si="37"/>
        <v>11472</v>
      </c>
      <c r="BZ85">
        <f t="shared" si="38"/>
        <v>0</v>
      </c>
      <c r="CA85">
        <f t="shared" si="39"/>
        <v>11472</v>
      </c>
      <c r="CB85">
        <f t="shared" si="40"/>
        <v>0</v>
      </c>
      <c r="CC85">
        <f t="shared" si="41"/>
        <v>2.8700000000000614E-2</v>
      </c>
      <c r="CD85">
        <f t="shared" si="42"/>
        <v>4.2500000000003979E-2</v>
      </c>
      <c r="CE85">
        <f t="shared" si="43"/>
        <v>4.1599999999995418E-2</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5.1365741443411626</v>
      </c>
      <c r="K86" s="23">
        <f t="shared" si="27"/>
        <v>1.1048936835728549</v>
      </c>
      <c r="L86" s="23">
        <f t="shared" si="28"/>
        <v>4.03097304837988</v>
      </c>
      <c r="M86" s="24"/>
      <c r="N86" s="23">
        <f t="shared" si="29"/>
        <v>5.1365741443411626</v>
      </c>
      <c r="O86" s="25">
        <v>757691</v>
      </c>
      <c r="P86" s="26">
        <v>3891936</v>
      </c>
      <c r="Q86" s="26">
        <v>837168</v>
      </c>
      <c r="R86" s="26">
        <v>3054232</v>
      </c>
      <c r="S86" s="40"/>
      <c r="T86" s="41">
        <v>48.527700000000003</v>
      </c>
      <c r="U86" s="41">
        <v>51.328499999999998</v>
      </c>
      <c r="V86" s="41">
        <v>50.9786</v>
      </c>
      <c r="W86" s="42"/>
      <c r="X86" s="41">
        <v>42.110199999999999</v>
      </c>
      <c r="Y86" s="41">
        <v>42.110199999999999</v>
      </c>
      <c r="Z86" s="41">
        <v>42.110199999999999</v>
      </c>
      <c r="AA86" s="42"/>
      <c r="AB86" s="50">
        <v>0.93700000000000006</v>
      </c>
      <c r="AC86" s="50">
        <v>0.70299999999999996</v>
      </c>
      <c r="AE86" s="22" t="str">
        <f t="shared" si="30"/>
        <v>·</v>
      </c>
      <c r="AF86" s="23">
        <f t="shared" si="31"/>
        <v>5.1438699944964368</v>
      </c>
      <c r="AG86" s="23">
        <f t="shared" si="32"/>
        <v>1.1048936835728549</v>
      </c>
      <c r="AH86" s="23">
        <f t="shared" si="33"/>
        <v>4.0382688985351551</v>
      </c>
      <c r="AI86" s="24"/>
      <c r="AJ86" s="23">
        <f t="shared" si="34"/>
        <v>5.1438699944964368</v>
      </c>
      <c r="AK86" s="25">
        <v>757691</v>
      </c>
      <c r="AL86" s="26">
        <v>3897464</v>
      </c>
      <c r="AM86" s="26">
        <v>837168</v>
      </c>
      <c r="AN86" s="26">
        <v>3059760</v>
      </c>
      <c r="AO86" s="40"/>
      <c r="AP86" s="41">
        <v>48.563000000000002</v>
      </c>
      <c r="AQ86" s="41">
        <v>51.363100000000003</v>
      </c>
      <c r="AR86" s="41">
        <v>51.0154</v>
      </c>
      <c r="AS86" s="42"/>
      <c r="AT86" s="41">
        <v>42.110199999999999</v>
      </c>
      <c r="AU86" s="41">
        <v>42.110199999999999</v>
      </c>
      <c r="AV86" s="41">
        <v>42.110199999999999</v>
      </c>
      <c r="AW86" s="42"/>
      <c r="AX86" s="50">
        <v>0.93700000000000006</v>
      </c>
      <c r="AY86" s="50">
        <v>0.73399999999999999</v>
      </c>
      <c r="BA86" s="55">
        <f t="shared" si="35"/>
        <v>-3.0509342715484555E-4</v>
      </c>
      <c r="BB86" s="55"/>
      <c r="BD86" s="56"/>
      <c r="BE86" s="56"/>
      <c r="BF86" s="56"/>
      <c r="BG86" s="62"/>
      <c r="BI86" s="56"/>
      <c r="BJ86" s="56"/>
      <c r="BK86" s="56"/>
      <c r="BL86" s="62"/>
      <c r="BN86" s="56"/>
      <c r="BO86" s="56"/>
      <c r="BP86" s="56"/>
      <c r="BQ86" s="62"/>
      <c r="BS86" s="56"/>
      <c r="BT86" s="56"/>
      <c r="BU86" s="56"/>
      <c r="BV86" s="62"/>
      <c r="BX86">
        <f t="shared" si="36"/>
        <v>0</v>
      </c>
      <c r="BY86">
        <f t="shared" si="37"/>
        <v>5528</v>
      </c>
      <c r="BZ86">
        <f t="shared" si="38"/>
        <v>0</v>
      </c>
      <c r="CA86">
        <f t="shared" si="39"/>
        <v>5528</v>
      </c>
      <c r="CB86">
        <f t="shared" si="40"/>
        <v>0</v>
      </c>
      <c r="CC86">
        <f t="shared" si="41"/>
        <v>3.5299999999999443E-2</v>
      </c>
      <c r="CD86">
        <f t="shared" si="42"/>
        <v>3.4600000000004627E-2</v>
      </c>
      <c r="CE86">
        <f t="shared" si="43"/>
        <v>3.67999999999995E-2</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3.2426622462191053</v>
      </c>
      <c r="K87" s="18">
        <f t="shared" si="27"/>
        <v>1.1048936835728549</v>
      </c>
      <c r="L87" s="18">
        <f t="shared" si="28"/>
        <v>2.1370611502578227</v>
      </c>
      <c r="M87" s="19"/>
      <c r="N87" s="18">
        <f t="shared" si="29"/>
        <v>3.2426622462191053</v>
      </c>
      <c r="O87" s="20">
        <v>757691</v>
      </c>
      <c r="P87" s="21">
        <v>2456936</v>
      </c>
      <c r="Q87" s="21">
        <v>837168</v>
      </c>
      <c r="R87" s="21">
        <v>1619232</v>
      </c>
      <c r="S87" s="37"/>
      <c r="T87" s="38">
        <v>41.805599999999998</v>
      </c>
      <c r="U87" s="38">
        <v>45.483899999999998</v>
      </c>
      <c r="V87" s="38">
        <v>44.877200000000002</v>
      </c>
      <c r="W87" s="39"/>
      <c r="X87" s="38">
        <v>34.151400000000002</v>
      </c>
      <c r="Y87" s="38">
        <v>34.151400000000002</v>
      </c>
      <c r="Z87" s="38">
        <v>34.151400000000002</v>
      </c>
      <c r="AA87" s="39"/>
      <c r="AB87" s="49">
        <v>0.89</v>
      </c>
      <c r="AC87" s="49">
        <v>0.67100000000000004</v>
      </c>
      <c r="AE87" s="17" t="str">
        <f t="shared" si="30"/>
        <v>·</v>
      </c>
      <c r="AF87" s="18">
        <f t="shared" si="31"/>
        <v>3.2469911877005271</v>
      </c>
      <c r="AG87" s="18">
        <f t="shared" si="32"/>
        <v>1.1048936835728549</v>
      </c>
      <c r="AH87" s="18">
        <f t="shared" si="33"/>
        <v>2.1413900917392445</v>
      </c>
      <c r="AI87" s="19"/>
      <c r="AJ87" s="18">
        <f t="shared" si="34"/>
        <v>3.2469911877005271</v>
      </c>
      <c r="AK87" s="20">
        <v>757691</v>
      </c>
      <c r="AL87" s="21">
        <v>2460216</v>
      </c>
      <c r="AM87" s="21">
        <v>837168</v>
      </c>
      <c r="AN87" s="21">
        <v>1622512</v>
      </c>
      <c r="AO87" s="37"/>
      <c r="AP87" s="38">
        <v>41.8416</v>
      </c>
      <c r="AQ87" s="38">
        <v>45.553199999999997</v>
      </c>
      <c r="AR87" s="38">
        <v>44.9773</v>
      </c>
      <c r="AS87" s="39"/>
      <c r="AT87" s="38">
        <v>34.151400000000002</v>
      </c>
      <c r="AU87" s="38">
        <v>34.151400000000002</v>
      </c>
      <c r="AV87" s="38">
        <v>34.151400000000002</v>
      </c>
      <c r="AW87" s="39"/>
      <c r="AX87" s="49">
        <v>0.90600000000000003</v>
      </c>
      <c r="AY87" s="49">
        <v>0.67100000000000004</v>
      </c>
      <c r="BA87" s="53">
        <f t="shared" si="35"/>
        <v>-4.5427556871358021E-4</v>
      </c>
      <c r="BB87" s="53"/>
      <c r="BD87" s="54"/>
      <c r="BE87" s="54"/>
      <c r="BF87" s="54"/>
      <c r="BG87" s="61"/>
      <c r="BI87" s="54"/>
      <c r="BJ87" s="54"/>
      <c r="BK87" s="54"/>
      <c r="BL87" s="61"/>
      <c r="BN87" s="54"/>
      <c r="BO87" s="54"/>
      <c r="BP87" s="54"/>
      <c r="BQ87" s="61"/>
      <c r="BS87" s="54"/>
      <c r="BT87" s="54"/>
      <c r="BU87" s="54"/>
      <c r="BV87" s="61"/>
      <c r="BX87">
        <f t="shared" si="36"/>
        <v>0</v>
      </c>
      <c r="BY87">
        <f t="shared" si="37"/>
        <v>3280</v>
      </c>
      <c r="BZ87">
        <f t="shared" si="38"/>
        <v>0</v>
      </c>
      <c r="CA87">
        <f t="shared" si="39"/>
        <v>3280</v>
      </c>
      <c r="CB87">
        <f t="shared" si="40"/>
        <v>0</v>
      </c>
      <c r="CC87">
        <f t="shared" si="41"/>
        <v>3.6000000000001364E-2</v>
      </c>
      <c r="CD87">
        <f t="shared" si="42"/>
        <v>6.9299999999998363E-2</v>
      </c>
      <c r="CE87">
        <f t="shared" si="43"/>
        <v>0.10009999999999764</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2.1911940355633099</v>
      </c>
      <c r="K88" s="23">
        <f t="shared" si="27"/>
        <v>1.1048936835728549</v>
      </c>
      <c r="L88" s="23">
        <f t="shared" si="28"/>
        <v>1.0855929396020276</v>
      </c>
      <c r="M88" s="24"/>
      <c r="N88" s="23">
        <f t="shared" si="29"/>
        <v>2.1911940355633099</v>
      </c>
      <c r="O88" s="25">
        <v>757691</v>
      </c>
      <c r="P88" s="26">
        <v>1660248</v>
      </c>
      <c r="Q88" s="26">
        <v>837168</v>
      </c>
      <c r="R88" s="26">
        <v>822544</v>
      </c>
      <c r="S88" s="40"/>
      <c r="T88" s="41">
        <v>36.4968</v>
      </c>
      <c r="U88" s="41">
        <v>40.471899999999998</v>
      </c>
      <c r="V88" s="41">
        <v>39.574399999999997</v>
      </c>
      <c r="W88" s="42"/>
      <c r="X88" s="41">
        <v>28.130800000000001</v>
      </c>
      <c r="Y88" s="41">
        <v>28.130800000000001</v>
      </c>
      <c r="Z88" s="41">
        <v>28.130800000000001</v>
      </c>
      <c r="AA88" s="42"/>
      <c r="AB88" s="50">
        <v>0.90600000000000003</v>
      </c>
      <c r="AC88" s="50">
        <v>0.70299999999999996</v>
      </c>
      <c r="AE88" s="22" t="str">
        <f t="shared" si="30"/>
        <v>·</v>
      </c>
      <c r="AF88" s="23">
        <f t="shared" si="31"/>
        <v>2.1889450976717422</v>
      </c>
      <c r="AG88" s="23">
        <f t="shared" si="32"/>
        <v>1.1048936835728549</v>
      </c>
      <c r="AH88" s="23">
        <f t="shared" si="33"/>
        <v>1.0833440017104599</v>
      </c>
      <c r="AI88" s="24"/>
      <c r="AJ88" s="23">
        <f t="shared" si="34"/>
        <v>2.1889450976717422</v>
      </c>
      <c r="AK88" s="25">
        <v>757691</v>
      </c>
      <c r="AL88" s="26">
        <v>1658544</v>
      </c>
      <c r="AM88" s="26">
        <v>837168</v>
      </c>
      <c r="AN88" s="26">
        <v>820840</v>
      </c>
      <c r="AO88" s="40"/>
      <c r="AP88" s="41">
        <v>36.5623</v>
      </c>
      <c r="AQ88" s="41">
        <v>40.865900000000003</v>
      </c>
      <c r="AR88" s="41">
        <v>39.630200000000002</v>
      </c>
      <c r="AS88" s="42"/>
      <c r="AT88" s="41">
        <v>28.130800000000001</v>
      </c>
      <c r="AU88" s="41">
        <v>28.130800000000001</v>
      </c>
      <c r="AV88" s="41">
        <v>28.130800000000001</v>
      </c>
      <c r="AW88" s="42"/>
      <c r="AX88" s="50">
        <v>0.90600000000000003</v>
      </c>
      <c r="AY88" s="50">
        <v>0.71799999999999997</v>
      </c>
      <c r="BA88" s="55">
        <f t="shared" si="35"/>
        <v>5.1806260692788264E-4</v>
      </c>
      <c r="BB88" s="55"/>
      <c r="BD88" s="56"/>
      <c r="BE88" s="56"/>
      <c r="BF88" s="56"/>
      <c r="BG88" s="62"/>
      <c r="BI88" s="56"/>
      <c r="BJ88" s="56"/>
      <c r="BK88" s="56"/>
      <c r="BL88" s="62"/>
      <c r="BN88" s="56"/>
      <c r="BO88" s="56"/>
      <c r="BP88" s="56"/>
      <c r="BQ88" s="62"/>
      <c r="BS88" s="56"/>
      <c r="BT88" s="56"/>
      <c r="BU88" s="56"/>
      <c r="BV88" s="62"/>
      <c r="BX88">
        <f t="shared" si="36"/>
        <v>0</v>
      </c>
      <c r="BY88">
        <f t="shared" si="37"/>
        <v>-1704</v>
      </c>
      <c r="BZ88">
        <f t="shared" si="38"/>
        <v>0</v>
      </c>
      <c r="CA88">
        <f t="shared" si="39"/>
        <v>-1704</v>
      </c>
      <c r="CB88">
        <f t="shared" si="40"/>
        <v>0</v>
      </c>
      <c r="CC88">
        <f t="shared" si="41"/>
        <v>6.5500000000000114E-2</v>
      </c>
      <c r="CD88">
        <f t="shared" si="42"/>
        <v>0.39400000000000546</v>
      </c>
      <c r="CE88">
        <f t="shared" si="43"/>
        <v>5.5800000000004957E-2</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1.532645893906619</v>
      </c>
      <c r="K89" s="28">
        <f t="shared" si="27"/>
        <v>1.1048936835728549</v>
      </c>
      <c r="L89" s="28">
        <f t="shared" si="28"/>
        <v>0.42704479794533656</v>
      </c>
      <c r="M89" s="29"/>
      <c r="N89" s="28">
        <f t="shared" si="29"/>
        <v>1.532645893906619</v>
      </c>
      <c r="O89" s="30">
        <v>757691</v>
      </c>
      <c r="P89" s="31">
        <v>1161272</v>
      </c>
      <c r="Q89" s="31">
        <v>837168</v>
      </c>
      <c r="R89" s="31">
        <v>323568</v>
      </c>
      <c r="S89" s="43"/>
      <c r="T89" s="44">
        <v>30.460699999999999</v>
      </c>
      <c r="U89" s="44">
        <v>35.067100000000003</v>
      </c>
      <c r="V89" s="44">
        <v>33.161499999999997</v>
      </c>
      <c r="W89" s="45"/>
      <c r="X89" s="44">
        <v>21.686399999999999</v>
      </c>
      <c r="Y89" s="44">
        <v>21.686399999999999</v>
      </c>
      <c r="Z89" s="44">
        <v>21.686399999999999</v>
      </c>
      <c r="AA89" s="45"/>
      <c r="AB89" s="51">
        <v>0.92100000000000004</v>
      </c>
      <c r="AC89" s="51">
        <v>0.70299999999999996</v>
      </c>
      <c r="AE89" s="27" t="str">
        <f t="shared" si="30"/>
        <v>·</v>
      </c>
      <c r="AF89" s="28">
        <f t="shared" si="31"/>
        <v>1.5285070035146253</v>
      </c>
      <c r="AG89" s="28">
        <f t="shared" si="32"/>
        <v>1.1048936835728549</v>
      </c>
      <c r="AH89" s="28">
        <f t="shared" si="33"/>
        <v>0.42290590755334301</v>
      </c>
      <c r="AI89" s="29"/>
      <c r="AJ89" s="28">
        <f t="shared" si="34"/>
        <v>1.5285070035146253</v>
      </c>
      <c r="AK89" s="30">
        <v>757691</v>
      </c>
      <c r="AL89" s="31">
        <v>1158136</v>
      </c>
      <c r="AM89" s="31">
        <v>837168</v>
      </c>
      <c r="AN89" s="31">
        <v>320432</v>
      </c>
      <c r="AO89" s="43"/>
      <c r="AP89" s="44">
        <v>30.6294</v>
      </c>
      <c r="AQ89" s="44">
        <v>35.398800000000001</v>
      </c>
      <c r="AR89" s="44">
        <v>33.522799999999997</v>
      </c>
      <c r="AS89" s="45"/>
      <c r="AT89" s="44">
        <v>21.686399999999999</v>
      </c>
      <c r="AU89" s="44">
        <v>21.686399999999999</v>
      </c>
      <c r="AV89" s="44">
        <v>21.686399999999999</v>
      </c>
      <c r="AW89" s="45"/>
      <c r="AX89" s="51">
        <v>0.90600000000000003</v>
      </c>
      <c r="AY89" s="51">
        <v>0.68700000000000006</v>
      </c>
      <c r="BA89" s="57">
        <f t="shared" si="35"/>
        <v>1.9520689663879986E-3</v>
      </c>
      <c r="BB89" s="57"/>
      <c r="BD89" s="58"/>
      <c r="BE89" s="58"/>
      <c r="BF89" s="58"/>
      <c r="BG89" s="63"/>
      <c r="BI89" s="58"/>
      <c r="BJ89" s="58"/>
      <c r="BK89" s="58"/>
      <c r="BL89" s="63"/>
      <c r="BN89" s="58"/>
      <c r="BO89" s="58"/>
      <c r="BP89" s="58"/>
      <c r="BQ89" s="63"/>
      <c r="BS89" s="58"/>
      <c r="BT89" s="58"/>
      <c r="BU89" s="58"/>
      <c r="BV89" s="63"/>
      <c r="BX89">
        <f t="shared" si="36"/>
        <v>0</v>
      </c>
      <c r="BY89">
        <f t="shared" si="37"/>
        <v>-3136</v>
      </c>
      <c r="BZ89">
        <f t="shared" si="38"/>
        <v>0</v>
      </c>
      <c r="CA89">
        <f t="shared" si="39"/>
        <v>-3136</v>
      </c>
      <c r="CB89">
        <f t="shared" si="40"/>
        <v>0</v>
      </c>
      <c r="CC89">
        <f t="shared" si="41"/>
        <v>0.16870000000000118</v>
      </c>
      <c r="CD89">
        <f t="shared" si="42"/>
        <v>0.33169999999999789</v>
      </c>
      <c r="CE89">
        <f t="shared" si="43"/>
        <v>0.36129999999999995</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21.560580776350367</v>
      </c>
      <c r="K90" s="23">
        <f t="shared" si="27"/>
        <v>9.6524220815512738</v>
      </c>
      <c r="L90" s="23">
        <f t="shared" si="28"/>
        <v>11.907643400466936</v>
      </c>
      <c r="M90" s="24"/>
      <c r="N90" s="23">
        <f t="shared" si="29"/>
        <v>21.560580776350367</v>
      </c>
      <c r="O90" s="25">
        <v>1009132</v>
      </c>
      <c r="P90" s="26">
        <v>21757472</v>
      </c>
      <c r="Q90" s="26">
        <v>9740568</v>
      </c>
      <c r="R90" s="26">
        <v>12016384</v>
      </c>
      <c r="S90" s="40"/>
      <c r="T90" s="41">
        <v>53.523200000000003</v>
      </c>
      <c r="U90" s="41">
        <v>55.028799999999997</v>
      </c>
      <c r="V90" s="41">
        <v>54.745100000000001</v>
      </c>
      <c r="W90" s="42"/>
      <c r="X90" s="41">
        <v>48.130800000000001</v>
      </c>
      <c r="Y90" s="41">
        <v>48.130800000000001</v>
      </c>
      <c r="Z90" s="41">
        <v>48.130800000000001</v>
      </c>
      <c r="AA90" s="42"/>
      <c r="AB90" s="50">
        <v>2.2959999999999998</v>
      </c>
      <c r="AC90" s="50">
        <v>1.984</v>
      </c>
      <c r="AE90" s="22" t="str">
        <f t="shared" si="30"/>
        <v>·</v>
      </c>
      <c r="AF90" s="23">
        <f t="shared" si="31"/>
        <v>21.629202126183692</v>
      </c>
      <c r="AG90" s="23">
        <f t="shared" si="32"/>
        <v>9.6524220815512738</v>
      </c>
      <c r="AH90" s="23">
        <f t="shared" si="33"/>
        <v>11.976264750300258</v>
      </c>
      <c r="AI90" s="24"/>
      <c r="AJ90" s="23">
        <f t="shared" si="34"/>
        <v>21.629202126183692</v>
      </c>
      <c r="AK90" s="25">
        <v>1009132</v>
      </c>
      <c r="AL90" s="26">
        <v>21826720</v>
      </c>
      <c r="AM90" s="26">
        <v>9740568</v>
      </c>
      <c r="AN90" s="26">
        <v>12085632</v>
      </c>
      <c r="AO90" s="40"/>
      <c r="AP90" s="41">
        <v>53.686700000000002</v>
      </c>
      <c r="AQ90" s="41">
        <v>55.207500000000003</v>
      </c>
      <c r="AR90" s="41">
        <v>54.923299999999998</v>
      </c>
      <c r="AS90" s="42"/>
      <c r="AT90" s="41">
        <v>48.130800000000001</v>
      </c>
      <c r="AU90" s="41">
        <v>48.130800000000001</v>
      </c>
      <c r="AV90" s="41">
        <v>48.130800000000001</v>
      </c>
      <c r="AW90" s="42"/>
      <c r="AX90" s="50">
        <v>2.3279999999999998</v>
      </c>
      <c r="AY90" s="50">
        <v>2</v>
      </c>
      <c r="BA90" s="55">
        <f t="shared" si="35"/>
        <v>-1.4203474856279152E-3</v>
      </c>
      <c r="BB90" s="55">
        <f t="array" ref="BB90">AVERAGE(AM90:AM94/AL90:AL94)-AVERAGE(Q90:Q94/P90:P94)</f>
        <v>-1.9804782739351046E-3</v>
      </c>
      <c r="BD90" s="56">
        <f>IF(OR(ISBLANK(R90:R94),ISBLANK(AN90:AN94),ISBLANK(T90:T94),ISBLANK(AP90:AP94)),"·",bdRateExtend(R90:R94,T90:T94,AN90:AN94,AP90:AP94))</f>
        <v>-2.2948376916946955E-3</v>
      </c>
      <c r="BE90" s="56">
        <f>IF(OR(ISBLANK(R90:R94),ISBLANK(AN90:AN94),ISBLANK(U90:U94),ISBLANK(AQ90:AQ94)),"·",bdRateExtend(R90:R94,U90:U94,AN90:AN94,AQ90:AQ94))</f>
        <v>-5.5926989252279569E-3</v>
      </c>
      <c r="BF90" s="56">
        <f>IF(OR(ISBLANK(R90:R94),ISBLANK(AN90:AN94),ISBLANK(V90:V94),ISBLANK(AR90:AR94)),"·",bdRateExtend(R90:R94,V90:V94,AN90:AN94,AR90:AR94))</f>
        <v>-3.807075136432414E-3</v>
      </c>
      <c r="BG90" s="62"/>
      <c r="BI90" s="56">
        <f>IF(OR(ISBLANK(R90:R94),ISBLANK(AN90:AN94),ISBLANK(X90:X94),ISBLANK(AT90:AT94)),"·",bdRateExtend(R90:R94,X90:X94,AN90:AN94,AT90:AT94))</f>
        <v>8.5034818404490231E-3</v>
      </c>
      <c r="BJ90" s="56">
        <f>IF(OR(ISBLANK(R90:R94),ISBLANK(AN90:AN94),ISBLANK(Y90:Y94),ISBLANK(AU90:AU94)),"·",bdRateExtend(R90:R94,Y90:Y94,AN90:AN94,AU90:AU94))</f>
        <v>8.5034818404490231E-3</v>
      </c>
      <c r="BK90" s="56">
        <f>IF(OR(ISBLANK(R90:R94),ISBLANK(AN90:AN94),ISBLANK(Z90:Z94),ISBLANK(AV90:AV94)),"·",bdRateExtend(R90:R94,Z90:Z94,AN90:AN94,AV90:AV94))</f>
        <v>8.5034818404490231E-3</v>
      </c>
      <c r="BL90" s="62"/>
      <c r="BN90" s="56">
        <f>IF(OR(ISBLANK(P90:P94),ISBLANK(AL90:AL94),ISBLANK(T90:T94),ISBLANK(AP90:AP94)),"·",bdRateExtend(P90:P94,T90:T94,AL90:AL94,AP90:AP94))</f>
        <v>-9.1139242817228627E-4</v>
      </c>
      <c r="BO90" s="56">
        <f>IF(OR(ISBLANK(P90:P94),ISBLANK(AL90:AL94),ISBLANK(U90:U94),ISBLANK(AQ90:AQ94)),"·",bdRateExtend(P90:P94,U90:U94,AL90:AL94,AQ90:AQ94))</f>
        <v>-2.0239838622941875E-3</v>
      </c>
      <c r="BP90" s="56">
        <f>IF(OR(ISBLANK(P90:P94),ISBLANK(AL90:AL94),ISBLANK(V90:V94),ISBLANK(AR90:AR94)),"·",bdRateExtend(P90:P94,V90:V94,AL90:AL94,AR90:AR94))</f>
        <v>-1.4774876729528597E-3</v>
      </c>
      <c r="BQ90" s="62"/>
      <c r="BS90" s="56">
        <f>IF(OR(ISBLANK(P90:P94),ISBLANK(AL90:AL94),ISBLANK(X90:X94),ISBLANK(AT90:AT94)),"·",bdRateExtend(P90:P94,X90:X94,AL90:AL94,AT90:AT94))</f>
        <v>2.8549713963030854E-3</v>
      </c>
      <c r="BT90" s="56">
        <f>IF(OR(ISBLANK(P90:P94),ISBLANK(AL90:AL94),ISBLANK(Y90:Y94),ISBLANK(AU90:AU94)),"·",bdRateExtend(P90:P94,Y90:Y94,AL90:AL94,AU90:AU94))</f>
        <v>2.8549713963030854E-3</v>
      </c>
      <c r="BU90" s="56">
        <f>IF(OR(ISBLANK(P90:P94),ISBLANK(AL90:AL94),ISBLANK(Z90:Z94),ISBLANK(AV90:AV94)),"·",bdRateExtend(P90:P94,Z90:Z94,AL90:AL94,AV90:AV94))</f>
        <v>2.8549713963030854E-3</v>
      </c>
      <c r="BV90" s="62"/>
      <c r="BX90">
        <f t="shared" si="36"/>
        <v>0</v>
      </c>
      <c r="BY90">
        <f t="shared" si="37"/>
        <v>69248</v>
      </c>
      <c r="BZ90">
        <f t="shared" si="38"/>
        <v>0</v>
      </c>
      <c r="CA90">
        <f t="shared" si="39"/>
        <v>69248</v>
      </c>
      <c r="CB90">
        <f t="shared" si="40"/>
        <v>0</v>
      </c>
      <c r="CC90">
        <f t="shared" si="41"/>
        <v>0.16349999999999909</v>
      </c>
      <c r="CD90">
        <f t="shared" si="42"/>
        <v>0.1787000000000063</v>
      </c>
      <c r="CE90">
        <f t="shared" si="43"/>
        <v>0.17819999999999681</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18.804643991073515</v>
      </c>
      <c r="K91" s="18">
        <f t="shared" si="27"/>
        <v>9.6524220815512738</v>
      </c>
      <c r="L91" s="18">
        <f t="shared" si="28"/>
        <v>9.1517066151900845</v>
      </c>
      <c r="M91" s="19"/>
      <c r="N91" s="18">
        <f t="shared" si="29"/>
        <v>18.804643991073515</v>
      </c>
      <c r="O91" s="20">
        <v>1009132</v>
      </c>
      <c r="P91" s="21">
        <v>18976368</v>
      </c>
      <c r="Q91" s="21">
        <v>9740568</v>
      </c>
      <c r="R91" s="21">
        <v>9235280</v>
      </c>
      <c r="S91" s="37"/>
      <c r="T91" s="38">
        <v>48.5929</v>
      </c>
      <c r="U91" s="38">
        <v>50.459800000000001</v>
      </c>
      <c r="V91" s="38">
        <v>50.127099999999999</v>
      </c>
      <c r="W91" s="39"/>
      <c r="X91" s="38">
        <v>42.110199999999999</v>
      </c>
      <c r="Y91" s="38">
        <v>42.110199999999999</v>
      </c>
      <c r="Z91" s="38">
        <v>42.110199999999999</v>
      </c>
      <c r="AA91" s="39"/>
      <c r="AB91" s="49">
        <v>2.2959999999999998</v>
      </c>
      <c r="AC91" s="49">
        <v>1.968</v>
      </c>
      <c r="AE91" s="17" t="str">
        <f t="shared" si="30"/>
        <v>·</v>
      </c>
      <c r="AF91" s="18">
        <f t="shared" si="31"/>
        <v>18.846795067444102</v>
      </c>
      <c r="AG91" s="18">
        <f t="shared" si="32"/>
        <v>9.6524220815512738</v>
      </c>
      <c r="AH91" s="18">
        <f t="shared" si="33"/>
        <v>9.1938576915606678</v>
      </c>
      <c r="AI91" s="19"/>
      <c r="AJ91" s="18">
        <f t="shared" si="34"/>
        <v>18.846795067444102</v>
      </c>
      <c r="AK91" s="20">
        <v>1009132</v>
      </c>
      <c r="AL91" s="21">
        <v>19018904</v>
      </c>
      <c r="AM91" s="21">
        <v>9740568</v>
      </c>
      <c r="AN91" s="21">
        <v>9277816</v>
      </c>
      <c r="AO91" s="37"/>
      <c r="AP91" s="38">
        <v>48.723799999999997</v>
      </c>
      <c r="AQ91" s="38">
        <v>50.607100000000003</v>
      </c>
      <c r="AR91" s="38">
        <v>50.266100000000002</v>
      </c>
      <c r="AS91" s="39"/>
      <c r="AT91" s="38">
        <v>42.110199999999999</v>
      </c>
      <c r="AU91" s="38">
        <v>42.110199999999999</v>
      </c>
      <c r="AV91" s="38">
        <v>42.110199999999999</v>
      </c>
      <c r="AW91" s="39"/>
      <c r="AX91" s="49">
        <v>2.3119999999999998</v>
      </c>
      <c r="AY91" s="49">
        <v>1.968</v>
      </c>
      <c r="BA91" s="53">
        <f t="shared" si="35"/>
        <v>-1.1480012203627377E-3</v>
      </c>
      <c r="BB91" s="53"/>
      <c r="BD91" s="54"/>
      <c r="BE91" s="54"/>
      <c r="BF91" s="54"/>
      <c r="BG91" s="61"/>
      <c r="BI91" s="54"/>
      <c r="BJ91" s="54"/>
      <c r="BK91" s="54"/>
      <c r="BL91" s="61"/>
      <c r="BN91" s="54"/>
      <c r="BO91" s="54"/>
      <c r="BP91" s="54"/>
      <c r="BQ91" s="61"/>
      <c r="BS91" s="54"/>
      <c r="BT91" s="54"/>
      <c r="BU91" s="54"/>
      <c r="BV91" s="61"/>
      <c r="BX91">
        <f t="shared" si="36"/>
        <v>0</v>
      </c>
      <c r="BY91">
        <f t="shared" si="37"/>
        <v>42536</v>
      </c>
      <c r="BZ91">
        <f t="shared" si="38"/>
        <v>0</v>
      </c>
      <c r="CA91">
        <f t="shared" si="39"/>
        <v>42536</v>
      </c>
      <c r="CB91">
        <f t="shared" si="40"/>
        <v>0</v>
      </c>
      <c r="CC91">
        <f t="shared" si="41"/>
        <v>0.13089999999999691</v>
      </c>
      <c r="CD91">
        <f t="shared" si="42"/>
        <v>0.14730000000000132</v>
      </c>
      <c r="CE91">
        <f t="shared" si="43"/>
        <v>0.1390000000000029</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15.863573843659699</v>
      </c>
      <c r="K92" s="23">
        <f t="shared" si="27"/>
        <v>9.6524220815512738</v>
      </c>
      <c r="L92" s="23">
        <f t="shared" si="28"/>
        <v>6.2106364677762675</v>
      </c>
      <c r="M92" s="24"/>
      <c r="N92" s="23">
        <f t="shared" si="29"/>
        <v>15.863573843659699</v>
      </c>
      <c r="O92" s="25">
        <v>1009132</v>
      </c>
      <c r="P92" s="26">
        <v>16008440</v>
      </c>
      <c r="Q92" s="26">
        <v>9740568</v>
      </c>
      <c r="R92" s="26">
        <v>6267352</v>
      </c>
      <c r="S92" s="40"/>
      <c r="T92" s="41">
        <v>41.371000000000002</v>
      </c>
      <c r="U92" s="41">
        <v>44.106699999999996</v>
      </c>
      <c r="V92" s="41">
        <v>43.9619</v>
      </c>
      <c r="W92" s="42"/>
      <c r="X92" s="41">
        <v>34.151400000000002</v>
      </c>
      <c r="Y92" s="41">
        <v>34.151400000000002</v>
      </c>
      <c r="Z92" s="41">
        <v>34.151400000000002</v>
      </c>
      <c r="AA92" s="42"/>
      <c r="AB92" s="50">
        <v>2.2810000000000001</v>
      </c>
      <c r="AC92" s="50">
        <v>1.9370000000000001</v>
      </c>
      <c r="AE92" s="22" t="str">
        <f t="shared" si="30"/>
        <v>·</v>
      </c>
      <c r="AF92" s="23">
        <f t="shared" si="31"/>
        <v>15.911591347811783</v>
      </c>
      <c r="AG92" s="23">
        <f t="shared" si="32"/>
        <v>9.6524220815512738</v>
      </c>
      <c r="AH92" s="23">
        <f t="shared" si="33"/>
        <v>6.25865397192835</v>
      </c>
      <c r="AI92" s="24"/>
      <c r="AJ92" s="23">
        <f t="shared" si="34"/>
        <v>15.911591347811783</v>
      </c>
      <c r="AK92" s="25">
        <v>1009132</v>
      </c>
      <c r="AL92" s="26">
        <v>16056896</v>
      </c>
      <c r="AM92" s="26">
        <v>9740568</v>
      </c>
      <c r="AN92" s="26">
        <v>6315808</v>
      </c>
      <c r="AO92" s="40"/>
      <c r="AP92" s="41">
        <v>41.525700000000001</v>
      </c>
      <c r="AQ92" s="41">
        <v>44.278100000000002</v>
      </c>
      <c r="AR92" s="41">
        <v>44.110700000000001</v>
      </c>
      <c r="AS92" s="42"/>
      <c r="AT92" s="41">
        <v>34.151400000000002</v>
      </c>
      <c r="AU92" s="41">
        <v>34.151400000000002</v>
      </c>
      <c r="AV92" s="41">
        <v>34.151400000000002</v>
      </c>
      <c r="AW92" s="42"/>
      <c r="AX92" s="50">
        <v>2.2810000000000001</v>
      </c>
      <c r="AY92" s="50">
        <v>1.9530000000000001</v>
      </c>
      <c r="BA92" s="55">
        <f t="shared" si="35"/>
        <v>-1.8362052980797072E-3</v>
      </c>
      <c r="BB92" s="55"/>
      <c r="BD92" s="56"/>
      <c r="BE92" s="56"/>
      <c r="BF92" s="56"/>
      <c r="BG92" s="62"/>
      <c r="BI92" s="56"/>
      <c r="BJ92" s="56"/>
      <c r="BK92" s="56"/>
      <c r="BL92" s="62"/>
      <c r="BN92" s="56"/>
      <c r="BO92" s="56"/>
      <c r="BP92" s="56"/>
      <c r="BQ92" s="62"/>
      <c r="BS92" s="56"/>
      <c r="BT92" s="56"/>
      <c r="BU92" s="56"/>
      <c r="BV92" s="62"/>
      <c r="BX92">
        <f t="shared" si="36"/>
        <v>0</v>
      </c>
      <c r="BY92">
        <f t="shared" si="37"/>
        <v>48456</v>
      </c>
      <c r="BZ92">
        <f t="shared" si="38"/>
        <v>0</v>
      </c>
      <c r="CA92">
        <f t="shared" si="39"/>
        <v>48456</v>
      </c>
      <c r="CB92">
        <f t="shared" si="40"/>
        <v>0</v>
      </c>
      <c r="CC92">
        <f t="shared" si="41"/>
        <v>0.15469999999999828</v>
      </c>
      <c r="CD92">
        <f t="shared" si="42"/>
        <v>0.17140000000000555</v>
      </c>
      <c r="CE92">
        <f t="shared" si="43"/>
        <v>0.14880000000000138</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13.704363750232874</v>
      </c>
      <c r="K93" s="18">
        <f t="shared" si="27"/>
        <v>9.6524220815512738</v>
      </c>
      <c r="L93" s="18">
        <f t="shared" si="28"/>
        <v>4.0514263743494405</v>
      </c>
      <c r="M93" s="19"/>
      <c r="N93" s="18">
        <f t="shared" si="29"/>
        <v>13.704363750232874</v>
      </c>
      <c r="O93" s="20">
        <v>1009132</v>
      </c>
      <c r="P93" s="21">
        <v>13829512</v>
      </c>
      <c r="Q93" s="21">
        <v>9740568</v>
      </c>
      <c r="R93" s="21">
        <v>4088424</v>
      </c>
      <c r="S93" s="37"/>
      <c r="T93" s="38">
        <v>35.505699999999997</v>
      </c>
      <c r="U93" s="38">
        <v>39.101999999999997</v>
      </c>
      <c r="V93" s="38">
        <v>39.115499999999997</v>
      </c>
      <c r="W93" s="39"/>
      <c r="X93" s="38">
        <v>28.130800000000001</v>
      </c>
      <c r="Y93" s="38">
        <v>28.130800000000001</v>
      </c>
      <c r="Z93" s="38">
        <v>28.130800000000001</v>
      </c>
      <c r="AA93" s="39"/>
      <c r="AB93" s="49">
        <v>2.25</v>
      </c>
      <c r="AC93" s="49">
        <v>1.9059999999999999</v>
      </c>
      <c r="AE93" s="17" t="str">
        <f t="shared" si="30"/>
        <v>·</v>
      </c>
      <c r="AF93" s="18">
        <f t="shared" si="31"/>
        <v>13.742297340684866</v>
      </c>
      <c r="AG93" s="18">
        <f t="shared" si="32"/>
        <v>9.6524220815512738</v>
      </c>
      <c r="AH93" s="18">
        <f t="shared" si="33"/>
        <v>4.0893599648014334</v>
      </c>
      <c r="AI93" s="19"/>
      <c r="AJ93" s="18">
        <f t="shared" si="34"/>
        <v>13.742297340684866</v>
      </c>
      <c r="AK93" s="20">
        <v>1009132</v>
      </c>
      <c r="AL93" s="21">
        <v>13867792</v>
      </c>
      <c r="AM93" s="21">
        <v>9740568</v>
      </c>
      <c r="AN93" s="21">
        <v>4126704</v>
      </c>
      <c r="AO93" s="37"/>
      <c r="AP93" s="38">
        <v>35.664700000000003</v>
      </c>
      <c r="AQ93" s="38">
        <v>39.2819</v>
      </c>
      <c r="AR93" s="38">
        <v>39.251100000000001</v>
      </c>
      <c r="AS93" s="39"/>
      <c r="AT93" s="38">
        <v>28.130800000000001</v>
      </c>
      <c r="AU93" s="38">
        <v>28.130800000000001</v>
      </c>
      <c r="AV93" s="38">
        <v>28.130800000000001</v>
      </c>
      <c r="AW93" s="39"/>
      <c r="AX93" s="49">
        <v>2.234</v>
      </c>
      <c r="AY93" s="49">
        <v>1.9059999999999999</v>
      </c>
      <c r="BA93" s="53">
        <f t="shared" si="35"/>
        <v>-1.9442049164217767E-3</v>
      </c>
      <c r="BB93" s="53"/>
      <c r="BD93" s="54"/>
      <c r="BE93" s="54"/>
      <c r="BF93" s="54"/>
      <c r="BG93" s="61"/>
      <c r="BI93" s="54"/>
      <c r="BJ93" s="54"/>
      <c r="BK93" s="54"/>
      <c r="BL93" s="61"/>
      <c r="BN93" s="54"/>
      <c r="BO93" s="54"/>
      <c r="BP93" s="54"/>
      <c r="BQ93" s="61"/>
      <c r="BS93" s="54"/>
      <c r="BT93" s="54"/>
      <c r="BU93" s="54"/>
      <c r="BV93" s="61"/>
      <c r="BX93">
        <f t="shared" si="36"/>
        <v>0</v>
      </c>
      <c r="BY93">
        <f t="shared" si="37"/>
        <v>38280</v>
      </c>
      <c r="BZ93">
        <f t="shared" si="38"/>
        <v>0</v>
      </c>
      <c r="CA93">
        <f t="shared" si="39"/>
        <v>38280</v>
      </c>
      <c r="CB93">
        <f t="shared" si="40"/>
        <v>0</v>
      </c>
      <c r="CC93">
        <f t="shared" si="41"/>
        <v>0.15900000000000603</v>
      </c>
      <c r="CD93">
        <f t="shared" si="42"/>
        <v>0.1799000000000035</v>
      </c>
      <c r="CE93">
        <f t="shared" si="43"/>
        <v>0.13560000000000372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11.85827820344613</v>
      </c>
      <c r="K94" s="33">
        <f t="shared" si="27"/>
        <v>9.6524220815512738</v>
      </c>
      <c r="L94" s="33">
        <f t="shared" si="28"/>
        <v>2.2053408275626976</v>
      </c>
      <c r="M94" s="34"/>
      <c r="N94" s="33">
        <f t="shared" si="29"/>
        <v>11.85827820344613</v>
      </c>
      <c r="O94" s="35">
        <v>1009132</v>
      </c>
      <c r="P94" s="36">
        <v>11966568</v>
      </c>
      <c r="Q94" s="36">
        <v>9740568</v>
      </c>
      <c r="R94" s="36">
        <v>2225480</v>
      </c>
      <c r="S94" s="46"/>
      <c r="T94" s="47">
        <v>29.174900000000001</v>
      </c>
      <c r="U94" s="47">
        <v>34.149299999999997</v>
      </c>
      <c r="V94" s="47">
        <v>34.539499999999997</v>
      </c>
      <c r="W94" s="48"/>
      <c r="X94" s="47">
        <v>21.686399999999999</v>
      </c>
      <c r="Y94" s="47">
        <v>21.686399999999999</v>
      </c>
      <c r="Z94" s="47">
        <v>21.686399999999999</v>
      </c>
      <c r="AA94" s="48"/>
      <c r="AB94" s="52">
        <v>2.234</v>
      </c>
      <c r="AC94" s="52">
        <v>1.89</v>
      </c>
      <c r="AE94" s="32" t="str">
        <f t="shared" si="30"/>
        <v>·</v>
      </c>
      <c r="AF94" s="33">
        <f t="shared" si="31"/>
        <v>11.9102753653635</v>
      </c>
      <c r="AG94" s="33">
        <f t="shared" si="32"/>
        <v>9.6524220815512738</v>
      </c>
      <c r="AH94" s="33">
        <f t="shared" si="33"/>
        <v>2.2573379894800678</v>
      </c>
      <c r="AI94" s="34"/>
      <c r="AJ94" s="33">
        <f t="shared" si="34"/>
        <v>11.9102753653635</v>
      </c>
      <c r="AK94" s="35">
        <v>1009132</v>
      </c>
      <c r="AL94" s="36">
        <v>12019040</v>
      </c>
      <c r="AM94" s="36">
        <v>9740568</v>
      </c>
      <c r="AN94" s="36">
        <v>2277952</v>
      </c>
      <c r="AO94" s="46"/>
      <c r="AP94" s="47">
        <v>29.378299999999999</v>
      </c>
      <c r="AQ94" s="47">
        <v>34.3538</v>
      </c>
      <c r="AR94" s="47">
        <v>34.7042</v>
      </c>
      <c r="AS94" s="48"/>
      <c r="AT94" s="47">
        <v>21.686399999999999</v>
      </c>
      <c r="AU94" s="47">
        <v>21.686399999999999</v>
      </c>
      <c r="AV94" s="47">
        <v>21.686399999999999</v>
      </c>
      <c r="AW94" s="48"/>
      <c r="AX94" s="52">
        <v>2.2029999999999998</v>
      </c>
      <c r="AY94" s="52">
        <v>1.921</v>
      </c>
      <c r="BA94" s="59">
        <f t="shared" si="35"/>
        <v>-3.553632449183719E-3</v>
      </c>
      <c r="BB94" s="59"/>
      <c r="BD94" s="60"/>
      <c r="BE94" s="60"/>
      <c r="BF94" s="60"/>
      <c r="BG94" s="64"/>
      <c r="BI94" s="60"/>
      <c r="BJ94" s="60"/>
      <c r="BK94" s="60"/>
      <c r="BL94" s="64"/>
      <c r="BN94" s="60"/>
      <c r="BO94" s="60"/>
      <c r="BP94" s="60"/>
      <c r="BQ94" s="64"/>
      <c r="BS94" s="60"/>
      <c r="BT94" s="60"/>
      <c r="BU94" s="60"/>
      <c r="BV94" s="64"/>
      <c r="BX94">
        <f t="shared" si="36"/>
        <v>0</v>
      </c>
      <c r="BY94">
        <f t="shared" si="37"/>
        <v>52472</v>
      </c>
      <c r="BZ94">
        <f t="shared" si="38"/>
        <v>0</v>
      </c>
      <c r="CA94">
        <f t="shared" si="39"/>
        <v>52472</v>
      </c>
      <c r="CB94">
        <f t="shared" si="40"/>
        <v>0</v>
      </c>
      <c r="CC94">
        <f t="shared" si="41"/>
        <v>0.20339999999999847</v>
      </c>
      <c r="CD94">
        <f t="shared" si="42"/>
        <v>0.20450000000000301</v>
      </c>
      <c r="CE94">
        <f t="shared" si="43"/>
        <v>0.1647000000000034</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7.1658797617244838</v>
      </c>
      <c r="K95" s="18">
        <f t="shared" si="27"/>
        <v>3.8442702874789405</v>
      </c>
      <c r="L95" s="18">
        <f t="shared" si="28"/>
        <v>3.3213595838224936</v>
      </c>
      <c r="M95" s="19"/>
      <c r="N95" s="18">
        <f t="shared" si="29"/>
        <v>7.1658797617244838</v>
      </c>
      <c r="O95" s="20">
        <v>4001754</v>
      </c>
      <c r="P95" s="21">
        <v>28676088</v>
      </c>
      <c r="Q95" s="21">
        <v>15383824</v>
      </c>
      <c r="R95" s="21">
        <v>13291264</v>
      </c>
      <c r="S95" s="37"/>
      <c r="T95" s="38">
        <v>52.439599999999999</v>
      </c>
      <c r="U95" s="38">
        <v>57.101900000000001</v>
      </c>
      <c r="V95" s="38">
        <v>56.726599999999998</v>
      </c>
      <c r="W95" s="39"/>
      <c r="X95" s="38">
        <v>48.130800000000001</v>
      </c>
      <c r="Y95" s="38">
        <v>48.130800000000001</v>
      </c>
      <c r="Z95" s="38">
        <v>48.130800000000001</v>
      </c>
      <c r="AA95" s="39"/>
      <c r="AB95" s="49">
        <v>6.625</v>
      </c>
      <c r="AC95" s="49">
        <v>5.2030000000000003</v>
      </c>
      <c r="AE95" s="17" t="str">
        <f t="shared" si="30"/>
        <v>·</v>
      </c>
      <c r="AF95" s="18">
        <f t="shared" si="31"/>
        <v>7.1668133523449971</v>
      </c>
      <c r="AG95" s="18">
        <f t="shared" si="32"/>
        <v>3.8442702874789405</v>
      </c>
      <c r="AH95" s="18">
        <f t="shared" si="33"/>
        <v>3.3222931744430069</v>
      </c>
      <c r="AI95" s="19"/>
      <c r="AJ95" s="18">
        <f t="shared" si="34"/>
        <v>7.1668133523449971</v>
      </c>
      <c r="AK95" s="20">
        <v>4001754</v>
      </c>
      <c r="AL95" s="21">
        <v>28679824</v>
      </c>
      <c r="AM95" s="21">
        <v>15383824</v>
      </c>
      <c r="AN95" s="21">
        <v>13295000</v>
      </c>
      <c r="AO95" s="37"/>
      <c r="AP95" s="38">
        <v>52.4405</v>
      </c>
      <c r="AQ95" s="38">
        <v>57.101799999999997</v>
      </c>
      <c r="AR95" s="38">
        <v>56.726700000000001</v>
      </c>
      <c r="AS95" s="39"/>
      <c r="AT95" s="38">
        <v>48.130800000000001</v>
      </c>
      <c r="AU95" s="38">
        <v>48.130800000000001</v>
      </c>
      <c r="AV95" s="38">
        <v>48.130800000000001</v>
      </c>
      <c r="AW95" s="39"/>
      <c r="AX95" s="49">
        <v>6.6870000000000003</v>
      </c>
      <c r="AY95" s="49">
        <v>5.25</v>
      </c>
      <c r="BA95" s="53">
        <f t="shared" si="35"/>
        <v>-6.9883521905178547E-5</v>
      </c>
      <c r="BB95" s="53">
        <f t="array" ref="BB95">AVERAGE(AM95:AM99/AL95:AL99)-AVERAGE(Q95:Q99/P95:P99)</f>
        <v>9.9490962871873201E-5</v>
      </c>
      <c r="BD95" s="54">
        <f>IF(OR(ISBLANK(R95:R99),ISBLANK(AN95:AN99),ISBLANK(T95:T99),ISBLANK(AP95:AP99)),"·",bdRateExtend(R95:R99,T95:T99,AN95:AN99,AP95:AP99))</f>
        <v>-7.7547503441544041E-4</v>
      </c>
      <c r="BE95" s="54">
        <f>IF(OR(ISBLANK(R95:R99),ISBLANK(AN95:AN99),ISBLANK(U95:U99),ISBLANK(AQ95:AQ99)),"·",bdRateExtend(R95:R99,U95:U99,AN95:AN99,AQ95:AQ99))</f>
        <v>2.1359476521143339E-3</v>
      </c>
      <c r="BF95" s="54">
        <f>IF(OR(ISBLANK(R95:R99),ISBLANK(AN95:AN99),ISBLANK(V95:V99),ISBLANK(AR95:AR99)),"·",bdRateExtend(R95:R99,V95:V99,AN95:AN99,AR95:AR99))</f>
        <v>-1.0339229695925489E-2</v>
      </c>
      <c r="BG95" s="61"/>
      <c r="BI95" s="54">
        <f>IF(OR(ISBLANK(R95:R99),ISBLANK(AN95:AN99),ISBLANK(X95:X99),ISBLANK(AT95:AT99)),"·",bdRateExtend(R95:R99,X95:X99,AN95:AN99,AT95:AT99))</f>
        <v>-1.1558222056855527E-3</v>
      </c>
      <c r="BJ95" s="54">
        <f>IF(OR(ISBLANK(R95:R99),ISBLANK(AN95:AN99),ISBLANK(Y95:Y99),ISBLANK(AU95:AU99)),"·",bdRateExtend(R95:R99,Y95:Y99,AN95:AN99,AU95:AU99))</f>
        <v>-1.1558222056855527E-3</v>
      </c>
      <c r="BK95" s="54">
        <f>IF(OR(ISBLANK(R95:R99),ISBLANK(AN95:AN99),ISBLANK(Z95:Z99),ISBLANK(AV95:AV99)),"·",bdRateExtend(R95:R99,Z95:Z99,AN95:AN99,AV95:AV99))</f>
        <v>-1.1558222056855527E-3</v>
      </c>
      <c r="BL95" s="61"/>
      <c r="BN95" s="54">
        <f>IF(OR(ISBLANK(P95:P99),ISBLANK(AL95:AL99),ISBLANK(T95:T99),ISBLANK(AP95:AP99)),"·",bdRateExtend(P95:P99,T95:T99,AL95:AL99,AP95:AP99))</f>
        <v>-1.2281234459199375E-4</v>
      </c>
      <c r="BO95" s="54">
        <f>IF(OR(ISBLANK(P95:P99),ISBLANK(AL95:AL99),ISBLANK(U95:U99),ISBLANK(AQ95:AQ99)),"·",bdRateExtend(P95:P99,U95:U99,AL95:AL99,AQ95:AQ99))</f>
        <v>-7.7094924725518155E-5</v>
      </c>
      <c r="BP95" s="54">
        <f>IF(OR(ISBLANK(P95:P99),ISBLANK(AL95:AL99),ISBLANK(V95:V99),ISBLANK(AR95:AR99)),"·",bdRateExtend(P95:P99,V95:V99,AL95:AL99,AR95:AR99))</f>
        <v>-1.0150158453393621E-3</v>
      </c>
      <c r="BQ95" s="61"/>
      <c r="BS95" s="54">
        <f>IF(OR(ISBLANK(P95:P99),ISBLANK(AL95:AL99),ISBLANK(X95:X99),ISBLANK(AT95:AT99)),"·",bdRateExtend(P95:P99,X95:X99,AL95:AL99,AT95:AT99))</f>
        <v>-1.5995604807506059E-4</v>
      </c>
      <c r="BT95" s="54">
        <f>IF(OR(ISBLANK(P95:P99),ISBLANK(AL95:AL99),ISBLANK(Y95:Y99),ISBLANK(AU95:AU99)),"·",bdRateExtend(P95:P99,Y95:Y99,AL95:AL99,AU95:AU99))</f>
        <v>-1.5995604807506059E-4</v>
      </c>
      <c r="BU95" s="54">
        <f>IF(OR(ISBLANK(P95:P99),ISBLANK(AL95:AL99),ISBLANK(Z95:Z99),ISBLANK(AV95:AV99)),"·",bdRateExtend(P95:P99,Z95:Z99,AL95:AL99,AV95:AV99))</f>
        <v>-1.5995604807506059E-4</v>
      </c>
      <c r="BV95" s="61"/>
      <c r="BX95">
        <f t="shared" si="36"/>
        <v>0</v>
      </c>
      <c r="BY95">
        <f t="shared" si="37"/>
        <v>3736</v>
      </c>
      <c r="BZ95">
        <f t="shared" si="38"/>
        <v>0</v>
      </c>
      <c r="CA95">
        <f t="shared" si="39"/>
        <v>3736</v>
      </c>
      <c r="CB95">
        <f t="shared" si="40"/>
        <v>0</v>
      </c>
      <c r="CC95">
        <f t="shared" si="41"/>
        <v>9.0000000000145519E-4</v>
      </c>
      <c r="CD95">
        <f t="shared" si="42"/>
        <v>-1.0000000000331966E-4</v>
      </c>
      <c r="CE95">
        <f t="shared" si="43"/>
        <v>1.0000000000331966E-4</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6.061162180383902</v>
      </c>
      <c r="K96" s="23">
        <f t="shared" si="27"/>
        <v>3.8442702874789405</v>
      </c>
      <c r="L96" s="23">
        <f t="shared" si="28"/>
        <v>2.2166420024819118</v>
      </c>
      <c r="M96" s="24"/>
      <c r="N96" s="23">
        <f t="shared" si="29"/>
        <v>6.061162180383902</v>
      </c>
      <c r="O96" s="25">
        <v>4001754</v>
      </c>
      <c r="P96" s="26">
        <v>24255280</v>
      </c>
      <c r="Q96" s="26">
        <v>15383824</v>
      </c>
      <c r="R96" s="26">
        <v>8870456</v>
      </c>
      <c r="S96" s="40"/>
      <c r="T96" s="41">
        <v>47.723999999999997</v>
      </c>
      <c r="U96" s="41">
        <v>52.867600000000003</v>
      </c>
      <c r="V96" s="41">
        <v>52.890500000000003</v>
      </c>
      <c r="W96" s="42"/>
      <c r="X96" s="41">
        <v>42.110199999999999</v>
      </c>
      <c r="Y96" s="41">
        <v>42.110199999999999</v>
      </c>
      <c r="Z96" s="41">
        <v>42.110199999999999</v>
      </c>
      <c r="AA96" s="42"/>
      <c r="AB96" s="50">
        <v>6.609</v>
      </c>
      <c r="AC96" s="50">
        <v>5.25</v>
      </c>
      <c r="AE96" s="22" t="str">
        <f t="shared" si="30"/>
        <v>·</v>
      </c>
      <c r="AF96" s="23">
        <f t="shared" si="31"/>
        <v>6.059506906221622</v>
      </c>
      <c r="AG96" s="23">
        <f t="shared" si="32"/>
        <v>3.8442702874789405</v>
      </c>
      <c r="AH96" s="23">
        <f t="shared" si="33"/>
        <v>2.2149867283196318</v>
      </c>
      <c r="AI96" s="24"/>
      <c r="AJ96" s="23">
        <f t="shared" si="34"/>
        <v>6.059506906221622</v>
      </c>
      <c r="AK96" s="25">
        <v>4001754</v>
      </c>
      <c r="AL96" s="26">
        <v>24248656</v>
      </c>
      <c r="AM96" s="26">
        <v>15383824</v>
      </c>
      <c r="AN96" s="26">
        <v>8863832</v>
      </c>
      <c r="AO96" s="40"/>
      <c r="AP96" s="41">
        <v>47.722900000000003</v>
      </c>
      <c r="AQ96" s="41">
        <v>52.870899999999999</v>
      </c>
      <c r="AR96" s="41">
        <v>52.891399999999997</v>
      </c>
      <c r="AS96" s="42"/>
      <c r="AT96" s="41">
        <v>42.110199999999999</v>
      </c>
      <c r="AU96" s="41">
        <v>42.110199999999999</v>
      </c>
      <c r="AV96" s="41">
        <v>42.110199999999999</v>
      </c>
      <c r="AW96" s="42"/>
      <c r="AX96" s="50">
        <v>6.64</v>
      </c>
      <c r="AY96" s="50">
        <v>5.25</v>
      </c>
      <c r="BA96" s="55">
        <f t="shared" si="35"/>
        <v>1.7325694866832109E-4</v>
      </c>
      <c r="BB96" s="55"/>
      <c r="BD96" s="56"/>
      <c r="BE96" s="56"/>
      <c r="BF96" s="56"/>
      <c r="BG96" s="62"/>
      <c r="BI96" s="56"/>
      <c r="BJ96" s="56"/>
      <c r="BK96" s="56"/>
      <c r="BL96" s="62"/>
      <c r="BN96" s="56"/>
      <c r="BO96" s="56"/>
      <c r="BP96" s="56"/>
      <c r="BQ96" s="62"/>
      <c r="BS96" s="56"/>
      <c r="BT96" s="56"/>
      <c r="BU96" s="56"/>
      <c r="BV96" s="62"/>
      <c r="BX96">
        <f t="shared" si="36"/>
        <v>0</v>
      </c>
      <c r="BY96">
        <f t="shared" si="37"/>
        <v>-6624</v>
      </c>
      <c r="BZ96">
        <f t="shared" si="38"/>
        <v>0</v>
      </c>
      <c r="CA96">
        <f t="shared" si="39"/>
        <v>-6624</v>
      </c>
      <c r="CB96">
        <f t="shared" si="40"/>
        <v>0</v>
      </c>
      <c r="CC96">
        <f t="shared" si="41"/>
        <v>-1.0999999999938836E-3</v>
      </c>
      <c r="CD96">
        <f t="shared" si="42"/>
        <v>3.2999999999958618E-3</v>
      </c>
      <c r="CE96">
        <f t="shared" si="43"/>
        <v>8.9999999999434976E-4</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4.8828008918089418</v>
      </c>
      <c r="K97" s="18">
        <f t="shared" si="27"/>
        <v>3.8442702874789405</v>
      </c>
      <c r="L97" s="18">
        <f t="shared" si="28"/>
        <v>1.0382807139069519</v>
      </c>
      <c r="M97" s="19"/>
      <c r="N97" s="18">
        <f t="shared" si="29"/>
        <v>4.8828008918089418</v>
      </c>
      <c r="O97" s="20">
        <v>4001754</v>
      </c>
      <c r="P97" s="21">
        <v>19539768</v>
      </c>
      <c r="Q97" s="21">
        <v>15383824</v>
      </c>
      <c r="R97" s="21">
        <v>4154944</v>
      </c>
      <c r="S97" s="37"/>
      <c r="T97" s="38">
        <v>40.818899999999999</v>
      </c>
      <c r="U97" s="38">
        <v>48.092700000000001</v>
      </c>
      <c r="V97" s="38">
        <v>48.201099999999997</v>
      </c>
      <c r="W97" s="39"/>
      <c r="X97" s="38">
        <v>34.151400000000002</v>
      </c>
      <c r="Y97" s="38">
        <v>34.151400000000002</v>
      </c>
      <c r="Z97" s="38">
        <v>34.151400000000002</v>
      </c>
      <c r="AA97" s="39"/>
      <c r="AB97" s="49">
        <v>6.6559999999999997</v>
      </c>
      <c r="AC97" s="49">
        <v>5.2030000000000003</v>
      </c>
      <c r="AE97" s="17" t="str">
        <f t="shared" si="30"/>
        <v>·</v>
      </c>
      <c r="AF97" s="18">
        <f t="shared" si="31"/>
        <v>4.88229511359269</v>
      </c>
      <c r="AG97" s="18">
        <f t="shared" si="32"/>
        <v>3.8442702874789405</v>
      </c>
      <c r="AH97" s="18">
        <f t="shared" si="33"/>
        <v>1.0377749356906996</v>
      </c>
      <c r="AI97" s="19"/>
      <c r="AJ97" s="18">
        <f t="shared" si="34"/>
        <v>4.88229511359269</v>
      </c>
      <c r="AK97" s="20">
        <v>4001754</v>
      </c>
      <c r="AL97" s="21">
        <v>19537744</v>
      </c>
      <c r="AM97" s="21">
        <v>15383824</v>
      </c>
      <c r="AN97" s="21">
        <v>4152920</v>
      </c>
      <c r="AO97" s="37"/>
      <c r="AP97" s="38">
        <v>40.816099999999999</v>
      </c>
      <c r="AQ97" s="38">
        <v>48.114899999999999</v>
      </c>
      <c r="AR97" s="38">
        <v>48.241999999999997</v>
      </c>
      <c r="AS97" s="39"/>
      <c r="AT97" s="38">
        <v>34.151400000000002</v>
      </c>
      <c r="AU97" s="38">
        <v>34.151400000000002</v>
      </c>
      <c r="AV97" s="38">
        <v>34.151400000000002</v>
      </c>
      <c r="AW97" s="39"/>
      <c r="AX97" s="49">
        <v>6.609</v>
      </c>
      <c r="AY97" s="49">
        <v>5.14</v>
      </c>
      <c r="BA97" s="53">
        <f t="shared" si="35"/>
        <v>8.1560709128680742E-5</v>
      </c>
      <c r="BB97" s="53"/>
      <c r="BD97" s="54"/>
      <c r="BE97" s="54"/>
      <c r="BF97" s="54"/>
      <c r="BG97" s="61"/>
      <c r="BI97" s="54"/>
      <c r="BJ97" s="54"/>
      <c r="BK97" s="54"/>
      <c r="BL97" s="61"/>
      <c r="BN97" s="54"/>
      <c r="BO97" s="54"/>
      <c r="BP97" s="54"/>
      <c r="BQ97" s="61"/>
      <c r="BS97" s="54"/>
      <c r="BT97" s="54"/>
      <c r="BU97" s="54"/>
      <c r="BV97" s="61"/>
      <c r="BX97">
        <f t="shared" si="36"/>
        <v>0</v>
      </c>
      <c r="BY97">
        <f t="shared" si="37"/>
        <v>-2024</v>
      </c>
      <c r="BZ97">
        <f t="shared" si="38"/>
        <v>0</v>
      </c>
      <c r="CA97">
        <f t="shared" si="39"/>
        <v>-2024</v>
      </c>
      <c r="CB97">
        <f t="shared" si="40"/>
        <v>0</v>
      </c>
      <c r="CC97">
        <f t="shared" si="41"/>
        <v>-2.8000000000005798E-3</v>
      </c>
      <c r="CD97">
        <f t="shared" si="42"/>
        <v>2.2199999999997999E-2</v>
      </c>
      <c r="CE97">
        <f t="shared" si="43"/>
        <v>4.0900000000000603E-2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4.3265887908152276</v>
      </c>
      <c r="K98" s="23">
        <f t="shared" si="27"/>
        <v>3.8442702874789405</v>
      </c>
      <c r="L98" s="23">
        <f t="shared" si="28"/>
        <v>0.48206861291323755</v>
      </c>
      <c r="M98" s="24"/>
      <c r="N98" s="23">
        <f t="shared" si="29"/>
        <v>4.3265887908152276</v>
      </c>
      <c r="O98" s="25">
        <v>4001754</v>
      </c>
      <c r="P98" s="26">
        <v>17313944</v>
      </c>
      <c r="Q98" s="26">
        <v>15383824</v>
      </c>
      <c r="R98" s="26">
        <v>1929120</v>
      </c>
      <c r="S98" s="40"/>
      <c r="T98" s="41">
        <v>35.403799999999997</v>
      </c>
      <c r="U98" s="41">
        <v>43.645499999999998</v>
      </c>
      <c r="V98" s="41">
        <v>43.580399999999997</v>
      </c>
      <c r="W98" s="42"/>
      <c r="X98" s="41">
        <v>28.130800000000001</v>
      </c>
      <c r="Y98" s="41">
        <v>28.130800000000001</v>
      </c>
      <c r="Z98" s="41">
        <v>28.130800000000001</v>
      </c>
      <c r="AA98" s="42"/>
      <c r="AB98" s="50">
        <v>6.5460000000000003</v>
      </c>
      <c r="AC98" s="50">
        <v>5.125</v>
      </c>
      <c r="AE98" s="22" t="str">
        <f t="shared" si="30"/>
        <v>·</v>
      </c>
      <c r="AF98" s="23">
        <f t="shared" si="31"/>
        <v>4.3258571116565383</v>
      </c>
      <c r="AG98" s="23">
        <f t="shared" si="32"/>
        <v>3.8442702874789405</v>
      </c>
      <c r="AH98" s="23">
        <f t="shared" si="33"/>
        <v>0.48133693375454861</v>
      </c>
      <c r="AI98" s="24"/>
      <c r="AJ98" s="23">
        <f t="shared" si="34"/>
        <v>4.3258571116565383</v>
      </c>
      <c r="AK98" s="25">
        <v>4001754</v>
      </c>
      <c r="AL98" s="26">
        <v>17311016</v>
      </c>
      <c r="AM98" s="26">
        <v>15383824</v>
      </c>
      <c r="AN98" s="26">
        <v>1926192</v>
      </c>
      <c r="AO98" s="40"/>
      <c r="AP98" s="41">
        <v>35.404899999999998</v>
      </c>
      <c r="AQ98" s="41">
        <v>43.608699999999999</v>
      </c>
      <c r="AR98" s="41">
        <v>43.623600000000003</v>
      </c>
      <c r="AS98" s="42"/>
      <c r="AT98" s="41">
        <v>28.130800000000001</v>
      </c>
      <c r="AU98" s="41">
        <v>28.130800000000001</v>
      </c>
      <c r="AV98" s="41">
        <v>28.130800000000001</v>
      </c>
      <c r="AW98" s="42"/>
      <c r="AX98" s="50">
        <v>6.609</v>
      </c>
      <c r="AY98" s="50">
        <v>5.2030000000000003</v>
      </c>
      <c r="BA98" s="55">
        <f t="shared" si="35"/>
        <v>1.5028540594919093E-4</v>
      </c>
      <c r="BB98" s="55"/>
      <c r="BD98" s="56"/>
      <c r="BE98" s="56"/>
      <c r="BF98" s="56"/>
      <c r="BG98" s="62"/>
      <c r="BI98" s="56"/>
      <c r="BJ98" s="56"/>
      <c r="BK98" s="56"/>
      <c r="BL98" s="62"/>
      <c r="BN98" s="56"/>
      <c r="BO98" s="56"/>
      <c r="BP98" s="56"/>
      <c r="BQ98" s="62"/>
      <c r="BS98" s="56"/>
      <c r="BT98" s="56"/>
      <c r="BU98" s="56"/>
      <c r="BV98" s="62"/>
      <c r="BX98">
        <f t="shared" si="36"/>
        <v>0</v>
      </c>
      <c r="BY98">
        <f t="shared" si="37"/>
        <v>-2928</v>
      </c>
      <c r="BZ98">
        <f t="shared" si="38"/>
        <v>0</v>
      </c>
      <c r="CA98">
        <f t="shared" si="39"/>
        <v>-2928</v>
      </c>
      <c r="CB98">
        <f t="shared" si="40"/>
        <v>0</v>
      </c>
      <c r="CC98">
        <f t="shared" si="41"/>
        <v>1.1000000000009891E-3</v>
      </c>
      <c r="CD98">
        <f t="shared" si="42"/>
        <v>-3.67999999999995E-2</v>
      </c>
      <c r="CE98">
        <f t="shared" si="43"/>
        <v>4.32000000000059E-2</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3.9958178338798436</v>
      </c>
      <c r="K99" s="28">
        <f t="shared" si="27"/>
        <v>3.8442702874789405</v>
      </c>
      <c r="L99" s="28">
        <f t="shared" si="28"/>
        <v>0.15129765597785372</v>
      </c>
      <c r="M99" s="29"/>
      <c r="N99" s="28">
        <f t="shared" si="29"/>
        <v>3.9958178338798436</v>
      </c>
      <c r="O99" s="30">
        <v>4001754</v>
      </c>
      <c r="P99" s="31">
        <v>15990280</v>
      </c>
      <c r="Q99" s="31">
        <v>15383824</v>
      </c>
      <c r="R99" s="31">
        <v>605456</v>
      </c>
      <c r="S99" s="43"/>
      <c r="T99" s="44">
        <v>29.3428</v>
      </c>
      <c r="U99" s="44">
        <v>39.556399999999996</v>
      </c>
      <c r="V99" s="44">
        <v>38.459299999999999</v>
      </c>
      <c r="W99" s="45"/>
      <c r="X99" s="44">
        <v>21.686399999999999</v>
      </c>
      <c r="Y99" s="44">
        <v>21.686399999999999</v>
      </c>
      <c r="Z99" s="44">
        <v>21.686399999999999</v>
      </c>
      <c r="AA99" s="45"/>
      <c r="AB99" s="51">
        <v>6.4210000000000003</v>
      </c>
      <c r="AC99" s="51">
        <v>5.1559999999999997</v>
      </c>
      <c r="AE99" s="27" t="str">
        <f t="shared" si="30"/>
        <v>·</v>
      </c>
      <c r="AF99" s="28">
        <f t="shared" si="31"/>
        <v>3.9951441292993022</v>
      </c>
      <c r="AG99" s="28">
        <f t="shared" si="32"/>
        <v>3.8442702874789405</v>
      </c>
      <c r="AH99" s="28">
        <f t="shared" si="33"/>
        <v>0.15062395139731227</v>
      </c>
      <c r="AI99" s="29"/>
      <c r="AJ99" s="28">
        <f t="shared" si="34"/>
        <v>3.9951441292993022</v>
      </c>
      <c r="AK99" s="30">
        <v>4001754</v>
      </c>
      <c r="AL99" s="31">
        <v>15987584</v>
      </c>
      <c r="AM99" s="31">
        <v>15383824</v>
      </c>
      <c r="AN99" s="31">
        <v>602760</v>
      </c>
      <c r="AO99" s="43"/>
      <c r="AP99" s="44">
        <v>29.325600000000001</v>
      </c>
      <c r="AQ99" s="44">
        <v>39.485199999999999</v>
      </c>
      <c r="AR99" s="44">
        <v>38.643000000000001</v>
      </c>
      <c r="AS99" s="45"/>
      <c r="AT99" s="44">
        <v>21.686399999999999</v>
      </c>
      <c r="AU99" s="44">
        <v>21.686399999999999</v>
      </c>
      <c r="AV99" s="44">
        <v>21.686399999999999</v>
      </c>
      <c r="AW99" s="45"/>
      <c r="AX99" s="51">
        <v>6.5149999999999997</v>
      </c>
      <c r="AY99" s="51">
        <v>5.125</v>
      </c>
      <c r="BA99" s="57">
        <f t="shared" si="35"/>
        <v>1.6223527251857384E-4</v>
      </c>
      <c r="BB99" s="57"/>
      <c r="BD99" s="58"/>
      <c r="BE99" s="58"/>
      <c r="BF99" s="58"/>
      <c r="BG99" s="63"/>
      <c r="BI99" s="58"/>
      <c r="BJ99" s="58"/>
      <c r="BK99" s="58"/>
      <c r="BL99" s="63"/>
      <c r="BN99" s="58"/>
      <c r="BO99" s="58"/>
      <c r="BP99" s="58"/>
      <c r="BQ99" s="63"/>
      <c r="BS99" s="58"/>
      <c r="BT99" s="58"/>
      <c r="BU99" s="58"/>
      <c r="BV99" s="63"/>
      <c r="BX99">
        <f t="shared" si="36"/>
        <v>0</v>
      </c>
      <c r="BY99">
        <f t="shared" si="37"/>
        <v>-2696</v>
      </c>
      <c r="BZ99">
        <f t="shared" si="38"/>
        <v>0</v>
      </c>
      <c r="CA99">
        <f t="shared" si="39"/>
        <v>-2696</v>
      </c>
      <c r="CB99">
        <f t="shared" si="40"/>
        <v>0</v>
      </c>
      <c r="CC99">
        <f t="shared" si="41"/>
        <v>-1.7199999999998994E-2</v>
      </c>
      <c r="CD99">
        <f t="shared" si="42"/>
        <v>-7.1199999999997488E-2</v>
      </c>
      <c r="CE99">
        <f t="shared" si="43"/>
        <v>0.18370000000000175</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5.2041050747825484</v>
      </c>
      <c r="K100" s="23">
        <f t="shared" si="27"/>
        <v>1.0349474929092244</v>
      </c>
      <c r="L100" s="23">
        <f t="shared" si="28"/>
        <v>4.168665428325089</v>
      </c>
      <c r="M100" s="24"/>
      <c r="N100" s="23">
        <f t="shared" si="29"/>
        <v>5.2041050747825484</v>
      </c>
      <c r="O100" s="25">
        <v>1089091</v>
      </c>
      <c r="P100" s="26">
        <v>5667744</v>
      </c>
      <c r="Q100" s="26">
        <v>1127152</v>
      </c>
      <c r="R100" s="26">
        <v>4540056</v>
      </c>
      <c r="S100" s="40"/>
      <c r="T100" s="41">
        <v>52.471699999999998</v>
      </c>
      <c r="U100" s="41">
        <v>56.986600000000003</v>
      </c>
      <c r="V100" s="41">
        <v>56.625700000000002</v>
      </c>
      <c r="W100" s="42"/>
      <c r="X100" s="41">
        <v>48.130800000000001</v>
      </c>
      <c r="Y100" s="41">
        <v>48.130800000000001</v>
      </c>
      <c r="Z100" s="41">
        <v>48.130800000000001</v>
      </c>
      <c r="AA100" s="42"/>
      <c r="AB100" s="50">
        <v>1.359</v>
      </c>
      <c r="AC100" s="50">
        <v>1.0309999999999999</v>
      </c>
      <c r="AE100" s="22" t="str">
        <f t="shared" si="30"/>
        <v>·</v>
      </c>
      <c r="AF100" s="23">
        <f t="shared" si="31"/>
        <v>5.2048249411665326</v>
      </c>
      <c r="AG100" s="23">
        <f t="shared" si="32"/>
        <v>1.0349474929092244</v>
      </c>
      <c r="AH100" s="23">
        <f t="shared" si="33"/>
        <v>4.1693852947090742</v>
      </c>
      <c r="AI100" s="24"/>
      <c r="AJ100" s="23">
        <f t="shared" si="34"/>
        <v>5.2048249411665326</v>
      </c>
      <c r="AK100" s="25">
        <v>1089091</v>
      </c>
      <c r="AL100" s="26">
        <v>5668528</v>
      </c>
      <c r="AM100" s="26">
        <v>1127152</v>
      </c>
      <c r="AN100" s="26">
        <v>4540840</v>
      </c>
      <c r="AO100" s="40"/>
      <c r="AP100" s="41">
        <v>52.473100000000002</v>
      </c>
      <c r="AQ100" s="41">
        <v>56.994599999999998</v>
      </c>
      <c r="AR100" s="41">
        <v>56.636000000000003</v>
      </c>
      <c r="AS100" s="42"/>
      <c r="AT100" s="41">
        <v>48.130800000000001</v>
      </c>
      <c r="AU100" s="41">
        <v>48.130800000000001</v>
      </c>
      <c r="AV100" s="41">
        <v>48.130800000000001</v>
      </c>
      <c r="AW100" s="42"/>
      <c r="AX100" s="50">
        <v>1.3280000000000001</v>
      </c>
      <c r="AY100" s="50">
        <v>1.0149999999999999</v>
      </c>
      <c r="BA100" s="55">
        <f t="shared" si="35"/>
        <v>-2.7505403895150549E-5</v>
      </c>
      <c r="BB100" s="55">
        <f t="array" ref="BB100">AVERAGE(AM100:AM104/AL100:AL104)-AVERAGE(Q100:Q104/P100:P104)</f>
        <v>3.9962435268159346E-4</v>
      </c>
      <c r="BD100" s="56">
        <f>IF(OR(ISBLANK(R100:R104),ISBLANK(AN100:AN104),ISBLANK(T100:T104),ISBLANK(AP100:AP104)),"·",bdRateExtend(R100:R104,T100:T104,AN100:AN104,AP100:AP104))</f>
        <v>-1.461926153881854E-3</v>
      </c>
      <c r="BE100" s="56">
        <f>IF(OR(ISBLANK(R100:R104),ISBLANK(AN100:AN104),ISBLANK(U100:U104),ISBLANK(AQ100:AQ104)),"·",bdRateExtend(R100:R104,U100:U104,AN100:AN104,AQ100:AQ104))</f>
        <v>5.1372266267488698E-3</v>
      </c>
      <c r="BF100" s="56">
        <f>IF(OR(ISBLANK(R100:R104),ISBLANK(AN100:AN104),ISBLANK(V100:V104),ISBLANK(AR100:AR104)),"·",bdRateExtend(R100:R104,V100:V104,AN100:AN104,AR100:AR104))</f>
        <v>-1.4085186746157885E-2</v>
      </c>
      <c r="BG100" s="62"/>
      <c r="BI100" s="56">
        <f>IF(OR(ISBLANK(R100:R104),ISBLANK(AN100:AN104),ISBLANK(X100:X104),ISBLANK(AT100:AT104)),"·",bdRateExtend(R100:R104,X100:X104,AN100:AN104,AT100:AT104))</f>
        <v>-1.1845598855536599E-3</v>
      </c>
      <c r="BJ100" s="56">
        <f>IF(OR(ISBLANK(R100:R104),ISBLANK(AN100:AN104),ISBLANK(Y100:Y104),ISBLANK(AU100:AU104)),"·",bdRateExtend(R100:R104,Y100:Y104,AN100:AN104,AU100:AU104))</f>
        <v>-1.1845598855536599E-3</v>
      </c>
      <c r="BK100" s="56">
        <f>IF(OR(ISBLANK(R100:R104),ISBLANK(AN100:AN104),ISBLANK(Z100:Z104),ISBLANK(AV100:AV104)),"·",bdRateExtend(R100:R104,Z100:Z104,AN100:AN104,AV100:AV104))</f>
        <v>-1.1845598855536599E-3</v>
      </c>
      <c r="BL100" s="62"/>
      <c r="BN100" s="56">
        <f>IF(OR(ISBLANK(P100:P104),ISBLANK(AL100:AL104),ISBLANK(T100:T104),ISBLANK(AP100:AP104)),"·",bdRateExtend(P100:P104,T100:T104,AL100:AL104,AP100:AP104))</f>
        <v>-4.066636905173393E-4</v>
      </c>
      <c r="BO100" s="56">
        <f>IF(OR(ISBLANK(P100:P104),ISBLANK(AL100:AL104),ISBLANK(U100:U104),ISBLANK(AQ100:AQ104)),"·",bdRateExtend(P100:P104,U100:U104,AL100:AL104,AQ100:AQ104))</f>
        <v>2.1398856472616412E-3</v>
      </c>
      <c r="BP100" s="56">
        <f>IF(OR(ISBLANK(P100:P104),ISBLANK(AL100:AL104),ISBLANK(V100:V104),ISBLANK(AR100:AR104)),"·",bdRateExtend(P100:P104,V100:V104,AL100:AL104,AR100:AR104))</f>
        <v>-4.0124738644746749E-3</v>
      </c>
      <c r="BQ100" s="62"/>
      <c r="BS100" s="56">
        <f>IF(OR(ISBLANK(P100:P104),ISBLANK(AL100:AL104),ISBLANK(X100:X104),ISBLANK(AT100:AT104)),"·",bdRateExtend(P100:P104,X100:X104,AL100:AL104,AT100:AT104))</f>
        <v>-3.3122665898077663E-4</v>
      </c>
      <c r="BT100" s="56">
        <f>IF(OR(ISBLANK(P100:P104),ISBLANK(AL100:AL104),ISBLANK(Y100:Y104),ISBLANK(AU100:AU104)),"·",bdRateExtend(P100:P104,Y100:Y104,AL100:AL104,AU100:AU104))</f>
        <v>-3.3122665898077663E-4</v>
      </c>
      <c r="BU100" s="56">
        <f>IF(OR(ISBLANK(P100:P104),ISBLANK(AL100:AL104),ISBLANK(Z100:Z104),ISBLANK(AV100:AV104)),"·",bdRateExtend(P100:P104,Z100:Z104,AL100:AL104,AV100:AV104))</f>
        <v>-3.3122665898077663E-4</v>
      </c>
      <c r="BV100" s="62"/>
      <c r="BX100">
        <f t="shared" si="36"/>
        <v>0</v>
      </c>
      <c r="BY100">
        <f t="shared" si="37"/>
        <v>784</v>
      </c>
      <c r="BZ100">
        <f t="shared" si="38"/>
        <v>0</v>
      </c>
      <c r="CA100">
        <f t="shared" si="39"/>
        <v>784</v>
      </c>
      <c r="CB100">
        <f t="shared" si="40"/>
        <v>0</v>
      </c>
      <c r="CC100">
        <f t="shared" si="41"/>
        <v>1.4000000000038426E-3</v>
      </c>
      <c r="CD100">
        <f t="shared" si="42"/>
        <v>7.9999999999955662E-3</v>
      </c>
      <c r="CE100">
        <f t="shared" si="43"/>
        <v>1.0300000000000864E-2</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3.9464030094822196</v>
      </c>
      <c r="K101" s="18">
        <f t="shared" si="27"/>
        <v>1.0349474929092244</v>
      </c>
      <c r="L101" s="18">
        <f t="shared" si="28"/>
        <v>2.9109633630247611</v>
      </c>
      <c r="M101" s="19"/>
      <c r="N101" s="18">
        <f t="shared" si="29"/>
        <v>3.9464030094822196</v>
      </c>
      <c r="O101" s="20">
        <v>1089091</v>
      </c>
      <c r="P101" s="21">
        <v>4297992</v>
      </c>
      <c r="Q101" s="21">
        <v>1127152</v>
      </c>
      <c r="R101" s="21">
        <v>3170304</v>
      </c>
      <c r="S101" s="37"/>
      <c r="T101" s="38">
        <v>47.6556</v>
      </c>
      <c r="U101" s="38">
        <v>52.649000000000001</v>
      </c>
      <c r="V101" s="38">
        <v>52.592399999999998</v>
      </c>
      <c r="W101" s="39"/>
      <c r="X101" s="38">
        <v>42.110199999999999</v>
      </c>
      <c r="Y101" s="38">
        <v>42.110199999999999</v>
      </c>
      <c r="Z101" s="38">
        <v>42.110199999999999</v>
      </c>
      <c r="AA101" s="39"/>
      <c r="AB101" s="49">
        <v>1.296</v>
      </c>
      <c r="AC101" s="49">
        <v>1</v>
      </c>
      <c r="AE101" s="17" t="str">
        <f t="shared" si="30"/>
        <v>·</v>
      </c>
      <c r="AF101" s="18">
        <f t="shared" si="31"/>
        <v>3.9450367324677185</v>
      </c>
      <c r="AG101" s="18">
        <f t="shared" si="32"/>
        <v>1.0349474929092244</v>
      </c>
      <c r="AH101" s="18">
        <f t="shared" si="33"/>
        <v>2.90959708601026</v>
      </c>
      <c r="AI101" s="19"/>
      <c r="AJ101" s="18">
        <f t="shared" si="34"/>
        <v>3.9450367324677185</v>
      </c>
      <c r="AK101" s="20">
        <v>1089091</v>
      </c>
      <c r="AL101" s="21">
        <v>4296504</v>
      </c>
      <c r="AM101" s="21">
        <v>1127152</v>
      </c>
      <c r="AN101" s="21">
        <v>3168816</v>
      </c>
      <c r="AO101" s="37"/>
      <c r="AP101" s="38">
        <v>47.655799999999999</v>
      </c>
      <c r="AQ101" s="38">
        <v>52.638800000000003</v>
      </c>
      <c r="AR101" s="38">
        <v>52.598500000000001</v>
      </c>
      <c r="AS101" s="39"/>
      <c r="AT101" s="38">
        <v>42.110199999999999</v>
      </c>
      <c r="AU101" s="38">
        <v>42.110199999999999</v>
      </c>
      <c r="AV101" s="38">
        <v>42.110199999999999</v>
      </c>
      <c r="AW101" s="39"/>
      <c r="AX101" s="49">
        <v>1.375</v>
      </c>
      <c r="AY101" s="49">
        <v>1.0149999999999999</v>
      </c>
      <c r="BA101" s="53">
        <f t="shared" si="35"/>
        <v>9.082483006117581E-5</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-1488</v>
      </c>
      <c r="BZ101">
        <f t="shared" si="38"/>
        <v>0</v>
      </c>
      <c r="CA101">
        <f t="shared" si="39"/>
        <v>-1488</v>
      </c>
      <c r="CB101">
        <f t="shared" si="40"/>
        <v>0</v>
      </c>
      <c r="CC101">
        <f t="shared" si="41"/>
        <v>1.9999999999953388E-4</v>
      </c>
      <c r="CD101">
        <f t="shared" si="42"/>
        <v>-1.0199999999997544E-2</v>
      </c>
      <c r="CE101">
        <f t="shared" si="43"/>
        <v>6.100000000003547E-3</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2.5826455273250812</v>
      </c>
      <c r="K102" s="23">
        <f t="shared" si="27"/>
        <v>1.0349474929092244</v>
      </c>
      <c r="L102" s="23">
        <f t="shared" si="28"/>
        <v>1.5472058808676226</v>
      </c>
      <c r="M102" s="24"/>
      <c r="N102" s="23">
        <f t="shared" si="29"/>
        <v>2.5826455273250812</v>
      </c>
      <c r="O102" s="25">
        <v>1089091</v>
      </c>
      <c r="P102" s="26">
        <v>2812736</v>
      </c>
      <c r="Q102" s="26">
        <v>1127152</v>
      </c>
      <c r="R102" s="26">
        <v>1685048</v>
      </c>
      <c r="S102" s="40"/>
      <c r="T102" s="41">
        <v>40.611600000000003</v>
      </c>
      <c r="U102" s="41">
        <v>47.760599999999997</v>
      </c>
      <c r="V102" s="41">
        <v>47.889499999999998</v>
      </c>
      <c r="W102" s="42"/>
      <c r="X102" s="41">
        <v>34.151400000000002</v>
      </c>
      <c r="Y102" s="41">
        <v>34.151400000000002</v>
      </c>
      <c r="Z102" s="41">
        <v>34.151400000000002</v>
      </c>
      <c r="AA102" s="42"/>
      <c r="AB102" s="50">
        <v>1.25</v>
      </c>
      <c r="AC102" s="50">
        <v>0.98399999999999999</v>
      </c>
      <c r="AE102" s="22" t="str">
        <f t="shared" si="30"/>
        <v>·</v>
      </c>
      <c r="AF102" s="23">
        <f t="shared" si="31"/>
        <v>2.5824912702427989</v>
      </c>
      <c r="AG102" s="23">
        <f t="shared" si="32"/>
        <v>1.0349474929092244</v>
      </c>
      <c r="AH102" s="23">
        <f t="shared" si="33"/>
        <v>1.5470516237853402</v>
      </c>
      <c r="AI102" s="24"/>
      <c r="AJ102" s="23">
        <f t="shared" si="34"/>
        <v>2.5824912702427989</v>
      </c>
      <c r="AK102" s="25">
        <v>1089091</v>
      </c>
      <c r="AL102" s="26">
        <v>2812568</v>
      </c>
      <c r="AM102" s="26">
        <v>1127152</v>
      </c>
      <c r="AN102" s="26">
        <v>1684880</v>
      </c>
      <c r="AO102" s="40"/>
      <c r="AP102" s="41">
        <v>40.613700000000001</v>
      </c>
      <c r="AQ102" s="41">
        <v>47.7194</v>
      </c>
      <c r="AR102" s="41">
        <v>47.898800000000001</v>
      </c>
      <c r="AS102" s="42"/>
      <c r="AT102" s="41">
        <v>34.151400000000002</v>
      </c>
      <c r="AU102" s="41">
        <v>34.151400000000002</v>
      </c>
      <c r="AV102" s="41">
        <v>34.151400000000002</v>
      </c>
      <c r="AW102" s="42"/>
      <c r="AX102" s="50">
        <v>1.2809999999999999</v>
      </c>
      <c r="AY102" s="50">
        <v>1</v>
      </c>
      <c r="BA102" s="55">
        <f t="shared" si="35"/>
        <v>2.3936451312156493E-5</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-168</v>
      </c>
      <c r="BZ102">
        <f t="shared" si="38"/>
        <v>0</v>
      </c>
      <c r="CA102">
        <f t="shared" si="39"/>
        <v>-168</v>
      </c>
      <c r="CB102">
        <f t="shared" si="40"/>
        <v>0</v>
      </c>
      <c r="CC102">
        <f t="shared" si="41"/>
        <v>2.0999999999986585E-3</v>
      </c>
      <c r="CD102">
        <f t="shared" si="42"/>
        <v>-4.1199999999996351E-2</v>
      </c>
      <c r="CE102">
        <f t="shared" si="43"/>
        <v>9.3000000000031946E-3</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1.833999179131955</v>
      </c>
      <c r="K103" s="18">
        <f t="shared" si="27"/>
        <v>1.0349474929092244</v>
      </c>
      <c r="L103" s="18">
        <f t="shared" si="28"/>
        <v>0.79855953267449642</v>
      </c>
      <c r="M103" s="19"/>
      <c r="N103" s="18">
        <f t="shared" si="29"/>
        <v>1.833999179131955</v>
      </c>
      <c r="O103" s="20">
        <v>1089091</v>
      </c>
      <c r="P103" s="21">
        <v>1997392</v>
      </c>
      <c r="Q103" s="21">
        <v>1127152</v>
      </c>
      <c r="R103" s="21">
        <v>869704</v>
      </c>
      <c r="S103" s="37"/>
      <c r="T103" s="38">
        <v>35.152799999999999</v>
      </c>
      <c r="U103" s="38">
        <v>43.262599999999999</v>
      </c>
      <c r="V103" s="38">
        <v>43.395699999999998</v>
      </c>
      <c r="W103" s="39"/>
      <c r="X103" s="38">
        <v>28.130800000000001</v>
      </c>
      <c r="Y103" s="38">
        <v>28.130800000000001</v>
      </c>
      <c r="Z103" s="38">
        <v>28.130800000000001</v>
      </c>
      <c r="AA103" s="39"/>
      <c r="AB103" s="49">
        <v>1.2809999999999999</v>
      </c>
      <c r="AC103" s="49">
        <v>0.96799999999999997</v>
      </c>
      <c r="AE103" s="17" t="str">
        <f t="shared" si="30"/>
        <v>·</v>
      </c>
      <c r="AF103" s="18">
        <f t="shared" si="31"/>
        <v>1.8340432525840358</v>
      </c>
      <c r="AG103" s="18">
        <f t="shared" si="32"/>
        <v>1.0349474929092244</v>
      </c>
      <c r="AH103" s="18">
        <f t="shared" si="33"/>
        <v>0.7986036061265771</v>
      </c>
      <c r="AI103" s="19"/>
      <c r="AJ103" s="18">
        <f t="shared" si="34"/>
        <v>1.8340432525840358</v>
      </c>
      <c r="AK103" s="20">
        <v>1089091</v>
      </c>
      <c r="AL103" s="21">
        <v>1997440</v>
      </c>
      <c r="AM103" s="21">
        <v>1127152</v>
      </c>
      <c r="AN103" s="21">
        <v>869752</v>
      </c>
      <c r="AO103" s="37"/>
      <c r="AP103" s="38">
        <v>35.149900000000002</v>
      </c>
      <c r="AQ103" s="38">
        <v>43.237099999999998</v>
      </c>
      <c r="AR103" s="38">
        <v>43.411799999999999</v>
      </c>
      <c r="AS103" s="39"/>
      <c r="AT103" s="38">
        <v>28.130800000000001</v>
      </c>
      <c r="AU103" s="38">
        <v>28.130800000000001</v>
      </c>
      <c r="AV103" s="38">
        <v>28.130800000000001</v>
      </c>
      <c r="AW103" s="39"/>
      <c r="AX103" s="49">
        <v>1.2649999999999999</v>
      </c>
      <c r="AY103" s="49">
        <v>1.0149999999999999</v>
      </c>
      <c r="BA103" s="53">
        <f t="shared" si="35"/>
        <v>-1.3560842582638344E-5</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48</v>
      </c>
      <c r="BZ103">
        <f t="shared" si="38"/>
        <v>0</v>
      </c>
      <c r="CA103">
        <f t="shared" si="39"/>
        <v>48</v>
      </c>
      <c r="CB103">
        <f t="shared" si="40"/>
        <v>0</v>
      </c>
      <c r="CC103">
        <f t="shared" si="41"/>
        <v>-2.899999999996794E-3</v>
      </c>
      <c r="CD103">
        <f t="shared" si="42"/>
        <v>-2.5500000000000966E-2</v>
      </c>
      <c r="CE103">
        <f t="shared" si="43"/>
        <v>1.6100000000001558E-2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1.3230189212838963</v>
      </c>
      <c r="K104" s="33">
        <f t="shared" si="27"/>
        <v>1.0349474929092244</v>
      </c>
      <c r="L104" s="33">
        <f t="shared" si="28"/>
        <v>0.2875792748264378</v>
      </c>
      <c r="M104" s="34"/>
      <c r="N104" s="33">
        <f t="shared" si="29"/>
        <v>1.3230189212838963</v>
      </c>
      <c r="O104" s="35">
        <v>1089091</v>
      </c>
      <c r="P104" s="36">
        <v>1440888</v>
      </c>
      <c r="Q104" s="36">
        <v>1127152</v>
      </c>
      <c r="R104" s="36">
        <v>313200</v>
      </c>
      <c r="S104" s="46"/>
      <c r="T104" s="47">
        <v>29.2103</v>
      </c>
      <c r="U104" s="47">
        <v>39.247100000000003</v>
      </c>
      <c r="V104" s="47">
        <v>38.035600000000002</v>
      </c>
      <c r="W104" s="48"/>
      <c r="X104" s="47">
        <v>21.686399999999999</v>
      </c>
      <c r="Y104" s="47">
        <v>21.686399999999999</v>
      </c>
      <c r="Z104" s="47">
        <v>21.686399999999999</v>
      </c>
      <c r="AA104" s="48"/>
      <c r="AB104" s="52">
        <v>1.3280000000000001</v>
      </c>
      <c r="AC104" s="52">
        <v>0.98399999999999999</v>
      </c>
      <c r="AE104" s="32" t="str">
        <f t="shared" si="30"/>
        <v>·</v>
      </c>
      <c r="AF104" s="33">
        <f t="shared" si="31"/>
        <v>1.3197721769806197</v>
      </c>
      <c r="AG104" s="33">
        <f t="shared" si="32"/>
        <v>1.0349474929092244</v>
      </c>
      <c r="AH104" s="33">
        <f t="shared" si="33"/>
        <v>0.28433253052316104</v>
      </c>
      <c r="AI104" s="34"/>
      <c r="AJ104" s="33">
        <f t="shared" si="34"/>
        <v>1.3197721769806197</v>
      </c>
      <c r="AK104" s="35">
        <v>1089091</v>
      </c>
      <c r="AL104" s="36">
        <v>1437352</v>
      </c>
      <c r="AM104" s="36">
        <v>1127152</v>
      </c>
      <c r="AN104" s="36">
        <v>309664</v>
      </c>
      <c r="AO104" s="46"/>
      <c r="AP104" s="47">
        <v>29.225200000000001</v>
      </c>
      <c r="AQ104" s="47">
        <v>39.123199999999997</v>
      </c>
      <c r="AR104" s="47">
        <v>38.572899999999997</v>
      </c>
      <c r="AS104" s="48"/>
      <c r="AT104" s="47">
        <v>21.686399999999999</v>
      </c>
      <c r="AU104" s="47">
        <v>21.686399999999999</v>
      </c>
      <c r="AV104" s="47">
        <v>21.686399999999999</v>
      </c>
      <c r="AW104" s="48"/>
      <c r="AX104" s="52">
        <v>1.2809999999999999</v>
      </c>
      <c r="AY104" s="52">
        <v>0.96799999999999997</v>
      </c>
      <c r="BA104" s="59">
        <f t="shared" si="35"/>
        <v>1.9244267285126737E-3</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-3536</v>
      </c>
      <c r="BZ104">
        <f t="shared" si="38"/>
        <v>0</v>
      </c>
      <c r="CA104">
        <f t="shared" si="39"/>
        <v>-3536</v>
      </c>
      <c r="CB104">
        <f t="shared" si="40"/>
        <v>0</v>
      </c>
      <c r="CC104">
        <f t="shared" si="41"/>
        <v>1.4900000000000801E-2</v>
      </c>
      <c r="CD104">
        <f t="shared" si="42"/>
        <v>-0.12390000000000612</v>
      </c>
      <c r="CE104">
        <f t="shared" si="43"/>
        <v>0.53729999999999478</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5.7046790715653719</v>
      </c>
      <c r="K105" s="18">
        <f t="shared" si="27"/>
        <v>1.0974786076994711</v>
      </c>
      <c r="L105" s="18">
        <f t="shared" si="28"/>
        <v>4.6068963314021563</v>
      </c>
      <c r="M105" s="19"/>
      <c r="N105" s="18">
        <f t="shared" si="29"/>
        <v>5.7046790715653719</v>
      </c>
      <c r="O105" s="20">
        <v>3130215</v>
      </c>
      <c r="P105" s="21">
        <v>17856872</v>
      </c>
      <c r="Q105" s="21">
        <v>3435344</v>
      </c>
      <c r="R105" s="21">
        <v>14420576</v>
      </c>
      <c r="S105" s="37"/>
      <c r="T105" s="38">
        <v>52.791800000000002</v>
      </c>
      <c r="U105" s="38">
        <v>55.278199999999998</v>
      </c>
      <c r="V105" s="38">
        <v>56.253999999999998</v>
      </c>
      <c r="W105" s="39"/>
      <c r="X105" s="38">
        <v>48.130800000000001</v>
      </c>
      <c r="Y105" s="38">
        <v>48.130800000000001</v>
      </c>
      <c r="Z105" s="38">
        <v>48.130800000000001</v>
      </c>
      <c r="AA105" s="39"/>
      <c r="AB105" s="49">
        <v>4.125</v>
      </c>
      <c r="AC105" s="49">
        <v>3.2029999999999998</v>
      </c>
      <c r="AE105" s="17" t="str">
        <f t="shared" si="30"/>
        <v>·</v>
      </c>
      <c r="AF105" s="18">
        <f t="shared" si="31"/>
        <v>5.7094250714407799</v>
      </c>
      <c r="AG105" s="18">
        <f t="shared" si="32"/>
        <v>1.0974786076994711</v>
      </c>
      <c r="AH105" s="18">
        <f t="shared" si="33"/>
        <v>4.6116423312775643</v>
      </c>
      <c r="AI105" s="19"/>
      <c r="AJ105" s="18">
        <f t="shared" si="34"/>
        <v>5.7094250714407799</v>
      </c>
      <c r="AK105" s="20">
        <v>3130215</v>
      </c>
      <c r="AL105" s="21">
        <v>17871728</v>
      </c>
      <c r="AM105" s="21">
        <v>3435344</v>
      </c>
      <c r="AN105" s="21">
        <v>14435432</v>
      </c>
      <c r="AO105" s="37"/>
      <c r="AP105" s="38">
        <v>52.805100000000003</v>
      </c>
      <c r="AQ105" s="38">
        <v>55.288499999999999</v>
      </c>
      <c r="AR105" s="38">
        <v>56.263599999999997</v>
      </c>
      <c r="AS105" s="39"/>
      <c r="AT105" s="38">
        <v>48.130800000000001</v>
      </c>
      <c r="AU105" s="38">
        <v>48.130800000000001</v>
      </c>
      <c r="AV105" s="38">
        <v>48.130800000000001</v>
      </c>
      <c r="AW105" s="39"/>
      <c r="AX105" s="49">
        <v>4.218</v>
      </c>
      <c r="AY105" s="49">
        <v>3.2650000000000001</v>
      </c>
      <c r="BA105" s="53">
        <f t="shared" si="35"/>
        <v>-1.5991904624884645E-4</v>
      </c>
      <c r="BB105" s="53">
        <f t="array" ref="BB105">AVERAGE(AM105:AM109/AL105:AL109)-AVERAGE(Q105:Q109/P105:P109)</f>
        <v>-2.866422173919414E-5</v>
      </c>
      <c r="BD105" s="54">
        <f>IF(OR(ISBLANK(R105:R109),ISBLANK(AN105:AN109),ISBLANK(T105:T109),ISBLANK(AP105:AP109)),"·",bdRateExtend(R105:R109,T105:T109,AN105:AN109,AP105:AP109))</f>
        <v>-3.8082260267304768E-3</v>
      </c>
      <c r="BE105" s="54">
        <f>IF(OR(ISBLANK(R105:R109),ISBLANK(AN105:AN109),ISBLANK(U105:U109),ISBLANK(AQ105:AQ109)),"·",bdRateExtend(R105:R109,U105:U109,AN105:AN109,AQ105:AQ109))</f>
        <v>-1.1577873085735324E-2</v>
      </c>
      <c r="BF105" s="54">
        <f>IF(OR(ISBLANK(R105:R109),ISBLANK(AN105:AN109),ISBLANK(V105:V109),ISBLANK(AR105:AR109)),"·",bdRateExtend(R105:R109,V105:V109,AN105:AN109,AR105:AR109))</f>
        <v>-3.146344862099304E-3</v>
      </c>
      <c r="BG105" s="61"/>
      <c r="BI105" s="54">
        <f>IF(OR(ISBLANK(R105:R109),ISBLANK(AN105:AN109),ISBLANK(X105:X109),ISBLANK(AT105:AT109)),"·",bdRateExtend(R105:R109,X105:X109,AN105:AN109,AT105:AT109))</f>
        <v>1.8737591047157665E-4</v>
      </c>
      <c r="BJ105" s="54">
        <f>IF(OR(ISBLANK(R105:R109),ISBLANK(AN105:AN109),ISBLANK(Y105:Y109),ISBLANK(AU105:AU109)),"·",bdRateExtend(R105:R109,Y105:Y109,AN105:AN109,AU105:AU109))</f>
        <v>1.8737591047157665E-4</v>
      </c>
      <c r="BK105" s="54">
        <f>IF(OR(ISBLANK(R105:R109),ISBLANK(AN105:AN109),ISBLANK(Z105:Z109),ISBLANK(AV105:AV109)),"·",bdRateExtend(R105:R109,Z105:Z109,AN105:AN109,AV105:AV109))</f>
        <v>1.8737591047157665E-4</v>
      </c>
      <c r="BL105" s="61"/>
      <c r="BN105" s="54">
        <f>IF(OR(ISBLANK(P105:P109),ISBLANK(AL105:AL109),ISBLANK(T105:T109),ISBLANK(AP105:AP109)),"·",bdRateExtend(P105:P109,T105:T109,AL105:AL109,AP105:AP109))</f>
        <v>-1.2788612457356185E-3</v>
      </c>
      <c r="BO105" s="54">
        <f>IF(OR(ISBLANK(P105:P109),ISBLANK(AL105:AL109),ISBLANK(U105:U109),ISBLANK(AQ105:AQ109)),"·",bdRateExtend(P105:P109,U105:U109,AL105:AL109,AQ105:AQ109))</f>
        <v>-4.8325175529393416E-3</v>
      </c>
      <c r="BP105" s="54">
        <f>IF(OR(ISBLANK(P105:P109),ISBLANK(AL105:AL109),ISBLANK(V105:V109),ISBLANK(AR105:AR109)),"·",bdRateExtend(P105:P109,V105:V109,AL105:AL109,AR105:AR109))</f>
        <v>-1.0157072946167522E-3</v>
      </c>
      <c r="BQ105" s="61"/>
      <c r="BS105" s="54">
        <f>IF(OR(ISBLANK(P105:P109),ISBLANK(AL105:AL109),ISBLANK(X105:X109),ISBLANK(AT105:AT109)),"·",bdRateExtend(P105:P109,X105:X109,AL105:AL109,AT105:AT109))</f>
        <v>2.246839173472015E-4</v>
      </c>
      <c r="BT105" s="54">
        <f>IF(OR(ISBLANK(P105:P109),ISBLANK(AL105:AL109),ISBLANK(Y105:Y109),ISBLANK(AU105:AU109)),"·",bdRateExtend(P105:P109,Y105:Y109,AL105:AL109,AU105:AU109))</f>
        <v>2.246839173472015E-4</v>
      </c>
      <c r="BU105" s="54">
        <f>IF(OR(ISBLANK(P105:P109),ISBLANK(AL105:AL109),ISBLANK(Z105:Z109),ISBLANK(AV105:AV109)),"·",bdRateExtend(P105:P109,Z105:Z109,AL105:AL109,AV105:AV109))</f>
        <v>2.246839173472015E-4</v>
      </c>
      <c r="BV105" s="61"/>
      <c r="BX105">
        <f t="shared" si="36"/>
        <v>0</v>
      </c>
      <c r="BY105">
        <f t="shared" si="37"/>
        <v>14856</v>
      </c>
      <c r="BZ105">
        <f t="shared" si="38"/>
        <v>0</v>
      </c>
      <c r="CA105">
        <f t="shared" si="39"/>
        <v>14856</v>
      </c>
      <c r="CB105">
        <f t="shared" si="40"/>
        <v>0</v>
      </c>
      <c r="CC105">
        <f t="shared" si="41"/>
        <v>1.3300000000000978E-2</v>
      </c>
      <c r="CD105">
        <f t="shared" si="42"/>
        <v>1.0300000000000864E-2</v>
      </c>
      <c r="CE105">
        <f t="shared" si="43"/>
        <v>9.5999999999989427E-3</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4.1638724496560142</v>
      </c>
      <c r="K106" s="23">
        <f t="shared" si="27"/>
        <v>1.0974786076994711</v>
      </c>
      <c r="L106" s="23">
        <f t="shared" si="28"/>
        <v>3.0660897094927986</v>
      </c>
      <c r="M106" s="24"/>
      <c r="N106" s="23">
        <f t="shared" si="29"/>
        <v>4.1638724496560142</v>
      </c>
      <c r="O106" s="25">
        <v>3130215</v>
      </c>
      <c r="P106" s="26">
        <v>13033816</v>
      </c>
      <c r="Q106" s="26">
        <v>3435344</v>
      </c>
      <c r="R106" s="26">
        <v>9597520</v>
      </c>
      <c r="S106" s="40"/>
      <c r="T106" s="41">
        <v>48.299500000000002</v>
      </c>
      <c r="U106" s="41">
        <v>51.708199999999998</v>
      </c>
      <c r="V106" s="41">
        <v>51.618899999999996</v>
      </c>
      <c r="W106" s="42"/>
      <c r="X106" s="41">
        <v>42.110199999999999</v>
      </c>
      <c r="Y106" s="41">
        <v>42.110199999999999</v>
      </c>
      <c r="Z106" s="41">
        <v>42.110199999999999</v>
      </c>
      <c r="AA106" s="42"/>
      <c r="AB106" s="50">
        <v>4.1399999999999997</v>
      </c>
      <c r="AC106" s="50">
        <v>3.0310000000000001</v>
      </c>
      <c r="AE106" s="22" t="str">
        <f t="shared" si="30"/>
        <v>·</v>
      </c>
      <c r="AF106" s="23">
        <f t="shared" si="31"/>
        <v>4.1652218777304437</v>
      </c>
      <c r="AG106" s="23">
        <f t="shared" si="32"/>
        <v>1.0974786076994711</v>
      </c>
      <c r="AH106" s="23">
        <f t="shared" si="33"/>
        <v>3.0674391375672276</v>
      </c>
      <c r="AI106" s="24"/>
      <c r="AJ106" s="23">
        <f t="shared" si="34"/>
        <v>4.1652218777304437</v>
      </c>
      <c r="AK106" s="25">
        <v>3130215</v>
      </c>
      <c r="AL106" s="26">
        <v>13038040</v>
      </c>
      <c r="AM106" s="26">
        <v>3435344</v>
      </c>
      <c r="AN106" s="26">
        <v>9601744</v>
      </c>
      <c r="AO106" s="40"/>
      <c r="AP106" s="41">
        <v>48.296300000000002</v>
      </c>
      <c r="AQ106" s="41">
        <v>51.737099999999998</v>
      </c>
      <c r="AR106" s="41">
        <v>51.633600000000001</v>
      </c>
      <c r="AS106" s="42"/>
      <c r="AT106" s="41">
        <v>42.110199999999999</v>
      </c>
      <c r="AU106" s="41">
        <v>42.110199999999999</v>
      </c>
      <c r="AV106" s="41">
        <v>42.110199999999999</v>
      </c>
      <c r="AW106" s="42"/>
      <c r="AX106" s="50">
        <v>4.2649999999999997</v>
      </c>
      <c r="AY106" s="50">
        <v>3.125</v>
      </c>
      <c r="BA106" s="55">
        <f t="shared" si="35"/>
        <v>-8.5390635675253179E-5</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4224</v>
      </c>
      <c r="BZ106">
        <f t="shared" si="38"/>
        <v>0</v>
      </c>
      <c r="CA106">
        <f t="shared" si="39"/>
        <v>4224</v>
      </c>
      <c r="CB106">
        <f t="shared" si="40"/>
        <v>0</v>
      </c>
      <c r="CC106">
        <f t="shared" si="41"/>
        <v>-3.1999999999996476E-3</v>
      </c>
      <c r="CD106">
        <f t="shared" si="42"/>
        <v>2.8900000000000148E-2</v>
      </c>
      <c r="CE106">
        <f t="shared" si="43"/>
        <v>1.470000000000482E-2</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2.7546682895583849</v>
      </c>
      <c r="K107" s="18">
        <f t="shared" si="27"/>
        <v>1.0974786076994711</v>
      </c>
      <c r="L107" s="18">
        <f t="shared" si="28"/>
        <v>1.6568855493951693</v>
      </c>
      <c r="M107" s="19"/>
      <c r="N107" s="18">
        <f t="shared" si="29"/>
        <v>2.7546682895583849</v>
      </c>
      <c r="O107" s="20">
        <v>3130215</v>
      </c>
      <c r="P107" s="21">
        <v>8622704</v>
      </c>
      <c r="Q107" s="21">
        <v>3435344</v>
      </c>
      <c r="R107" s="21">
        <v>5186408</v>
      </c>
      <c r="S107" s="37"/>
      <c r="T107" s="38">
        <v>41.231999999999999</v>
      </c>
      <c r="U107" s="38">
        <v>45.704099999999997</v>
      </c>
      <c r="V107" s="38">
        <v>46.259700000000002</v>
      </c>
      <c r="W107" s="39"/>
      <c r="X107" s="38">
        <v>34.151400000000002</v>
      </c>
      <c r="Y107" s="38">
        <v>34.151400000000002</v>
      </c>
      <c r="Z107" s="38">
        <v>34.151400000000002</v>
      </c>
      <c r="AA107" s="39"/>
      <c r="AB107" s="49">
        <v>4.0780000000000003</v>
      </c>
      <c r="AC107" s="49">
        <v>3.0310000000000001</v>
      </c>
      <c r="AE107" s="17" t="str">
        <f t="shared" si="30"/>
        <v>·</v>
      </c>
      <c r="AF107" s="18">
        <f t="shared" si="31"/>
        <v>2.7568304413594595</v>
      </c>
      <c r="AG107" s="18">
        <f t="shared" si="32"/>
        <v>1.0974786076994711</v>
      </c>
      <c r="AH107" s="18">
        <f t="shared" si="33"/>
        <v>1.6590477011962437</v>
      </c>
      <c r="AI107" s="19"/>
      <c r="AJ107" s="18">
        <f t="shared" si="34"/>
        <v>2.7568304413594595</v>
      </c>
      <c r="AK107" s="20">
        <v>3130215</v>
      </c>
      <c r="AL107" s="21">
        <v>8629472</v>
      </c>
      <c r="AM107" s="21">
        <v>3435344</v>
      </c>
      <c r="AN107" s="21">
        <v>5193176</v>
      </c>
      <c r="AO107" s="37"/>
      <c r="AP107" s="38">
        <v>41.265000000000001</v>
      </c>
      <c r="AQ107" s="38">
        <v>45.698099999999997</v>
      </c>
      <c r="AR107" s="38">
        <v>46.286900000000003</v>
      </c>
      <c r="AS107" s="39"/>
      <c r="AT107" s="38">
        <v>34.151400000000002</v>
      </c>
      <c r="AU107" s="38">
        <v>34.151400000000002</v>
      </c>
      <c r="AV107" s="38">
        <v>34.151400000000002</v>
      </c>
      <c r="AW107" s="39"/>
      <c r="AX107" s="49">
        <v>4.0460000000000003</v>
      </c>
      <c r="AY107" s="49">
        <v>3.0619999999999998</v>
      </c>
      <c r="BA107" s="53">
        <f t="shared" si="35"/>
        <v>-3.1246608073137727E-4</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6768</v>
      </c>
      <c r="BZ107">
        <f t="shared" si="38"/>
        <v>0</v>
      </c>
      <c r="CA107">
        <f t="shared" si="39"/>
        <v>6768</v>
      </c>
      <c r="CB107">
        <f t="shared" si="40"/>
        <v>0</v>
      </c>
      <c r="CC107">
        <f t="shared" si="41"/>
        <v>3.3000000000001251E-2</v>
      </c>
      <c r="CD107">
        <f t="shared" si="42"/>
        <v>-6.0000000000002274E-3</v>
      </c>
      <c r="CE107">
        <f t="shared" si="43"/>
        <v>2.7200000000000557E-2</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1.9706889143397499</v>
      </c>
      <c r="K108" s="23">
        <f t="shared" si="27"/>
        <v>1.0974786076994711</v>
      </c>
      <c r="L108" s="23">
        <f t="shared" si="28"/>
        <v>0.87290617417653416</v>
      </c>
      <c r="M108" s="24"/>
      <c r="N108" s="23">
        <f t="shared" si="29"/>
        <v>1.9706889143397499</v>
      </c>
      <c r="O108" s="25">
        <v>3130215</v>
      </c>
      <c r="P108" s="26">
        <v>6168680</v>
      </c>
      <c r="Q108" s="26">
        <v>3435344</v>
      </c>
      <c r="R108" s="26">
        <v>2732384</v>
      </c>
      <c r="S108" s="40"/>
      <c r="T108" s="41">
        <v>35.715200000000003</v>
      </c>
      <c r="U108" s="41">
        <v>40.905700000000003</v>
      </c>
      <c r="V108" s="41">
        <v>41.302799999999998</v>
      </c>
      <c r="W108" s="42"/>
      <c r="X108" s="41">
        <v>28.130800000000001</v>
      </c>
      <c r="Y108" s="41">
        <v>28.130800000000001</v>
      </c>
      <c r="Z108" s="41">
        <v>28.130800000000001</v>
      </c>
      <c r="AA108" s="42"/>
      <c r="AB108" s="50">
        <v>4.109</v>
      </c>
      <c r="AC108" s="50">
        <v>3.0459999999999998</v>
      </c>
      <c r="AE108" s="22" t="str">
        <f t="shared" si="30"/>
        <v>·</v>
      </c>
      <c r="AF108" s="23">
        <f t="shared" si="31"/>
        <v>1.9698378545882631</v>
      </c>
      <c r="AG108" s="23">
        <f t="shared" si="32"/>
        <v>1.0974786076994711</v>
      </c>
      <c r="AH108" s="23">
        <f t="shared" si="33"/>
        <v>0.87205511442504746</v>
      </c>
      <c r="AI108" s="24"/>
      <c r="AJ108" s="23">
        <f t="shared" si="34"/>
        <v>1.9698378545882631</v>
      </c>
      <c r="AK108" s="25">
        <v>3130215</v>
      </c>
      <c r="AL108" s="26">
        <v>6166016</v>
      </c>
      <c r="AM108" s="26">
        <v>3435344</v>
      </c>
      <c r="AN108" s="26">
        <v>2729720</v>
      </c>
      <c r="AO108" s="40"/>
      <c r="AP108" s="41">
        <v>35.732500000000002</v>
      </c>
      <c r="AQ108" s="41">
        <v>41.116500000000002</v>
      </c>
      <c r="AR108" s="41">
        <v>41.273499999999999</v>
      </c>
      <c r="AS108" s="42"/>
      <c r="AT108" s="41">
        <v>28.130800000000001</v>
      </c>
      <c r="AU108" s="41">
        <v>28.130800000000001</v>
      </c>
      <c r="AV108" s="41">
        <v>28.130800000000001</v>
      </c>
      <c r="AW108" s="42"/>
      <c r="AX108" s="50">
        <v>4.0460000000000003</v>
      </c>
      <c r="AY108" s="50">
        <v>3.0310000000000001</v>
      </c>
      <c r="BA108" s="55">
        <f t="shared" si="35"/>
        <v>2.406066149998054E-4</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-2664</v>
      </c>
      <c r="BZ108">
        <f t="shared" si="38"/>
        <v>0</v>
      </c>
      <c r="CA108">
        <f t="shared" si="39"/>
        <v>-2664</v>
      </c>
      <c r="CB108">
        <f t="shared" si="40"/>
        <v>0</v>
      </c>
      <c r="CC108">
        <f t="shared" si="41"/>
        <v>1.7299999999998761E-2</v>
      </c>
      <c r="CD108">
        <f t="shared" si="42"/>
        <v>0.21079999999999899</v>
      </c>
      <c r="CE108">
        <f t="shared" si="43"/>
        <v>-2.9299999999999216E-2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1.4595138033649446</v>
      </c>
      <c r="K109" s="28">
        <f t="shared" si="27"/>
        <v>1.0974786076994711</v>
      </c>
      <c r="L109" s="28">
        <f t="shared" si="28"/>
        <v>0.36173106320172893</v>
      </c>
      <c r="M109" s="29"/>
      <c r="N109" s="28">
        <f t="shared" si="29"/>
        <v>1.4595138033649446</v>
      </c>
      <c r="O109" s="30">
        <v>3130215</v>
      </c>
      <c r="P109" s="31">
        <v>4568592</v>
      </c>
      <c r="Q109" s="31">
        <v>3435344</v>
      </c>
      <c r="R109" s="31">
        <v>1132296</v>
      </c>
      <c r="S109" s="43"/>
      <c r="T109" s="44">
        <v>29.537600000000001</v>
      </c>
      <c r="U109" s="44">
        <v>35.035600000000002</v>
      </c>
      <c r="V109" s="44">
        <v>35.942799999999998</v>
      </c>
      <c r="W109" s="45"/>
      <c r="X109" s="44">
        <v>21.686399999999999</v>
      </c>
      <c r="Y109" s="44">
        <v>21.686399999999999</v>
      </c>
      <c r="Z109" s="44">
        <v>21.686399999999999</v>
      </c>
      <c r="AA109" s="45"/>
      <c r="AB109" s="51">
        <v>4.1399999999999997</v>
      </c>
      <c r="AC109" s="51">
        <v>3.0150000000000001</v>
      </c>
      <c r="AE109" s="27" t="str">
        <f t="shared" si="30"/>
        <v>·</v>
      </c>
      <c r="AF109" s="28">
        <f t="shared" si="31"/>
        <v>1.4591764463463373</v>
      </c>
      <c r="AG109" s="28">
        <f t="shared" si="32"/>
        <v>1.0974786076994711</v>
      </c>
      <c r="AH109" s="28">
        <f t="shared" si="33"/>
        <v>0.36139370618312161</v>
      </c>
      <c r="AI109" s="29"/>
      <c r="AJ109" s="28">
        <f t="shared" si="34"/>
        <v>1.4591764463463373</v>
      </c>
      <c r="AK109" s="30">
        <v>3130215</v>
      </c>
      <c r="AL109" s="31">
        <v>4567536</v>
      </c>
      <c r="AM109" s="31">
        <v>3435344</v>
      </c>
      <c r="AN109" s="31">
        <v>1131240</v>
      </c>
      <c r="AO109" s="43"/>
      <c r="AP109" s="44">
        <v>29.697800000000001</v>
      </c>
      <c r="AQ109" s="44">
        <v>35.1173</v>
      </c>
      <c r="AR109" s="44">
        <v>36.128500000000003</v>
      </c>
      <c r="AS109" s="45"/>
      <c r="AT109" s="44">
        <v>21.686399999999999</v>
      </c>
      <c r="AU109" s="44">
        <v>21.686399999999999</v>
      </c>
      <c r="AV109" s="44">
        <v>21.686399999999999</v>
      </c>
      <c r="AW109" s="45"/>
      <c r="AX109" s="51">
        <v>4.0460000000000003</v>
      </c>
      <c r="AY109" s="51">
        <v>3.0459999999999998</v>
      </c>
      <c r="BA109" s="57">
        <f t="shared" si="35"/>
        <v>1.738480389597008E-4</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-1056</v>
      </c>
      <c r="BZ109">
        <f t="shared" si="38"/>
        <v>0</v>
      </c>
      <c r="CA109">
        <f t="shared" si="39"/>
        <v>-1056</v>
      </c>
      <c r="CB109">
        <f t="shared" si="40"/>
        <v>0</v>
      </c>
      <c r="CC109">
        <f t="shared" si="41"/>
        <v>0.16019999999999968</v>
      </c>
      <c r="CD109">
        <f t="shared" si="42"/>
        <v>8.1699999999997885E-2</v>
      </c>
      <c r="CE109">
        <f t="shared" si="43"/>
        <v>0.1857000000000042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15.919113427349489</v>
      </c>
      <c r="K110" s="23">
        <f t="shared" si="27"/>
        <v>11.243005048644514</v>
      </c>
      <c r="L110" s="23">
        <f t="shared" si="28"/>
        <v>4.67580765531486</v>
      </c>
      <c r="M110" s="24"/>
      <c r="N110" s="23">
        <f t="shared" si="29"/>
        <v>15.919113427349489</v>
      </c>
      <c r="O110" s="25">
        <v>1995189</v>
      </c>
      <c r="P110" s="26">
        <v>31761640</v>
      </c>
      <c r="Q110" s="26">
        <v>22431920</v>
      </c>
      <c r="R110" s="26">
        <v>9329120</v>
      </c>
      <c r="S110" s="40"/>
      <c r="T110" s="41">
        <v>53.541800000000002</v>
      </c>
      <c r="U110" s="41">
        <v>56.147100000000002</v>
      </c>
      <c r="V110" s="41">
        <v>55.2102</v>
      </c>
      <c r="W110" s="42"/>
      <c r="X110" s="41">
        <v>48.130800000000001</v>
      </c>
      <c r="Y110" s="41">
        <v>48.130800000000001</v>
      </c>
      <c r="Z110" s="41">
        <v>48.130800000000001</v>
      </c>
      <c r="AA110" s="42"/>
      <c r="AB110" s="50">
        <v>5.093</v>
      </c>
      <c r="AC110" s="50">
        <v>4.6710000000000003</v>
      </c>
      <c r="AE110" s="22" t="str">
        <f t="shared" si="30"/>
        <v>·</v>
      </c>
      <c r="AF110" s="23">
        <f t="shared" si="31"/>
        <v>15.940504884499664</v>
      </c>
      <c r="AG110" s="23">
        <f t="shared" si="32"/>
        <v>11.243005048644514</v>
      </c>
      <c r="AH110" s="23">
        <f t="shared" si="33"/>
        <v>4.697199112465035</v>
      </c>
      <c r="AI110" s="24"/>
      <c r="AJ110" s="23">
        <f t="shared" si="34"/>
        <v>15.940504884499664</v>
      </c>
      <c r="AK110" s="25">
        <v>1995189</v>
      </c>
      <c r="AL110" s="26">
        <v>31804320</v>
      </c>
      <c r="AM110" s="26">
        <v>22431920</v>
      </c>
      <c r="AN110" s="26">
        <v>9371800</v>
      </c>
      <c r="AO110" s="40"/>
      <c r="AP110" s="41">
        <v>53.925899999999999</v>
      </c>
      <c r="AQ110" s="41">
        <v>56.451099999999997</v>
      </c>
      <c r="AR110" s="41">
        <v>55.817700000000002</v>
      </c>
      <c r="AS110" s="42"/>
      <c r="AT110" s="41">
        <v>48.130800000000001</v>
      </c>
      <c r="AU110" s="41">
        <v>48.130800000000001</v>
      </c>
      <c r="AV110" s="41">
        <v>48.130800000000001</v>
      </c>
      <c r="AW110" s="42"/>
      <c r="AX110" s="50">
        <v>5.0780000000000003</v>
      </c>
      <c r="AY110" s="50">
        <v>4.6710000000000003</v>
      </c>
      <c r="BA110" s="55">
        <f t="shared" si="35"/>
        <v>-9.4776752746172921E-4</v>
      </c>
      <c r="BB110" s="55">
        <f t="array" ref="BB110">AVERAGE(AM110:AM114/AL110:AL114)-AVERAGE(Q110:Q114/P110:P114)</f>
        <v>-6.1696464051697042E-4</v>
      </c>
      <c r="BD110" s="56">
        <f>IF(OR(ISBLANK(R110:R114),ISBLANK(AN110:AN114),ISBLANK(T110:T114),ISBLANK(AP110:AP114)),"·",bdRateExtend(R110:R114,T110:T114,AN110:AN114,AP110:AP114))</f>
        <v>-1.7938343622794117E-2</v>
      </c>
      <c r="BE110" s="56">
        <f>IF(OR(ISBLANK(R110:R114),ISBLANK(AN110:AN114),ISBLANK(U110:U114),ISBLANK(AQ110:AQ114)),"·",bdRateExtend(R110:R114,U110:U114,AN110:AN114,AQ110:AQ114))</f>
        <v>-2.5214524327490051E-2</v>
      </c>
      <c r="BF110" s="56">
        <f>IF(OR(ISBLANK(R110:R114),ISBLANK(AN110:AN114),ISBLANK(V110:V114),ISBLANK(AR110:AR114)),"·",bdRateExtend(R110:R114,V110:V114,AN110:AN114,AR110:AR114))</f>
        <v>-4.2557019374028782E-2</v>
      </c>
      <c r="BG110" s="62"/>
      <c r="BI110" s="56">
        <f>IF(OR(ISBLANK(R110:R114),ISBLANK(AN110:AN114),ISBLANK(X110:X114),ISBLANK(AT110:AT114)),"·",bdRateExtend(R110:R114,X110:X114,AN110:AN114,AT110:AT114))</f>
        <v>4.2793611052149849E-3</v>
      </c>
      <c r="BJ110" s="56">
        <f>IF(OR(ISBLANK(R110:R114),ISBLANK(AN110:AN114),ISBLANK(Y110:Y114),ISBLANK(AU110:AU114)),"·",bdRateExtend(R110:R114,Y110:Y114,AN110:AN114,AU110:AU114))</f>
        <v>4.2793611052149849E-3</v>
      </c>
      <c r="BK110" s="56">
        <f>IF(OR(ISBLANK(R110:R114),ISBLANK(AN110:AN114),ISBLANK(Z110:Z114),ISBLANK(AV110:AV114)),"·",bdRateExtend(R110:R114,Z110:Z114,AN110:AN114,AV110:AV114))</f>
        <v>4.2793611052149849E-3</v>
      </c>
      <c r="BL110" s="62"/>
      <c r="BN110" s="56">
        <f>IF(OR(ISBLANK(P110:P114),ISBLANK(AL110:AL114),ISBLANK(T110:T114),ISBLANK(AP110:AP114)),"·",bdRateExtend(P110:P114,T110:T114,AL110:AL114,AP110:AP114))</f>
        <v>-2.5632626208125231E-3</v>
      </c>
      <c r="BO110" s="56">
        <f>IF(OR(ISBLANK(P110:P114),ISBLANK(AL110:AL114),ISBLANK(U110:U114),ISBLANK(AQ110:AQ114)),"·",bdRateExtend(P110:P114,U110:U114,AL110:AL114,AQ110:AQ114))</f>
        <v>-3.7816339581303593E-3</v>
      </c>
      <c r="BP110" s="56">
        <f>IF(OR(ISBLANK(P110:P114),ISBLANK(AL110:AL114),ISBLANK(V110:V114),ISBLANK(AR110:AR114)),"·",bdRateExtend(P110:P114,V110:V114,AL110:AL114,AR110:AR114))</f>
        <v>-6.2232752434061567E-3</v>
      </c>
      <c r="BQ110" s="62"/>
      <c r="BS110" s="56">
        <f>IF(OR(ISBLANK(P110:P114),ISBLANK(AL110:AL114),ISBLANK(X110:X114),ISBLANK(AT110:AT114)),"·",bdRateExtend(P110:P114,X110:X114,AL110:AL114,AT110:AT114))</f>
        <v>6.5662616816997144E-4</v>
      </c>
      <c r="BT110" s="56">
        <f>IF(OR(ISBLANK(P110:P114),ISBLANK(AL110:AL114),ISBLANK(Y110:Y114),ISBLANK(AU110:AU114)),"·",bdRateExtend(P110:P114,Y110:Y114,AL110:AL114,AU110:AU114))</f>
        <v>6.5662616816997144E-4</v>
      </c>
      <c r="BU110" s="56">
        <f>IF(OR(ISBLANK(P110:P114),ISBLANK(AL110:AL114),ISBLANK(Z110:Z114),ISBLANK(AV110:AV114)),"·",bdRateExtend(P110:P114,Z110:Z114,AL110:AL114,AV110:AV114))</f>
        <v>6.5662616816997144E-4</v>
      </c>
      <c r="BV110" s="62"/>
      <c r="BX110">
        <f t="shared" si="36"/>
        <v>0</v>
      </c>
      <c r="BY110">
        <f t="shared" si="37"/>
        <v>42680</v>
      </c>
      <c r="BZ110">
        <f t="shared" si="38"/>
        <v>0</v>
      </c>
      <c r="CA110">
        <f t="shared" si="39"/>
        <v>42680</v>
      </c>
      <c r="CB110">
        <f t="shared" si="40"/>
        <v>0</v>
      </c>
      <c r="CC110">
        <f t="shared" si="41"/>
        <v>0.38409999999999656</v>
      </c>
      <c r="CD110">
        <f t="shared" si="42"/>
        <v>0.30399999999999494</v>
      </c>
      <c r="CE110">
        <f t="shared" si="43"/>
        <v>0.60750000000000171</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14.779103132585433</v>
      </c>
      <c r="K111" s="18">
        <f t="shared" si="27"/>
        <v>11.243005048644514</v>
      </c>
      <c r="L111" s="18">
        <f t="shared" si="28"/>
        <v>3.5357973605508048</v>
      </c>
      <c r="M111" s="19"/>
      <c r="N111" s="18">
        <f t="shared" si="29"/>
        <v>14.779103132585433</v>
      </c>
      <c r="O111" s="20">
        <v>1995189</v>
      </c>
      <c r="P111" s="21">
        <v>29487104</v>
      </c>
      <c r="Q111" s="21">
        <v>22431920</v>
      </c>
      <c r="R111" s="21">
        <v>7054584</v>
      </c>
      <c r="S111" s="37"/>
      <c r="T111" s="38">
        <v>49.244700000000002</v>
      </c>
      <c r="U111" s="38">
        <v>52.036499999999997</v>
      </c>
      <c r="V111" s="38">
        <v>51.3399</v>
      </c>
      <c r="W111" s="39"/>
      <c r="X111" s="38">
        <v>42.110199999999999</v>
      </c>
      <c r="Y111" s="38">
        <v>42.110199999999999</v>
      </c>
      <c r="Z111" s="38">
        <v>42.110199999999999</v>
      </c>
      <c r="AA111" s="39"/>
      <c r="AB111" s="49">
        <v>5.0309999999999997</v>
      </c>
      <c r="AC111" s="49">
        <v>4.6710000000000003</v>
      </c>
      <c r="AE111" s="17" t="str">
        <f t="shared" si="30"/>
        <v>·</v>
      </c>
      <c r="AF111" s="18">
        <f t="shared" si="31"/>
        <v>14.788690194262298</v>
      </c>
      <c r="AG111" s="18">
        <f t="shared" si="32"/>
        <v>11.243005048644514</v>
      </c>
      <c r="AH111" s="18">
        <f t="shared" si="33"/>
        <v>3.5453844222276687</v>
      </c>
      <c r="AI111" s="19"/>
      <c r="AJ111" s="18">
        <f t="shared" si="34"/>
        <v>14.788690194262298</v>
      </c>
      <c r="AK111" s="20">
        <v>1995189</v>
      </c>
      <c r="AL111" s="21">
        <v>29506232</v>
      </c>
      <c r="AM111" s="21">
        <v>22431920</v>
      </c>
      <c r="AN111" s="21">
        <v>7073712</v>
      </c>
      <c r="AO111" s="37"/>
      <c r="AP111" s="38">
        <v>49.342500000000001</v>
      </c>
      <c r="AQ111" s="38">
        <v>52.213099999999997</v>
      </c>
      <c r="AR111" s="38">
        <v>51.681100000000001</v>
      </c>
      <c r="AS111" s="39"/>
      <c r="AT111" s="38">
        <v>42.110199999999999</v>
      </c>
      <c r="AU111" s="38">
        <v>42.110199999999999</v>
      </c>
      <c r="AV111" s="38">
        <v>42.110199999999999</v>
      </c>
      <c r="AW111" s="39"/>
      <c r="AX111" s="49">
        <v>5.0780000000000003</v>
      </c>
      <c r="AY111" s="49">
        <v>4.6710000000000003</v>
      </c>
      <c r="BA111" s="53">
        <f t="shared" si="35"/>
        <v>-4.9316260298104542E-4</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19128</v>
      </c>
      <c r="BZ111">
        <f t="shared" si="38"/>
        <v>0</v>
      </c>
      <c r="CA111">
        <f t="shared" si="39"/>
        <v>19128</v>
      </c>
      <c r="CB111">
        <f t="shared" si="40"/>
        <v>0</v>
      </c>
      <c r="CC111">
        <f t="shared" si="41"/>
        <v>9.7799999999999443E-2</v>
      </c>
      <c r="CD111">
        <f t="shared" si="42"/>
        <v>0.17660000000000053</v>
      </c>
      <c r="CE111">
        <f t="shared" si="43"/>
        <v>0.34120000000000061</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13.525094615096615</v>
      </c>
      <c r="K112" s="23">
        <f t="shared" si="27"/>
        <v>11.243005048644514</v>
      </c>
      <c r="L112" s="23">
        <f t="shared" si="28"/>
        <v>2.2817888430619857</v>
      </c>
      <c r="M112" s="24"/>
      <c r="N112" s="23">
        <f t="shared" si="29"/>
        <v>13.525094615096615</v>
      </c>
      <c r="O112" s="25">
        <v>1995189</v>
      </c>
      <c r="P112" s="26">
        <v>26985120</v>
      </c>
      <c r="Q112" s="26">
        <v>22431920</v>
      </c>
      <c r="R112" s="26">
        <v>4552600</v>
      </c>
      <c r="S112" s="40"/>
      <c r="T112" s="41">
        <v>42.1753</v>
      </c>
      <c r="U112" s="41">
        <v>45.991300000000003</v>
      </c>
      <c r="V112" s="41">
        <v>45.380899999999997</v>
      </c>
      <c r="W112" s="42"/>
      <c r="X112" s="41">
        <v>34.151400000000002</v>
      </c>
      <c r="Y112" s="41">
        <v>34.151400000000002</v>
      </c>
      <c r="Z112" s="41">
        <v>34.151400000000002</v>
      </c>
      <c r="AA112" s="42"/>
      <c r="AB112" s="50">
        <v>5.0780000000000003</v>
      </c>
      <c r="AC112" s="50">
        <v>4.5780000000000003</v>
      </c>
      <c r="AE112" s="22" t="str">
        <f t="shared" si="30"/>
        <v>·</v>
      </c>
      <c r="AF112" s="23">
        <f t="shared" si="31"/>
        <v>13.532295937878567</v>
      </c>
      <c r="AG112" s="23">
        <f t="shared" si="32"/>
        <v>11.243005048644514</v>
      </c>
      <c r="AH112" s="23">
        <f t="shared" si="33"/>
        <v>2.2889901658439378</v>
      </c>
      <c r="AI112" s="24"/>
      <c r="AJ112" s="23">
        <f t="shared" si="34"/>
        <v>13.532295937878567</v>
      </c>
      <c r="AK112" s="25">
        <v>1995189</v>
      </c>
      <c r="AL112" s="26">
        <v>26999488</v>
      </c>
      <c r="AM112" s="26">
        <v>22431920</v>
      </c>
      <c r="AN112" s="26">
        <v>4566968</v>
      </c>
      <c r="AO112" s="40"/>
      <c r="AP112" s="41">
        <v>42.5</v>
      </c>
      <c r="AQ112" s="41">
        <v>46.392800000000001</v>
      </c>
      <c r="AR112" s="41">
        <v>45.858800000000002</v>
      </c>
      <c r="AS112" s="42"/>
      <c r="AT112" s="41">
        <v>34.151400000000002</v>
      </c>
      <c r="AU112" s="41">
        <v>34.151400000000002</v>
      </c>
      <c r="AV112" s="41">
        <v>34.151400000000002</v>
      </c>
      <c r="AW112" s="42"/>
      <c r="AX112" s="50">
        <v>5.0780000000000003</v>
      </c>
      <c r="AY112" s="50">
        <v>4.625</v>
      </c>
      <c r="BA112" s="55">
        <f t="shared" si="35"/>
        <v>-4.4236716585188685E-4</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14368</v>
      </c>
      <c r="BZ112">
        <f t="shared" si="38"/>
        <v>0</v>
      </c>
      <c r="CA112">
        <f t="shared" si="39"/>
        <v>14368</v>
      </c>
      <c r="CB112">
        <f t="shared" si="40"/>
        <v>0</v>
      </c>
      <c r="CC112">
        <f t="shared" si="41"/>
        <v>0.32469999999999999</v>
      </c>
      <c r="CD112">
        <f t="shared" si="42"/>
        <v>0.40149999999999864</v>
      </c>
      <c r="CE112">
        <f t="shared" si="43"/>
        <v>0.47790000000000532</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12.720747758733634</v>
      </c>
      <c r="K113" s="18">
        <f t="shared" si="27"/>
        <v>11.243005048644514</v>
      </c>
      <c r="L113" s="18">
        <f t="shared" si="28"/>
        <v>1.4774419866990045</v>
      </c>
      <c r="M113" s="19"/>
      <c r="N113" s="18">
        <f t="shared" si="29"/>
        <v>12.720747758733634</v>
      </c>
      <c r="O113" s="20">
        <v>1995189</v>
      </c>
      <c r="P113" s="21">
        <v>25380296</v>
      </c>
      <c r="Q113" s="21">
        <v>22431920</v>
      </c>
      <c r="R113" s="21">
        <v>2947776</v>
      </c>
      <c r="S113" s="37"/>
      <c r="T113" s="38">
        <v>36.5715</v>
      </c>
      <c r="U113" s="38">
        <v>40.956800000000001</v>
      </c>
      <c r="V113" s="38">
        <v>40.290199999999999</v>
      </c>
      <c r="W113" s="39"/>
      <c r="X113" s="38">
        <v>28.130800000000001</v>
      </c>
      <c r="Y113" s="38">
        <v>28.130800000000001</v>
      </c>
      <c r="Z113" s="38">
        <v>28.130800000000001</v>
      </c>
      <c r="AA113" s="39"/>
      <c r="AB113" s="49">
        <v>5.0460000000000003</v>
      </c>
      <c r="AC113" s="49">
        <v>4.5620000000000003</v>
      </c>
      <c r="AE113" s="17" t="str">
        <f t="shared" si="30"/>
        <v>·</v>
      </c>
      <c r="AF113" s="18">
        <f t="shared" si="31"/>
        <v>12.727560145931037</v>
      </c>
      <c r="AG113" s="18">
        <f t="shared" si="32"/>
        <v>11.243005048644514</v>
      </c>
      <c r="AH113" s="18">
        <f t="shared" si="33"/>
        <v>1.4842543738964078</v>
      </c>
      <c r="AI113" s="19"/>
      <c r="AJ113" s="18">
        <f t="shared" si="34"/>
        <v>12.727560145931037</v>
      </c>
      <c r="AK113" s="20">
        <v>1995189</v>
      </c>
      <c r="AL113" s="21">
        <v>25393888</v>
      </c>
      <c r="AM113" s="21">
        <v>22431920</v>
      </c>
      <c r="AN113" s="21">
        <v>2961368</v>
      </c>
      <c r="AO113" s="37"/>
      <c r="AP113" s="38">
        <v>36.9358</v>
      </c>
      <c r="AQ113" s="38">
        <v>41.423699999999997</v>
      </c>
      <c r="AR113" s="38">
        <v>40.936300000000003</v>
      </c>
      <c r="AS113" s="39"/>
      <c r="AT113" s="38">
        <v>28.130800000000001</v>
      </c>
      <c r="AU113" s="38">
        <v>28.130800000000001</v>
      </c>
      <c r="AV113" s="38">
        <v>28.130800000000001</v>
      </c>
      <c r="AW113" s="39"/>
      <c r="AX113" s="49">
        <v>5.0460000000000003</v>
      </c>
      <c r="AY113" s="49">
        <v>4.6399999999999997</v>
      </c>
      <c r="BA113" s="53">
        <f t="shared" si="35"/>
        <v>-4.7306839094318764E-4</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13592</v>
      </c>
      <c r="BZ113">
        <f t="shared" si="38"/>
        <v>0</v>
      </c>
      <c r="CA113">
        <f t="shared" si="39"/>
        <v>13592</v>
      </c>
      <c r="CB113">
        <f t="shared" si="40"/>
        <v>0</v>
      </c>
      <c r="CC113">
        <f t="shared" si="41"/>
        <v>0.36430000000000007</v>
      </c>
      <c r="CD113">
        <f t="shared" si="42"/>
        <v>0.46689999999999543</v>
      </c>
      <c r="CE113">
        <f t="shared" si="43"/>
        <v>0.64610000000000412</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12.075190871641734</v>
      </c>
      <c r="K114" s="33">
        <f t="shared" si="27"/>
        <v>11.243005048644514</v>
      </c>
      <c r="L114" s="33">
        <f t="shared" si="28"/>
        <v>0.83188509960710488</v>
      </c>
      <c r="M114" s="34"/>
      <c r="N114" s="33">
        <f t="shared" si="29"/>
        <v>12.075190871641734</v>
      </c>
      <c r="O114" s="35">
        <v>1995189</v>
      </c>
      <c r="P114" s="36">
        <v>24092288</v>
      </c>
      <c r="Q114" s="36">
        <v>22431920</v>
      </c>
      <c r="R114" s="36">
        <v>1659768</v>
      </c>
      <c r="S114" s="46"/>
      <c r="T114" s="47">
        <v>30.389399999999998</v>
      </c>
      <c r="U114" s="47">
        <v>36.020099999999999</v>
      </c>
      <c r="V114" s="47">
        <v>34.259</v>
      </c>
      <c r="W114" s="48"/>
      <c r="X114" s="47">
        <v>21.686399999999999</v>
      </c>
      <c r="Y114" s="47">
        <v>21.686399999999999</v>
      </c>
      <c r="Z114" s="47">
        <v>21.686399999999999</v>
      </c>
      <c r="AA114" s="48"/>
      <c r="AB114" s="52">
        <v>4.9530000000000003</v>
      </c>
      <c r="AC114" s="52">
        <v>4.5460000000000003</v>
      </c>
      <c r="AE114" s="32" t="str">
        <f t="shared" si="30"/>
        <v>·</v>
      </c>
      <c r="AF114" s="33">
        <f t="shared" si="31"/>
        <v>12.084645615026947</v>
      </c>
      <c r="AG114" s="33">
        <f t="shared" si="32"/>
        <v>11.243005048644514</v>
      </c>
      <c r="AH114" s="33">
        <f t="shared" si="33"/>
        <v>0.84133984299231801</v>
      </c>
      <c r="AI114" s="34"/>
      <c r="AJ114" s="33">
        <f t="shared" si="34"/>
        <v>12.084645615026947</v>
      </c>
      <c r="AK114" s="35">
        <v>1995189</v>
      </c>
      <c r="AL114" s="36">
        <v>24111152</v>
      </c>
      <c r="AM114" s="36">
        <v>22431920</v>
      </c>
      <c r="AN114" s="36">
        <v>1678632</v>
      </c>
      <c r="AO114" s="46"/>
      <c r="AP114" s="47">
        <v>30.827999999999999</v>
      </c>
      <c r="AQ114" s="47">
        <v>36.297400000000003</v>
      </c>
      <c r="AR114" s="47">
        <v>35.342500000000001</v>
      </c>
      <c r="AS114" s="48"/>
      <c r="AT114" s="47">
        <v>21.686399999999999</v>
      </c>
      <c r="AU114" s="47">
        <v>21.686399999999999</v>
      </c>
      <c r="AV114" s="47">
        <v>21.686399999999999</v>
      </c>
      <c r="AW114" s="48"/>
      <c r="AX114" s="52">
        <v>4.9370000000000003</v>
      </c>
      <c r="AY114" s="52">
        <v>4.625</v>
      </c>
      <c r="BA114" s="59">
        <f t="shared" si="35"/>
        <v>-7.2845751534678094E-4</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18864</v>
      </c>
      <c r="BZ114">
        <f t="shared" si="38"/>
        <v>0</v>
      </c>
      <c r="CA114">
        <f t="shared" si="39"/>
        <v>18864</v>
      </c>
      <c r="CB114">
        <f t="shared" si="40"/>
        <v>0</v>
      </c>
      <c r="CC114">
        <f t="shared" si="41"/>
        <v>0.43860000000000099</v>
      </c>
      <c r="CD114">
        <f t="shared" si="42"/>
        <v>0.27730000000000388</v>
      </c>
      <c r="CE114">
        <f t="shared" si="43"/>
        <v>1.0835000000000008</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22.324673729505598</v>
      </c>
      <c r="K115" s="18">
        <f t="shared" si="27"/>
        <v>10.003965591943558</v>
      </c>
      <c r="L115" s="18">
        <f t="shared" si="28"/>
        <v>12.320195229141836</v>
      </c>
      <c r="M115" s="19"/>
      <c r="N115" s="18">
        <f t="shared" si="29"/>
        <v>22.324673729505598</v>
      </c>
      <c r="O115" s="20">
        <v>1481746</v>
      </c>
      <c r="P115" s="21">
        <v>33079496</v>
      </c>
      <c r="Q115" s="21">
        <v>14823336</v>
      </c>
      <c r="R115" s="21">
        <v>18255400</v>
      </c>
      <c r="S115" s="37"/>
      <c r="T115" s="38">
        <v>53.366799999999998</v>
      </c>
      <c r="U115" s="38">
        <v>54.886600000000001</v>
      </c>
      <c r="V115" s="38">
        <v>54.913899999999998</v>
      </c>
      <c r="W115" s="39"/>
      <c r="X115" s="38">
        <v>48.130800000000001</v>
      </c>
      <c r="Y115" s="38">
        <v>48.130800000000001</v>
      </c>
      <c r="Z115" s="38">
        <v>48.130800000000001</v>
      </c>
      <c r="AA115" s="39"/>
      <c r="AB115" s="49">
        <v>3.625</v>
      </c>
      <c r="AC115" s="49">
        <v>2.9529999999999998</v>
      </c>
      <c r="AE115" s="17" t="str">
        <f t="shared" si="30"/>
        <v>·</v>
      </c>
      <c r="AF115" s="18">
        <f t="shared" si="31"/>
        <v>22.411106896863565</v>
      </c>
      <c r="AG115" s="18">
        <f t="shared" si="32"/>
        <v>10.003965591943558</v>
      </c>
      <c r="AH115" s="18">
        <f t="shared" si="33"/>
        <v>12.406628396499805</v>
      </c>
      <c r="AI115" s="19"/>
      <c r="AJ115" s="18">
        <f t="shared" si="34"/>
        <v>22.411106896863565</v>
      </c>
      <c r="AK115" s="20">
        <v>1481746</v>
      </c>
      <c r="AL115" s="21">
        <v>33207568</v>
      </c>
      <c r="AM115" s="21">
        <v>14823336</v>
      </c>
      <c r="AN115" s="21">
        <v>18383472</v>
      </c>
      <c r="AO115" s="37"/>
      <c r="AP115" s="38">
        <v>53.590699999999998</v>
      </c>
      <c r="AQ115" s="38">
        <v>55.127200000000002</v>
      </c>
      <c r="AR115" s="38">
        <v>55.134599999999999</v>
      </c>
      <c r="AS115" s="39"/>
      <c r="AT115" s="38">
        <v>48.130800000000001</v>
      </c>
      <c r="AU115" s="38">
        <v>48.130800000000001</v>
      </c>
      <c r="AV115" s="38">
        <v>48.130800000000001</v>
      </c>
      <c r="AW115" s="39"/>
      <c r="AX115" s="49">
        <v>3.7029999999999998</v>
      </c>
      <c r="AY115" s="49">
        <v>3</v>
      </c>
      <c r="BA115" s="53">
        <f t="shared" si="35"/>
        <v>-1.7282405459514982E-3</v>
      </c>
      <c r="BB115" s="53">
        <f t="array" ref="BB115">AVERAGE(AM115:AM119/AL115:AL119)-AVERAGE(Q115:Q119/P115:P119)</f>
        <v>-2.9643731312429811E-3</v>
      </c>
      <c r="BD115" s="54">
        <f>IF(OR(ISBLANK(R115:R119),ISBLANK(AN115:AN119),ISBLANK(T115:T119),ISBLANK(AP115:AP119)),"·",bdRateExtend(R115:R119,T115:T119,AN115:AN119,AP115:AP119))</f>
        <v>-7.7864720478360017E-4</v>
      </c>
      <c r="BE115" s="54">
        <f>IF(OR(ISBLANK(R115:R119),ISBLANK(AN115:AN119),ISBLANK(U115:U119),ISBLANK(AQ115:AQ119)),"·",bdRateExtend(R115:R119,U115:U119,AN115:AN119,AQ115:AQ119))</f>
        <v>-2.8582562559564817E-3</v>
      </c>
      <c r="BF115" s="54">
        <f>IF(OR(ISBLANK(R115:R119),ISBLANK(AN115:AN119),ISBLANK(V115:V119),ISBLANK(AR115:AR119)),"·",bdRateExtend(R115:R119,V115:V119,AN115:AN119,AR115:AR119))</f>
        <v>3.4865009818418891E-4</v>
      </c>
      <c r="BG115" s="61"/>
      <c r="BI115" s="54">
        <f>IF(OR(ISBLANK(R115:R119),ISBLANK(AN115:AN119),ISBLANK(X115:X119),ISBLANK(AT115:AT119)),"·",bdRateExtend(R115:R119,X115:X119,AN115:AN119,AT115:AT119))</f>
        <v>1.2592198032381541E-2</v>
      </c>
      <c r="BJ115" s="54">
        <f>IF(OR(ISBLANK(R115:R119),ISBLANK(AN115:AN119),ISBLANK(Y115:Y119),ISBLANK(AU115:AU119)),"·",bdRateExtend(R115:R119,Y115:Y119,AN115:AN119,AU115:AU119))</f>
        <v>1.2592198032381541E-2</v>
      </c>
      <c r="BK115" s="54">
        <f>IF(OR(ISBLANK(R115:R119),ISBLANK(AN115:AN119),ISBLANK(Z115:Z119),ISBLANK(AV115:AV119)),"·",bdRateExtend(R115:R119,Z115:Z119,AN115:AN119,AV115:AV119))</f>
        <v>1.2592198032381541E-2</v>
      </c>
      <c r="BL115" s="61"/>
      <c r="BN115" s="54">
        <f>IF(OR(ISBLANK(P115:P119),ISBLANK(AL115:AL119),ISBLANK(T115:T119),ISBLANK(AP115:AP119)),"·",bdRateExtend(P115:P119,T115:T119,AL115:AL119,AP115:AP119))</f>
        <v>-6.2480045347446111E-4</v>
      </c>
      <c r="BO115" s="54">
        <f>IF(OR(ISBLANK(P115:P119),ISBLANK(AL115:AL119),ISBLANK(U115:U119),ISBLANK(AQ115:AQ119)),"·",bdRateExtend(P115:P119,U115:U119,AL115:AL119,AQ115:AQ119))</f>
        <v>-1.3695128784309007E-3</v>
      </c>
      <c r="BP115" s="54">
        <f>IF(OR(ISBLANK(P115:P119),ISBLANK(AL115:AL119),ISBLANK(V115:V119),ISBLANK(AR115:AR119)),"·",bdRateExtend(P115:P119,V115:V119,AL115:AL119,AR115:AR119))</f>
        <v>-3.2170691003186036E-4</v>
      </c>
      <c r="BQ115" s="61"/>
      <c r="BS115" s="54">
        <f>IF(OR(ISBLANK(P115:P119),ISBLANK(AL115:AL119),ISBLANK(X115:X119),ISBLANK(AT115:AT119)),"·",bdRateExtend(P115:P119,X115:X119,AL115:AL119,AT115:AT119))</f>
        <v>4.3111224252965208E-3</v>
      </c>
      <c r="BT115" s="54">
        <f>IF(OR(ISBLANK(P115:P119),ISBLANK(AL115:AL119),ISBLANK(Y115:Y119),ISBLANK(AU115:AU119)),"·",bdRateExtend(P115:P119,Y115:Y119,AL115:AL119,AU115:AU119))</f>
        <v>4.3111224252965208E-3</v>
      </c>
      <c r="BU115" s="54">
        <f>IF(OR(ISBLANK(P115:P119),ISBLANK(AL115:AL119),ISBLANK(Z115:Z119),ISBLANK(AV115:AV119)),"·",bdRateExtend(P115:P119,Z115:Z119,AL115:AL119,AV115:AV119))</f>
        <v>4.3111224252965208E-3</v>
      </c>
      <c r="BV115" s="61"/>
      <c r="BX115">
        <f t="shared" si="36"/>
        <v>0</v>
      </c>
      <c r="BY115">
        <f t="shared" si="37"/>
        <v>128072</v>
      </c>
      <c r="BZ115">
        <f t="shared" si="38"/>
        <v>0</v>
      </c>
      <c r="CA115">
        <f t="shared" si="39"/>
        <v>128072</v>
      </c>
      <c r="CB115">
        <f t="shared" si="40"/>
        <v>0</v>
      </c>
      <c r="CC115">
        <f t="shared" si="41"/>
        <v>0.22390000000000043</v>
      </c>
      <c r="CD115">
        <f t="shared" si="42"/>
        <v>0.24060000000000059</v>
      </c>
      <c r="CE115">
        <f t="shared" si="43"/>
        <v>0.22070000000000078</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19.541767617391915</v>
      </c>
      <c r="K116" s="23">
        <f t="shared" si="27"/>
        <v>10.003965591943558</v>
      </c>
      <c r="L116" s="23">
        <f t="shared" si="28"/>
        <v>9.5372891170281537</v>
      </c>
      <c r="M116" s="24"/>
      <c r="N116" s="23">
        <f t="shared" si="29"/>
        <v>19.541767617391915</v>
      </c>
      <c r="O116" s="25">
        <v>1481746</v>
      </c>
      <c r="P116" s="26">
        <v>28955936</v>
      </c>
      <c r="Q116" s="26">
        <v>14823336</v>
      </c>
      <c r="R116" s="26">
        <v>14131840</v>
      </c>
      <c r="S116" s="40"/>
      <c r="T116" s="41">
        <v>48.575499999999998</v>
      </c>
      <c r="U116" s="41">
        <v>50.4255</v>
      </c>
      <c r="V116" s="41">
        <v>50.094499999999996</v>
      </c>
      <c r="W116" s="42"/>
      <c r="X116" s="41">
        <v>42.110199999999999</v>
      </c>
      <c r="Y116" s="41">
        <v>42.110199999999999</v>
      </c>
      <c r="Z116" s="41">
        <v>42.110199999999999</v>
      </c>
      <c r="AA116" s="42"/>
      <c r="AB116" s="50">
        <v>3.6560000000000001</v>
      </c>
      <c r="AC116" s="50">
        <v>2.9209999999999998</v>
      </c>
      <c r="AE116" s="22" t="str">
        <f t="shared" si="30"/>
        <v>·</v>
      </c>
      <c r="AF116" s="23">
        <f t="shared" si="31"/>
        <v>19.600498331022997</v>
      </c>
      <c r="AG116" s="23">
        <f t="shared" si="32"/>
        <v>10.003965591943558</v>
      </c>
      <c r="AH116" s="23">
        <f t="shared" si="33"/>
        <v>9.5960198306592357</v>
      </c>
      <c r="AI116" s="24"/>
      <c r="AJ116" s="23">
        <f t="shared" si="34"/>
        <v>19.600498331022997</v>
      </c>
      <c r="AK116" s="25">
        <v>1481746</v>
      </c>
      <c r="AL116" s="26">
        <v>29042960</v>
      </c>
      <c r="AM116" s="26">
        <v>14823336</v>
      </c>
      <c r="AN116" s="26">
        <v>14218864</v>
      </c>
      <c r="AO116" s="40"/>
      <c r="AP116" s="41">
        <v>48.761800000000001</v>
      </c>
      <c r="AQ116" s="41">
        <v>50.604199999999999</v>
      </c>
      <c r="AR116" s="41">
        <v>50.266800000000003</v>
      </c>
      <c r="AS116" s="42"/>
      <c r="AT116" s="41">
        <v>42.110199999999999</v>
      </c>
      <c r="AU116" s="41">
        <v>42.110199999999999</v>
      </c>
      <c r="AV116" s="41">
        <v>42.110199999999999</v>
      </c>
      <c r="AW116" s="42"/>
      <c r="AX116" s="50">
        <v>3.609</v>
      </c>
      <c r="AY116" s="50">
        <v>2.9529999999999998</v>
      </c>
      <c r="BA116" s="55">
        <f t="shared" si="35"/>
        <v>-1.5339334199716559E-3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87024</v>
      </c>
      <c r="BZ116">
        <f t="shared" si="38"/>
        <v>0</v>
      </c>
      <c r="CA116">
        <f t="shared" si="39"/>
        <v>87024</v>
      </c>
      <c r="CB116">
        <f t="shared" si="40"/>
        <v>0</v>
      </c>
      <c r="CC116">
        <f t="shared" si="41"/>
        <v>0.1863000000000028</v>
      </c>
      <c r="CD116">
        <f t="shared" si="42"/>
        <v>0.17869999999999919</v>
      </c>
      <c r="CE116">
        <f t="shared" si="43"/>
        <v>0.172300000000007</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16.643397721336854</v>
      </c>
      <c r="K117" s="18">
        <f t="shared" si="27"/>
        <v>10.003965591943558</v>
      </c>
      <c r="L117" s="18">
        <f t="shared" si="28"/>
        <v>6.6389192209730954</v>
      </c>
      <c r="M117" s="19"/>
      <c r="N117" s="18">
        <f t="shared" si="29"/>
        <v>16.643397721336854</v>
      </c>
      <c r="O117" s="20">
        <v>1481746</v>
      </c>
      <c r="P117" s="21">
        <v>24661288</v>
      </c>
      <c r="Q117" s="21">
        <v>14823336</v>
      </c>
      <c r="R117" s="21">
        <v>9837192</v>
      </c>
      <c r="S117" s="37"/>
      <c r="T117" s="38">
        <v>41.256100000000004</v>
      </c>
      <c r="U117" s="38">
        <v>44.244900000000001</v>
      </c>
      <c r="V117" s="38">
        <v>43.893000000000001</v>
      </c>
      <c r="W117" s="39"/>
      <c r="X117" s="38">
        <v>34.151400000000002</v>
      </c>
      <c r="Y117" s="38">
        <v>34.151400000000002</v>
      </c>
      <c r="Z117" s="38">
        <v>34.151400000000002</v>
      </c>
      <c r="AA117" s="39"/>
      <c r="AB117" s="49">
        <v>3.5</v>
      </c>
      <c r="AC117" s="49">
        <v>2.875</v>
      </c>
      <c r="AE117" s="17" t="str">
        <f t="shared" si="30"/>
        <v>·</v>
      </c>
      <c r="AF117" s="18">
        <f t="shared" si="31"/>
        <v>16.718444321766349</v>
      </c>
      <c r="AG117" s="18">
        <f t="shared" si="32"/>
        <v>10.003965591943558</v>
      </c>
      <c r="AH117" s="18">
        <f t="shared" si="33"/>
        <v>6.7139658214025886</v>
      </c>
      <c r="AI117" s="19"/>
      <c r="AJ117" s="18">
        <f t="shared" si="34"/>
        <v>16.718444321766349</v>
      </c>
      <c r="AK117" s="20">
        <v>1481746</v>
      </c>
      <c r="AL117" s="21">
        <v>24772488</v>
      </c>
      <c r="AM117" s="21">
        <v>14823336</v>
      </c>
      <c r="AN117" s="21">
        <v>9948392</v>
      </c>
      <c r="AO117" s="37"/>
      <c r="AP117" s="38">
        <v>41.4908</v>
      </c>
      <c r="AQ117" s="38">
        <v>44.458799999999997</v>
      </c>
      <c r="AR117" s="38">
        <v>44.0839</v>
      </c>
      <c r="AS117" s="39"/>
      <c r="AT117" s="38">
        <v>34.151400000000002</v>
      </c>
      <c r="AU117" s="38">
        <v>34.151400000000002</v>
      </c>
      <c r="AV117" s="38">
        <v>34.151400000000002</v>
      </c>
      <c r="AW117" s="39"/>
      <c r="AX117" s="49">
        <v>3.593</v>
      </c>
      <c r="AY117" s="49">
        <v>2.89</v>
      </c>
      <c r="BA117" s="53">
        <f t="shared" si="35"/>
        <v>-2.6981454545428329E-3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111200</v>
      </c>
      <c r="BZ117">
        <f t="shared" si="38"/>
        <v>0</v>
      </c>
      <c r="CA117">
        <f t="shared" si="39"/>
        <v>111200</v>
      </c>
      <c r="CB117">
        <f t="shared" si="40"/>
        <v>0</v>
      </c>
      <c r="CC117">
        <f t="shared" si="41"/>
        <v>0.23469999999999658</v>
      </c>
      <c r="CD117">
        <f t="shared" si="42"/>
        <v>0.21389999999999532</v>
      </c>
      <c r="CE117">
        <f t="shared" si="43"/>
        <v>0.19089999999999918</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14.505401060640622</v>
      </c>
      <c r="K118" s="23">
        <f t="shared" si="27"/>
        <v>10.003965591943558</v>
      </c>
      <c r="L118" s="23">
        <f t="shared" si="28"/>
        <v>4.5009225602768623</v>
      </c>
      <c r="M118" s="24"/>
      <c r="N118" s="23">
        <f t="shared" si="29"/>
        <v>14.505401060640622</v>
      </c>
      <c r="O118" s="25">
        <v>1481746</v>
      </c>
      <c r="P118" s="26">
        <v>21493320</v>
      </c>
      <c r="Q118" s="26">
        <v>14823336</v>
      </c>
      <c r="R118" s="26">
        <v>6669224</v>
      </c>
      <c r="S118" s="40"/>
      <c r="T118" s="41">
        <v>35.371299999999998</v>
      </c>
      <c r="U118" s="41">
        <v>39.523099999999999</v>
      </c>
      <c r="V118" s="41">
        <v>38.938499999999998</v>
      </c>
      <c r="W118" s="42"/>
      <c r="X118" s="41">
        <v>28.130800000000001</v>
      </c>
      <c r="Y118" s="41">
        <v>28.130800000000001</v>
      </c>
      <c r="Z118" s="41">
        <v>28.130800000000001</v>
      </c>
      <c r="AA118" s="42"/>
      <c r="AB118" s="50">
        <v>3.5</v>
      </c>
      <c r="AC118" s="50">
        <v>2.9369999999999998</v>
      </c>
      <c r="AE118" s="22" t="str">
        <f t="shared" si="30"/>
        <v>·</v>
      </c>
      <c r="AF118" s="23">
        <f t="shared" si="31"/>
        <v>14.574773274231886</v>
      </c>
      <c r="AG118" s="23">
        <f t="shared" si="32"/>
        <v>10.003965591943558</v>
      </c>
      <c r="AH118" s="23">
        <f t="shared" si="33"/>
        <v>4.5702947738681257</v>
      </c>
      <c r="AI118" s="24"/>
      <c r="AJ118" s="23">
        <f t="shared" si="34"/>
        <v>14.574773274231886</v>
      </c>
      <c r="AK118" s="25">
        <v>1481746</v>
      </c>
      <c r="AL118" s="26">
        <v>21596112</v>
      </c>
      <c r="AM118" s="26">
        <v>14823336</v>
      </c>
      <c r="AN118" s="26">
        <v>6772016</v>
      </c>
      <c r="AO118" s="40"/>
      <c r="AP118" s="41">
        <v>35.584699999999998</v>
      </c>
      <c r="AQ118" s="41">
        <v>39.709699999999998</v>
      </c>
      <c r="AR118" s="41">
        <v>39.072800000000001</v>
      </c>
      <c r="AS118" s="42"/>
      <c r="AT118" s="41">
        <v>28.130800000000001</v>
      </c>
      <c r="AU118" s="41">
        <v>28.130800000000001</v>
      </c>
      <c r="AV118" s="41">
        <v>28.130800000000001</v>
      </c>
      <c r="AW118" s="42"/>
      <c r="AX118" s="50">
        <v>3.5</v>
      </c>
      <c r="AY118" s="50">
        <v>2.875</v>
      </c>
      <c r="BA118" s="55">
        <f t="shared" si="35"/>
        <v>-3.2826621918938814E-3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102792</v>
      </c>
      <c r="BZ118">
        <f t="shared" si="38"/>
        <v>0</v>
      </c>
      <c r="CA118">
        <f t="shared" si="39"/>
        <v>102792</v>
      </c>
      <c r="CB118">
        <f t="shared" si="40"/>
        <v>0</v>
      </c>
      <c r="CC118">
        <f t="shared" si="41"/>
        <v>0.21340000000000003</v>
      </c>
      <c r="CD118">
        <f t="shared" si="42"/>
        <v>0.18659999999999854</v>
      </c>
      <c r="CE118">
        <f t="shared" si="43"/>
        <v>0.13430000000000319</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12.604794613921685</v>
      </c>
      <c r="K119" s="28">
        <f t="shared" si="27"/>
        <v>10.003965591943558</v>
      </c>
      <c r="L119" s="28">
        <f t="shared" si="28"/>
        <v>2.6003161135579242</v>
      </c>
      <c r="M119" s="29"/>
      <c r="N119" s="28">
        <f t="shared" si="29"/>
        <v>12.604794613921685</v>
      </c>
      <c r="O119" s="30">
        <v>1481746</v>
      </c>
      <c r="P119" s="31">
        <v>18677104</v>
      </c>
      <c r="Q119" s="31">
        <v>14823336</v>
      </c>
      <c r="R119" s="31">
        <v>3853008</v>
      </c>
      <c r="S119" s="43"/>
      <c r="T119" s="44">
        <v>28.831099999999999</v>
      </c>
      <c r="U119" s="44">
        <v>35.362000000000002</v>
      </c>
      <c r="V119" s="44">
        <v>34.463700000000003</v>
      </c>
      <c r="W119" s="45"/>
      <c r="X119" s="44">
        <v>21.686399999999999</v>
      </c>
      <c r="Y119" s="44">
        <v>21.686399999999999</v>
      </c>
      <c r="Z119" s="44">
        <v>21.686399999999999</v>
      </c>
      <c r="AA119" s="45"/>
      <c r="AB119" s="51">
        <v>3.468</v>
      </c>
      <c r="AC119" s="51">
        <v>2.8119999999999998</v>
      </c>
      <c r="AE119" s="27" t="str">
        <f t="shared" si="30"/>
        <v>·</v>
      </c>
      <c r="AF119" s="28">
        <f t="shared" si="31"/>
        <v>12.694024481928752</v>
      </c>
      <c r="AG119" s="28">
        <f t="shared" si="32"/>
        <v>10.003965591943558</v>
      </c>
      <c r="AH119" s="28">
        <f t="shared" si="33"/>
        <v>2.6895459815649914</v>
      </c>
      <c r="AI119" s="29"/>
      <c r="AJ119" s="28">
        <f t="shared" si="34"/>
        <v>12.694024481928752</v>
      </c>
      <c r="AK119" s="30">
        <v>1481746</v>
      </c>
      <c r="AL119" s="31">
        <v>18809320</v>
      </c>
      <c r="AM119" s="31">
        <v>14823336</v>
      </c>
      <c r="AN119" s="31">
        <v>3985224</v>
      </c>
      <c r="AO119" s="43"/>
      <c r="AP119" s="44">
        <v>29.083200000000001</v>
      </c>
      <c r="AQ119" s="44">
        <v>35.518700000000003</v>
      </c>
      <c r="AR119" s="44">
        <v>34.573599999999999</v>
      </c>
      <c r="AS119" s="45"/>
      <c r="AT119" s="44">
        <v>21.686399999999999</v>
      </c>
      <c r="AU119" s="44">
        <v>21.686399999999999</v>
      </c>
      <c r="AV119" s="44">
        <v>21.686399999999999</v>
      </c>
      <c r="AW119" s="45"/>
      <c r="AX119" s="51">
        <v>3.5</v>
      </c>
      <c r="AY119" s="51">
        <v>2.8119999999999998</v>
      </c>
      <c r="BA119" s="57">
        <f t="shared" si="35"/>
        <v>-5.5788840438555365E-3</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132216</v>
      </c>
      <c r="BZ119">
        <f t="shared" si="38"/>
        <v>0</v>
      </c>
      <c r="CA119">
        <f t="shared" si="39"/>
        <v>132216</v>
      </c>
      <c r="CB119">
        <f t="shared" si="40"/>
        <v>0</v>
      </c>
      <c r="CC119">
        <f t="shared" si="41"/>
        <v>0.25210000000000221</v>
      </c>
      <c r="CD119">
        <f t="shared" si="42"/>
        <v>0.15670000000000073</v>
      </c>
      <c r="CE119">
        <f t="shared" si="43"/>
        <v>0.10989999999999611</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46.723827743193304</v>
      </c>
      <c r="K120" s="23">
        <f t="shared" si="27"/>
        <v>34.420867765355247</v>
      </c>
      <c r="L120" s="23">
        <f t="shared" si="28"/>
        <v>12.302447744343217</v>
      </c>
      <c r="M120" s="24"/>
      <c r="N120" s="23">
        <f t="shared" si="29"/>
        <v>46.723827743193304</v>
      </c>
      <c r="O120" s="25">
        <v>1530552</v>
      </c>
      <c r="P120" s="26">
        <v>71513248</v>
      </c>
      <c r="Q120" s="26">
        <v>52682928</v>
      </c>
      <c r="R120" s="26">
        <v>18829536</v>
      </c>
      <c r="S120" s="40"/>
      <c r="T120" s="41">
        <v>53.376300000000001</v>
      </c>
      <c r="U120" s="41">
        <v>54.889899999999997</v>
      </c>
      <c r="V120" s="41">
        <v>54.913400000000003</v>
      </c>
      <c r="W120" s="42"/>
      <c r="X120" s="41">
        <v>48.130800000000001</v>
      </c>
      <c r="Y120" s="41">
        <v>48.130800000000001</v>
      </c>
      <c r="Z120" s="41">
        <v>48.130800000000001</v>
      </c>
      <c r="AA120" s="42"/>
      <c r="AB120" s="50">
        <v>6.5</v>
      </c>
      <c r="AC120" s="50">
        <v>5.343</v>
      </c>
      <c r="AE120" s="22" t="str">
        <f t="shared" si="30"/>
        <v>·</v>
      </c>
      <c r="AF120" s="23">
        <f t="shared" si="31"/>
        <v>46.808513529759196</v>
      </c>
      <c r="AG120" s="23">
        <f t="shared" si="32"/>
        <v>34.420867765355247</v>
      </c>
      <c r="AH120" s="23">
        <f t="shared" si="33"/>
        <v>12.387133530909109</v>
      </c>
      <c r="AI120" s="24"/>
      <c r="AJ120" s="23">
        <f t="shared" si="34"/>
        <v>46.808513529759196</v>
      </c>
      <c r="AK120" s="25">
        <v>1530552</v>
      </c>
      <c r="AL120" s="26">
        <v>71642864</v>
      </c>
      <c r="AM120" s="26">
        <v>52682928</v>
      </c>
      <c r="AN120" s="26">
        <v>18959152</v>
      </c>
      <c r="AO120" s="40"/>
      <c r="AP120" s="41">
        <v>53.593000000000004</v>
      </c>
      <c r="AQ120" s="41">
        <v>55.121200000000002</v>
      </c>
      <c r="AR120" s="41">
        <v>55.1297</v>
      </c>
      <c r="AS120" s="42"/>
      <c r="AT120" s="41">
        <v>48.130800000000001</v>
      </c>
      <c r="AU120" s="41">
        <v>48.130800000000001</v>
      </c>
      <c r="AV120" s="41">
        <v>48.130800000000001</v>
      </c>
      <c r="AW120" s="42"/>
      <c r="AX120" s="50">
        <v>6.468</v>
      </c>
      <c r="AY120" s="50">
        <v>5.4530000000000003</v>
      </c>
      <c r="BA120" s="55">
        <f t="shared" si="35"/>
        <v>-1.3328125597592555E-3</v>
      </c>
      <c r="BB120" s="55">
        <f t="array" ref="BB120">AVERAGE(AM120:AM124/AL120:AL124)-AVERAGE(Q120:Q124/P120:P124)</f>
        <v>-1.5449331794040733E-3</v>
      </c>
      <c r="BD120" s="56">
        <f>IF(OR(ISBLANK(R120:R124),ISBLANK(AN120:AN124),ISBLANK(T120:T124),ISBLANK(AP120:AP124)),"·",bdRateExtend(R120:R124,T120:T124,AN120:AN124,AP120:AP124))</f>
        <v>-2.6410849567271022E-4</v>
      </c>
      <c r="BE120" s="56">
        <f>IF(OR(ISBLANK(R120:R124),ISBLANK(AN120:AN124),ISBLANK(U120:U124),ISBLANK(AQ120:AQ124)),"·",bdRateExtend(R120:R124,U120:U124,AN120:AN124,AQ120:AQ124))</f>
        <v>-6.8985305503665995E-4</v>
      </c>
      <c r="BF120" s="56">
        <f>IF(OR(ISBLANK(R120:R124),ISBLANK(AN120:AN124),ISBLANK(V120:V124),ISBLANK(AR120:AR124)),"·",bdRateExtend(R120:R124,V120:V124,AN120:AN124,AR120:AR124))</f>
        <v>-4.9273729730514582E-5</v>
      </c>
      <c r="BG120" s="62"/>
      <c r="BI120" s="56">
        <f>IF(OR(ISBLANK(R120:R124),ISBLANK(AN120:AN124),ISBLANK(X120:X124),ISBLANK(AT120:AT124)),"·",bdRateExtend(R120:R124,X120:X124,AN120:AN124,AT120:AT124))</f>
        <v>1.2615383701438443E-2</v>
      </c>
      <c r="BJ120" s="56">
        <f>IF(OR(ISBLANK(R120:R124),ISBLANK(AN120:AN124),ISBLANK(Y120:Y124),ISBLANK(AU120:AU124)),"·",bdRateExtend(R120:R124,Y120:Y124,AN120:AN124,AU120:AU124))</f>
        <v>1.2615383701438443E-2</v>
      </c>
      <c r="BK120" s="56">
        <f>IF(OR(ISBLANK(R120:R124),ISBLANK(AN120:AN124),ISBLANK(Z120:Z124),ISBLANK(AV120:AV124)),"·",bdRateExtend(R120:R124,Z120:Z124,AN120:AN124,AV120:AV124))</f>
        <v>1.2615383701438443E-2</v>
      </c>
      <c r="BL120" s="62"/>
      <c r="BN120" s="56">
        <f>IF(OR(ISBLANK(P120:P124),ISBLANK(AL120:AL124),ISBLANK(T120:T124),ISBLANK(AP120:AP124)),"·",bdRateExtend(P120:P124,T120:T124,AL120:AL124,AP120:AP124))</f>
        <v>-2.3060566208643607E-4</v>
      </c>
      <c r="BO120" s="56">
        <f>IF(OR(ISBLANK(P120:P124),ISBLANK(AL120:AL124),ISBLANK(U120:U124),ISBLANK(AQ120:AQ124)),"·",bdRateExtend(P120:P124,U120:U124,AL120:AL124,AQ120:AQ124))</f>
        <v>-4.0174458345010322E-4</v>
      </c>
      <c r="BP120" s="56">
        <f>IF(OR(ISBLANK(P120:P124),ISBLANK(AL120:AL124),ISBLANK(V120:V124),ISBLANK(AR120:AR124)),"·",bdRateExtend(P120:P124,V120:V124,AL120:AL124,AR120:AR124))</f>
        <v>-2.1518721730751089E-4</v>
      </c>
      <c r="BQ120" s="62"/>
      <c r="BS120" s="56">
        <f>IF(OR(ISBLANK(P120:P124),ISBLANK(AL120:AL124),ISBLANK(X120:X124),ISBLANK(AT120:AT124)),"·",bdRateExtend(P120:P124,X120:X124,AL120:AL124,AT120:AT124))</f>
        <v>1.7030060562590599E-3</v>
      </c>
      <c r="BT120" s="56">
        <f>IF(OR(ISBLANK(P120:P124),ISBLANK(AL120:AL124),ISBLANK(Y120:Y124),ISBLANK(AU120:AU124)),"·",bdRateExtend(P120:P124,Y120:Y124,AL120:AL124,AU120:AU124))</f>
        <v>1.7030060562590599E-3</v>
      </c>
      <c r="BU120" s="56">
        <f>IF(OR(ISBLANK(P120:P124),ISBLANK(AL120:AL124),ISBLANK(Z120:Z124),ISBLANK(AV120:AV124)),"·",bdRateExtend(P120:P124,Z120:Z124,AL120:AL124,AV120:AV124))</f>
        <v>1.7030060562590599E-3</v>
      </c>
      <c r="BV120" s="62"/>
      <c r="BX120">
        <f t="shared" si="36"/>
        <v>0</v>
      </c>
      <c r="BY120">
        <f t="shared" si="37"/>
        <v>129616</v>
      </c>
      <c r="BZ120">
        <f t="shared" si="38"/>
        <v>0</v>
      </c>
      <c r="CA120">
        <f t="shared" si="39"/>
        <v>129616</v>
      </c>
      <c r="CB120">
        <f t="shared" si="40"/>
        <v>0</v>
      </c>
      <c r="CC120">
        <f t="shared" si="41"/>
        <v>0.216700000000003</v>
      </c>
      <c r="CD120">
        <f t="shared" si="42"/>
        <v>0.2313000000000045</v>
      </c>
      <c r="CE120">
        <f t="shared" si="43"/>
        <v>0.21629999999999683</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43.946983833283682</v>
      </c>
      <c r="K121" s="18">
        <f t="shared" si="27"/>
        <v>34.420867765355247</v>
      </c>
      <c r="L121" s="18">
        <f t="shared" si="28"/>
        <v>9.5256038344335892</v>
      </c>
      <c r="M121" s="19"/>
      <c r="N121" s="18">
        <f t="shared" si="29"/>
        <v>43.946983833283682</v>
      </c>
      <c r="O121" s="20">
        <v>1530552</v>
      </c>
      <c r="P121" s="21">
        <v>67263144</v>
      </c>
      <c r="Q121" s="21">
        <v>52682928</v>
      </c>
      <c r="R121" s="21">
        <v>14579432</v>
      </c>
      <c r="S121" s="37"/>
      <c r="T121" s="38">
        <v>48.578200000000002</v>
      </c>
      <c r="U121" s="38">
        <v>50.421100000000003</v>
      </c>
      <c r="V121" s="38">
        <v>50.096800000000002</v>
      </c>
      <c r="W121" s="39"/>
      <c r="X121" s="38">
        <v>42.110199999999999</v>
      </c>
      <c r="Y121" s="38">
        <v>42.110199999999999</v>
      </c>
      <c r="Z121" s="38">
        <v>42.110199999999999</v>
      </c>
      <c r="AA121" s="39"/>
      <c r="AB121" s="49">
        <v>6.5</v>
      </c>
      <c r="AC121" s="49">
        <v>5.343</v>
      </c>
      <c r="AE121" s="17" t="str">
        <f t="shared" si="30"/>
        <v>·</v>
      </c>
      <c r="AF121" s="18">
        <f t="shared" si="31"/>
        <v>44.001097643203238</v>
      </c>
      <c r="AG121" s="18">
        <f t="shared" si="32"/>
        <v>34.420867765355247</v>
      </c>
      <c r="AH121" s="18">
        <f t="shared" si="33"/>
        <v>9.5797176443531491</v>
      </c>
      <c r="AI121" s="19"/>
      <c r="AJ121" s="18">
        <f t="shared" si="34"/>
        <v>44.001097643203238</v>
      </c>
      <c r="AK121" s="20">
        <v>1530552</v>
      </c>
      <c r="AL121" s="21">
        <v>67345968</v>
      </c>
      <c r="AM121" s="21">
        <v>52682928</v>
      </c>
      <c r="AN121" s="21">
        <v>14662256</v>
      </c>
      <c r="AO121" s="37"/>
      <c r="AP121" s="38">
        <v>48.755400000000002</v>
      </c>
      <c r="AQ121" s="38">
        <v>50.604999999999997</v>
      </c>
      <c r="AR121" s="38">
        <v>50.2624</v>
      </c>
      <c r="AS121" s="39"/>
      <c r="AT121" s="38">
        <v>42.110199999999999</v>
      </c>
      <c r="AU121" s="38">
        <v>42.110199999999999</v>
      </c>
      <c r="AV121" s="38">
        <v>42.110199999999999</v>
      </c>
      <c r="AW121" s="39"/>
      <c r="AX121" s="49">
        <v>6.5149999999999997</v>
      </c>
      <c r="AY121" s="49">
        <v>5.4530000000000003</v>
      </c>
      <c r="BA121" s="53">
        <f t="shared" si="35"/>
        <v>-9.6324628402266743E-4</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82824</v>
      </c>
      <c r="BZ121">
        <f t="shared" si="38"/>
        <v>0</v>
      </c>
      <c r="CA121">
        <f t="shared" si="39"/>
        <v>82824</v>
      </c>
      <c r="CB121">
        <f t="shared" si="40"/>
        <v>0</v>
      </c>
      <c r="CC121">
        <f t="shared" si="41"/>
        <v>0.17719999999999914</v>
      </c>
      <c r="CD121">
        <f t="shared" si="42"/>
        <v>0.18389999999999418</v>
      </c>
      <c r="CE121">
        <f t="shared" si="43"/>
        <v>0.16559999999999775</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41.055357805549896</v>
      </c>
      <c r="K122" s="23">
        <f t="shared" si="27"/>
        <v>34.420867765355247</v>
      </c>
      <c r="L122" s="23">
        <f t="shared" si="28"/>
        <v>6.6339778066998054</v>
      </c>
      <c r="M122" s="24"/>
      <c r="N122" s="23">
        <f t="shared" si="29"/>
        <v>41.055357805549896</v>
      </c>
      <c r="O122" s="25">
        <v>1530552</v>
      </c>
      <c r="P122" s="26">
        <v>62837360</v>
      </c>
      <c r="Q122" s="26">
        <v>52682928</v>
      </c>
      <c r="R122" s="26">
        <v>10153648</v>
      </c>
      <c r="S122" s="40"/>
      <c r="T122" s="41">
        <v>41.273000000000003</v>
      </c>
      <c r="U122" s="41">
        <v>44.249600000000001</v>
      </c>
      <c r="V122" s="41">
        <v>43.8962</v>
      </c>
      <c r="W122" s="42"/>
      <c r="X122" s="41">
        <v>34.151400000000002</v>
      </c>
      <c r="Y122" s="41">
        <v>34.151400000000002</v>
      </c>
      <c r="Z122" s="41">
        <v>34.151400000000002</v>
      </c>
      <c r="AA122" s="42"/>
      <c r="AB122" s="50">
        <v>6.468</v>
      </c>
      <c r="AC122" s="50">
        <v>5.3280000000000003</v>
      </c>
      <c r="AE122" s="22" t="str">
        <f t="shared" si="30"/>
        <v>·</v>
      </c>
      <c r="AF122" s="23">
        <f t="shared" si="31"/>
        <v>41.130138668924673</v>
      </c>
      <c r="AG122" s="23">
        <f t="shared" si="32"/>
        <v>34.420867765355247</v>
      </c>
      <c r="AH122" s="23">
        <f t="shared" si="33"/>
        <v>6.7087586700745874</v>
      </c>
      <c r="AI122" s="24"/>
      <c r="AJ122" s="23">
        <f t="shared" si="34"/>
        <v>41.130138668924673</v>
      </c>
      <c r="AK122" s="25">
        <v>1530552</v>
      </c>
      <c r="AL122" s="26">
        <v>62951816</v>
      </c>
      <c r="AM122" s="26">
        <v>52682928</v>
      </c>
      <c r="AN122" s="26">
        <v>10268104</v>
      </c>
      <c r="AO122" s="40"/>
      <c r="AP122" s="41">
        <v>41.4953</v>
      </c>
      <c r="AQ122" s="41">
        <v>44.453099999999999</v>
      </c>
      <c r="AR122" s="41">
        <v>44.077500000000001</v>
      </c>
      <c r="AS122" s="42"/>
      <c r="AT122" s="41">
        <v>34.151400000000002</v>
      </c>
      <c r="AU122" s="41">
        <v>34.151400000000002</v>
      </c>
      <c r="AV122" s="41">
        <v>34.151400000000002</v>
      </c>
      <c r="AW122" s="42"/>
      <c r="AX122" s="50">
        <v>6.4370000000000003</v>
      </c>
      <c r="AY122" s="50">
        <v>5.3120000000000003</v>
      </c>
      <c r="BA122" s="55">
        <f t="shared" si="35"/>
        <v>-1.524341504450466E-3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114456</v>
      </c>
      <c r="BZ122">
        <f t="shared" si="38"/>
        <v>0</v>
      </c>
      <c r="CA122">
        <f t="shared" si="39"/>
        <v>114456</v>
      </c>
      <c r="CB122">
        <f t="shared" si="40"/>
        <v>0</v>
      </c>
      <c r="CC122">
        <f t="shared" si="41"/>
        <v>0.22229999999999706</v>
      </c>
      <c r="CD122">
        <f t="shared" si="42"/>
        <v>0.20349999999999824</v>
      </c>
      <c r="CE122">
        <f t="shared" si="43"/>
        <v>0.18130000000000024</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38.91887371353603</v>
      </c>
      <c r="K123" s="18">
        <f t="shared" si="27"/>
        <v>34.420867765355247</v>
      </c>
      <c r="L123" s="18">
        <f t="shared" si="28"/>
        <v>4.4974937146859437</v>
      </c>
      <c r="M123" s="19"/>
      <c r="N123" s="18">
        <f t="shared" si="29"/>
        <v>38.91887371353603</v>
      </c>
      <c r="O123" s="20">
        <v>1530552</v>
      </c>
      <c r="P123" s="21">
        <v>59567360</v>
      </c>
      <c r="Q123" s="21">
        <v>52682928</v>
      </c>
      <c r="R123" s="21">
        <v>6883648</v>
      </c>
      <c r="S123" s="37"/>
      <c r="T123" s="38">
        <v>35.370800000000003</v>
      </c>
      <c r="U123" s="38">
        <v>39.532699999999998</v>
      </c>
      <c r="V123" s="38">
        <v>38.9251</v>
      </c>
      <c r="W123" s="39"/>
      <c r="X123" s="38">
        <v>28.130800000000001</v>
      </c>
      <c r="Y123" s="38">
        <v>28.130800000000001</v>
      </c>
      <c r="Z123" s="38">
        <v>28.130800000000001</v>
      </c>
      <c r="AA123" s="39"/>
      <c r="AB123" s="49">
        <v>6.343</v>
      </c>
      <c r="AC123" s="49">
        <v>5.25</v>
      </c>
      <c r="AE123" s="17" t="str">
        <f t="shared" si="30"/>
        <v>·</v>
      </c>
      <c r="AF123" s="18">
        <f t="shared" si="31"/>
        <v>38.989901682530224</v>
      </c>
      <c r="AG123" s="18">
        <f t="shared" si="32"/>
        <v>34.420867765355247</v>
      </c>
      <c r="AH123" s="18">
        <f t="shared" si="33"/>
        <v>4.5685216836801361</v>
      </c>
      <c r="AI123" s="19"/>
      <c r="AJ123" s="18">
        <f t="shared" si="34"/>
        <v>38.989901682530224</v>
      </c>
      <c r="AK123" s="20">
        <v>1530552</v>
      </c>
      <c r="AL123" s="21">
        <v>59676072</v>
      </c>
      <c r="AM123" s="21">
        <v>52682928</v>
      </c>
      <c r="AN123" s="21">
        <v>6992360</v>
      </c>
      <c r="AO123" s="37"/>
      <c r="AP123" s="38">
        <v>35.5807</v>
      </c>
      <c r="AQ123" s="38">
        <v>39.683199999999999</v>
      </c>
      <c r="AR123" s="38">
        <v>39.071800000000003</v>
      </c>
      <c r="AS123" s="39"/>
      <c r="AT123" s="38">
        <v>28.130800000000001</v>
      </c>
      <c r="AU123" s="38">
        <v>28.130800000000001</v>
      </c>
      <c r="AV123" s="38">
        <v>28.130800000000001</v>
      </c>
      <c r="AW123" s="39"/>
      <c r="AX123" s="49">
        <v>6.2960000000000003</v>
      </c>
      <c r="AY123" s="49">
        <v>5.3120000000000003</v>
      </c>
      <c r="BA123" s="53">
        <f t="shared" si="35"/>
        <v>-1.6111605063438006E-3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108712</v>
      </c>
      <c r="BZ123">
        <f t="shared" si="38"/>
        <v>0</v>
      </c>
      <c r="CA123">
        <f t="shared" si="39"/>
        <v>108712</v>
      </c>
      <c r="CB123">
        <f t="shared" si="40"/>
        <v>0</v>
      </c>
      <c r="CC123">
        <f t="shared" si="41"/>
        <v>0.20989999999999753</v>
      </c>
      <c r="CD123">
        <f t="shared" si="42"/>
        <v>0.15050000000000097</v>
      </c>
      <c r="CE123">
        <f t="shared" si="43"/>
        <v>0.14670000000000272</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37.016009910150061</v>
      </c>
      <c r="K124" s="33">
        <f t="shared" si="27"/>
        <v>34.420867765355247</v>
      </c>
      <c r="L124" s="33">
        <f t="shared" si="28"/>
        <v>2.5946299112999753</v>
      </c>
      <c r="M124" s="34"/>
      <c r="N124" s="33">
        <f t="shared" si="29"/>
        <v>37.016009910150061</v>
      </c>
      <c r="O124" s="35">
        <v>1530552</v>
      </c>
      <c r="P124" s="36">
        <v>56654928</v>
      </c>
      <c r="Q124" s="36">
        <v>52682928</v>
      </c>
      <c r="R124" s="36">
        <v>3971216</v>
      </c>
      <c r="S124" s="46"/>
      <c r="T124" s="47">
        <v>28.822500000000002</v>
      </c>
      <c r="U124" s="47">
        <v>35.377099999999999</v>
      </c>
      <c r="V124" s="47">
        <v>34.435000000000002</v>
      </c>
      <c r="W124" s="48"/>
      <c r="X124" s="47">
        <v>21.686399999999999</v>
      </c>
      <c r="Y124" s="47">
        <v>21.686399999999999</v>
      </c>
      <c r="Z124" s="47">
        <v>21.686399999999999</v>
      </c>
      <c r="AA124" s="48"/>
      <c r="AB124" s="52">
        <v>6.2960000000000003</v>
      </c>
      <c r="AC124" s="52">
        <v>5.2809999999999997</v>
      </c>
      <c r="AE124" s="32" t="str">
        <f t="shared" si="30"/>
        <v>·</v>
      </c>
      <c r="AF124" s="33">
        <f t="shared" si="31"/>
        <v>37.107516765193211</v>
      </c>
      <c r="AG124" s="33">
        <f t="shared" si="32"/>
        <v>34.420867765355247</v>
      </c>
      <c r="AH124" s="33">
        <f t="shared" si="33"/>
        <v>2.6861367663431235</v>
      </c>
      <c r="AI124" s="34"/>
      <c r="AJ124" s="33">
        <f t="shared" si="34"/>
        <v>37.107516765193211</v>
      </c>
      <c r="AK124" s="35">
        <v>1530552</v>
      </c>
      <c r="AL124" s="36">
        <v>56794984</v>
      </c>
      <c r="AM124" s="36">
        <v>52682928</v>
      </c>
      <c r="AN124" s="36">
        <v>4111272</v>
      </c>
      <c r="AO124" s="46"/>
      <c r="AP124" s="47">
        <v>29.069299999999998</v>
      </c>
      <c r="AQ124" s="47">
        <v>35.448700000000002</v>
      </c>
      <c r="AR124" s="47">
        <v>34.578699999999998</v>
      </c>
      <c r="AS124" s="48"/>
      <c r="AT124" s="47">
        <v>21.686399999999999</v>
      </c>
      <c r="AU124" s="47">
        <v>21.686399999999999</v>
      </c>
      <c r="AV124" s="47">
        <v>21.686399999999999</v>
      </c>
      <c r="AW124" s="48"/>
      <c r="AX124" s="52">
        <v>6.3120000000000003</v>
      </c>
      <c r="AY124" s="52">
        <v>5.359</v>
      </c>
      <c r="BA124" s="59">
        <f t="shared" si="35"/>
        <v>-2.2931050424446209E-3</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140056</v>
      </c>
      <c r="BZ124">
        <f t="shared" si="38"/>
        <v>0</v>
      </c>
      <c r="CA124">
        <f t="shared" si="39"/>
        <v>140056</v>
      </c>
      <c r="CB124">
        <f t="shared" si="40"/>
        <v>0</v>
      </c>
      <c r="CC124">
        <f t="shared" si="41"/>
        <v>0.2467999999999968</v>
      </c>
      <c r="CD124">
        <f t="shared" si="42"/>
        <v>7.1600000000003661E-2</v>
      </c>
      <c r="CE124">
        <f t="shared" si="43"/>
        <v>0.1436999999999955</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41.136210114819448</v>
      </c>
      <c r="K125" s="18">
        <f t="shared" si="27"/>
        <v>35.39316950812097</v>
      </c>
      <c r="L125" s="18">
        <f t="shared" si="28"/>
        <v>5.7410456600742972</v>
      </c>
      <c r="M125" s="19"/>
      <c r="N125" s="18">
        <f t="shared" si="29"/>
        <v>41.136210114819448</v>
      </c>
      <c r="O125" s="20">
        <v>272689</v>
      </c>
      <c r="P125" s="21">
        <v>11217392</v>
      </c>
      <c r="Q125" s="21">
        <v>9651328</v>
      </c>
      <c r="R125" s="21">
        <v>1565520</v>
      </c>
      <c r="S125" s="37"/>
      <c r="T125" s="38">
        <v>52.9039</v>
      </c>
      <c r="U125" s="38">
        <v>54.744900000000001</v>
      </c>
      <c r="V125" s="38">
        <v>56.314999999999998</v>
      </c>
      <c r="W125" s="39"/>
      <c r="X125" s="38">
        <v>48.130800000000001</v>
      </c>
      <c r="Y125" s="38">
        <v>48.130800000000001</v>
      </c>
      <c r="Z125" s="38">
        <v>48.130800000000001</v>
      </c>
      <c r="AA125" s="39"/>
      <c r="AB125" s="49">
        <v>1.0780000000000001</v>
      </c>
      <c r="AC125" s="49">
        <v>0.95299999999999996</v>
      </c>
      <c r="AE125" s="17" t="str">
        <f t="shared" si="30"/>
        <v>·</v>
      </c>
      <c r="AF125" s="18">
        <f t="shared" si="31"/>
        <v>41.141872242738067</v>
      </c>
      <c r="AG125" s="18">
        <f t="shared" si="32"/>
        <v>35.39316950812097</v>
      </c>
      <c r="AH125" s="18">
        <f t="shared" si="33"/>
        <v>5.7467077879929152</v>
      </c>
      <c r="AI125" s="19"/>
      <c r="AJ125" s="18">
        <f t="shared" si="34"/>
        <v>41.141872242738067</v>
      </c>
      <c r="AK125" s="20">
        <v>272689</v>
      </c>
      <c r="AL125" s="21">
        <v>11218936</v>
      </c>
      <c r="AM125" s="21">
        <v>9651328</v>
      </c>
      <c r="AN125" s="21">
        <v>1567064</v>
      </c>
      <c r="AO125" s="37"/>
      <c r="AP125" s="38">
        <v>52.918799999999997</v>
      </c>
      <c r="AQ125" s="38">
        <v>54.755800000000001</v>
      </c>
      <c r="AR125" s="38">
        <v>56.319099999999999</v>
      </c>
      <c r="AS125" s="39"/>
      <c r="AT125" s="38">
        <v>48.130800000000001</v>
      </c>
      <c r="AU125" s="38">
        <v>48.130800000000001</v>
      </c>
      <c r="AV125" s="38">
        <v>48.130800000000001</v>
      </c>
      <c r="AW125" s="39"/>
      <c r="AX125" s="49">
        <v>1.0620000000000001</v>
      </c>
      <c r="AY125" s="49">
        <v>0.95299999999999996</v>
      </c>
      <c r="BA125" s="53">
        <f t="shared" si="35"/>
        <v>-1.1841066058260186E-4</v>
      </c>
      <c r="BB125" s="53">
        <f t="array" ref="BB125">AVERAGE(AM125:AM129/AL125:AL129)-AVERAGE(Q125:Q129/P125:P129)</f>
        <v>-2.797291340850272E-5</v>
      </c>
      <c r="BD125" s="54">
        <f>IF(OR(ISBLANK(R125:R129),ISBLANK(AN125:AN129),ISBLANK(T125:T129),ISBLANK(AP125:AP129)),"·",bdRateExtend(R125:R129,T125:T129,AN125:AN129,AP125:AP129))</f>
        <v>-5.1733702922884817E-3</v>
      </c>
      <c r="BE125" s="54">
        <f>IF(OR(ISBLANK(R125:R129),ISBLANK(AN125:AN129),ISBLANK(U125:U129),ISBLANK(AQ125:AQ129)),"·",bdRateExtend(R125:R129,U125:U129,AN125:AN129,AQ125:AQ129))</f>
        <v>-2.5323760289851727E-2</v>
      </c>
      <c r="BF125" s="54">
        <f>IF(OR(ISBLANK(R125:R129),ISBLANK(AN125:AN129),ISBLANK(V125:V129),ISBLANK(AR125:AR129)),"·",bdRateExtend(R125:R129,V125:V129,AN125:AN129,AR125:AR129))</f>
        <v>-3.2336998223133628E-3</v>
      </c>
      <c r="BG125" s="61"/>
      <c r="BI125" s="54">
        <f>IF(OR(ISBLANK(R125:R129),ISBLANK(AN125:AN129),ISBLANK(X125:X129),ISBLANK(AT125:AT129)),"·",bdRateExtend(R125:R129,X125:X129,AN125:AN129,AT125:AT129))</f>
        <v>-4.0627592933406564E-4</v>
      </c>
      <c r="BJ125" s="54">
        <f>IF(OR(ISBLANK(R125:R129),ISBLANK(AN125:AN129),ISBLANK(Y125:Y129),ISBLANK(AU125:AU129)),"·",bdRateExtend(R125:R129,Y125:Y129,AN125:AN129,AU125:AU129))</f>
        <v>-4.0627592933406564E-4</v>
      </c>
      <c r="BK125" s="54">
        <f>IF(OR(ISBLANK(R125:R129),ISBLANK(AN125:AN129),ISBLANK(Z125:Z129),ISBLANK(AV125:AV129)),"·",bdRateExtend(R125:R129,Z125:Z129,AN125:AN129,AV125:AV129))</f>
        <v>-4.0627592933406564E-4</v>
      </c>
      <c r="BL125" s="61"/>
      <c r="BN125" s="54">
        <f>IF(OR(ISBLANK(P125:P129),ISBLANK(AL125:AL129),ISBLANK(T125:T129),ISBLANK(AP125:AP129)),"·",bdRateExtend(P125:P129,T125:T129,AL125:AL129,AP125:AP129))</f>
        <v>-9.5336858862427043E-5</v>
      </c>
      <c r="BO125" s="54">
        <f>IF(OR(ISBLANK(P125:P129),ISBLANK(AL125:AL129),ISBLANK(U125:U129),ISBLANK(AQ125:AQ129)),"·",bdRateExtend(P125:P129,U125:U129,AL125:AL129,AQ125:AQ129))</f>
        <v>-2.9175469363751372E-4</v>
      </c>
      <c r="BP125" s="54">
        <f>IF(OR(ISBLANK(P125:P129),ISBLANK(AL125:AL129),ISBLANK(V125:V129),ISBLANK(AR125:AR129)),"·",bdRateExtend(P125:P129,V125:V129,AL125:AL129,AR125:AR129))</f>
        <v>-6.9964701402969176E-5</v>
      </c>
      <c r="BQ125" s="61"/>
      <c r="BS125" s="54">
        <f>IF(OR(ISBLANK(P125:P129),ISBLANK(AL125:AL129),ISBLANK(X125:X129),ISBLANK(AT125:AT129)),"·",bdRateExtend(P125:P129,X125:X129,AL125:AL129,AT125:AT129))</f>
        <v>4.3687646330781149E-5</v>
      </c>
      <c r="BT125" s="54">
        <f>IF(OR(ISBLANK(P125:P129),ISBLANK(AL125:AL129),ISBLANK(Y125:Y129),ISBLANK(AU125:AU129)),"·",bdRateExtend(P125:P129,Y125:Y129,AL125:AL129,AU125:AU129))</f>
        <v>4.3687646330781149E-5</v>
      </c>
      <c r="BU125" s="54">
        <f>IF(OR(ISBLANK(P125:P129),ISBLANK(AL125:AL129),ISBLANK(Z125:Z129),ISBLANK(AV125:AV129)),"·",bdRateExtend(P125:P129,Z125:Z129,AL125:AL129,AV125:AV129))</f>
        <v>4.3687646330781149E-5</v>
      </c>
      <c r="BV125" s="61"/>
      <c r="BX125">
        <f t="shared" si="36"/>
        <v>0</v>
      </c>
      <c r="BY125">
        <f t="shared" si="37"/>
        <v>1544</v>
      </c>
      <c r="BZ125">
        <f t="shared" si="38"/>
        <v>0</v>
      </c>
      <c r="CA125">
        <f t="shared" si="39"/>
        <v>1544</v>
      </c>
      <c r="CB125">
        <f t="shared" si="40"/>
        <v>0</v>
      </c>
      <c r="CC125">
        <f t="shared" si="41"/>
        <v>1.4899999999997249E-2</v>
      </c>
      <c r="CD125">
        <f t="shared" si="42"/>
        <v>1.0899999999999466E-2</v>
      </c>
      <c r="CE125">
        <f t="shared" si="43"/>
        <v>4.1000000000011028E-3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39.188350098463815</v>
      </c>
      <c r="K126" s="23">
        <f t="shared" si="27"/>
        <v>35.39316950812097</v>
      </c>
      <c r="L126" s="23">
        <f t="shared" si="28"/>
        <v>3.7931856437186684</v>
      </c>
      <c r="M126" s="24"/>
      <c r="N126" s="23">
        <f t="shared" si="29"/>
        <v>39.188350098463815</v>
      </c>
      <c r="O126" s="25">
        <v>272689</v>
      </c>
      <c r="P126" s="26">
        <v>10686232</v>
      </c>
      <c r="Q126" s="26">
        <v>9651328</v>
      </c>
      <c r="R126" s="26">
        <v>1034360</v>
      </c>
      <c r="S126" s="40"/>
      <c r="T126" s="41">
        <v>48.247100000000003</v>
      </c>
      <c r="U126" s="41">
        <v>51.241500000000002</v>
      </c>
      <c r="V126" s="41">
        <v>51.026200000000003</v>
      </c>
      <c r="W126" s="42"/>
      <c r="X126" s="41">
        <v>42.110199999999999</v>
      </c>
      <c r="Y126" s="41">
        <v>42.110199999999999</v>
      </c>
      <c r="Z126" s="41">
        <v>42.110199999999999</v>
      </c>
      <c r="AA126" s="42"/>
      <c r="AB126" s="50">
        <v>1.046</v>
      </c>
      <c r="AC126" s="50">
        <v>0.93700000000000006</v>
      </c>
      <c r="AE126" s="22" t="str">
        <f t="shared" si="30"/>
        <v>·</v>
      </c>
      <c r="AF126" s="23">
        <f t="shared" si="31"/>
        <v>39.191049143896528</v>
      </c>
      <c r="AG126" s="23">
        <f t="shared" si="32"/>
        <v>35.39316950812097</v>
      </c>
      <c r="AH126" s="23">
        <f t="shared" si="33"/>
        <v>3.7958846891513778</v>
      </c>
      <c r="AI126" s="24"/>
      <c r="AJ126" s="23">
        <f t="shared" si="34"/>
        <v>39.191049143896528</v>
      </c>
      <c r="AK126" s="25">
        <v>272689</v>
      </c>
      <c r="AL126" s="26">
        <v>10686968</v>
      </c>
      <c r="AM126" s="26">
        <v>9651328</v>
      </c>
      <c r="AN126" s="26">
        <v>1035096</v>
      </c>
      <c r="AO126" s="40"/>
      <c r="AP126" s="41">
        <v>48.257199999999997</v>
      </c>
      <c r="AQ126" s="41">
        <v>51.241599999999998</v>
      </c>
      <c r="AR126" s="41">
        <v>51.031300000000002</v>
      </c>
      <c r="AS126" s="42"/>
      <c r="AT126" s="41">
        <v>42.110199999999999</v>
      </c>
      <c r="AU126" s="41">
        <v>42.110199999999999</v>
      </c>
      <c r="AV126" s="41">
        <v>42.110199999999999</v>
      </c>
      <c r="AW126" s="42"/>
      <c r="AX126" s="50">
        <v>1.046</v>
      </c>
      <c r="AY126" s="50">
        <v>0.90600000000000003</v>
      </c>
      <c r="BA126" s="55">
        <f t="shared" si="35"/>
        <v>-6.2199340823521077E-5</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736</v>
      </c>
      <c r="BZ126">
        <f t="shared" si="38"/>
        <v>0</v>
      </c>
      <c r="CA126">
        <f t="shared" si="39"/>
        <v>736</v>
      </c>
      <c r="CB126">
        <f t="shared" si="40"/>
        <v>0</v>
      </c>
      <c r="CC126">
        <f t="shared" si="41"/>
        <v>1.0099999999994225E-2</v>
      </c>
      <c r="CD126">
        <f t="shared" si="42"/>
        <v>9.9999999996214228E-5</v>
      </c>
      <c r="CE126">
        <f t="shared" si="43"/>
        <v>5.0999999999987722E-3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37.232216921107927</v>
      </c>
      <c r="K127" s="18">
        <f t="shared" si="27"/>
        <v>35.39316950812097</v>
      </c>
      <c r="L127" s="18">
        <f t="shared" si="28"/>
        <v>1.8370524663627796</v>
      </c>
      <c r="M127" s="19"/>
      <c r="N127" s="18">
        <f t="shared" si="29"/>
        <v>37.232216921107927</v>
      </c>
      <c r="O127" s="20">
        <v>272689</v>
      </c>
      <c r="P127" s="21">
        <v>10152816</v>
      </c>
      <c r="Q127" s="21">
        <v>9651328</v>
      </c>
      <c r="R127" s="21">
        <v>500944</v>
      </c>
      <c r="S127" s="37"/>
      <c r="T127" s="38">
        <v>41.389600000000002</v>
      </c>
      <c r="U127" s="38">
        <v>46.273899999999998</v>
      </c>
      <c r="V127" s="38">
        <v>46.037399999999998</v>
      </c>
      <c r="W127" s="39"/>
      <c r="X127" s="38">
        <v>34.151400000000002</v>
      </c>
      <c r="Y127" s="38">
        <v>34.151400000000002</v>
      </c>
      <c r="Z127" s="38">
        <v>34.151400000000002</v>
      </c>
      <c r="AA127" s="39"/>
      <c r="AB127" s="49">
        <v>1.093</v>
      </c>
      <c r="AC127" s="49">
        <v>0.90600000000000003</v>
      </c>
      <c r="AE127" s="17" t="str">
        <f t="shared" si="30"/>
        <v>·</v>
      </c>
      <c r="AF127" s="18">
        <f t="shared" si="31"/>
        <v>37.234974641441347</v>
      </c>
      <c r="AG127" s="18">
        <f t="shared" si="32"/>
        <v>35.39316950812097</v>
      </c>
      <c r="AH127" s="18">
        <f t="shared" si="33"/>
        <v>1.8398101866961998</v>
      </c>
      <c r="AI127" s="19"/>
      <c r="AJ127" s="18">
        <f t="shared" si="34"/>
        <v>37.234974641441347</v>
      </c>
      <c r="AK127" s="20">
        <v>272689</v>
      </c>
      <c r="AL127" s="21">
        <v>10153568</v>
      </c>
      <c r="AM127" s="21">
        <v>9651328</v>
      </c>
      <c r="AN127" s="21">
        <v>501696</v>
      </c>
      <c r="AO127" s="37"/>
      <c r="AP127" s="38">
        <v>41.4221</v>
      </c>
      <c r="AQ127" s="38">
        <v>46.288600000000002</v>
      </c>
      <c r="AR127" s="38">
        <v>46.078499999999998</v>
      </c>
      <c r="AS127" s="39"/>
      <c r="AT127" s="38">
        <v>34.151400000000002</v>
      </c>
      <c r="AU127" s="38">
        <v>34.151400000000002</v>
      </c>
      <c r="AV127" s="38">
        <v>34.151400000000002</v>
      </c>
      <c r="AW127" s="39"/>
      <c r="AX127" s="49">
        <v>1.0620000000000001</v>
      </c>
      <c r="AY127" s="49">
        <v>0.92100000000000004</v>
      </c>
      <c r="BA127" s="53">
        <f t="shared" si="35"/>
        <v>-7.0404386549927089E-5</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752</v>
      </c>
      <c r="BZ127">
        <f t="shared" si="38"/>
        <v>0</v>
      </c>
      <c r="CA127">
        <f t="shared" si="39"/>
        <v>752</v>
      </c>
      <c r="CB127">
        <f t="shared" si="40"/>
        <v>0</v>
      </c>
      <c r="CC127">
        <f t="shared" si="41"/>
        <v>3.2499999999998863E-2</v>
      </c>
      <c r="CD127">
        <f t="shared" si="42"/>
        <v>1.470000000000482E-2</v>
      </c>
      <c r="CE127">
        <f t="shared" si="43"/>
        <v>4.1100000000000136E-2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36.275904051868615</v>
      </c>
      <c r="K128" s="23">
        <f t="shared" si="27"/>
        <v>35.39316950812097</v>
      </c>
      <c r="L128" s="23">
        <f t="shared" si="28"/>
        <v>0.88073959712346295</v>
      </c>
      <c r="M128" s="24"/>
      <c r="N128" s="23">
        <f t="shared" si="29"/>
        <v>36.275904051868615</v>
      </c>
      <c r="O128" s="25">
        <v>272689</v>
      </c>
      <c r="P128" s="26">
        <v>9892040</v>
      </c>
      <c r="Q128" s="26">
        <v>9651328</v>
      </c>
      <c r="R128" s="26">
        <v>240168</v>
      </c>
      <c r="S128" s="40"/>
      <c r="T128" s="41">
        <v>36.050400000000003</v>
      </c>
      <c r="U128" s="41">
        <v>42.1922</v>
      </c>
      <c r="V128" s="41">
        <v>41.490900000000003</v>
      </c>
      <c r="W128" s="42"/>
      <c r="X128" s="41">
        <v>28.130800000000001</v>
      </c>
      <c r="Y128" s="41">
        <v>28.130800000000001</v>
      </c>
      <c r="Z128" s="41">
        <v>28.130800000000001</v>
      </c>
      <c r="AA128" s="42"/>
      <c r="AB128" s="50">
        <v>1.0620000000000001</v>
      </c>
      <c r="AC128" s="50">
        <v>0.90600000000000003</v>
      </c>
      <c r="AE128" s="22" t="str">
        <f t="shared" si="30"/>
        <v>·</v>
      </c>
      <c r="AF128" s="23">
        <f t="shared" si="31"/>
        <v>36.276549475776434</v>
      </c>
      <c r="AG128" s="23">
        <f t="shared" si="32"/>
        <v>35.39316950812097</v>
      </c>
      <c r="AH128" s="23">
        <f t="shared" si="33"/>
        <v>0.88138502103128469</v>
      </c>
      <c r="AI128" s="24"/>
      <c r="AJ128" s="23">
        <f t="shared" si="34"/>
        <v>36.276549475776434</v>
      </c>
      <c r="AK128" s="25">
        <v>272689</v>
      </c>
      <c r="AL128" s="26">
        <v>9892216</v>
      </c>
      <c r="AM128" s="26">
        <v>9651328</v>
      </c>
      <c r="AN128" s="26">
        <v>240344</v>
      </c>
      <c r="AO128" s="40"/>
      <c r="AP128" s="41">
        <v>36.074199999999998</v>
      </c>
      <c r="AQ128" s="41">
        <v>42.289000000000001</v>
      </c>
      <c r="AR128" s="41">
        <v>41.503799999999998</v>
      </c>
      <c r="AS128" s="42"/>
      <c r="AT128" s="41">
        <v>28.130800000000001</v>
      </c>
      <c r="AU128" s="41">
        <v>28.130800000000001</v>
      </c>
      <c r="AV128" s="41">
        <v>28.130800000000001</v>
      </c>
      <c r="AW128" s="42"/>
      <c r="AX128" s="50">
        <v>1.093</v>
      </c>
      <c r="AY128" s="50">
        <v>0.93700000000000006</v>
      </c>
      <c r="BA128" s="55">
        <f t="shared" si="35"/>
        <v>-1.7358823547364288E-5</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176</v>
      </c>
      <c r="BZ128">
        <f t="shared" si="38"/>
        <v>0</v>
      </c>
      <c r="CA128">
        <f t="shared" si="39"/>
        <v>176</v>
      </c>
      <c r="CB128">
        <f t="shared" si="40"/>
        <v>0</v>
      </c>
      <c r="CC128">
        <f t="shared" si="41"/>
        <v>2.379999999999427E-2</v>
      </c>
      <c r="CD128">
        <f t="shared" si="42"/>
        <v>9.6800000000001774E-2</v>
      </c>
      <c r="CE128">
        <f t="shared" si="43"/>
        <v>1.2899999999994805E-2</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35.732339771681289</v>
      </c>
      <c r="K129" s="28">
        <f t="shared" si="27"/>
        <v>35.39316950812097</v>
      </c>
      <c r="L129" s="28">
        <f t="shared" si="28"/>
        <v>0.33717531693614339</v>
      </c>
      <c r="M129" s="29"/>
      <c r="N129" s="28">
        <f t="shared" si="29"/>
        <v>35.732339771681289</v>
      </c>
      <c r="O129" s="30">
        <v>272689</v>
      </c>
      <c r="P129" s="31">
        <v>9743816</v>
      </c>
      <c r="Q129" s="31">
        <v>9651328</v>
      </c>
      <c r="R129" s="31">
        <v>91944</v>
      </c>
      <c r="S129" s="43"/>
      <c r="T129" s="44">
        <v>30.096900000000002</v>
      </c>
      <c r="U129" s="44">
        <v>35.934399999999997</v>
      </c>
      <c r="V129" s="44">
        <v>37.231099999999998</v>
      </c>
      <c r="W129" s="45"/>
      <c r="X129" s="44">
        <v>21.686399999999999</v>
      </c>
      <c r="Y129" s="44">
        <v>21.686399999999999</v>
      </c>
      <c r="Z129" s="44">
        <v>21.686399999999999</v>
      </c>
      <c r="AA129" s="45"/>
      <c r="AB129" s="51">
        <v>1.0620000000000001</v>
      </c>
      <c r="AC129" s="51">
        <v>0.875</v>
      </c>
      <c r="AE129" s="27" t="str">
        <f t="shared" si="30"/>
        <v>·</v>
      </c>
      <c r="AF129" s="28">
        <f t="shared" si="31"/>
        <v>35.727704454525117</v>
      </c>
      <c r="AG129" s="28">
        <f t="shared" si="32"/>
        <v>35.39316950812097</v>
      </c>
      <c r="AH129" s="28">
        <f t="shared" si="33"/>
        <v>0.33253999977996912</v>
      </c>
      <c r="AI129" s="29"/>
      <c r="AJ129" s="28">
        <f t="shared" si="34"/>
        <v>35.727704454525117</v>
      </c>
      <c r="AK129" s="30">
        <v>272689</v>
      </c>
      <c r="AL129" s="31">
        <v>9742552</v>
      </c>
      <c r="AM129" s="31">
        <v>9651328</v>
      </c>
      <c r="AN129" s="31">
        <v>90680</v>
      </c>
      <c r="AO129" s="43"/>
      <c r="AP129" s="44">
        <v>30.234000000000002</v>
      </c>
      <c r="AQ129" s="44">
        <v>37.116999999999997</v>
      </c>
      <c r="AR129" s="44">
        <v>37.2607</v>
      </c>
      <c r="AS129" s="45"/>
      <c r="AT129" s="44">
        <v>21.686399999999999</v>
      </c>
      <c r="AU129" s="44">
        <v>21.686399999999999</v>
      </c>
      <c r="AV129" s="44">
        <v>21.686399999999999</v>
      </c>
      <c r="AW129" s="45"/>
      <c r="AX129" s="51">
        <v>1.0780000000000001</v>
      </c>
      <c r="AY129" s="51">
        <v>0.92100000000000004</v>
      </c>
      <c r="BA129" s="57">
        <f t="shared" si="35"/>
        <v>1.2850864446078969E-4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-1264</v>
      </c>
      <c r="BZ129">
        <f t="shared" si="38"/>
        <v>0</v>
      </c>
      <c r="CA129">
        <f t="shared" si="39"/>
        <v>-1264</v>
      </c>
      <c r="CB129">
        <f t="shared" si="40"/>
        <v>0</v>
      </c>
      <c r="CC129">
        <f t="shared" si="41"/>
        <v>0.13710000000000022</v>
      </c>
      <c r="CD129">
        <f t="shared" si="42"/>
        <v>1.1826000000000008</v>
      </c>
      <c r="CE129">
        <f t="shared" si="43"/>
        <v>2.9600000000002069E-2</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36.609371237499921</v>
      </c>
      <c r="K130" s="23">
        <f t="shared" si="27"/>
        <v>28.597982520165441</v>
      </c>
      <c r="L130" s="23">
        <f t="shared" si="28"/>
        <v>8.0109994447875525</v>
      </c>
      <c r="M130" s="24"/>
      <c r="N130" s="23">
        <f t="shared" si="29"/>
        <v>36.609371237499921</v>
      </c>
      <c r="O130" s="25">
        <v>1602990</v>
      </c>
      <c r="P130" s="26">
        <v>58684456</v>
      </c>
      <c r="Q130" s="26">
        <v>45842280</v>
      </c>
      <c r="R130" s="26">
        <v>12841552</v>
      </c>
      <c r="S130" s="40"/>
      <c r="T130" s="41">
        <v>53.436599999999999</v>
      </c>
      <c r="U130" s="41">
        <v>55.376800000000003</v>
      </c>
      <c r="V130" s="41">
        <v>54.7455</v>
      </c>
      <c r="W130" s="42"/>
      <c r="X130" s="41">
        <v>48.130800000000001</v>
      </c>
      <c r="Y130" s="41">
        <v>48.130800000000001</v>
      </c>
      <c r="Z130" s="41">
        <v>48.130800000000001</v>
      </c>
      <c r="AA130" s="42"/>
      <c r="AB130" s="50">
        <v>6.2960000000000003</v>
      </c>
      <c r="AC130" s="50">
        <v>5.468</v>
      </c>
      <c r="AE130" s="22" t="str">
        <f t="shared" si="30"/>
        <v>·</v>
      </c>
      <c r="AF130" s="23">
        <f t="shared" si="31"/>
        <v>36.639809356265481</v>
      </c>
      <c r="AG130" s="23">
        <f t="shared" si="32"/>
        <v>28.597982520165441</v>
      </c>
      <c r="AH130" s="23">
        <f t="shared" si="33"/>
        <v>8.0414375635531101</v>
      </c>
      <c r="AI130" s="24"/>
      <c r="AJ130" s="23">
        <f t="shared" si="34"/>
        <v>36.639809356265481</v>
      </c>
      <c r="AK130" s="25">
        <v>1602990</v>
      </c>
      <c r="AL130" s="26">
        <v>58733248</v>
      </c>
      <c r="AM130" s="26">
        <v>45842280</v>
      </c>
      <c r="AN130" s="26">
        <v>12890344</v>
      </c>
      <c r="AO130" s="40"/>
      <c r="AP130" s="41">
        <v>53.496099999999998</v>
      </c>
      <c r="AQ130" s="41">
        <v>55.466200000000001</v>
      </c>
      <c r="AR130" s="41">
        <v>54.8352</v>
      </c>
      <c r="AS130" s="42"/>
      <c r="AT130" s="41">
        <v>48.130800000000001</v>
      </c>
      <c r="AU130" s="41">
        <v>48.130800000000001</v>
      </c>
      <c r="AV130" s="41">
        <v>48.130800000000001</v>
      </c>
      <c r="AW130" s="42"/>
      <c r="AX130" s="50">
        <v>6.343</v>
      </c>
      <c r="AY130" s="50">
        <v>5.5149999999999997</v>
      </c>
      <c r="BA130" s="55">
        <f t="shared" si="35"/>
        <v>-6.4894475755317149E-4</v>
      </c>
      <c r="BB130" s="55">
        <f t="array" ref="BB130">AVERAGE(AM130:AM134/AL130:AL134)-AVERAGE(Q130:Q134/P130:P134)</f>
        <v>-3.1277969828347185E-4</v>
      </c>
      <c r="BD130" s="56">
        <f>IF(OR(ISBLANK(R130:R134),ISBLANK(AN130:AN134),ISBLANK(T130:T134),ISBLANK(AP130:AP134)),"·",bdRateExtend(R130:R134,T130:T134,AN130:AN134,AP130:AP134))</f>
        <v>-2.6990272074782773E-3</v>
      </c>
      <c r="BE130" s="56">
        <f>IF(OR(ISBLANK(R130:R134),ISBLANK(AN130:AN134),ISBLANK(U130:U134),ISBLANK(AQ130:AQ134)),"·",bdRateExtend(R130:R134,U130:U134,AN130:AN134,AQ130:AQ134))</f>
        <v>-1.084030892746024E-2</v>
      </c>
      <c r="BF130" s="56">
        <f>IF(OR(ISBLANK(R130:R134),ISBLANK(AN130:AN134),ISBLANK(V130:V134),ISBLANK(AR130:AR134)),"·",bdRateExtend(R130:R134,V130:V134,AN130:AN134,AR130:AR134))</f>
        <v>-1.1076181950943509E-2</v>
      </c>
      <c r="BG130" s="62"/>
      <c r="BI130" s="56">
        <f>IF(OR(ISBLANK(R130:R134),ISBLANK(AN130:AN134),ISBLANK(X130:X134),ISBLANK(AT130:AT134)),"·",bdRateExtend(R130:R134,X130:X134,AN130:AN134,AT130:AT134))</f>
        <v>2.8273006449408555E-3</v>
      </c>
      <c r="BJ130" s="56">
        <f>IF(OR(ISBLANK(R130:R134),ISBLANK(AN130:AN134),ISBLANK(Y130:Y134),ISBLANK(AU130:AU134)),"·",bdRateExtend(R130:R134,Y130:Y134,AN130:AN134,AU130:AU134))</f>
        <v>2.8273006449408555E-3</v>
      </c>
      <c r="BK130" s="56">
        <f>IF(OR(ISBLANK(R130:R134),ISBLANK(AN130:AN134),ISBLANK(Z130:Z134),ISBLANK(AV130:AV134)),"·",bdRateExtend(R130:R134,Z130:Z134,AN130:AN134,AV130:AV134))</f>
        <v>2.8273006449408555E-3</v>
      </c>
      <c r="BL130" s="62"/>
      <c r="BN130" s="56">
        <f>IF(OR(ISBLANK(P130:P134),ISBLANK(AL130:AL134),ISBLANK(T130:T134),ISBLANK(AP130:AP134)),"·",bdRateExtend(P130:P134,T130:T134,AL130:AL134,AP130:AP134))</f>
        <v>-2.1596923072964014E-4</v>
      </c>
      <c r="BO130" s="56">
        <f>IF(OR(ISBLANK(P130:P134),ISBLANK(AL130:AL134),ISBLANK(U130:U134),ISBLANK(AQ130:AQ134)),"·",bdRateExtend(P130:P134,U130:U134,AL130:AL134,AQ130:AQ134))</f>
        <v>-9.228977577441233E-4</v>
      </c>
      <c r="BP130" s="56">
        <f>IF(OR(ISBLANK(P130:P134),ISBLANK(AL130:AL134),ISBLANK(V130:V134),ISBLANK(AR130:AR134)),"·",bdRateExtend(P130:P134,V130:V134,AL130:AL134,AR130:AR134))</f>
        <v>-8.5302389374508625E-4</v>
      </c>
      <c r="BQ130" s="62"/>
      <c r="BS130" s="56">
        <f>IF(OR(ISBLANK(P130:P134),ISBLANK(AL130:AL134),ISBLANK(X130:X134),ISBLANK(AT130:AT134)),"·",bdRateExtend(P130:P134,X130:X134,AL130:AL134,AT130:AT134))</f>
        <v>2.8955613008463388E-4</v>
      </c>
      <c r="BT130" s="56">
        <f>IF(OR(ISBLANK(P130:P134),ISBLANK(AL130:AL134),ISBLANK(Y130:Y134),ISBLANK(AU130:AU134)),"·",bdRateExtend(P130:P134,Y130:Y134,AL130:AL134,AU130:AU134))</f>
        <v>2.8955613008463388E-4</v>
      </c>
      <c r="BU130" s="56">
        <f>IF(OR(ISBLANK(P130:P134),ISBLANK(AL130:AL134),ISBLANK(Z130:Z134),ISBLANK(AV130:AV134)),"·",bdRateExtend(P130:P134,Z130:Z134,AL130:AL134,AV130:AV134))</f>
        <v>2.8955613008463388E-4</v>
      </c>
      <c r="BV130" s="62"/>
      <c r="BX130">
        <f t="shared" si="36"/>
        <v>0</v>
      </c>
      <c r="BY130">
        <f t="shared" si="37"/>
        <v>48792</v>
      </c>
      <c r="BZ130">
        <f t="shared" si="38"/>
        <v>0</v>
      </c>
      <c r="CA130">
        <f t="shared" si="39"/>
        <v>48792</v>
      </c>
      <c r="CB130">
        <f t="shared" si="40"/>
        <v>0</v>
      </c>
      <c r="CC130">
        <f t="shared" si="41"/>
        <v>5.9499999999999886E-2</v>
      </c>
      <c r="CD130">
        <f t="shared" si="42"/>
        <v>8.9399999999997704E-2</v>
      </c>
      <c r="CE130">
        <f t="shared" si="43"/>
        <v>8.9700000000000557E-2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34.42170943050175</v>
      </c>
      <c r="K131" s="18">
        <f t="shared" si="27"/>
        <v>28.597982520165441</v>
      </c>
      <c r="L131" s="18">
        <f t="shared" si="28"/>
        <v>5.8233376377893808</v>
      </c>
      <c r="M131" s="19"/>
      <c r="N131" s="18">
        <f t="shared" si="29"/>
        <v>34.42170943050175</v>
      </c>
      <c r="O131" s="20">
        <v>1602990</v>
      </c>
      <c r="P131" s="21">
        <v>55177656</v>
      </c>
      <c r="Q131" s="21">
        <v>45842280</v>
      </c>
      <c r="R131" s="21">
        <v>9334752</v>
      </c>
      <c r="S131" s="37"/>
      <c r="T131" s="38">
        <v>48.345500000000001</v>
      </c>
      <c r="U131" s="38">
        <v>51.1402</v>
      </c>
      <c r="V131" s="38">
        <v>50.464100000000002</v>
      </c>
      <c r="W131" s="39"/>
      <c r="X131" s="38">
        <v>42.110199999999999</v>
      </c>
      <c r="Y131" s="38">
        <v>42.110199999999999</v>
      </c>
      <c r="Z131" s="38">
        <v>42.110199999999999</v>
      </c>
      <c r="AA131" s="39"/>
      <c r="AB131" s="49">
        <v>6.2809999999999997</v>
      </c>
      <c r="AC131" s="49">
        <v>5.375</v>
      </c>
      <c r="AE131" s="17" t="str">
        <f t="shared" si="30"/>
        <v>·</v>
      </c>
      <c r="AF131" s="18">
        <f t="shared" si="31"/>
        <v>34.432758782026092</v>
      </c>
      <c r="AG131" s="18">
        <f t="shared" si="32"/>
        <v>28.597982520165441</v>
      </c>
      <c r="AH131" s="18">
        <f t="shared" si="33"/>
        <v>5.8343869893137201</v>
      </c>
      <c r="AI131" s="19"/>
      <c r="AJ131" s="18">
        <f t="shared" si="34"/>
        <v>34.432758782026092</v>
      </c>
      <c r="AK131" s="20">
        <v>1602990</v>
      </c>
      <c r="AL131" s="21">
        <v>55195368</v>
      </c>
      <c r="AM131" s="21">
        <v>45842280</v>
      </c>
      <c r="AN131" s="21">
        <v>9352464</v>
      </c>
      <c r="AO131" s="37"/>
      <c r="AP131" s="38">
        <v>48.390700000000002</v>
      </c>
      <c r="AQ131" s="38">
        <v>51.209299999999999</v>
      </c>
      <c r="AR131" s="38">
        <v>50.534799999999997</v>
      </c>
      <c r="AS131" s="39"/>
      <c r="AT131" s="38">
        <v>42.110199999999999</v>
      </c>
      <c r="AU131" s="38">
        <v>42.110199999999999</v>
      </c>
      <c r="AV131" s="38">
        <v>42.110199999999999</v>
      </c>
      <c r="AW131" s="39"/>
      <c r="AX131" s="49">
        <v>6.2960000000000003</v>
      </c>
      <c r="AY131" s="49">
        <v>5.5309999999999997</v>
      </c>
      <c r="BA131" s="53">
        <f t="shared" si="35"/>
        <v>-2.6660478048667891E-4</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17712</v>
      </c>
      <c r="BZ131">
        <f t="shared" si="38"/>
        <v>0</v>
      </c>
      <c r="CA131">
        <f t="shared" si="39"/>
        <v>17712</v>
      </c>
      <c r="CB131">
        <f t="shared" si="40"/>
        <v>0</v>
      </c>
      <c r="CC131">
        <f t="shared" si="41"/>
        <v>4.5200000000001239E-2</v>
      </c>
      <c r="CD131">
        <f t="shared" si="42"/>
        <v>6.9099999999998829E-2</v>
      </c>
      <c r="CE131">
        <f t="shared" si="43"/>
        <v>7.06999999999951E-2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32.048254823798025</v>
      </c>
      <c r="K132" s="23">
        <f t="shared" si="27"/>
        <v>28.597982520165441</v>
      </c>
      <c r="L132" s="23">
        <f t="shared" si="28"/>
        <v>3.4498830310856587</v>
      </c>
      <c r="M132" s="24"/>
      <c r="N132" s="23">
        <f t="shared" si="29"/>
        <v>32.048254823798025</v>
      </c>
      <c r="O132" s="25">
        <v>1602990</v>
      </c>
      <c r="P132" s="26">
        <v>51373032</v>
      </c>
      <c r="Q132" s="26">
        <v>45842280</v>
      </c>
      <c r="R132" s="26">
        <v>5530128</v>
      </c>
      <c r="S132" s="40"/>
      <c r="T132" s="41">
        <v>41.162599999999998</v>
      </c>
      <c r="U132" s="41">
        <v>45.629899999999999</v>
      </c>
      <c r="V132" s="41">
        <v>44.810499999999998</v>
      </c>
      <c r="W132" s="42"/>
      <c r="X132" s="41">
        <v>34.151400000000002</v>
      </c>
      <c r="Y132" s="41">
        <v>34.151400000000002</v>
      </c>
      <c r="Z132" s="41">
        <v>34.151400000000002</v>
      </c>
      <c r="AA132" s="42"/>
      <c r="AB132" s="50">
        <v>6.218</v>
      </c>
      <c r="AC132" s="50">
        <v>5.4530000000000003</v>
      </c>
      <c r="AE132" s="22" t="str">
        <f t="shared" si="30"/>
        <v>·</v>
      </c>
      <c r="AF132" s="23">
        <f t="shared" si="31"/>
        <v>32.057627308966367</v>
      </c>
      <c r="AG132" s="23">
        <f t="shared" si="32"/>
        <v>28.597982520165441</v>
      </c>
      <c r="AH132" s="23">
        <f t="shared" si="33"/>
        <v>3.4592555162540002</v>
      </c>
      <c r="AI132" s="24"/>
      <c r="AJ132" s="23">
        <f t="shared" si="34"/>
        <v>32.057627308966367</v>
      </c>
      <c r="AK132" s="25">
        <v>1602990</v>
      </c>
      <c r="AL132" s="26">
        <v>51388056</v>
      </c>
      <c r="AM132" s="26">
        <v>45842280</v>
      </c>
      <c r="AN132" s="26">
        <v>5545152</v>
      </c>
      <c r="AO132" s="40"/>
      <c r="AP132" s="41">
        <v>41.220599999999997</v>
      </c>
      <c r="AQ132" s="41">
        <v>45.7483</v>
      </c>
      <c r="AR132" s="41">
        <v>44.9056</v>
      </c>
      <c r="AS132" s="42"/>
      <c r="AT132" s="41">
        <v>34.151400000000002</v>
      </c>
      <c r="AU132" s="41">
        <v>34.151400000000002</v>
      </c>
      <c r="AV132" s="41">
        <v>34.151400000000002</v>
      </c>
      <c r="AW132" s="42"/>
      <c r="AX132" s="50">
        <v>6.2809999999999997</v>
      </c>
      <c r="AY132" s="50">
        <v>5.4370000000000003</v>
      </c>
      <c r="BA132" s="55">
        <f t="shared" si="35"/>
        <v>-2.6088817660974151E-4</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15024</v>
      </c>
      <c r="BZ132">
        <f t="shared" si="38"/>
        <v>0</v>
      </c>
      <c r="CA132">
        <f t="shared" si="39"/>
        <v>15024</v>
      </c>
      <c r="CB132">
        <f t="shared" si="40"/>
        <v>0</v>
      </c>
      <c r="CC132">
        <f t="shared" si="41"/>
        <v>5.7999999999999829E-2</v>
      </c>
      <c r="CD132">
        <f t="shared" si="42"/>
        <v>0.11840000000000117</v>
      </c>
      <c r="CE132">
        <f t="shared" si="43"/>
        <v>9.5100000000002183E-2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30.606139776293052</v>
      </c>
      <c r="K133" s="18">
        <f t="shared" ref="K133:K196" si="51">IF(Q133="","·",Q133/D133)</f>
        <v>28.597982520165441</v>
      </c>
      <c r="L133" s="18">
        <f t="shared" ref="L133:L196" si="52">IF(ISBLANK(R133),"·",R133/D133)</f>
        <v>2.0077679835806834</v>
      </c>
      <c r="M133" s="19"/>
      <c r="N133" s="18">
        <f t="shared" ref="N133:N196" si="53">IF(ISBLANK(P133),"·",P133/O133)</f>
        <v>30.606139776293052</v>
      </c>
      <c r="O133" s="20">
        <v>1602990</v>
      </c>
      <c r="P133" s="21">
        <v>49061336</v>
      </c>
      <c r="Q133" s="21">
        <v>45842280</v>
      </c>
      <c r="R133" s="21">
        <v>3218432</v>
      </c>
      <c r="S133" s="37"/>
      <c r="T133" s="38">
        <v>35.511499999999998</v>
      </c>
      <c r="U133" s="38">
        <v>41.130200000000002</v>
      </c>
      <c r="V133" s="38">
        <v>40.414499999999997</v>
      </c>
      <c r="W133" s="39"/>
      <c r="X133" s="38">
        <v>28.130800000000001</v>
      </c>
      <c r="Y133" s="38">
        <v>28.130800000000001</v>
      </c>
      <c r="Z133" s="38">
        <v>28.130800000000001</v>
      </c>
      <c r="AA133" s="39"/>
      <c r="AB133" s="49">
        <v>6.2030000000000003</v>
      </c>
      <c r="AC133" s="49">
        <v>5.4059999999999997</v>
      </c>
      <c r="AE133" s="17" t="str">
        <f t="shared" ref="AE133:AE196" si="54">IF(OR(ISBLANK(AL133),ISBLANK(G133)),"·",AL133*G133/F133/1000000)</f>
        <v>·</v>
      </c>
      <c r="AF133" s="18">
        <f t="shared" ref="AF133:AF196" si="55">IF(ISBLANK(AL133),"·",AL133/D133)</f>
        <v>30.608495374269335</v>
      </c>
      <c r="AG133" s="18">
        <f t="shared" ref="AG133:AG196" si="56">IF(AM133="","·",AM133/D133)</f>
        <v>28.597982520165441</v>
      </c>
      <c r="AH133" s="18">
        <f t="shared" ref="AH133:AH196" si="57">IF(ISBLANK(AN133),"·",AN133/D133)</f>
        <v>2.0101235815569654</v>
      </c>
      <c r="AI133" s="19"/>
      <c r="AJ133" s="18">
        <f t="shared" ref="AJ133:AJ196" si="58">IF(ISBLANK(AL133),"·",AL133/AK133)</f>
        <v>30.608495374269335</v>
      </c>
      <c r="AK133" s="20">
        <v>1602990</v>
      </c>
      <c r="AL133" s="21">
        <v>49065112</v>
      </c>
      <c r="AM133" s="21">
        <v>45842280</v>
      </c>
      <c r="AN133" s="21">
        <v>3222208</v>
      </c>
      <c r="AO133" s="37"/>
      <c r="AP133" s="38">
        <v>35.568100000000001</v>
      </c>
      <c r="AQ133" s="38">
        <v>41.281100000000002</v>
      </c>
      <c r="AR133" s="38">
        <v>40.535899999999998</v>
      </c>
      <c r="AS133" s="39"/>
      <c r="AT133" s="38">
        <v>28.130800000000001</v>
      </c>
      <c r="AU133" s="38">
        <v>28.130800000000001</v>
      </c>
      <c r="AV133" s="38">
        <v>28.130800000000001</v>
      </c>
      <c r="AW133" s="39"/>
      <c r="AX133" s="49">
        <v>6.1710000000000003</v>
      </c>
      <c r="AY133" s="49">
        <v>5.4370000000000003</v>
      </c>
      <c r="BA133" s="53">
        <f t="shared" ref="BA133:BA196" si="59">(AM133/AL133)-(Q133/P133)</f>
        <v>-7.1909460445329643E-5</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3776</v>
      </c>
      <c r="BZ133">
        <f t="shared" si="38"/>
        <v>0</v>
      </c>
      <c r="CA133">
        <f t="shared" si="39"/>
        <v>3776</v>
      </c>
      <c r="CB133">
        <f t="shared" si="40"/>
        <v>0</v>
      </c>
      <c r="CC133">
        <f t="shared" si="41"/>
        <v>5.6600000000003092E-2</v>
      </c>
      <c r="CD133">
        <f t="shared" si="42"/>
        <v>0.15090000000000003</v>
      </c>
      <c r="CE133">
        <f t="shared" si="43"/>
        <v>0.12140000000000128</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29.52534950311605</v>
      </c>
      <c r="K134" s="33">
        <f t="shared" si="51"/>
        <v>28.597982520165441</v>
      </c>
      <c r="L134" s="33">
        <f t="shared" si="52"/>
        <v>0.92697771040368315</v>
      </c>
      <c r="M134" s="34"/>
      <c r="N134" s="33">
        <f t="shared" si="53"/>
        <v>29.52534950311605</v>
      </c>
      <c r="O134" s="35">
        <v>1602990</v>
      </c>
      <c r="P134" s="36">
        <v>47328840</v>
      </c>
      <c r="Q134" s="36">
        <v>45842280</v>
      </c>
      <c r="R134" s="36">
        <v>1485936</v>
      </c>
      <c r="S134" s="46"/>
      <c r="T134" s="47">
        <v>29.347300000000001</v>
      </c>
      <c r="U134" s="47">
        <v>36.632199999999997</v>
      </c>
      <c r="V134" s="47">
        <v>35.896999999999998</v>
      </c>
      <c r="W134" s="48"/>
      <c r="X134" s="47">
        <v>21.686399999999999</v>
      </c>
      <c r="Y134" s="47">
        <v>21.686399999999999</v>
      </c>
      <c r="Z134" s="47">
        <v>21.686399999999999</v>
      </c>
      <c r="AA134" s="48"/>
      <c r="AB134" s="52">
        <v>6.0620000000000003</v>
      </c>
      <c r="AC134" s="52">
        <v>5.375</v>
      </c>
      <c r="AE134" s="32" t="str">
        <f t="shared" si="54"/>
        <v>·</v>
      </c>
      <c r="AF134" s="33">
        <f t="shared" si="55"/>
        <v>29.534971521968323</v>
      </c>
      <c r="AG134" s="33">
        <f t="shared" si="56"/>
        <v>28.597982520165441</v>
      </c>
      <c r="AH134" s="33">
        <f t="shared" si="57"/>
        <v>0.93659972925595292</v>
      </c>
      <c r="AI134" s="34"/>
      <c r="AJ134" s="33">
        <f t="shared" si="58"/>
        <v>29.534971521968323</v>
      </c>
      <c r="AK134" s="35">
        <v>1602990</v>
      </c>
      <c r="AL134" s="36">
        <v>47344264</v>
      </c>
      <c r="AM134" s="36">
        <v>45842280</v>
      </c>
      <c r="AN134" s="36">
        <v>1501360</v>
      </c>
      <c r="AO134" s="46"/>
      <c r="AP134" s="47">
        <v>29.4527</v>
      </c>
      <c r="AQ134" s="47">
        <v>36.762500000000003</v>
      </c>
      <c r="AR134" s="47">
        <v>36.150500000000001</v>
      </c>
      <c r="AS134" s="48"/>
      <c r="AT134" s="47">
        <v>21.686399999999999</v>
      </c>
      <c r="AU134" s="47">
        <v>21.686399999999999</v>
      </c>
      <c r="AV134" s="47">
        <v>21.686399999999999</v>
      </c>
      <c r="AW134" s="48"/>
      <c r="AX134" s="52">
        <v>6.1870000000000003</v>
      </c>
      <c r="AY134" s="52">
        <v>5.4210000000000003</v>
      </c>
      <c r="BA134" s="59">
        <f t="shared" si="59"/>
        <v>-3.1555131632254874E-4</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15424</v>
      </c>
      <c r="BZ134">
        <f t="shared" ref="BZ134:BZ197" si="62">AM134-Q134</f>
        <v>0</v>
      </c>
      <c r="CA134">
        <f t="shared" ref="CA134:CA197" si="63">AN134-R134</f>
        <v>15424</v>
      </c>
      <c r="CB134">
        <f t="shared" ref="CB134:CB197" si="64">AO134-S134</f>
        <v>0</v>
      </c>
      <c r="CC134">
        <f t="shared" ref="CC134:CC197" si="65">AP134-T134</f>
        <v>0.10539999999999949</v>
      </c>
      <c r="CD134">
        <f t="shared" ref="CD134:CD197" si="66">AQ134-U134</f>
        <v>0.13030000000000541</v>
      </c>
      <c r="CE134">
        <f t="shared" ref="CE134:CE197" si="67">AR134-V134</f>
        <v>0.2535000000000025</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34.234475894145405</v>
      </c>
      <c r="K135" s="18">
        <f t="shared" si="51"/>
        <v>26.894269486911519</v>
      </c>
      <c r="L135" s="18">
        <f t="shared" si="52"/>
        <v>7.3400648544626979</v>
      </c>
      <c r="M135" s="19"/>
      <c r="N135" s="18">
        <f t="shared" si="53"/>
        <v>34.234475894145405</v>
      </c>
      <c r="O135" s="20">
        <v>8929532</v>
      </c>
      <c r="P135" s="21">
        <v>305697848</v>
      </c>
      <c r="Q135" s="21">
        <v>240153240</v>
      </c>
      <c r="R135" s="21">
        <v>65543344</v>
      </c>
      <c r="S135" s="37"/>
      <c r="T135" s="38">
        <v>53.148000000000003</v>
      </c>
      <c r="U135" s="38">
        <v>55.468400000000003</v>
      </c>
      <c r="V135" s="38">
        <v>55.256599999999999</v>
      </c>
      <c r="W135" s="39"/>
      <c r="X135" s="38">
        <v>48.130800000000001</v>
      </c>
      <c r="Y135" s="38">
        <v>48.130800000000001</v>
      </c>
      <c r="Z135" s="38">
        <v>48.130800000000001</v>
      </c>
      <c r="AA135" s="39"/>
      <c r="AB135" s="49">
        <v>32.14</v>
      </c>
      <c r="AC135" s="49">
        <v>28</v>
      </c>
      <c r="AE135" s="17" t="str">
        <f t="shared" si="54"/>
        <v>·</v>
      </c>
      <c r="AF135" s="18">
        <f t="shared" si="55"/>
        <v>34.248959967890812</v>
      </c>
      <c r="AG135" s="18">
        <f t="shared" si="56"/>
        <v>26.894269486911519</v>
      </c>
      <c r="AH135" s="18">
        <f t="shared" si="57"/>
        <v>7.354548928208108</v>
      </c>
      <c r="AI135" s="19"/>
      <c r="AJ135" s="18">
        <f t="shared" si="58"/>
        <v>34.248959967890812</v>
      </c>
      <c r="AK135" s="20">
        <v>8929532</v>
      </c>
      <c r="AL135" s="21">
        <v>305827184</v>
      </c>
      <c r="AM135" s="21">
        <v>240153240</v>
      </c>
      <c r="AN135" s="21">
        <v>65672680</v>
      </c>
      <c r="AO135" s="37"/>
      <c r="AP135" s="38">
        <v>53.179299999999998</v>
      </c>
      <c r="AQ135" s="38">
        <v>55.511200000000002</v>
      </c>
      <c r="AR135" s="38">
        <v>55.293500000000002</v>
      </c>
      <c r="AS135" s="39"/>
      <c r="AT135" s="38">
        <v>48.130800000000001</v>
      </c>
      <c r="AU135" s="38">
        <v>48.130800000000001</v>
      </c>
      <c r="AV135" s="38">
        <v>48.130800000000001</v>
      </c>
      <c r="AW135" s="39"/>
      <c r="AX135" s="49">
        <v>32.295999999999999</v>
      </c>
      <c r="AY135" s="49">
        <v>28.077999999999999</v>
      </c>
      <c r="BA135" s="53">
        <f t="shared" si="59"/>
        <v>-3.3223042996777252E-4</v>
      </c>
      <c r="BB135" s="53">
        <f t="array" ref="BB135">AVERAGE(AM135:AM139/AL135:AL139)-AVERAGE(Q135:Q139/P135:P139)</f>
        <v>-2.8471073721036966E-4</v>
      </c>
      <c r="BD135" s="54">
        <f>IF(OR(ISBLANK(R135:R139),ISBLANK(AN135:AN139),ISBLANK(T135:T139),ISBLANK(AP135:AP139)),"·",bdRateExtend(R135:R139,T135:T139,AN135:AN139,AP135:AP139))</f>
        <v>-2.3738807404793949E-4</v>
      </c>
      <c r="BE135" s="54">
        <f>IF(OR(ISBLANK(R135:R139),ISBLANK(AN135:AN139),ISBLANK(U135:U139),ISBLANK(AQ135:AQ139)),"·",bdRateExtend(R135:R139,U135:U139,AN135:AN139,AQ135:AQ139))</f>
        <v>-3.6152225268972771E-3</v>
      </c>
      <c r="BF135" s="54">
        <f>IF(OR(ISBLANK(R135:R139),ISBLANK(AN135:AN139),ISBLANK(V135:V139),ISBLANK(AR135:AR139)),"·",bdRateExtend(R135:R139,V135:V139,AN135:AN139,AR135:AR139))</f>
        <v>-2.5549550211324545E-3</v>
      </c>
      <c r="BG135" s="61"/>
      <c r="BI135" s="54">
        <f>IF(OR(ISBLANK(R135:R139),ISBLANK(AN135:AN139),ISBLANK(X135:X139),ISBLANK(AT135:AT139)),"·",bdRateExtend(R135:R139,X135:X139,AN135:AN139,AT135:AT139))</f>
        <v>3.6594985107851752E-3</v>
      </c>
      <c r="BJ135" s="54">
        <f>IF(OR(ISBLANK(R135:R139),ISBLANK(AN135:AN139),ISBLANK(Y135:Y139),ISBLANK(AU135:AU139)),"·",bdRateExtend(R135:R139,Y135:Y139,AN135:AN139,AU135:AU139))</f>
        <v>3.6594985107851752E-3</v>
      </c>
      <c r="BK135" s="54">
        <f>IF(OR(ISBLANK(R135:R139),ISBLANK(AN135:AN139),ISBLANK(Z135:Z139),ISBLANK(AV135:AV139)),"·",bdRateExtend(R135:R139,Z135:Z139,AN135:AN139,AV135:AV139))</f>
        <v>3.6594985107851752E-3</v>
      </c>
      <c r="BL135" s="61"/>
      <c r="BN135" s="54">
        <f>IF(OR(ISBLANK(P135:P139),ISBLANK(AL135:AL139),ISBLANK(T135:T139),ISBLANK(AP135:AP139)),"·",bdRateExtend(P135:P139,T135:T139,AL135:AL139,AP135:AP139))</f>
        <v>-5.2993807533652237E-5</v>
      </c>
      <c r="BO135" s="54">
        <f>IF(OR(ISBLANK(P135:P139),ISBLANK(AL135:AL139),ISBLANK(U135:U139),ISBLANK(AQ135:AQ139)),"·",bdRateExtend(P135:P139,U135:U139,AL135:AL139,AQ135:AQ139))</f>
        <v>-3.0065181711558253E-4</v>
      </c>
      <c r="BP135" s="54">
        <f>IF(OR(ISBLANK(P135:P139),ISBLANK(AL135:AL139),ISBLANK(V135:V139),ISBLANK(AR135:AR139)),"·",bdRateExtend(P135:P139,V135:V139,AL135:AL139,AR135:AR139))</f>
        <v>-2.1527017789302327E-4</v>
      </c>
      <c r="BQ135" s="61"/>
      <c r="BS135" s="54">
        <f>IF(OR(ISBLANK(P135:P139),ISBLANK(AL135:AL139),ISBLANK(X135:X139),ISBLANK(AT135:AT139)),"·",bdRateExtend(P135:P139,X135:X139,AL135:AL139,AT135:AT139))</f>
        <v>2.7350183700636244E-4</v>
      </c>
      <c r="BT135" s="54">
        <f>IF(OR(ISBLANK(P135:P139),ISBLANK(AL135:AL139),ISBLANK(Y135:Y139),ISBLANK(AU135:AU139)),"·",bdRateExtend(P135:P139,Y135:Y139,AL135:AL139,AU135:AU139))</f>
        <v>2.7350183700636244E-4</v>
      </c>
      <c r="BU135" s="54">
        <f>IF(OR(ISBLANK(P135:P139),ISBLANK(AL135:AL139),ISBLANK(Z135:Z139),ISBLANK(AV135:AV139)),"·",bdRateExtend(P135:P139,Z135:Z139,AL135:AL139,AV135:AV139))</f>
        <v>2.7350183700636244E-4</v>
      </c>
      <c r="BV135" s="61"/>
      <c r="BX135">
        <f t="shared" si="60"/>
        <v>0</v>
      </c>
      <c r="BY135">
        <f t="shared" si="61"/>
        <v>129336</v>
      </c>
      <c r="BZ135">
        <f t="shared" si="62"/>
        <v>0</v>
      </c>
      <c r="CA135">
        <f t="shared" si="63"/>
        <v>129336</v>
      </c>
      <c r="CB135">
        <f t="shared" si="64"/>
        <v>0</v>
      </c>
      <c r="CC135">
        <f t="shared" si="65"/>
        <v>3.1299999999994554E-2</v>
      </c>
      <c r="CD135">
        <f t="shared" si="66"/>
        <v>4.2799999999999727E-2</v>
      </c>
      <c r="CE135">
        <f t="shared" si="67"/>
        <v>3.6900000000002819E-2</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32.173860847354597</v>
      </c>
      <c r="K136" s="23">
        <f t="shared" si="51"/>
        <v>26.894269486911519</v>
      </c>
      <c r="L136" s="23">
        <f t="shared" si="52"/>
        <v>5.2794498076718916</v>
      </c>
      <c r="M136" s="24"/>
      <c r="N136" s="23">
        <f t="shared" si="53"/>
        <v>32.173860847354597</v>
      </c>
      <c r="O136" s="25">
        <v>8929532</v>
      </c>
      <c r="P136" s="26">
        <v>287297520</v>
      </c>
      <c r="Q136" s="26">
        <v>240153240</v>
      </c>
      <c r="R136" s="26">
        <v>47143016</v>
      </c>
      <c r="S136" s="40"/>
      <c r="T136" s="41">
        <v>48.282600000000002</v>
      </c>
      <c r="U136" s="41">
        <v>51.116799999999998</v>
      </c>
      <c r="V136" s="41">
        <v>50.887500000000003</v>
      </c>
      <c r="W136" s="42"/>
      <c r="X136" s="41">
        <v>42.110199999999999</v>
      </c>
      <c r="Y136" s="41">
        <v>42.110199999999999</v>
      </c>
      <c r="Z136" s="41">
        <v>42.110199999999999</v>
      </c>
      <c r="AA136" s="42"/>
      <c r="AB136" s="50">
        <v>31.843</v>
      </c>
      <c r="AC136" s="50">
        <v>27.718</v>
      </c>
      <c r="AE136" s="22" t="str">
        <f t="shared" si="54"/>
        <v>·</v>
      </c>
      <c r="AF136" s="23">
        <f t="shared" si="55"/>
        <v>32.180932214588623</v>
      </c>
      <c r="AG136" s="23">
        <f t="shared" si="56"/>
        <v>26.894269486911519</v>
      </c>
      <c r="AH136" s="23">
        <f t="shared" si="57"/>
        <v>5.2865211749059187</v>
      </c>
      <c r="AI136" s="24"/>
      <c r="AJ136" s="23">
        <f t="shared" si="58"/>
        <v>32.180932214588623</v>
      </c>
      <c r="AK136" s="25">
        <v>8929532</v>
      </c>
      <c r="AL136" s="26">
        <v>287360664</v>
      </c>
      <c r="AM136" s="26">
        <v>240153240</v>
      </c>
      <c r="AN136" s="26">
        <v>47206160</v>
      </c>
      <c r="AO136" s="40"/>
      <c r="AP136" s="41">
        <v>48.311300000000003</v>
      </c>
      <c r="AQ136" s="41">
        <v>51.150599999999997</v>
      </c>
      <c r="AR136" s="41">
        <v>50.9148</v>
      </c>
      <c r="AS136" s="42"/>
      <c r="AT136" s="41">
        <v>42.110199999999999</v>
      </c>
      <c r="AU136" s="41">
        <v>42.110199999999999</v>
      </c>
      <c r="AV136" s="41">
        <v>42.110199999999999</v>
      </c>
      <c r="AW136" s="42"/>
      <c r="AX136" s="50">
        <v>31.89</v>
      </c>
      <c r="AY136" s="50">
        <v>27.920999999999999</v>
      </c>
      <c r="BA136" s="55">
        <f t="shared" si="59"/>
        <v>-1.8367977741429176E-4</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63144</v>
      </c>
      <c r="BZ136">
        <f t="shared" si="62"/>
        <v>0</v>
      </c>
      <c r="CA136">
        <f t="shared" si="63"/>
        <v>63144</v>
      </c>
      <c r="CB136">
        <f t="shared" si="64"/>
        <v>0</v>
      </c>
      <c r="CC136">
        <f t="shared" si="65"/>
        <v>2.8700000000000614E-2</v>
      </c>
      <c r="CD136">
        <f t="shared" si="66"/>
        <v>3.3799999999999386E-2</v>
      </c>
      <c r="CE136">
        <f t="shared" si="67"/>
        <v>2.7299999999996771E-2</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30.02357749543873</v>
      </c>
      <c r="K137" s="18">
        <f t="shared" si="51"/>
        <v>26.894269486911519</v>
      </c>
      <c r="L137" s="18">
        <f t="shared" si="52"/>
        <v>3.1291664557560241</v>
      </c>
      <c r="M137" s="19"/>
      <c r="N137" s="18">
        <f t="shared" si="53"/>
        <v>30.02357749543873</v>
      </c>
      <c r="O137" s="20">
        <v>8929532</v>
      </c>
      <c r="P137" s="21">
        <v>268096496</v>
      </c>
      <c r="Q137" s="21">
        <v>240153240</v>
      </c>
      <c r="R137" s="21">
        <v>27941992</v>
      </c>
      <c r="S137" s="37"/>
      <c r="T137" s="38">
        <v>41.049199999999999</v>
      </c>
      <c r="U137" s="38">
        <v>45.636099999999999</v>
      </c>
      <c r="V137" s="38">
        <v>45.700600000000001</v>
      </c>
      <c r="W137" s="39"/>
      <c r="X137" s="38">
        <v>34.151400000000002</v>
      </c>
      <c r="Y137" s="38">
        <v>34.151400000000002</v>
      </c>
      <c r="Z137" s="38">
        <v>34.151400000000002</v>
      </c>
      <c r="AA137" s="39"/>
      <c r="AB137" s="49">
        <v>31.609000000000002</v>
      </c>
      <c r="AC137" s="49">
        <v>27.577999999999999</v>
      </c>
      <c r="AE137" s="17" t="str">
        <f t="shared" si="54"/>
        <v>·</v>
      </c>
      <c r="AF137" s="18">
        <f t="shared" si="55"/>
        <v>30.03112817110684</v>
      </c>
      <c r="AG137" s="18">
        <f t="shared" si="56"/>
        <v>26.894269486911519</v>
      </c>
      <c r="AH137" s="18">
        <f t="shared" si="57"/>
        <v>3.1367171314241329</v>
      </c>
      <c r="AI137" s="19"/>
      <c r="AJ137" s="18">
        <f t="shared" si="58"/>
        <v>30.03112817110684</v>
      </c>
      <c r="AK137" s="20">
        <v>8929532</v>
      </c>
      <c r="AL137" s="21">
        <v>268163920</v>
      </c>
      <c r="AM137" s="21">
        <v>240153240</v>
      </c>
      <c r="AN137" s="21">
        <v>28009416</v>
      </c>
      <c r="AO137" s="37"/>
      <c r="AP137" s="38">
        <v>41.082599999999999</v>
      </c>
      <c r="AQ137" s="38">
        <v>45.688499999999998</v>
      </c>
      <c r="AR137" s="38">
        <v>45.744199999999999</v>
      </c>
      <c r="AS137" s="39"/>
      <c r="AT137" s="38">
        <v>34.151400000000002</v>
      </c>
      <c r="AU137" s="38">
        <v>34.151400000000002</v>
      </c>
      <c r="AV137" s="38">
        <v>34.151400000000002</v>
      </c>
      <c r="AW137" s="39"/>
      <c r="AX137" s="49">
        <v>31.702999999999999</v>
      </c>
      <c r="AY137" s="49">
        <v>27.920999999999999</v>
      </c>
      <c r="BA137" s="53">
        <f t="shared" si="59"/>
        <v>-2.2522234752331283E-4</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67424</v>
      </c>
      <c r="BZ137">
        <f t="shared" si="62"/>
        <v>0</v>
      </c>
      <c r="CA137">
        <f t="shared" si="63"/>
        <v>67424</v>
      </c>
      <c r="CB137">
        <f t="shared" si="64"/>
        <v>0</v>
      </c>
      <c r="CC137">
        <f t="shared" si="65"/>
        <v>3.3400000000000318E-2</v>
      </c>
      <c r="CD137">
        <f t="shared" si="66"/>
        <v>5.239999999999867E-2</v>
      </c>
      <c r="CE137">
        <f t="shared" si="67"/>
        <v>4.3599999999997863E-2</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28.72408632389693</v>
      </c>
      <c r="K138" s="23">
        <f t="shared" si="51"/>
        <v>26.894269486911519</v>
      </c>
      <c r="L138" s="23">
        <f t="shared" si="52"/>
        <v>1.8296752842142232</v>
      </c>
      <c r="M138" s="24"/>
      <c r="N138" s="23">
        <f t="shared" si="53"/>
        <v>28.72408632389693</v>
      </c>
      <c r="O138" s="25">
        <v>8929532</v>
      </c>
      <c r="P138" s="26">
        <v>256492648</v>
      </c>
      <c r="Q138" s="26">
        <v>240153240</v>
      </c>
      <c r="R138" s="26">
        <v>16338144</v>
      </c>
      <c r="S138" s="40"/>
      <c r="T138" s="41">
        <v>35.363700000000001</v>
      </c>
      <c r="U138" s="41">
        <v>41.223399999999998</v>
      </c>
      <c r="V138" s="41">
        <v>41.330599999999997</v>
      </c>
      <c r="W138" s="42"/>
      <c r="X138" s="41">
        <v>28.130800000000001</v>
      </c>
      <c r="Y138" s="41">
        <v>28.130800000000001</v>
      </c>
      <c r="Z138" s="41">
        <v>28.130800000000001</v>
      </c>
      <c r="AA138" s="42"/>
      <c r="AB138" s="50">
        <v>31.5</v>
      </c>
      <c r="AC138" s="50">
        <v>27.5</v>
      </c>
      <c r="AE138" s="22" t="str">
        <f t="shared" si="54"/>
        <v>·</v>
      </c>
      <c r="AF138" s="23">
        <f t="shared" si="55"/>
        <v>28.731050182697146</v>
      </c>
      <c r="AG138" s="23">
        <f t="shared" si="56"/>
        <v>26.894269486911519</v>
      </c>
      <c r="AH138" s="23">
        <f t="shared" si="57"/>
        <v>1.836639143014438</v>
      </c>
      <c r="AI138" s="24"/>
      <c r="AJ138" s="23">
        <f t="shared" si="58"/>
        <v>28.731050182697146</v>
      </c>
      <c r="AK138" s="25">
        <v>8929532</v>
      </c>
      <c r="AL138" s="26">
        <v>256554832</v>
      </c>
      <c r="AM138" s="26">
        <v>240153240</v>
      </c>
      <c r="AN138" s="26">
        <v>16400328</v>
      </c>
      <c r="AO138" s="40"/>
      <c r="AP138" s="41">
        <v>35.412100000000002</v>
      </c>
      <c r="AQ138" s="41">
        <v>41.291200000000003</v>
      </c>
      <c r="AR138" s="41">
        <v>41.386200000000002</v>
      </c>
      <c r="AS138" s="42"/>
      <c r="AT138" s="41">
        <v>28.130800000000001</v>
      </c>
      <c r="AU138" s="41">
        <v>28.130800000000001</v>
      </c>
      <c r="AV138" s="41">
        <v>28.130800000000001</v>
      </c>
      <c r="AW138" s="42"/>
      <c r="AX138" s="50">
        <v>31.5</v>
      </c>
      <c r="AY138" s="50">
        <v>27.734000000000002</v>
      </c>
      <c r="BA138" s="55">
        <f t="shared" si="59"/>
        <v>-2.2694048836569003E-4</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62184</v>
      </c>
      <c r="BZ138">
        <f t="shared" si="62"/>
        <v>0</v>
      </c>
      <c r="CA138">
        <f t="shared" si="63"/>
        <v>62184</v>
      </c>
      <c r="CB138">
        <f t="shared" si="64"/>
        <v>0</v>
      </c>
      <c r="CC138">
        <f t="shared" si="65"/>
        <v>4.8400000000000887E-2</v>
      </c>
      <c r="CD138">
        <f t="shared" si="66"/>
        <v>6.7800000000005411E-2</v>
      </c>
      <c r="CE138">
        <f t="shared" si="67"/>
        <v>5.5600000000005423E-2</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27.712881705334613</v>
      </c>
      <c r="K139" s="28">
        <f t="shared" si="51"/>
        <v>26.894269486911519</v>
      </c>
      <c r="L139" s="28">
        <f t="shared" si="52"/>
        <v>0.81847066565190651</v>
      </c>
      <c r="M139" s="29"/>
      <c r="N139" s="28">
        <f t="shared" si="53"/>
        <v>27.712881705334613</v>
      </c>
      <c r="O139" s="30">
        <v>8929532</v>
      </c>
      <c r="P139" s="31">
        <v>247463064</v>
      </c>
      <c r="Q139" s="31">
        <v>240153240</v>
      </c>
      <c r="R139" s="31">
        <v>7308560</v>
      </c>
      <c r="S139" s="43"/>
      <c r="T139" s="44">
        <v>29.2879</v>
      </c>
      <c r="U139" s="44">
        <v>36.552300000000002</v>
      </c>
      <c r="V139" s="44">
        <v>37.012799999999999</v>
      </c>
      <c r="W139" s="45"/>
      <c r="X139" s="44">
        <v>21.686399999999999</v>
      </c>
      <c r="Y139" s="44">
        <v>21.686399999999999</v>
      </c>
      <c r="Z139" s="44">
        <v>21.686399999999999</v>
      </c>
      <c r="AA139" s="45"/>
      <c r="AB139" s="51">
        <v>31.327999999999999</v>
      </c>
      <c r="AC139" s="51">
        <v>27.437000000000001</v>
      </c>
      <c r="AE139" s="27" t="str">
        <f t="shared" si="54"/>
        <v>·</v>
      </c>
      <c r="AF139" s="28">
        <f t="shared" si="55"/>
        <v>27.725894705344022</v>
      </c>
      <c r="AG139" s="28">
        <f t="shared" si="56"/>
        <v>26.894269486911519</v>
      </c>
      <c r="AH139" s="28">
        <f t="shared" si="57"/>
        <v>0.83148366566131349</v>
      </c>
      <c r="AI139" s="29"/>
      <c r="AJ139" s="28">
        <f t="shared" si="58"/>
        <v>27.725894705344022</v>
      </c>
      <c r="AK139" s="30">
        <v>8929532</v>
      </c>
      <c r="AL139" s="31">
        <v>247579264</v>
      </c>
      <c r="AM139" s="31">
        <v>240153240</v>
      </c>
      <c r="AN139" s="31">
        <v>7424760</v>
      </c>
      <c r="AO139" s="43"/>
      <c r="AP139" s="44">
        <v>29.3582</v>
      </c>
      <c r="AQ139" s="44">
        <v>36.666800000000002</v>
      </c>
      <c r="AR139" s="44">
        <v>37.103400000000001</v>
      </c>
      <c r="AS139" s="45"/>
      <c r="AT139" s="44">
        <v>21.686399999999999</v>
      </c>
      <c r="AU139" s="44">
        <v>21.686399999999999</v>
      </c>
      <c r="AV139" s="44">
        <v>21.686399999999999</v>
      </c>
      <c r="AW139" s="45"/>
      <c r="AX139" s="51">
        <v>31.405999999999999</v>
      </c>
      <c r="AY139" s="51">
        <v>27.609000000000002</v>
      </c>
      <c r="BA139" s="57">
        <f t="shared" si="59"/>
        <v>-4.5548064278033706E-4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116200</v>
      </c>
      <c r="BZ139">
        <f t="shared" si="62"/>
        <v>0</v>
      </c>
      <c r="CA139">
        <f t="shared" si="63"/>
        <v>116200</v>
      </c>
      <c r="CB139">
        <f t="shared" si="64"/>
        <v>0</v>
      </c>
      <c r="CC139">
        <f t="shared" si="65"/>
        <v>7.0299999999999585E-2</v>
      </c>
      <c r="CD139">
        <f t="shared" si="66"/>
        <v>0.1144999999999996</v>
      </c>
      <c r="CE139">
        <f t="shared" si="67"/>
        <v>9.0600000000002012E-2</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12.100607578854149</v>
      </c>
      <c r="K140" s="23">
        <f t="shared" si="51"/>
        <v>5.9567277331480941</v>
      </c>
      <c r="L140" s="23">
        <f t="shared" si="52"/>
        <v>6.1437596556799381</v>
      </c>
      <c r="M140" s="24"/>
      <c r="N140" s="23">
        <f t="shared" si="53"/>
        <v>12.100607578854149</v>
      </c>
      <c r="O140" s="25">
        <v>19702134</v>
      </c>
      <c r="P140" s="26">
        <v>238407792</v>
      </c>
      <c r="Q140" s="26">
        <v>117360248</v>
      </c>
      <c r="R140" s="26">
        <v>121045176</v>
      </c>
      <c r="S140" s="40"/>
      <c r="T140" s="41">
        <v>53.107999999999997</v>
      </c>
      <c r="U140" s="41">
        <v>56.143300000000004</v>
      </c>
      <c r="V140" s="41">
        <v>55.137700000000002</v>
      </c>
      <c r="W140" s="42"/>
      <c r="X140" s="41">
        <v>48.130800000000001</v>
      </c>
      <c r="Y140" s="41">
        <v>48.130800000000001</v>
      </c>
      <c r="Z140" s="41">
        <v>48.130800000000001</v>
      </c>
      <c r="AA140" s="42"/>
      <c r="AB140" s="50">
        <v>37.780999999999999</v>
      </c>
      <c r="AC140" s="50">
        <v>32.170999999999999</v>
      </c>
      <c r="AE140" s="22" t="str">
        <f t="shared" si="54"/>
        <v>·</v>
      </c>
      <c r="AF140" s="23">
        <f t="shared" si="55"/>
        <v>12.101417643388274</v>
      </c>
      <c r="AG140" s="23">
        <f t="shared" si="56"/>
        <v>5.9567277331480941</v>
      </c>
      <c r="AH140" s="23">
        <f t="shared" si="57"/>
        <v>6.1445697202140641</v>
      </c>
      <c r="AI140" s="24"/>
      <c r="AJ140" s="23">
        <f t="shared" si="58"/>
        <v>12.101417643388274</v>
      </c>
      <c r="AK140" s="25">
        <v>19702134</v>
      </c>
      <c r="AL140" s="26">
        <v>238423752</v>
      </c>
      <c r="AM140" s="26">
        <v>117360248</v>
      </c>
      <c r="AN140" s="26">
        <v>121061136</v>
      </c>
      <c r="AO140" s="40"/>
      <c r="AP140" s="41">
        <v>53.1098</v>
      </c>
      <c r="AQ140" s="41">
        <v>56.145400000000002</v>
      </c>
      <c r="AR140" s="41">
        <v>55.139899999999997</v>
      </c>
      <c r="AS140" s="42"/>
      <c r="AT140" s="41">
        <v>48.130800000000001</v>
      </c>
      <c r="AU140" s="41">
        <v>48.130800000000001</v>
      </c>
      <c r="AV140" s="41">
        <v>48.130800000000001</v>
      </c>
      <c r="AW140" s="42"/>
      <c r="AX140" s="50">
        <v>37.875</v>
      </c>
      <c r="AY140" s="50">
        <v>32.328000000000003</v>
      </c>
      <c r="BA140" s="55">
        <f t="shared" si="59"/>
        <v>-3.2952164119082195E-5</v>
      </c>
      <c r="BB140" s="55">
        <f t="array" ref="BB140">AVERAGE(AM140:AM144/AL140:AL144)-AVERAGE(Q140:Q144/P140:P144)</f>
        <v>-3.6153308095032699E-6</v>
      </c>
      <c r="BD140" s="56">
        <f>IF(OR(ISBLANK(R140:R144),ISBLANK(AN140:AN144),ISBLANK(T140:T144),ISBLANK(AP140:AP144)),"·",bdRateExtend(R140:R144,T140:T144,AN140:AN144,AP140:AP144))</f>
        <v>6.7315958730551628E-5</v>
      </c>
      <c r="BE140" s="56">
        <f>IF(OR(ISBLANK(R140:R144),ISBLANK(AN140:AN144),ISBLANK(U140:U144),ISBLANK(AQ140:AQ144)),"·",bdRateExtend(R140:R144,U140:U144,AN140:AN144,AQ140:AQ144))</f>
        <v>-4.027166525440995E-4</v>
      </c>
      <c r="BF140" s="56">
        <f>IF(OR(ISBLANK(R140:R144),ISBLANK(AN140:AN144),ISBLANK(V140:V144),ISBLANK(AR140:AR144)),"·",bdRateExtend(R140:R144,V140:V144,AN140:AN144,AR140:AR144))</f>
        <v>-1.3596349195286184E-3</v>
      </c>
      <c r="BG140" s="62"/>
      <c r="BI140" s="56">
        <f>IF(OR(ISBLANK(R140:R144),ISBLANK(AN140:AN144),ISBLANK(X140:X144),ISBLANK(AT140:AT144)),"·",bdRateExtend(R140:R144,X140:X144,AN140:AN144,AT140:AT144))</f>
        <v>-1.4282650332431146E-5</v>
      </c>
      <c r="BJ140" s="56">
        <f>IF(OR(ISBLANK(R140:R144),ISBLANK(AN140:AN144),ISBLANK(Y140:Y144),ISBLANK(AU140:AU144)),"·",bdRateExtend(R140:R144,Y140:Y144,AN140:AN144,AU140:AU144))</f>
        <v>-1.4282650332431146E-5</v>
      </c>
      <c r="BK140" s="56">
        <f>IF(OR(ISBLANK(R140:R144),ISBLANK(AN140:AN144),ISBLANK(Z140:Z144),ISBLANK(AV140:AV144)),"·",bdRateExtend(R140:R144,Z140:Z144,AN140:AN144,AV140:AV144))</f>
        <v>-1.4282650332431146E-5</v>
      </c>
      <c r="BL140" s="62"/>
      <c r="BN140" s="56">
        <f>IF(OR(ISBLANK(P140:P144),ISBLANK(AL140:AL144),ISBLANK(T140:T144),ISBLANK(AP140:AP144)),"·",bdRateExtend(P140:P144,T140:T144,AL140:AL144,AP140:AP144))</f>
        <v>-1.6282417667490279E-6</v>
      </c>
      <c r="BO140" s="56">
        <f>IF(OR(ISBLANK(P140:P144),ISBLANK(AL140:AL144),ISBLANK(U140:U144),ISBLANK(AQ140:AQ144)),"·",bdRateExtend(P140:P144,U140:U144,AL140:AL144,AQ140:AQ144))</f>
        <v>-2.1520488122539483E-5</v>
      </c>
      <c r="BP140" s="56">
        <f>IF(OR(ISBLANK(P140:P144),ISBLANK(AL140:AL144),ISBLANK(V140:V144),ISBLANK(AR140:AR144)),"·",bdRateExtend(P140:P144,V140:V144,AL140:AL144,AR140:AR144))</f>
        <v>-3.1666412519515408E-4</v>
      </c>
      <c r="BQ140" s="62"/>
      <c r="BS140" s="56">
        <f>IF(OR(ISBLANK(P140:P144),ISBLANK(AL140:AL144),ISBLANK(X140:X144),ISBLANK(AT140:AT144)),"·",bdRateExtend(P140:P144,X140:X144,AL140:AL144,AT140:AT144))</f>
        <v>3.014102449849787E-6</v>
      </c>
      <c r="BT140" s="56">
        <f>IF(OR(ISBLANK(P140:P144),ISBLANK(AL140:AL144),ISBLANK(Y140:Y144),ISBLANK(AU140:AU144)),"·",bdRateExtend(P140:P144,Y140:Y144,AL140:AL144,AU140:AU144))</f>
        <v>3.014102449849787E-6</v>
      </c>
      <c r="BU140" s="56">
        <f>IF(OR(ISBLANK(P140:P144),ISBLANK(AL140:AL144),ISBLANK(Z140:Z144),ISBLANK(AV140:AV144)),"·",bdRateExtend(P140:P144,Z140:Z144,AL140:AL144,AV140:AV144))</f>
        <v>3.014102449849787E-6</v>
      </c>
      <c r="BV140" s="62"/>
      <c r="BX140">
        <f t="shared" si="60"/>
        <v>0</v>
      </c>
      <c r="BY140">
        <f t="shared" si="61"/>
        <v>15960</v>
      </c>
      <c r="BZ140">
        <f t="shared" si="62"/>
        <v>0</v>
      </c>
      <c r="CA140">
        <f t="shared" si="63"/>
        <v>15960</v>
      </c>
      <c r="CB140">
        <f t="shared" si="64"/>
        <v>0</v>
      </c>
      <c r="CC140">
        <f t="shared" si="65"/>
        <v>1.8000000000029104E-3</v>
      </c>
      <c r="CD140">
        <f t="shared" si="66"/>
        <v>2.0999999999986585E-3</v>
      </c>
      <c r="CE140">
        <f t="shared" si="67"/>
        <v>2.1999999999948727E-3</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10.250932208663285</v>
      </c>
      <c r="K141" s="18">
        <f t="shared" si="51"/>
        <v>5.9567277331480941</v>
      </c>
      <c r="L141" s="18">
        <f t="shared" si="52"/>
        <v>4.2940842854890748</v>
      </c>
      <c r="M141" s="19"/>
      <c r="N141" s="18">
        <f t="shared" si="53"/>
        <v>10.250932208663285</v>
      </c>
      <c r="O141" s="20">
        <v>19702134</v>
      </c>
      <c r="P141" s="21">
        <v>201965240</v>
      </c>
      <c r="Q141" s="21">
        <v>117360248</v>
      </c>
      <c r="R141" s="21">
        <v>84602624</v>
      </c>
      <c r="S141" s="37"/>
      <c r="T141" s="38">
        <v>48.054900000000004</v>
      </c>
      <c r="U141" s="38">
        <v>51.2119</v>
      </c>
      <c r="V141" s="38">
        <v>51.187600000000003</v>
      </c>
      <c r="W141" s="39"/>
      <c r="X141" s="38">
        <v>42.110199999999999</v>
      </c>
      <c r="Y141" s="38">
        <v>42.110199999999999</v>
      </c>
      <c r="Z141" s="38">
        <v>42.110199999999999</v>
      </c>
      <c r="AA141" s="39"/>
      <c r="AB141" s="49">
        <v>37.311999999999998</v>
      </c>
      <c r="AC141" s="49">
        <v>31.655999999999999</v>
      </c>
      <c r="AE141" s="17" t="str">
        <f t="shared" si="54"/>
        <v>·</v>
      </c>
      <c r="AF141" s="18">
        <f t="shared" si="55"/>
        <v>10.251346376996523</v>
      </c>
      <c r="AG141" s="18">
        <f t="shared" si="56"/>
        <v>5.9567277331480941</v>
      </c>
      <c r="AH141" s="18">
        <f t="shared" si="57"/>
        <v>4.2944984538223121</v>
      </c>
      <c r="AI141" s="19"/>
      <c r="AJ141" s="18">
        <f t="shared" si="58"/>
        <v>10.251346376996523</v>
      </c>
      <c r="AK141" s="20">
        <v>19702134</v>
      </c>
      <c r="AL141" s="21">
        <v>201973400</v>
      </c>
      <c r="AM141" s="21">
        <v>117360248</v>
      </c>
      <c r="AN141" s="21">
        <v>84610784</v>
      </c>
      <c r="AO141" s="37"/>
      <c r="AP141" s="38">
        <v>48.054699999999997</v>
      </c>
      <c r="AQ141" s="38">
        <v>51.212299999999999</v>
      </c>
      <c r="AR141" s="38">
        <v>51.189599999999999</v>
      </c>
      <c r="AS141" s="39"/>
      <c r="AT141" s="38">
        <v>42.110199999999999</v>
      </c>
      <c r="AU141" s="38">
        <v>42.110199999999999</v>
      </c>
      <c r="AV141" s="38">
        <v>42.110199999999999</v>
      </c>
      <c r="AW141" s="39"/>
      <c r="AX141" s="49">
        <v>37.515000000000001</v>
      </c>
      <c r="AY141" s="49">
        <v>31.718</v>
      </c>
      <c r="BA141" s="53">
        <f t="shared" si="59"/>
        <v>-2.3476879504991111E-5</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8160</v>
      </c>
      <c r="BZ141">
        <f t="shared" si="62"/>
        <v>0</v>
      </c>
      <c r="CA141">
        <f t="shared" si="63"/>
        <v>8160</v>
      </c>
      <c r="CB141">
        <f t="shared" si="64"/>
        <v>0</v>
      </c>
      <c r="CC141">
        <f t="shared" si="65"/>
        <v>-2.0000000000663931E-4</v>
      </c>
      <c r="CD141">
        <f t="shared" si="66"/>
        <v>3.9999999999906777E-4</v>
      </c>
      <c r="CE141">
        <f t="shared" si="67"/>
        <v>1.9999999999953388E-3</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8.2050596143544645</v>
      </c>
      <c r="K142" s="23">
        <f t="shared" si="51"/>
        <v>5.9567277331480941</v>
      </c>
      <c r="L142" s="23">
        <f t="shared" si="52"/>
        <v>2.2482116911802548</v>
      </c>
      <c r="M142" s="24"/>
      <c r="N142" s="23">
        <f t="shared" si="53"/>
        <v>8.2050596143544645</v>
      </c>
      <c r="O142" s="25">
        <v>19702134</v>
      </c>
      <c r="P142" s="26">
        <v>161657184</v>
      </c>
      <c r="Q142" s="26">
        <v>117360248</v>
      </c>
      <c r="R142" s="26">
        <v>44294568</v>
      </c>
      <c r="S142" s="40"/>
      <c r="T142" s="41">
        <v>40.821399999999997</v>
      </c>
      <c r="U142" s="41">
        <v>46.093299999999999</v>
      </c>
      <c r="V142" s="41">
        <v>46.701999999999998</v>
      </c>
      <c r="W142" s="42"/>
      <c r="X142" s="41">
        <v>34.151400000000002</v>
      </c>
      <c r="Y142" s="41">
        <v>34.151400000000002</v>
      </c>
      <c r="Z142" s="41">
        <v>34.151400000000002</v>
      </c>
      <c r="AA142" s="42"/>
      <c r="AB142" s="50">
        <v>36.780999999999999</v>
      </c>
      <c r="AC142" s="50">
        <v>31.593</v>
      </c>
      <c r="AE142" s="22" t="str">
        <f t="shared" si="54"/>
        <v>·</v>
      </c>
      <c r="AF142" s="23">
        <f t="shared" si="55"/>
        <v>8.2047039168447444</v>
      </c>
      <c r="AG142" s="23">
        <f t="shared" si="56"/>
        <v>5.9567277331480941</v>
      </c>
      <c r="AH142" s="23">
        <f t="shared" si="57"/>
        <v>2.2478559936705333</v>
      </c>
      <c r="AI142" s="24"/>
      <c r="AJ142" s="23">
        <f t="shared" si="58"/>
        <v>8.2047039168447444</v>
      </c>
      <c r="AK142" s="25">
        <v>19702134</v>
      </c>
      <c r="AL142" s="26">
        <v>161650176</v>
      </c>
      <c r="AM142" s="26">
        <v>117360248</v>
      </c>
      <c r="AN142" s="26">
        <v>44287560</v>
      </c>
      <c r="AO142" s="40"/>
      <c r="AP142" s="41">
        <v>40.8217</v>
      </c>
      <c r="AQ142" s="41">
        <v>46.094900000000003</v>
      </c>
      <c r="AR142" s="41">
        <v>46.705100000000002</v>
      </c>
      <c r="AS142" s="42"/>
      <c r="AT142" s="41">
        <v>34.151400000000002</v>
      </c>
      <c r="AU142" s="41">
        <v>34.151400000000002</v>
      </c>
      <c r="AV142" s="41">
        <v>34.151400000000002</v>
      </c>
      <c r="AW142" s="42"/>
      <c r="AX142" s="50">
        <v>36.843000000000004</v>
      </c>
      <c r="AY142" s="50">
        <v>31.437000000000001</v>
      </c>
      <c r="BA142" s="55">
        <f t="shared" si="59"/>
        <v>3.1473418794059072E-5</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-7008</v>
      </c>
      <c r="BZ142">
        <f t="shared" si="62"/>
        <v>0</v>
      </c>
      <c r="CA142">
        <f t="shared" si="63"/>
        <v>-7008</v>
      </c>
      <c r="CB142">
        <f t="shared" si="64"/>
        <v>0</v>
      </c>
      <c r="CC142">
        <f t="shared" si="65"/>
        <v>3.0000000000285354E-4</v>
      </c>
      <c r="CD142">
        <f t="shared" si="66"/>
        <v>1.6000000000033765E-3</v>
      </c>
      <c r="CE142">
        <f t="shared" si="67"/>
        <v>3.1000000000034333E-3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7.0259101882060087</v>
      </c>
      <c r="K143" s="18">
        <f t="shared" si="51"/>
        <v>5.9567277331480941</v>
      </c>
      <c r="L143" s="18">
        <f t="shared" si="52"/>
        <v>1.069062265031798</v>
      </c>
      <c r="M143" s="19"/>
      <c r="N143" s="18">
        <f t="shared" si="53"/>
        <v>7.0259101882060087</v>
      </c>
      <c r="O143" s="20">
        <v>19702134</v>
      </c>
      <c r="P143" s="21">
        <v>138425424</v>
      </c>
      <c r="Q143" s="21">
        <v>117360248</v>
      </c>
      <c r="R143" s="21">
        <v>21062808</v>
      </c>
      <c r="S143" s="37"/>
      <c r="T143" s="38">
        <v>35.461300000000001</v>
      </c>
      <c r="U143" s="38">
        <v>41.865400000000001</v>
      </c>
      <c r="V143" s="38">
        <v>43.001399999999997</v>
      </c>
      <c r="W143" s="39"/>
      <c r="X143" s="38">
        <v>28.130800000000001</v>
      </c>
      <c r="Y143" s="38">
        <v>28.130800000000001</v>
      </c>
      <c r="Z143" s="38">
        <v>28.130800000000001</v>
      </c>
      <c r="AA143" s="39"/>
      <c r="AB143" s="49">
        <v>36.64</v>
      </c>
      <c r="AC143" s="49">
        <v>31.14</v>
      </c>
      <c r="AE143" s="17" t="str">
        <f t="shared" si="54"/>
        <v>·</v>
      </c>
      <c r="AF143" s="18">
        <f t="shared" si="55"/>
        <v>7.0258005554119167</v>
      </c>
      <c r="AG143" s="18">
        <f t="shared" si="56"/>
        <v>5.9567277331480941</v>
      </c>
      <c r="AH143" s="18">
        <f t="shared" si="57"/>
        <v>1.0689526322377059</v>
      </c>
      <c r="AI143" s="19"/>
      <c r="AJ143" s="18">
        <f t="shared" si="58"/>
        <v>7.0258005554119167</v>
      </c>
      <c r="AK143" s="20">
        <v>19702134</v>
      </c>
      <c r="AL143" s="21">
        <v>138423264</v>
      </c>
      <c r="AM143" s="21">
        <v>117360248</v>
      </c>
      <c r="AN143" s="21">
        <v>21060648</v>
      </c>
      <c r="AO143" s="37"/>
      <c r="AP143" s="38">
        <v>35.462600000000002</v>
      </c>
      <c r="AQ143" s="38">
        <v>41.8611</v>
      </c>
      <c r="AR143" s="38">
        <v>43.033099999999997</v>
      </c>
      <c r="AS143" s="39"/>
      <c r="AT143" s="38">
        <v>28.130800000000001</v>
      </c>
      <c r="AU143" s="38">
        <v>28.130800000000001</v>
      </c>
      <c r="AV143" s="38">
        <v>28.130800000000001</v>
      </c>
      <c r="AW143" s="39"/>
      <c r="AX143" s="49">
        <v>36.718000000000004</v>
      </c>
      <c r="AY143" s="49">
        <v>31.39</v>
      </c>
      <c r="BA143" s="53">
        <f t="shared" si="59"/>
        <v>1.322969468509072E-5</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-2160</v>
      </c>
      <c r="BZ143">
        <f t="shared" si="62"/>
        <v>0</v>
      </c>
      <c r="CA143">
        <f t="shared" si="63"/>
        <v>-2160</v>
      </c>
      <c r="CB143">
        <f t="shared" si="64"/>
        <v>0</v>
      </c>
      <c r="CC143">
        <f t="shared" si="65"/>
        <v>1.300000000000523E-3</v>
      </c>
      <c r="CD143">
        <f t="shared" si="66"/>
        <v>-4.3000000000006366E-3</v>
      </c>
      <c r="CE143">
        <f t="shared" si="67"/>
        <v>3.1700000000000728E-2</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6.2632216388336408</v>
      </c>
      <c r="K144" s="33">
        <f t="shared" si="51"/>
        <v>5.9567277331480941</v>
      </c>
      <c r="L144" s="33">
        <f t="shared" si="52"/>
        <v>0.30637371565943061</v>
      </c>
      <c r="M144" s="34"/>
      <c r="N144" s="33">
        <f t="shared" si="53"/>
        <v>6.2632216388336408</v>
      </c>
      <c r="O144" s="35">
        <v>19702134</v>
      </c>
      <c r="P144" s="36">
        <v>123398832</v>
      </c>
      <c r="Q144" s="36">
        <v>117360248</v>
      </c>
      <c r="R144" s="36">
        <v>6036216</v>
      </c>
      <c r="S144" s="46"/>
      <c r="T144" s="47">
        <v>30.0001</v>
      </c>
      <c r="U144" s="47">
        <v>37.7209</v>
      </c>
      <c r="V144" s="47">
        <v>38.3324</v>
      </c>
      <c r="W144" s="48"/>
      <c r="X144" s="47">
        <v>21.686399999999999</v>
      </c>
      <c r="Y144" s="47">
        <v>21.686399999999999</v>
      </c>
      <c r="Z144" s="47">
        <v>21.686399999999999</v>
      </c>
      <c r="AA144" s="48"/>
      <c r="AB144" s="52">
        <v>36.420999999999999</v>
      </c>
      <c r="AC144" s="52">
        <v>31.234000000000002</v>
      </c>
      <c r="AE144" s="32" t="str">
        <f t="shared" si="54"/>
        <v>·</v>
      </c>
      <c r="AF144" s="33">
        <f t="shared" si="55"/>
        <v>6.2632634617143506</v>
      </c>
      <c r="AG144" s="33">
        <f t="shared" si="56"/>
        <v>5.9567277331480941</v>
      </c>
      <c r="AH144" s="33">
        <f t="shared" si="57"/>
        <v>0.30641553854013986</v>
      </c>
      <c r="AI144" s="34"/>
      <c r="AJ144" s="33">
        <f t="shared" si="58"/>
        <v>6.2632634617143506</v>
      </c>
      <c r="AK144" s="35">
        <v>19702134</v>
      </c>
      <c r="AL144" s="36">
        <v>123399656</v>
      </c>
      <c r="AM144" s="36">
        <v>117360248</v>
      </c>
      <c r="AN144" s="36">
        <v>6037040</v>
      </c>
      <c r="AO144" s="46"/>
      <c r="AP144" s="47">
        <v>29.9937</v>
      </c>
      <c r="AQ144" s="47">
        <v>37.7393</v>
      </c>
      <c r="AR144" s="47">
        <v>38.298999999999999</v>
      </c>
      <c r="AS144" s="48"/>
      <c r="AT144" s="47">
        <v>21.686399999999999</v>
      </c>
      <c r="AU144" s="47">
        <v>21.686399999999999</v>
      </c>
      <c r="AV144" s="47">
        <v>21.686399999999999</v>
      </c>
      <c r="AW144" s="48"/>
      <c r="AX144" s="52">
        <v>36.5</v>
      </c>
      <c r="AY144" s="52">
        <v>31.187000000000001</v>
      </c>
      <c r="BA144" s="59">
        <f t="shared" si="59"/>
        <v>-6.3507239027593698E-6</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824</v>
      </c>
      <c r="BZ144">
        <f t="shared" si="62"/>
        <v>0</v>
      </c>
      <c r="CA144">
        <f t="shared" si="63"/>
        <v>824</v>
      </c>
      <c r="CB144">
        <f t="shared" si="64"/>
        <v>0</v>
      </c>
      <c r="CC144">
        <f t="shared" si="65"/>
        <v>-6.3999999999992951E-3</v>
      </c>
      <c r="CD144">
        <f t="shared" si="66"/>
        <v>1.839999999999975E-2</v>
      </c>
      <c r="CE144">
        <f t="shared" si="67"/>
        <v>-3.3400000000000318E-2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28.501546136120542</v>
      </c>
      <c r="K145" s="18">
        <f t="shared" si="51"/>
        <v>22.383093894386754</v>
      </c>
      <c r="L145" s="18">
        <f t="shared" si="52"/>
        <v>6.1183313163032382</v>
      </c>
      <c r="M145" s="19"/>
      <c r="N145" s="18">
        <f t="shared" si="53"/>
        <v>28.501546136120542</v>
      </c>
      <c r="O145" s="20">
        <v>19714629</v>
      </c>
      <c r="P145" s="21">
        <v>561897408</v>
      </c>
      <c r="Q145" s="21">
        <v>441274392</v>
      </c>
      <c r="R145" s="21">
        <v>120620632</v>
      </c>
      <c r="S145" s="37"/>
      <c r="T145" s="38">
        <v>53.104199999999999</v>
      </c>
      <c r="U145" s="38">
        <v>56.145699999999998</v>
      </c>
      <c r="V145" s="38">
        <v>55.144199999999998</v>
      </c>
      <c r="W145" s="39"/>
      <c r="X145" s="38">
        <v>48.130800000000001</v>
      </c>
      <c r="Y145" s="38">
        <v>48.130800000000001</v>
      </c>
      <c r="Z145" s="38">
        <v>48.130800000000001</v>
      </c>
      <c r="AA145" s="39"/>
      <c r="AB145" s="49">
        <v>62.25</v>
      </c>
      <c r="AC145" s="49">
        <v>55.655999999999999</v>
      </c>
      <c r="AE145" s="17" t="str">
        <f t="shared" si="54"/>
        <v>·</v>
      </c>
      <c r="AF145" s="18">
        <f t="shared" si="55"/>
        <v>28.50227493502414</v>
      </c>
      <c r="AG145" s="18">
        <f t="shared" si="56"/>
        <v>22.383093894386754</v>
      </c>
      <c r="AH145" s="18">
        <f t="shared" si="57"/>
        <v>6.1190601152068345</v>
      </c>
      <c r="AI145" s="19"/>
      <c r="AJ145" s="18">
        <f t="shared" si="58"/>
        <v>28.50227493502414</v>
      </c>
      <c r="AK145" s="20">
        <v>19714629</v>
      </c>
      <c r="AL145" s="21">
        <v>561911776</v>
      </c>
      <c r="AM145" s="21">
        <v>441274392</v>
      </c>
      <c r="AN145" s="21">
        <v>120635000</v>
      </c>
      <c r="AO145" s="37"/>
      <c r="AP145" s="38">
        <v>53.105499999999999</v>
      </c>
      <c r="AQ145" s="38">
        <v>56.147500000000001</v>
      </c>
      <c r="AR145" s="38">
        <v>55.1462</v>
      </c>
      <c r="AS145" s="39"/>
      <c r="AT145" s="38">
        <v>48.130800000000001</v>
      </c>
      <c r="AU145" s="38">
        <v>48.130800000000001</v>
      </c>
      <c r="AV145" s="38">
        <v>48.130800000000001</v>
      </c>
      <c r="AW145" s="39"/>
      <c r="AX145" s="49">
        <v>62.545999999999999</v>
      </c>
      <c r="AY145" s="49">
        <v>56.186999999999998</v>
      </c>
      <c r="BA145" s="53">
        <f t="shared" si="59"/>
        <v>-2.0080747817341482E-5</v>
      </c>
      <c r="BB145" s="53">
        <f t="array" ref="BB145">AVERAGE(AM145:AM149/AL145:AL149)-AVERAGE(Q145:Q149/P145:P149)</f>
        <v>5.9689313758326534E-7</v>
      </c>
      <c r="BD145" s="54">
        <f>IF(OR(ISBLANK(R145:R149),ISBLANK(AN145:AN149),ISBLANK(T145:T149),ISBLANK(AP145:AP149)),"·",bdRateExtend(R145:R149,T145:T149,AN145:AN149,AP145:AP149))</f>
        <v>-4.6674083178877002E-4</v>
      </c>
      <c r="BE145" s="54">
        <f>IF(OR(ISBLANK(R145:R149),ISBLANK(AN145:AN149),ISBLANK(U145:U149),ISBLANK(AQ145:AQ149)),"·",bdRateExtend(R145:R149,U145:U149,AN145:AN149,AQ145:AQ149))</f>
        <v>-7.9742431676632641E-4</v>
      </c>
      <c r="BF145" s="54">
        <f>IF(OR(ISBLANK(R145:R149),ISBLANK(AN145:AN149),ISBLANK(V145:V149),ISBLANK(AR145:AR149)),"·",bdRateExtend(R145:R149,V145:V149,AN145:AN149,AR145:AR149))</f>
        <v>-1.5356065637340821E-3</v>
      </c>
      <c r="BG145" s="61"/>
      <c r="BI145" s="54">
        <f>IF(OR(ISBLANK(R145:R149),ISBLANK(AN145:AN149),ISBLANK(X145:X149),ISBLANK(AT145:AT149)),"·",bdRateExtend(R145:R149,X145:X149,AN145:AN149,AT145:AT149))</f>
        <v>-1.9566769432155517E-4</v>
      </c>
      <c r="BJ145" s="54">
        <f>IF(OR(ISBLANK(R145:R149),ISBLANK(AN145:AN149),ISBLANK(Y145:Y149),ISBLANK(AU145:AU149)),"·",bdRateExtend(R145:R149,Y145:Y149,AN145:AN149,AU145:AU149))</f>
        <v>-1.9566769432155517E-4</v>
      </c>
      <c r="BK145" s="54">
        <f>IF(OR(ISBLANK(R145:R149),ISBLANK(AN145:AN149),ISBLANK(Z145:Z149),ISBLANK(AV145:AV149)),"·",bdRateExtend(R145:R149,Z145:Z149,AN145:AN149,AV145:AV149))</f>
        <v>-1.9566769432155517E-4</v>
      </c>
      <c r="BL145" s="61"/>
      <c r="BN145" s="54">
        <f>IF(OR(ISBLANK(P145:P149),ISBLANK(AL145:AL149),ISBLANK(T145:T149),ISBLANK(AP145:AP149)),"·",bdRateExtend(P145:P149,T145:T149,AL145:AL149,AP145:AP149))</f>
        <v>-8.9491291642707083E-6</v>
      </c>
      <c r="BO145" s="54">
        <f>IF(OR(ISBLANK(P145:P149),ISBLANK(AL145:AL149),ISBLANK(U145:U149),ISBLANK(AQ145:AQ149)),"·",bdRateExtend(P145:P149,U145:U149,AL145:AL149,AQ145:AQ149))</f>
        <v>-1.8671034460071567E-5</v>
      </c>
      <c r="BP145" s="54">
        <f>IF(OR(ISBLANK(P145:P149),ISBLANK(AL145:AL149),ISBLANK(V145:V149),ISBLANK(AR145:AR149)),"·",bdRateExtend(P145:P149,V145:V149,AL145:AL149,AR145:AR149))</f>
        <v>-8.8298303705269809E-5</v>
      </c>
      <c r="BQ145" s="61"/>
      <c r="BS145" s="54">
        <f>IF(OR(ISBLANK(P145:P149),ISBLANK(AL145:AL149),ISBLANK(X145:X149),ISBLANK(AT145:AT149)),"·",bdRateExtend(P145:P149,X145:X149,AL145:AL149,AT145:AT149))</f>
        <v>-5.2122960825240483E-7</v>
      </c>
      <c r="BT145" s="54">
        <f>IF(OR(ISBLANK(P145:P149),ISBLANK(AL145:AL149),ISBLANK(Y145:Y149),ISBLANK(AU145:AU149)),"·",bdRateExtend(P145:P149,Y145:Y149,AL145:AL149,AU145:AU149))</f>
        <v>-5.2122960825240483E-7</v>
      </c>
      <c r="BU145" s="54">
        <f>IF(OR(ISBLANK(P145:P149),ISBLANK(AL145:AL149),ISBLANK(Z145:Z149),ISBLANK(AV145:AV149)),"·",bdRateExtend(P145:P149,Z145:Z149,AL145:AL149,AV145:AV149))</f>
        <v>-5.2122960825240483E-7</v>
      </c>
      <c r="BV145" s="61"/>
      <c r="BX145">
        <f t="shared" si="60"/>
        <v>0</v>
      </c>
      <c r="BY145">
        <f t="shared" si="61"/>
        <v>14368</v>
      </c>
      <c r="BZ145">
        <f t="shared" si="62"/>
        <v>0</v>
      </c>
      <c r="CA145">
        <f t="shared" si="63"/>
        <v>14368</v>
      </c>
      <c r="CB145">
        <f t="shared" si="64"/>
        <v>0</v>
      </c>
      <c r="CC145">
        <f t="shared" si="65"/>
        <v>1.300000000000523E-3</v>
      </c>
      <c r="CD145">
        <f t="shared" si="66"/>
        <v>1.8000000000029104E-3</v>
      </c>
      <c r="CE145">
        <f t="shared" si="67"/>
        <v>2.0000000000024443E-3</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26.65269612732758</v>
      </c>
      <c r="K146" s="23">
        <f t="shared" si="51"/>
        <v>22.383093894386754</v>
      </c>
      <c r="L146" s="23">
        <f t="shared" si="52"/>
        <v>4.2694813075102758</v>
      </c>
      <c r="M146" s="24"/>
      <c r="N146" s="23">
        <f t="shared" si="53"/>
        <v>26.65269612732758</v>
      </c>
      <c r="O146" s="25">
        <v>19714629</v>
      </c>
      <c r="P146" s="26">
        <v>525448016</v>
      </c>
      <c r="Q146" s="26">
        <v>441274392</v>
      </c>
      <c r="R146" s="26">
        <v>84171240</v>
      </c>
      <c r="S146" s="40"/>
      <c r="T146" s="41">
        <v>48.046900000000001</v>
      </c>
      <c r="U146" s="41">
        <v>51.223999999999997</v>
      </c>
      <c r="V146" s="41">
        <v>51.209699999999998</v>
      </c>
      <c r="W146" s="42"/>
      <c r="X146" s="41">
        <v>42.110199999999999</v>
      </c>
      <c r="Y146" s="41">
        <v>42.110199999999999</v>
      </c>
      <c r="Z146" s="41">
        <v>42.110199999999999</v>
      </c>
      <c r="AA146" s="42"/>
      <c r="AB146" s="50">
        <v>62.25</v>
      </c>
      <c r="AC146" s="50">
        <v>55.359000000000002</v>
      </c>
      <c r="AE146" s="22" t="str">
        <f t="shared" si="54"/>
        <v>·</v>
      </c>
      <c r="AF146" s="23">
        <f t="shared" si="55"/>
        <v>26.653043889387927</v>
      </c>
      <c r="AG146" s="23">
        <f t="shared" si="56"/>
        <v>22.383093894386754</v>
      </c>
      <c r="AH146" s="23">
        <f t="shared" si="57"/>
        <v>4.2698290695706218</v>
      </c>
      <c r="AI146" s="24"/>
      <c r="AJ146" s="23">
        <f t="shared" si="58"/>
        <v>26.653043889387927</v>
      </c>
      <c r="AK146" s="25">
        <v>19714629</v>
      </c>
      <c r="AL146" s="26">
        <v>525454872</v>
      </c>
      <c r="AM146" s="26">
        <v>441274392</v>
      </c>
      <c r="AN146" s="26">
        <v>84178096</v>
      </c>
      <c r="AO146" s="40"/>
      <c r="AP146" s="41">
        <v>48.047899999999998</v>
      </c>
      <c r="AQ146" s="41">
        <v>51.2239</v>
      </c>
      <c r="AR146" s="41">
        <v>51.210999999999999</v>
      </c>
      <c r="AS146" s="42"/>
      <c r="AT146" s="41">
        <v>42.110199999999999</v>
      </c>
      <c r="AU146" s="41">
        <v>42.110199999999999</v>
      </c>
      <c r="AV146" s="41">
        <v>42.110199999999999</v>
      </c>
      <c r="AW146" s="42"/>
      <c r="AX146" s="50">
        <v>62.25</v>
      </c>
      <c r="AY146" s="50">
        <v>55.968000000000004</v>
      </c>
      <c r="BA146" s="55">
        <f t="shared" si="59"/>
        <v>-1.0957572540992722E-5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6856</v>
      </c>
      <c r="BZ146">
        <f t="shared" si="62"/>
        <v>0</v>
      </c>
      <c r="CA146">
        <f t="shared" si="63"/>
        <v>6856</v>
      </c>
      <c r="CB146">
        <f t="shared" si="64"/>
        <v>0</v>
      </c>
      <c r="CC146">
        <f t="shared" si="65"/>
        <v>9.9999999999766942E-4</v>
      </c>
      <c r="CD146">
        <f t="shared" si="66"/>
        <v>-9.9999999996214228E-5</v>
      </c>
      <c r="CE146">
        <f t="shared" si="67"/>
        <v>1.300000000000523E-3</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24.612073805700327</v>
      </c>
      <c r="K147" s="18">
        <f t="shared" si="51"/>
        <v>22.383093894386754</v>
      </c>
      <c r="L147" s="18">
        <f t="shared" si="52"/>
        <v>2.2288589858830212</v>
      </c>
      <c r="M147" s="19"/>
      <c r="N147" s="18">
        <f t="shared" si="53"/>
        <v>24.612073805700327</v>
      </c>
      <c r="O147" s="20">
        <v>19714629</v>
      </c>
      <c r="P147" s="21">
        <v>485217904</v>
      </c>
      <c r="Q147" s="21">
        <v>441274392</v>
      </c>
      <c r="R147" s="21">
        <v>43941128</v>
      </c>
      <c r="S147" s="37"/>
      <c r="T147" s="38">
        <v>40.819499999999998</v>
      </c>
      <c r="U147" s="38">
        <v>46.125399999999999</v>
      </c>
      <c r="V147" s="38">
        <v>46.742100000000001</v>
      </c>
      <c r="W147" s="39"/>
      <c r="X147" s="38">
        <v>34.151400000000002</v>
      </c>
      <c r="Y147" s="38">
        <v>34.151400000000002</v>
      </c>
      <c r="Z147" s="38">
        <v>34.151400000000002</v>
      </c>
      <c r="AA147" s="39"/>
      <c r="AB147" s="49">
        <v>61.436999999999998</v>
      </c>
      <c r="AC147" s="49">
        <v>54.920999999999999</v>
      </c>
      <c r="AE147" s="17" t="str">
        <f t="shared" si="54"/>
        <v>·</v>
      </c>
      <c r="AF147" s="18">
        <f t="shared" si="55"/>
        <v>24.612099370472556</v>
      </c>
      <c r="AG147" s="18">
        <f t="shared" si="56"/>
        <v>22.383093894386754</v>
      </c>
      <c r="AH147" s="18">
        <f t="shared" si="57"/>
        <v>2.2288845506552519</v>
      </c>
      <c r="AI147" s="19"/>
      <c r="AJ147" s="18">
        <f t="shared" si="58"/>
        <v>24.612099370472556</v>
      </c>
      <c r="AK147" s="20">
        <v>19714629</v>
      </c>
      <c r="AL147" s="21">
        <v>485218408</v>
      </c>
      <c r="AM147" s="21">
        <v>441274392</v>
      </c>
      <c r="AN147" s="21">
        <v>43941632</v>
      </c>
      <c r="AO147" s="37"/>
      <c r="AP147" s="38">
        <v>40.819200000000002</v>
      </c>
      <c r="AQ147" s="38">
        <v>46.128700000000002</v>
      </c>
      <c r="AR147" s="38">
        <v>46.743899999999996</v>
      </c>
      <c r="AS147" s="39"/>
      <c r="AT147" s="38">
        <v>34.151400000000002</v>
      </c>
      <c r="AU147" s="38">
        <v>34.151400000000002</v>
      </c>
      <c r="AV147" s="38">
        <v>34.151400000000002</v>
      </c>
      <c r="AW147" s="39"/>
      <c r="AX147" s="49">
        <v>61.64</v>
      </c>
      <c r="AY147" s="49">
        <v>55.5</v>
      </c>
      <c r="BA147" s="53">
        <f t="shared" si="59"/>
        <v>-9.4463748590012386E-7</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504</v>
      </c>
      <c r="BZ147">
        <f t="shared" si="62"/>
        <v>0</v>
      </c>
      <c r="CA147">
        <f t="shared" si="63"/>
        <v>504</v>
      </c>
      <c r="CB147">
        <f t="shared" si="64"/>
        <v>0</v>
      </c>
      <c r="CC147">
        <f t="shared" si="65"/>
        <v>-2.9999999999574811E-4</v>
      </c>
      <c r="CD147">
        <f t="shared" si="66"/>
        <v>3.3000000000029672E-3</v>
      </c>
      <c r="CE147">
        <f t="shared" si="67"/>
        <v>1.799999999995805E-3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23.440177342419176</v>
      </c>
      <c r="K148" s="23">
        <f t="shared" si="51"/>
        <v>22.383093894386754</v>
      </c>
      <c r="L148" s="23">
        <f t="shared" si="52"/>
        <v>1.0569625226018708</v>
      </c>
      <c r="M148" s="24"/>
      <c r="N148" s="23">
        <f t="shared" si="53"/>
        <v>23.440177342419176</v>
      </c>
      <c r="O148" s="25">
        <v>19714629</v>
      </c>
      <c r="P148" s="26">
        <v>462114400</v>
      </c>
      <c r="Q148" s="26">
        <v>441274392</v>
      </c>
      <c r="R148" s="26">
        <v>20837624</v>
      </c>
      <c r="S148" s="40"/>
      <c r="T148" s="41">
        <v>35.468400000000003</v>
      </c>
      <c r="U148" s="41">
        <v>41.9116</v>
      </c>
      <c r="V148" s="41">
        <v>43.064399999999999</v>
      </c>
      <c r="W148" s="42"/>
      <c r="X148" s="41">
        <v>28.130800000000001</v>
      </c>
      <c r="Y148" s="41">
        <v>28.130800000000001</v>
      </c>
      <c r="Z148" s="41">
        <v>28.130800000000001</v>
      </c>
      <c r="AA148" s="42"/>
      <c r="AB148" s="50">
        <v>61.468000000000004</v>
      </c>
      <c r="AC148" s="50">
        <v>54.670999999999999</v>
      </c>
      <c r="AE148" s="22" t="str">
        <f t="shared" si="54"/>
        <v>·</v>
      </c>
      <c r="AF148" s="23">
        <f t="shared" si="55"/>
        <v>23.439717176519022</v>
      </c>
      <c r="AG148" s="23">
        <f t="shared" si="56"/>
        <v>22.383093894386754</v>
      </c>
      <c r="AH148" s="23">
        <f t="shared" si="57"/>
        <v>1.0565023567017162</v>
      </c>
      <c r="AI148" s="24"/>
      <c r="AJ148" s="23">
        <f t="shared" si="58"/>
        <v>23.439717176519022</v>
      </c>
      <c r="AK148" s="25">
        <v>19714629</v>
      </c>
      <c r="AL148" s="26">
        <v>462105328</v>
      </c>
      <c r="AM148" s="26">
        <v>441274392</v>
      </c>
      <c r="AN148" s="26">
        <v>20828552</v>
      </c>
      <c r="AO148" s="40"/>
      <c r="AP148" s="41">
        <v>35.468400000000003</v>
      </c>
      <c r="AQ148" s="41">
        <v>41.910299999999999</v>
      </c>
      <c r="AR148" s="41">
        <v>43.091999999999999</v>
      </c>
      <c r="AS148" s="42"/>
      <c r="AT148" s="41">
        <v>28.130800000000001</v>
      </c>
      <c r="AU148" s="41">
        <v>28.130800000000001</v>
      </c>
      <c r="AV148" s="41">
        <v>28.130800000000001</v>
      </c>
      <c r="AW148" s="42"/>
      <c r="AX148" s="50">
        <v>61.39</v>
      </c>
      <c r="AY148" s="50">
        <v>55.359000000000002</v>
      </c>
      <c r="BA148" s="55">
        <f t="shared" si="59"/>
        <v>1.8746547174264272E-5</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-9072</v>
      </c>
      <c r="BZ148">
        <f t="shared" si="62"/>
        <v>0</v>
      </c>
      <c r="CA148">
        <f t="shared" si="63"/>
        <v>-9072</v>
      </c>
      <c r="CB148">
        <f t="shared" si="64"/>
        <v>0</v>
      </c>
      <c r="CC148">
        <f t="shared" si="65"/>
        <v>0</v>
      </c>
      <c r="CD148">
        <f t="shared" si="66"/>
        <v>-1.300000000000523E-3</v>
      </c>
      <c r="CE148">
        <f t="shared" si="67"/>
        <v>2.7599999999999625E-2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22.684797974133826</v>
      </c>
      <c r="K149" s="28">
        <f t="shared" si="51"/>
        <v>22.383093894386754</v>
      </c>
      <c r="L149" s="28">
        <f t="shared" si="52"/>
        <v>0.30158315431652305</v>
      </c>
      <c r="M149" s="29"/>
      <c r="N149" s="28">
        <f t="shared" si="53"/>
        <v>22.684797974133826</v>
      </c>
      <c r="O149" s="30">
        <v>19714629</v>
      </c>
      <c r="P149" s="31">
        <v>447222376</v>
      </c>
      <c r="Q149" s="31">
        <v>441274392</v>
      </c>
      <c r="R149" s="31">
        <v>5945600</v>
      </c>
      <c r="S149" s="43"/>
      <c r="T149" s="44">
        <v>30.0123</v>
      </c>
      <c r="U149" s="44">
        <v>37.806100000000001</v>
      </c>
      <c r="V149" s="44">
        <v>38.454700000000003</v>
      </c>
      <c r="W149" s="45"/>
      <c r="X149" s="44">
        <v>21.686399999999999</v>
      </c>
      <c r="Y149" s="44">
        <v>21.686399999999999</v>
      </c>
      <c r="Z149" s="44">
        <v>21.686399999999999</v>
      </c>
      <c r="AA149" s="45"/>
      <c r="AB149" s="51">
        <v>60.875</v>
      </c>
      <c r="AC149" s="51">
        <v>54.405999999999999</v>
      </c>
      <c r="AE149" s="27" t="str">
        <f t="shared" si="54"/>
        <v>·</v>
      </c>
      <c r="AF149" s="28">
        <f t="shared" si="55"/>
        <v>22.684425053091285</v>
      </c>
      <c r="AG149" s="28">
        <f t="shared" si="56"/>
        <v>22.383093894386754</v>
      </c>
      <c r="AH149" s="28">
        <f t="shared" si="57"/>
        <v>0.30121023327398144</v>
      </c>
      <c r="AI149" s="29"/>
      <c r="AJ149" s="28">
        <f t="shared" si="58"/>
        <v>22.684425053091285</v>
      </c>
      <c r="AK149" s="30">
        <v>19714629</v>
      </c>
      <c r="AL149" s="31">
        <v>447215024</v>
      </c>
      <c r="AM149" s="31">
        <v>441274392</v>
      </c>
      <c r="AN149" s="31">
        <v>5938248</v>
      </c>
      <c r="AO149" s="43"/>
      <c r="AP149" s="44">
        <v>30.022600000000001</v>
      </c>
      <c r="AQ149" s="44">
        <v>37.8245</v>
      </c>
      <c r="AR149" s="44">
        <v>38.431199999999997</v>
      </c>
      <c r="AS149" s="45"/>
      <c r="AT149" s="44">
        <v>21.686399999999999</v>
      </c>
      <c r="AU149" s="44">
        <v>21.686399999999999</v>
      </c>
      <c r="AV149" s="44">
        <v>21.686399999999999</v>
      </c>
      <c r="AW149" s="45"/>
      <c r="AX149" s="51">
        <v>61.265000000000001</v>
      </c>
      <c r="AY149" s="51">
        <v>55.061999999999998</v>
      </c>
      <c r="BA149" s="57">
        <f t="shared" si="59"/>
        <v>1.6220876358441494E-5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-7352</v>
      </c>
      <c r="BZ149">
        <f t="shared" si="62"/>
        <v>0</v>
      </c>
      <c r="CA149">
        <f t="shared" si="63"/>
        <v>-7352</v>
      </c>
      <c r="CB149">
        <f t="shared" si="64"/>
        <v>0</v>
      </c>
      <c r="CC149">
        <f t="shared" si="65"/>
        <v>1.0300000000000864E-2</v>
      </c>
      <c r="CD149">
        <f t="shared" si="66"/>
        <v>1.839999999999975E-2</v>
      </c>
      <c r="CE149">
        <f t="shared" si="67"/>
        <v>-2.3500000000005627E-2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36.123414893303519</v>
      </c>
      <c r="K150" s="23">
        <f t="shared" si="51"/>
        <v>29.969428575284358</v>
      </c>
      <c r="L150" s="23">
        <f t="shared" si="52"/>
        <v>6.1537483609467278</v>
      </c>
      <c r="M150" s="24"/>
      <c r="N150" s="23">
        <f t="shared" si="53"/>
        <v>36.123414893303519</v>
      </c>
      <c r="O150" s="25">
        <v>3630907</v>
      </c>
      <c r="P150" s="26">
        <v>131160760</v>
      </c>
      <c r="Q150" s="26">
        <v>108816208</v>
      </c>
      <c r="R150" s="26">
        <v>22343688</v>
      </c>
      <c r="S150" s="40"/>
      <c r="T150" s="41">
        <v>52.916600000000003</v>
      </c>
      <c r="U150" s="41">
        <v>55.716299999999997</v>
      </c>
      <c r="V150" s="41">
        <v>55.847099999999998</v>
      </c>
      <c r="W150" s="42"/>
      <c r="X150" s="41">
        <v>48.130800000000001</v>
      </c>
      <c r="Y150" s="41">
        <v>48.130800000000001</v>
      </c>
      <c r="Z150" s="41">
        <v>48.130800000000001</v>
      </c>
      <c r="AA150" s="42"/>
      <c r="AB150" s="50">
        <v>13.484</v>
      </c>
      <c r="AC150" s="50">
        <v>11.39</v>
      </c>
      <c r="AE150" s="22" t="str">
        <f t="shared" si="54"/>
        <v>·</v>
      </c>
      <c r="AF150" s="23">
        <f t="shared" si="55"/>
        <v>36.126975436165125</v>
      </c>
      <c r="AG150" s="23">
        <f t="shared" si="56"/>
        <v>29.969428575284358</v>
      </c>
      <c r="AH150" s="23">
        <f t="shared" si="57"/>
        <v>6.1573089038083326</v>
      </c>
      <c r="AI150" s="24"/>
      <c r="AJ150" s="23">
        <f t="shared" si="58"/>
        <v>36.126975436165125</v>
      </c>
      <c r="AK150" s="25">
        <v>3630907</v>
      </c>
      <c r="AL150" s="26">
        <v>131173688</v>
      </c>
      <c r="AM150" s="26">
        <v>108816208</v>
      </c>
      <c r="AN150" s="26">
        <v>22356616</v>
      </c>
      <c r="AO150" s="40"/>
      <c r="AP150" s="41">
        <v>52.923299999999998</v>
      </c>
      <c r="AQ150" s="41">
        <v>55.724899999999998</v>
      </c>
      <c r="AR150" s="41">
        <v>55.8536</v>
      </c>
      <c r="AS150" s="42"/>
      <c r="AT150" s="41">
        <v>48.130800000000001</v>
      </c>
      <c r="AU150" s="41">
        <v>48.130800000000001</v>
      </c>
      <c r="AV150" s="41">
        <v>48.130800000000001</v>
      </c>
      <c r="AW150" s="42"/>
      <c r="AX150" s="50">
        <v>13.515000000000001</v>
      </c>
      <c r="AY150" s="50">
        <v>11.561999999999999</v>
      </c>
      <c r="BA150" s="55">
        <f t="shared" si="59"/>
        <v>-8.176628711098477E-5</v>
      </c>
      <c r="BB150" s="55">
        <f t="array" ref="BB150">AVERAGE(AM150:AM154/AL150:AL154)-AVERAGE(Q150:Q154/P150:P154)</f>
        <v>-5.2820630436323235E-5</v>
      </c>
      <c r="BD150" s="56">
        <f>IF(OR(ISBLANK(R150:R154),ISBLANK(AN150:AN154),ISBLANK(T150:T154),ISBLANK(AP150:AP154)),"·",bdRateExtend(R150:R154,T150:T154,AN150:AN154,AP150:AP154))</f>
        <v>-6.3501854799064006E-4</v>
      </c>
      <c r="BE150" s="56">
        <f>IF(OR(ISBLANK(R150:R154),ISBLANK(AN150:AN154),ISBLANK(U150:U154),ISBLANK(AQ150:AQ154)),"·",bdRateExtend(R150:R154,U150:U154,AN150:AN154,AQ150:AQ154))</f>
        <v>4.8852907195047202E-3</v>
      </c>
      <c r="BF150" s="56">
        <f>IF(OR(ISBLANK(R150:R154),ISBLANK(AN150:AN154),ISBLANK(V150:V154),ISBLANK(AR150:AR154)),"·",bdRateExtend(R150:R154,V150:V154,AN150:AN154,AR150:AR154))</f>
        <v>5.533597090638942E-4</v>
      </c>
      <c r="BG150" s="62"/>
      <c r="BI150" s="56">
        <f>IF(OR(ISBLANK(R150:R154),ISBLANK(AN150:AN154),ISBLANK(X150:X154),ISBLANK(AT150:AT154)),"·",bdRateExtend(R150:R154,X150:X154,AN150:AN154,AT150:AT154))</f>
        <v>1.4411370492033448E-3</v>
      </c>
      <c r="BJ150" s="56">
        <f>IF(OR(ISBLANK(R150:R154),ISBLANK(AN150:AN154),ISBLANK(Y150:Y154),ISBLANK(AU150:AU154)),"·",bdRateExtend(R150:R154,Y150:Y154,AN150:AN154,AU150:AU154))</f>
        <v>1.4411370492033448E-3</v>
      </c>
      <c r="BK150" s="56">
        <f>IF(OR(ISBLANK(R150:R154),ISBLANK(AN150:AN154),ISBLANK(Z150:Z154),ISBLANK(AV150:AV154)),"·",bdRateExtend(R150:R154,Z150:Z154,AN150:AN154,AV150:AV154))</f>
        <v>1.4411370492033448E-3</v>
      </c>
      <c r="BL150" s="62"/>
      <c r="BN150" s="56">
        <f>IF(OR(ISBLANK(P150:P154),ISBLANK(AL150:AL154),ISBLANK(T150:T154),ISBLANK(AP150:AP154)),"·",bdRateExtend(P150:P154,T150:T154,AL150:AL154,AP150:AP154))</f>
        <v>-1.2021983716636875E-5</v>
      </c>
      <c r="BO150" s="56">
        <f>IF(OR(ISBLANK(P150:P154),ISBLANK(AL150:AL154),ISBLANK(U150:U154),ISBLANK(AQ150:AQ154)),"·",bdRateExtend(P150:P154,U150:U154,AL150:AL154,AQ150:AQ154))</f>
        <v>2.2291971330856697E-5</v>
      </c>
      <c r="BP150" s="56">
        <f>IF(OR(ISBLANK(P150:P154),ISBLANK(AL150:AL154),ISBLANK(V150:V154),ISBLANK(AR150:AR154)),"·",bdRateExtend(P150:P154,V150:V154,AL150:AL154,AR150:AR154))</f>
        <v>-2.1676498551892465E-5</v>
      </c>
      <c r="BQ150" s="62"/>
      <c r="BS150" s="56">
        <f>IF(OR(ISBLANK(P150:P154),ISBLANK(AL150:AL154),ISBLANK(X150:X154),ISBLANK(AT150:AT154)),"·",bdRateExtend(P150:P154,X150:X154,AL150:AL154,AT150:AT154))</f>
        <v>4.1198487002569451E-5</v>
      </c>
      <c r="BT150" s="56">
        <f>IF(OR(ISBLANK(P150:P154),ISBLANK(AL150:AL154),ISBLANK(Y150:Y154),ISBLANK(AU150:AU154)),"·",bdRateExtend(P150:P154,Y150:Y154,AL150:AL154,AU150:AU154))</f>
        <v>4.1198487002569451E-5</v>
      </c>
      <c r="BU150" s="56">
        <f>IF(OR(ISBLANK(P150:P154),ISBLANK(AL150:AL154),ISBLANK(Z150:Z154),ISBLANK(AV150:AV154)),"·",bdRateExtend(P150:P154,Z150:Z154,AL150:AL154,AV150:AV154))</f>
        <v>4.1198487002569451E-5</v>
      </c>
      <c r="BV150" s="62"/>
      <c r="BX150">
        <f t="shared" si="60"/>
        <v>0</v>
      </c>
      <c r="BY150">
        <f t="shared" si="61"/>
        <v>12928</v>
      </c>
      <c r="BZ150">
        <f t="shared" si="62"/>
        <v>0</v>
      </c>
      <c r="CA150">
        <f t="shared" si="63"/>
        <v>12928</v>
      </c>
      <c r="CB150">
        <f t="shared" si="64"/>
        <v>0</v>
      </c>
      <c r="CC150">
        <f t="shared" si="65"/>
        <v>6.6999999999950433E-3</v>
      </c>
      <c r="CD150">
        <f t="shared" si="66"/>
        <v>8.6000000000012733E-3</v>
      </c>
      <c r="CE150">
        <f t="shared" si="67"/>
        <v>6.5000000000026148E-3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34.22235380856629</v>
      </c>
      <c r="K151" s="18">
        <f t="shared" si="51"/>
        <v>29.969428575284358</v>
      </c>
      <c r="L151" s="18">
        <f t="shared" si="52"/>
        <v>4.2526872762094978</v>
      </c>
      <c r="M151" s="19"/>
      <c r="N151" s="18">
        <f t="shared" si="53"/>
        <v>34.22235380856629</v>
      </c>
      <c r="O151" s="20">
        <v>3630907</v>
      </c>
      <c r="P151" s="21">
        <v>124258184</v>
      </c>
      <c r="Q151" s="21">
        <v>108816208</v>
      </c>
      <c r="R151" s="21">
        <v>15441112</v>
      </c>
      <c r="S151" s="37"/>
      <c r="T151" s="38">
        <v>48.122799999999998</v>
      </c>
      <c r="U151" s="38">
        <v>51.1464</v>
      </c>
      <c r="V151" s="38">
        <v>51.276800000000001</v>
      </c>
      <c r="W151" s="39"/>
      <c r="X151" s="38">
        <v>42.110199999999999</v>
      </c>
      <c r="Y151" s="38">
        <v>42.110199999999999</v>
      </c>
      <c r="Z151" s="38">
        <v>42.110199999999999</v>
      </c>
      <c r="AA151" s="39"/>
      <c r="AB151" s="49">
        <v>13.484</v>
      </c>
      <c r="AC151" s="49">
        <v>11.436999999999999</v>
      </c>
      <c r="AE151" s="17" t="str">
        <f t="shared" si="54"/>
        <v>·</v>
      </c>
      <c r="AF151" s="18">
        <f t="shared" si="55"/>
        <v>34.222192967211775</v>
      </c>
      <c r="AG151" s="18">
        <f t="shared" si="56"/>
        <v>29.969428575284358</v>
      </c>
      <c r="AH151" s="18">
        <f t="shared" si="57"/>
        <v>4.2525264348549827</v>
      </c>
      <c r="AI151" s="19"/>
      <c r="AJ151" s="18">
        <f t="shared" si="58"/>
        <v>34.222192967211775</v>
      </c>
      <c r="AK151" s="20">
        <v>3630907</v>
      </c>
      <c r="AL151" s="21">
        <v>124257600</v>
      </c>
      <c r="AM151" s="21">
        <v>108816208</v>
      </c>
      <c r="AN151" s="21">
        <v>15440528</v>
      </c>
      <c r="AO151" s="37"/>
      <c r="AP151" s="38">
        <v>48.125900000000001</v>
      </c>
      <c r="AQ151" s="38">
        <v>51.154299999999999</v>
      </c>
      <c r="AR151" s="38">
        <v>51.2851</v>
      </c>
      <c r="AS151" s="39"/>
      <c r="AT151" s="38">
        <v>42.110199999999999</v>
      </c>
      <c r="AU151" s="38">
        <v>42.110199999999999</v>
      </c>
      <c r="AV151" s="38">
        <v>42.110199999999999</v>
      </c>
      <c r="AW151" s="39"/>
      <c r="AX151" s="49">
        <v>13.436999999999999</v>
      </c>
      <c r="AY151" s="49">
        <v>11.545999999999999</v>
      </c>
      <c r="BA151" s="53">
        <f t="shared" si="59"/>
        <v>4.1158398852436662E-6</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-584</v>
      </c>
      <c r="BZ151">
        <f t="shared" si="62"/>
        <v>0</v>
      </c>
      <c r="CA151">
        <f t="shared" si="63"/>
        <v>-584</v>
      </c>
      <c r="CB151">
        <f t="shared" si="64"/>
        <v>0</v>
      </c>
      <c r="CC151">
        <f t="shared" si="65"/>
        <v>3.1000000000034333E-3</v>
      </c>
      <c r="CD151">
        <f t="shared" si="66"/>
        <v>7.899999999999352E-3</v>
      </c>
      <c r="CE151">
        <f t="shared" si="67"/>
        <v>8.2999999999984198E-3</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32.168883422241329</v>
      </c>
      <c r="K152" s="23">
        <f t="shared" si="51"/>
        <v>29.969428575284358</v>
      </c>
      <c r="L152" s="23">
        <f t="shared" si="52"/>
        <v>2.1992168898845383</v>
      </c>
      <c r="M152" s="24"/>
      <c r="N152" s="23">
        <f t="shared" si="53"/>
        <v>32.168883422241329</v>
      </c>
      <c r="O152" s="25">
        <v>3630907</v>
      </c>
      <c r="P152" s="26">
        <v>116802224</v>
      </c>
      <c r="Q152" s="26">
        <v>108816208</v>
      </c>
      <c r="R152" s="26">
        <v>7985152</v>
      </c>
      <c r="S152" s="40"/>
      <c r="T152" s="41">
        <v>41.029800000000002</v>
      </c>
      <c r="U152" s="41">
        <v>46.150100000000002</v>
      </c>
      <c r="V152" s="41">
        <v>46.778199999999998</v>
      </c>
      <c r="W152" s="42"/>
      <c r="X152" s="41">
        <v>34.151400000000002</v>
      </c>
      <c r="Y152" s="41">
        <v>34.151400000000002</v>
      </c>
      <c r="Z152" s="41">
        <v>34.151400000000002</v>
      </c>
      <c r="AA152" s="42"/>
      <c r="AB152" s="50">
        <v>13.25</v>
      </c>
      <c r="AC152" s="50">
        <v>11.327999999999999</v>
      </c>
      <c r="AE152" s="22" t="str">
        <f t="shared" si="54"/>
        <v>·</v>
      </c>
      <c r="AF152" s="23">
        <f t="shared" si="55"/>
        <v>32.169187478500554</v>
      </c>
      <c r="AG152" s="23">
        <f t="shared" si="56"/>
        <v>29.969428575284358</v>
      </c>
      <c r="AH152" s="23">
        <f t="shared" si="57"/>
        <v>2.1995209461437595</v>
      </c>
      <c r="AI152" s="24"/>
      <c r="AJ152" s="23">
        <f t="shared" si="58"/>
        <v>32.169187478500554</v>
      </c>
      <c r="AK152" s="25">
        <v>3630907</v>
      </c>
      <c r="AL152" s="26">
        <v>116803328</v>
      </c>
      <c r="AM152" s="26">
        <v>108816208</v>
      </c>
      <c r="AN152" s="26">
        <v>7986256</v>
      </c>
      <c r="AO152" s="40"/>
      <c r="AP152" s="41">
        <v>41.0364</v>
      </c>
      <c r="AQ152" s="41">
        <v>46.168900000000001</v>
      </c>
      <c r="AR152" s="41">
        <v>46.766500000000001</v>
      </c>
      <c r="AS152" s="42"/>
      <c r="AT152" s="41">
        <v>34.151400000000002</v>
      </c>
      <c r="AU152" s="41">
        <v>34.151400000000002</v>
      </c>
      <c r="AV152" s="41">
        <v>34.151400000000002</v>
      </c>
      <c r="AW152" s="42"/>
      <c r="AX152" s="50">
        <v>13.281000000000001</v>
      </c>
      <c r="AY152" s="50">
        <v>11.436999999999999</v>
      </c>
      <c r="BA152" s="55">
        <f t="shared" si="59"/>
        <v>-8.8055468457914898E-6</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1104</v>
      </c>
      <c r="BZ152">
        <f t="shared" si="62"/>
        <v>0</v>
      </c>
      <c r="CA152">
        <f t="shared" si="63"/>
        <v>1104</v>
      </c>
      <c r="CB152">
        <f t="shared" si="64"/>
        <v>0</v>
      </c>
      <c r="CC152">
        <f t="shared" si="65"/>
        <v>6.599999999998829E-3</v>
      </c>
      <c r="CD152">
        <f t="shared" si="66"/>
        <v>1.8799999999998818E-2</v>
      </c>
      <c r="CE152">
        <f t="shared" si="67"/>
        <v>-1.1699999999997601E-2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31.050590940500541</v>
      </c>
      <c r="K153" s="18">
        <f t="shared" si="51"/>
        <v>29.969428575284358</v>
      </c>
      <c r="L153" s="18">
        <f t="shared" si="52"/>
        <v>1.0809244081437503</v>
      </c>
      <c r="M153" s="19"/>
      <c r="N153" s="18">
        <f t="shared" si="53"/>
        <v>31.050590940500541</v>
      </c>
      <c r="O153" s="20">
        <v>3630907</v>
      </c>
      <c r="P153" s="21">
        <v>112741808</v>
      </c>
      <c r="Q153" s="21">
        <v>108816208</v>
      </c>
      <c r="R153" s="21">
        <v>3924736</v>
      </c>
      <c r="S153" s="37"/>
      <c r="T153" s="38">
        <v>35.569099999999999</v>
      </c>
      <c r="U153" s="38">
        <v>42.194800000000001</v>
      </c>
      <c r="V153" s="38">
        <v>42.9084</v>
      </c>
      <c r="W153" s="39"/>
      <c r="X153" s="38">
        <v>28.130800000000001</v>
      </c>
      <c r="Y153" s="38">
        <v>28.130800000000001</v>
      </c>
      <c r="Z153" s="38">
        <v>28.130800000000001</v>
      </c>
      <c r="AA153" s="39"/>
      <c r="AB153" s="49">
        <v>13.25</v>
      </c>
      <c r="AC153" s="49">
        <v>11.295999999999999</v>
      </c>
      <c r="AE153" s="17" t="str">
        <f t="shared" si="54"/>
        <v>·</v>
      </c>
      <c r="AF153" s="18">
        <f t="shared" si="55"/>
        <v>31.053329650139759</v>
      </c>
      <c r="AG153" s="18">
        <f t="shared" si="56"/>
        <v>29.969428575284358</v>
      </c>
      <c r="AH153" s="18">
        <f t="shared" si="57"/>
        <v>1.0836631177829672</v>
      </c>
      <c r="AI153" s="19"/>
      <c r="AJ153" s="18">
        <f t="shared" si="58"/>
        <v>31.053329650139759</v>
      </c>
      <c r="AK153" s="20">
        <v>3630907</v>
      </c>
      <c r="AL153" s="21">
        <v>112751752</v>
      </c>
      <c r="AM153" s="21">
        <v>108816208</v>
      </c>
      <c r="AN153" s="21">
        <v>3934680</v>
      </c>
      <c r="AO153" s="37"/>
      <c r="AP153" s="38">
        <v>35.570599999999999</v>
      </c>
      <c r="AQ153" s="38">
        <v>42.186599999999999</v>
      </c>
      <c r="AR153" s="38">
        <v>42.941200000000002</v>
      </c>
      <c r="AS153" s="39"/>
      <c r="AT153" s="38">
        <v>28.130800000000001</v>
      </c>
      <c r="AU153" s="38">
        <v>28.130800000000001</v>
      </c>
      <c r="AV153" s="38">
        <v>28.130800000000001</v>
      </c>
      <c r="AW153" s="39"/>
      <c r="AX153" s="49">
        <v>13.327999999999999</v>
      </c>
      <c r="AY153" s="49">
        <v>11.452999999999999</v>
      </c>
      <c r="BA153" s="53">
        <f t="shared" si="59"/>
        <v>-8.5122899664225038E-5</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9944</v>
      </c>
      <c r="BZ153">
        <f t="shared" si="62"/>
        <v>0</v>
      </c>
      <c r="CA153">
        <f t="shared" si="63"/>
        <v>9944</v>
      </c>
      <c r="CB153">
        <f t="shared" si="64"/>
        <v>0</v>
      </c>
      <c r="CC153">
        <f t="shared" si="65"/>
        <v>1.5000000000000568E-3</v>
      </c>
      <c r="CD153">
        <f t="shared" si="66"/>
        <v>-8.2000000000022055E-3</v>
      </c>
      <c r="CE153">
        <f t="shared" si="67"/>
        <v>3.2800000000001717E-2</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30.35230150483061</v>
      </c>
      <c r="K154" s="33">
        <f t="shared" si="51"/>
        <v>29.969428575284358</v>
      </c>
      <c r="L154" s="33">
        <f t="shared" si="52"/>
        <v>0.38263497247381989</v>
      </c>
      <c r="M154" s="34"/>
      <c r="N154" s="33">
        <f t="shared" si="53"/>
        <v>30.35230150483061</v>
      </c>
      <c r="O154" s="35">
        <v>3630907</v>
      </c>
      <c r="P154" s="36">
        <v>110206384</v>
      </c>
      <c r="Q154" s="36">
        <v>108816208</v>
      </c>
      <c r="R154" s="36">
        <v>1389312</v>
      </c>
      <c r="S154" s="46"/>
      <c r="T154" s="47">
        <v>29.438500000000001</v>
      </c>
      <c r="U154" s="47">
        <v>38.3538</v>
      </c>
      <c r="V154" s="47">
        <v>37.647500000000001</v>
      </c>
      <c r="W154" s="48"/>
      <c r="X154" s="47">
        <v>21.686399999999999</v>
      </c>
      <c r="Y154" s="47">
        <v>21.686399999999999</v>
      </c>
      <c r="Z154" s="47">
        <v>21.686399999999999</v>
      </c>
      <c r="AA154" s="48"/>
      <c r="AB154" s="52">
        <v>13.170999999999999</v>
      </c>
      <c r="AC154" s="52">
        <v>11.311999999999999</v>
      </c>
      <c r="AE154" s="32" t="str">
        <f t="shared" si="54"/>
        <v>·</v>
      </c>
      <c r="AF154" s="33">
        <f t="shared" si="55"/>
        <v>30.355145973168689</v>
      </c>
      <c r="AG154" s="33">
        <f t="shared" si="56"/>
        <v>29.969428575284358</v>
      </c>
      <c r="AH154" s="33">
        <f t="shared" si="57"/>
        <v>0.38547944081189633</v>
      </c>
      <c r="AI154" s="34"/>
      <c r="AJ154" s="33">
        <f t="shared" si="58"/>
        <v>30.355145973168689</v>
      </c>
      <c r="AK154" s="35">
        <v>3630907</v>
      </c>
      <c r="AL154" s="36">
        <v>110216712</v>
      </c>
      <c r="AM154" s="36">
        <v>108816208</v>
      </c>
      <c r="AN154" s="36">
        <v>1399640</v>
      </c>
      <c r="AO154" s="46"/>
      <c r="AP154" s="47">
        <v>29.535</v>
      </c>
      <c r="AQ154" s="47">
        <v>38.188800000000001</v>
      </c>
      <c r="AR154" s="47">
        <v>37.614100000000001</v>
      </c>
      <c r="AS154" s="48"/>
      <c r="AT154" s="47">
        <v>21.686399999999999</v>
      </c>
      <c r="AU154" s="47">
        <v>21.686399999999999</v>
      </c>
      <c r="AV154" s="47">
        <v>21.686399999999999</v>
      </c>
      <c r="AW154" s="48"/>
      <c r="AX154" s="52">
        <v>13.093</v>
      </c>
      <c r="AY154" s="52">
        <v>11.359</v>
      </c>
      <c r="BA154" s="59">
        <f t="shared" si="59"/>
        <v>-9.2524258445636498E-5</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10328</v>
      </c>
      <c r="BZ154">
        <f t="shared" si="62"/>
        <v>0</v>
      </c>
      <c r="CA154">
        <f t="shared" si="63"/>
        <v>10328</v>
      </c>
      <c r="CB154">
        <f t="shared" si="64"/>
        <v>0</v>
      </c>
      <c r="CC154">
        <f t="shared" si="65"/>
        <v>9.649999999999892E-2</v>
      </c>
      <c r="CD154">
        <f t="shared" si="66"/>
        <v>-0.16499999999999915</v>
      </c>
      <c r="CE154">
        <f t="shared" si="67"/>
        <v>-3.3400000000000318E-2</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32.714473685430093</v>
      </c>
      <c r="K155" s="18">
        <f t="shared" si="51"/>
        <v>26.505209825756403</v>
      </c>
      <c r="L155" s="18">
        <f t="shared" si="52"/>
        <v>6.2091452203949187</v>
      </c>
      <c r="M155" s="19"/>
      <c r="N155" s="18">
        <f t="shared" si="53"/>
        <v>32.714473685430093</v>
      </c>
      <c r="O155" s="20">
        <v>14025709</v>
      </c>
      <c r="P155" s="21">
        <v>458843688</v>
      </c>
      <c r="Q155" s="21">
        <v>371754360</v>
      </c>
      <c r="R155" s="21">
        <v>87087664</v>
      </c>
      <c r="S155" s="37"/>
      <c r="T155" s="38">
        <v>52.802799999999998</v>
      </c>
      <c r="U155" s="38">
        <v>56.164000000000001</v>
      </c>
      <c r="V155" s="38">
        <v>55.930500000000002</v>
      </c>
      <c r="W155" s="39"/>
      <c r="X155" s="38">
        <v>48.130800000000001</v>
      </c>
      <c r="Y155" s="38">
        <v>48.130800000000001</v>
      </c>
      <c r="Z155" s="38">
        <v>48.130800000000001</v>
      </c>
      <c r="AA155" s="39"/>
      <c r="AB155" s="49">
        <v>53.25</v>
      </c>
      <c r="AC155" s="49">
        <v>45.359000000000002</v>
      </c>
      <c r="AE155" s="17" t="str">
        <f t="shared" si="54"/>
        <v>·</v>
      </c>
      <c r="AF155" s="18">
        <f t="shared" si="55"/>
        <v>32.721880655017152</v>
      </c>
      <c r="AG155" s="18">
        <f t="shared" si="56"/>
        <v>26.505209825756403</v>
      </c>
      <c r="AH155" s="18">
        <f t="shared" si="57"/>
        <v>6.2165521899819822</v>
      </c>
      <c r="AI155" s="19"/>
      <c r="AJ155" s="18">
        <f t="shared" si="58"/>
        <v>32.721880655017152</v>
      </c>
      <c r="AK155" s="20">
        <v>14025709</v>
      </c>
      <c r="AL155" s="21">
        <v>458947576</v>
      </c>
      <c r="AM155" s="21">
        <v>371754360</v>
      </c>
      <c r="AN155" s="21">
        <v>87191552</v>
      </c>
      <c r="AO155" s="37"/>
      <c r="AP155" s="38">
        <v>52.821800000000003</v>
      </c>
      <c r="AQ155" s="38">
        <v>56.186199999999999</v>
      </c>
      <c r="AR155" s="38">
        <v>55.9557</v>
      </c>
      <c r="AS155" s="39"/>
      <c r="AT155" s="38">
        <v>48.130800000000001</v>
      </c>
      <c r="AU155" s="38">
        <v>48.130800000000001</v>
      </c>
      <c r="AV155" s="38">
        <v>48.130800000000001</v>
      </c>
      <c r="AW155" s="39"/>
      <c r="AX155" s="49">
        <v>53.328000000000003</v>
      </c>
      <c r="AY155" s="49">
        <v>45.795999999999999</v>
      </c>
      <c r="BA155" s="53">
        <f t="shared" si="59"/>
        <v>-1.8339758563534758E-4</v>
      </c>
      <c r="BB155" s="53">
        <f t="array" ref="BB155">AVERAGE(AM155:AM159/AL155:AL159)-AVERAGE(Q155:Q159/P155:P159)</f>
        <v>-1.92869734070511E-4</v>
      </c>
      <c r="BD155" s="54">
        <f>IF(OR(ISBLANK(R155:R159),ISBLANK(AN155:AN159),ISBLANK(T155:T159),ISBLANK(AP155:AP159)),"·",bdRateExtend(R155:R159,T155:T159,AN155:AN159,AP155:AP159))</f>
        <v>-9.6734674135845466E-5</v>
      </c>
      <c r="BE155" s="54">
        <f>IF(OR(ISBLANK(R155:R159),ISBLANK(AN155:AN159),ISBLANK(U155:U159),ISBLANK(AQ155:AQ159)),"·",bdRateExtend(R155:R159,U155:U159,AN155:AN159,AQ155:AQ159))</f>
        <v>-1.3225439400554873E-4</v>
      </c>
      <c r="BF155" s="54">
        <f>IF(OR(ISBLANK(R155:R159),ISBLANK(AN155:AN159),ISBLANK(V155:V159),ISBLANK(AR155:AR159)),"·",bdRateExtend(R155:R159,V155:V159,AN155:AN159,AR155:AR159))</f>
        <v>9.8055831359378232E-4</v>
      </c>
      <c r="BG155" s="61"/>
      <c r="BI155" s="54">
        <f>IF(OR(ISBLANK(R155:R159),ISBLANK(AN155:AN159),ISBLANK(X155:X159),ISBLANK(AT155:AT159)),"·",bdRateExtend(R155:R159,X155:X159,AN155:AN159,AT155:AT159))</f>
        <v>2.9953900749513096E-3</v>
      </c>
      <c r="BJ155" s="54">
        <f>IF(OR(ISBLANK(R155:R159),ISBLANK(AN155:AN159),ISBLANK(Y155:Y159),ISBLANK(AU155:AU159)),"·",bdRateExtend(R155:R159,Y155:Y159,AN155:AN159,AU155:AU159))</f>
        <v>2.9953900749513096E-3</v>
      </c>
      <c r="BK155" s="54">
        <f>IF(OR(ISBLANK(R155:R159),ISBLANK(AN155:AN159),ISBLANK(Z155:Z159),ISBLANK(AV155:AV159)),"·",bdRateExtend(R155:R159,Z155:Z159,AN155:AN159,AV155:AV159))</f>
        <v>2.9953900749513096E-3</v>
      </c>
      <c r="BL155" s="61"/>
      <c r="BN155" s="54">
        <f>IF(OR(ISBLANK(P155:P159),ISBLANK(AL155:AL159),ISBLANK(T155:T159),ISBLANK(AP155:AP159)),"·",bdRateExtend(P155:P159,T155:T159,AL155:AL159,AP155:AP159))</f>
        <v>-4.423121310592748E-5</v>
      </c>
      <c r="BO155" s="54">
        <f>IF(OR(ISBLANK(P155:P159),ISBLANK(AL155:AL159),ISBLANK(U155:U159),ISBLANK(AQ155:AQ159)),"·",bdRateExtend(P155:P159,U155:U159,AL155:AL159,AQ155:AQ159))</f>
        <v>-6.8286366763592454E-5</v>
      </c>
      <c r="BP155" s="54">
        <f>IF(OR(ISBLANK(P155:P159),ISBLANK(AL155:AL159),ISBLANK(V155:V159),ISBLANK(AR155:AR159)),"·",bdRateExtend(P155:P159,V155:V159,AL155:AL159,AR155:AR159))</f>
        <v>-1.4072176729729158E-4</v>
      </c>
      <c r="BQ155" s="61"/>
      <c r="BS155" s="54">
        <f>IF(OR(ISBLANK(P155:P159),ISBLANK(AL155:AL159),ISBLANK(X155:X159),ISBLANK(AT155:AT159)),"·",bdRateExtend(P155:P159,X155:X159,AL155:AL159,AT155:AT159))</f>
        <v>1.5187150345474798E-4</v>
      </c>
      <c r="BT155" s="54">
        <f>IF(OR(ISBLANK(P155:P159),ISBLANK(AL155:AL159),ISBLANK(Y155:Y159),ISBLANK(AU155:AU159)),"·",bdRateExtend(P155:P159,Y155:Y159,AL155:AL159,AU155:AU159))</f>
        <v>1.5187150345474798E-4</v>
      </c>
      <c r="BU155" s="54">
        <f>IF(OR(ISBLANK(P155:P159),ISBLANK(AL155:AL159),ISBLANK(Z155:Z159),ISBLANK(AV155:AV159)),"·",bdRateExtend(P155:P159,Z155:Z159,AL155:AL159,AV155:AV159))</f>
        <v>1.5187150345474798E-4</v>
      </c>
      <c r="BV155" s="61"/>
      <c r="BX155">
        <f t="shared" si="60"/>
        <v>0</v>
      </c>
      <c r="BY155">
        <f t="shared" si="61"/>
        <v>103888</v>
      </c>
      <c r="BZ155">
        <f t="shared" si="62"/>
        <v>0</v>
      </c>
      <c r="CA155">
        <f t="shared" si="63"/>
        <v>103888</v>
      </c>
      <c r="CB155">
        <f t="shared" si="64"/>
        <v>0</v>
      </c>
      <c r="CC155">
        <f t="shared" si="65"/>
        <v>1.9000000000005457E-2</v>
      </c>
      <c r="CD155">
        <f t="shared" si="66"/>
        <v>2.2199999999997999E-2</v>
      </c>
      <c r="CE155">
        <f t="shared" si="67"/>
        <v>2.5199999999998113E-2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30.960087935661576</v>
      </c>
      <c r="K156" s="23">
        <f t="shared" si="51"/>
        <v>26.505209825756403</v>
      </c>
      <c r="L156" s="23">
        <f t="shared" si="52"/>
        <v>4.4547594706264046</v>
      </c>
      <c r="M156" s="24"/>
      <c r="N156" s="23">
        <f t="shared" si="53"/>
        <v>30.960087935661576</v>
      </c>
      <c r="O156" s="25">
        <v>14025709</v>
      </c>
      <c r="P156" s="26">
        <v>434237184</v>
      </c>
      <c r="Q156" s="26">
        <v>371754360</v>
      </c>
      <c r="R156" s="26">
        <v>62481160</v>
      </c>
      <c r="S156" s="40"/>
      <c r="T156" s="41">
        <v>47.976500000000001</v>
      </c>
      <c r="U156" s="41">
        <v>51.533799999999999</v>
      </c>
      <c r="V156" s="41">
        <v>51.736400000000003</v>
      </c>
      <c r="W156" s="42"/>
      <c r="X156" s="41">
        <v>42.110199999999999</v>
      </c>
      <c r="Y156" s="41">
        <v>42.110199999999999</v>
      </c>
      <c r="Z156" s="41">
        <v>42.110199999999999</v>
      </c>
      <c r="AA156" s="42"/>
      <c r="AB156" s="50">
        <v>53.203000000000003</v>
      </c>
      <c r="AC156" s="50">
        <v>45.265000000000001</v>
      </c>
      <c r="AE156" s="22" t="str">
        <f t="shared" si="54"/>
        <v>·</v>
      </c>
      <c r="AF156" s="23">
        <f t="shared" si="55"/>
        <v>30.962688303315005</v>
      </c>
      <c r="AG156" s="23">
        <f t="shared" si="56"/>
        <v>26.505209825756403</v>
      </c>
      <c r="AH156" s="23">
        <f t="shared" si="57"/>
        <v>4.4573598382798334</v>
      </c>
      <c r="AI156" s="24"/>
      <c r="AJ156" s="23">
        <f t="shared" si="58"/>
        <v>30.962688303315005</v>
      </c>
      <c r="AK156" s="25">
        <v>14025709</v>
      </c>
      <c r="AL156" s="26">
        <v>434273656</v>
      </c>
      <c r="AM156" s="26">
        <v>371754360</v>
      </c>
      <c r="AN156" s="26">
        <v>62517632</v>
      </c>
      <c r="AO156" s="40"/>
      <c r="AP156" s="41">
        <v>47.99</v>
      </c>
      <c r="AQ156" s="41">
        <v>51.55</v>
      </c>
      <c r="AR156" s="41">
        <v>51.757899999999999</v>
      </c>
      <c r="AS156" s="42"/>
      <c r="AT156" s="41">
        <v>42.110199999999999</v>
      </c>
      <c r="AU156" s="41">
        <v>42.110199999999999</v>
      </c>
      <c r="AV156" s="41">
        <v>42.110199999999999</v>
      </c>
      <c r="AW156" s="42"/>
      <c r="AX156" s="50">
        <v>52.936999999999998</v>
      </c>
      <c r="AY156" s="50">
        <v>45.718000000000004</v>
      </c>
      <c r="BA156" s="55">
        <f t="shared" si="59"/>
        <v>-7.1899381651641114E-5</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36472</v>
      </c>
      <c r="BZ156">
        <f t="shared" si="62"/>
        <v>0</v>
      </c>
      <c r="CA156">
        <f t="shared" si="63"/>
        <v>36472</v>
      </c>
      <c r="CB156">
        <f t="shared" si="64"/>
        <v>0</v>
      </c>
      <c r="CC156">
        <f t="shared" si="65"/>
        <v>1.3500000000000512E-2</v>
      </c>
      <c r="CD156">
        <f t="shared" si="66"/>
        <v>1.6199999999997772E-2</v>
      </c>
      <c r="CE156">
        <f t="shared" si="67"/>
        <v>2.1499999999996078E-2</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29.106668047939682</v>
      </c>
      <c r="K157" s="18">
        <f t="shared" si="51"/>
        <v>26.505209825756403</v>
      </c>
      <c r="L157" s="18">
        <f t="shared" si="52"/>
        <v>2.6013395829045076</v>
      </c>
      <c r="M157" s="19"/>
      <c r="N157" s="18">
        <f t="shared" si="53"/>
        <v>29.106668047939682</v>
      </c>
      <c r="O157" s="20">
        <v>14025709</v>
      </c>
      <c r="P157" s="21">
        <v>408241656</v>
      </c>
      <c r="Q157" s="21">
        <v>371754360</v>
      </c>
      <c r="R157" s="21">
        <v>36485632</v>
      </c>
      <c r="S157" s="37"/>
      <c r="T157" s="38">
        <v>40.9923</v>
      </c>
      <c r="U157" s="38">
        <v>46.269599999999997</v>
      </c>
      <c r="V157" s="38">
        <v>46.919800000000002</v>
      </c>
      <c r="W157" s="39"/>
      <c r="X157" s="38">
        <v>34.151400000000002</v>
      </c>
      <c r="Y157" s="38">
        <v>34.151400000000002</v>
      </c>
      <c r="Z157" s="38">
        <v>34.151400000000002</v>
      </c>
      <c r="AA157" s="39"/>
      <c r="AB157" s="49">
        <v>52.515000000000001</v>
      </c>
      <c r="AC157" s="49">
        <v>44.936999999999998</v>
      </c>
      <c r="AE157" s="17" t="str">
        <f t="shared" si="54"/>
        <v>·</v>
      </c>
      <c r="AF157" s="18">
        <f t="shared" si="55"/>
        <v>29.11052952831119</v>
      </c>
      <c r="AG157" s="18">
        <f t="shared" si="56"/>
        <v>26.505209825756403</v>
      </c>
      <c r="AH157" s="18">
        <f t="shared" si="57"/>
        <v>2.605201063276017</v>
      </c>
      <c r="AI157" s="19"/>
      <c r="AJ157" s="18">
        <f t="shared" si="58"/>
        <v>29.11052952831119</v>
      </c>
      <c r="AK157" s="20">
        <v>14025709</v>
      </c>
      <c r="AL157" s="21">
        <v>408295816</v>
      </c>
      <c r="AM157" s="21">
        <v>371754360</v>
      </c>
      <c r="AN157" s="21">
        <v>36539792</v>
      </c>
      <c r="AO157" s="37"/>
      <c r="AP157" s="38">
        <v>41.015900000000002</v>
      </c>
      <c r="AQ157" s="38">
        <v>46.292499999999997</v>
      </c>
      <c r="AR157" s="38">
        <v>46.948999999999998</v>
      </c>
      <c r="AS157" s="39"/>
      <c r="AT157" s="38">
        <v>34.151400000000002</v>
      </c>
      <c r="AU157" s="38">
        <v>34.151400000000002</v>
      </c>
      <c r="AV157" s="38">
        <v>34.151400000000002</v>
      </c>
      <c r="AW157" s="39"/>
      <c r="AX157" s="49">
        <v>52.859000000000002</v>
      </c>
      <c r="AY157" s="49">
        <v>45.375</v>
      </c>
      <c r="BA157" s="53">
        <f t="shared" si="59"/>
        <v>-1.2079319813418365E-4</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54160</v>
      </c>
      <c r="BZ157">
        <f t="shared" si="62"/>
        <v>0</v>
      </c>
      <c r="CA157">
        <f t="shared" si="63"/>
        <v>54160</v>
      </c>
      <c r="CB157">
        <f t="shared" si="64"/>
        <v>0</v>
      </c>
      <c r="CC157">
        <f t="shared" si="65"/>
        <v>2.3600000000001842E-2</v>
      </c>
      <c r="CD157">
        <f t="shared" si="66"/>
        <v>2.289999999999992E-2</v>
      </c>
      <c r="CE157">
        <f t="shared" si="67"/>
        <v>2.9199999999995896E-2</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28.030351406834406</v>
      </c>
      <c r="K158" s="23">
        <f t="shared" si="51"/>
        <v>26.505209825756403</v>
      </c>
      <c r="L158" s="23">
        <f t="shared" si="52"/>
        <v>1.5250229417992345</v>
      </c>
      <c r="M158" s="24"/>
      <c r="N158" s="23">
        <f t="shared" si="53"/>
        <v>28.030351406834406</v>
      </c>
      <c r="O158" s="25">
        <v>14025709</v>
      </c>
      <c r="P158" s="26">
        <v>393145552</v>
      </c>
      <c r="Q158" s="26">
        <v>371754360</v>
      </c>
      <c r="R158" s="26">
        <v>21389528</v>
      </c>
      <c r="S158" s="40"/>
      <c r="T158" s="41">
        <v>35.456600000000002</v>
      </c>
      <c r="U158" s="41">
        <v>41.631500000000003</v>
      </c>
      <c r="V158" s="41">
        <v>42.6387</v>
      </c>
      <c r="W158" s="42"/>
      <c r="X158" s="41">
        <v>28.130800000000001</v>
      </c>
      <c r="Y158" s="41">
        <v>28.130800000000001</v>
      </c>
      <c r="Z158" s="41">
        <v>28.130800000000001</v>
      </c>
      <c r="AA158" s="42"/>
      <c r="AB158" s="50">
        <v>52.39</v>
      </c>
      <c r="AC158" s="50">
        <v>44.843000000000004</v>
      </c>
      <c r="AE158" s="22" t="str">
        <f t="shared" si="54"/>
        <v>·</v>
      </c>
      <c r="AF158" s="23">
        <f t="shared" si="55"/>
        <v>28.03322669820114</v>
      </c>
      <c r="AG158" s="23">
        <f t="shared" si="56"/>
        <v>26.505209825756403</v>
      </c>
      <c r="AH158" s="23">
        <f t="shared" si="57"/>
        <v>1.527898233165967</v>
      </c>
      <c r="AI158" s="24"/>
      <c r="AJ158" s="23">
        <f t="shared" si="58"/>
        <v>28.03322669820114</v>
      </c>
      <c r="AK158" s="25">
        <v>14025709</v>
      </c>
      <c r="AL158" s="26">
        <v>393185880</v>
      </c>
      <c r="AM158" s="26">
        <v>371754360</v>
      </c>
      <c r="AN158" s="26">
        <v>21429856</v>
      </c>
      <c r="AO158" s="40"/>
      <c r="AP158" s="41">
        <v>35.493299999999998</v>
      </c>
      <c r="AQ158" s="41">
        <v>41.66</v>
      </c>
      <c r="AR158" s="41">
        <v>42.728400000000001</v>
      </c>
      <c r="AS158" s="42"/>
      <c r="AT158" s="41">
        <v>28.130800000000001</v>
      </c>
      <c r="AU158" s="41">
        <v>28.130800000000001</v>
      </c>
      <c r="AV158" s="41">
        <v>28.130800000000001</v>
      </c>
      <c r="AW158" s="42"/>
      <c r="AX158" s="50">
        <v>52.375</v>
      </c>
      <c r="AY158" s="50">
        <v>45.203000000000003</v>
      </c>
      <c r="BA158" s="55">
        <f t="shared" si="59"/>
        <v>-9.698654209322477E-5</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40328</v>
      </c>
      <c r="BZ158">
        <f t="shared" si="62"/>
        <v>0</v>
      </c>
      <c r="CA158">
        <f t="shared" si="63"/>
        <v>40328</v>
      </c>
      <c r="CB158">
        <f t="shared" si="64"/>
        <v>0</v>
      </c>
      <c r="CC158">
        <f t="shared" si="65"/>
        <v>3.669999999999618E-2</v>
      </c>
      <c r="CD158">
        <f t="shared" si="66"/>
        <v>2.8499999999993975E-2</v>
      </c>
      <c r="CE158">
        <f t="shared" si="67"/>
        <v>8.9700000000000557E-2</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27.184887979637963</v>
      </c>
      <c r="K159" s="28">
        <f t="shared" si="51"/>
        <v>26.505209825756403</v>
      </c>
      <c r="L159" s="28">
        <f t="shared" si="52"/>
        <v>0.67955951460279118</v>
      </c>
      <c r="M159" s="29"/>
      <c r="N159" s="28">
        <f t="shared" si="53"/>
        <v>27.184887979637963</v>
      </c>
      <c r="O159" s="30">
        <v>14025709</v>
      </c>
      <c r="P159" s="31">
        <v>381287328</v>
      </c>
      <c r="Q159" s="31">
        <v>371754360</v>
      </c>
      <c r="R159" s="31">
        <v>9531304</v>
      </c>
      <c r="S159" s="43"/>
      <c r="T159" s="44">
        <v>29.450500000000002</v>
      </c>
      <c r="U159" s="44">
        <v>37.038200000000003</v>
      </c>
      <c r="V159" s="44">
        <v>38.118099999999998</v>
      </c>
      <c r="W159" s="45"/>
      <c r="X159" s="44">
        <v>21.686399999999999</v>
      </c>
      <c r="Y159" s="44">
        <v>21.686399999999999</v>
      </c>
      <c r="Z159" s="44">
        <v>21.686399999999999</v>
      </c>
      <c r="AA159" s="45"/>
      <c r="AB159" s="51">
        <v>52.061999999999998</v>
      </c>
      <c r="AC159" s="51">
        <v>44.64</v>
      </c>
      <c r="AE159" s="27" t="str">
        <f t="shared" si="54"/>
        <v>·</v>
      </c>
      <c r="AF159" s="28">
        <f t="shared" si="55"/>
        <v>27.198592527479359</v>
      </c>
      <c r="AG159" s="28">
        <f t="shared" si="56"/>
        <v>26.505209825756403</v>
      </c>
      <c r="AH159" s="28">
        <f t="shared" si="57"/>
        <v>0.69326406244418737</v>
      </c>
      <c r="AI159" s="29"/>
      <c r="AJ159" s="28">
        <f t="shared" si="58"/>
        <v>27.198592527479359</v>
      </c>
      <c r="AK159" s="30">
        <v>14025709</v>
      </c>
      <c r="AL159" s="31">
        <v>381479544</v>
      </c>
      <c r="AM159" s="31">
        <v>371754360</v>
      </c>
      <c r="AN159" s="31">
        <v>9723520</v>
      </c>
      <c r="AO159" s="43"/>
      <c r="AP159" s="44">
        <v>29.525600000000001</v>
      </c>
      <c r="AQ159" s="44">
        <v>37.082700000000003</v>
      </c>
      <c r="AR159" s="44">
        <v>37.938499999999998</v>
      </c>
      <c r="AS159" s="45"/>
      <c r="AT159" s="44">
        <v>21.686399999999999</v>
      </c>
      <c r="AU159" s="44">
        <v>21.686399999999999</v>
      </c>
      <c r="AV159" s="44">
        <v>21.686399999999999</v>
      </c>
      <c r="AW159" s="45"/>
      <c r="AX159" s="51">
        <v>52.375</v>
      </c>
      <c r="AY159" s="51">
        <v>45.061999999999998</v>
      </c>
      <c r="BA159" s="57">
        <f t="shared" si="59"/>
        <v>-4.9127196283860197E-4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192216</v>
      </c>
      <c r="BZ159">
        <f t="shared" si="62"/>
        <v>0</v>
      </c>
      <c r="CA159">
        <f t="shared" si="63"/>
        <v>192216</v>
      </c>
      <c r="CB159">
        <f t="shared" si="64"/>
        <v>0</v>
      </c>
      <c r="CC159">
        <f t="shared" si="65"/>
        <v>7.5099999999999056E-2</v>
      </c>
      <c r="CD159">
        <f t="shared" si="66"/>
        <v>4.4499999999999318E-2</v>
      </c>
      <c r="CE159">
        <f t="shared" si="67"/>
        <v>-0.17960000000000065</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33.654899534640236</v>
      </c>
      <c r="K160" s="23">
        <f t="shared" si="51"/>
        <v>27.063079412694506</v>
      </c>
      <c r="L160" s="23">
        <f t="shared" si="52"/>
        <v>6.5916153660501529</v>
      </c>
      <c r="M160" s="24"/>
      <c r="N160" s="23">
        <f t="shared" si="53"/>
        <v>33.654899534640236</v>
      </c>
      <c r="O160" s="25">
        <v>5001077</v>
      </c>
      <c r="P160" s="26">
        <v>168310744</v>
      </c>
      <c r="Q160" s="26">
        <v>135344544</v>
      </c>
      <c r="R160" s="26">
        <v>32965176</v>
      </c>
      <c r="S160" s="40"/>
      <c r="T160" s="41">
        <v>53.154400000000003</v>
      </c>
      <c r="U160" s="41">
        <v>55.803800000000003</v>
      </c>
      <c r="V160" s="41">
        <v>55.131799999999998</v>
      </c>
      <c r="W160" s="42"/>
      <c r="X160" s="41">
        <v>48.130800000000001</v>
      </c>
      <c r="Y160" s="41">
        <v>48.130800000000001</v>
      </c>
      <c r="Z160" s="41">
        <v>48.130800000000001</v>
      </c>
      <c r="AA160" s="42"/>
      <c r="AB160" s="50">
        <v>18.343</v>
      </c>
      <c r="AC160" s="50">
        <v>15.64</v>
      </c>
      <c r="AE160" s="22" t="str">
        <f t="shared" si="54"/>
        <v>·</v>
      </c>
      <c r="AF160" s="23">
        <f t="shared" si="55"/>
        <v>33.666463443774212</v>
      </c>
      <c r="AG160" s="23">
        <f t="shared" si="56"/>
        <v>27.063079412694506</v>
      </c>
      <c r="AH160" s="23">
        <f t="shared" si="57"/>
        <v>6.6031792751841252</v>
      </c>
      <c r="AI160" s="24"/>
      <c r="AJ160" s="23">
        <f t="shared" si="58"/>
        <v>33.666463443774212</v>
      </c>
      <c r="AK160" s="25">
        <v>5001077</v>
      </c>
      <c r="AL160" s="26">
        <v>168368576</v>
      </c>
      <c r="AM160" s="26">
        <v>135344544</v>
      </c>
      <c r="AN160" s="26">
        <v>33023008</v>
      </c>
      <c r="AO160" s="40"/>
      <c r="AP160" s="41">
        <v>53.174999999999997</v>
      </c>
      <c r="AQ160" s="41">
        <v>55.8354</v>
      </c>
      <c r="AR160" s="41">
        <v>55.1633</v>
      </c>
      <c r="AS160" s="42"/>
      <c r="AT160" s="41">
        <v>48.130800000000001</v>
      </c>
      <c r="AU160" s="41">
        <v>48.130800000000001</v>
      </c>
      <c r="AV160" s="41">
        <v>48.130800000000001</v>
      </c>
      <c r="AW160" s="42"/>
      <c r="AX160" s="50">
        <v>18.452999999999999</v>
      </c>
      <c r="AY160" s="50">
        <v>15.89</v>
      </c>
      <c r="BA160" s="55">
        <f t="shared" si="59"/>
        <v>-2.7620789391780143E-4</v>
      </c>
      <c r="BB160" s="55">
        <f t="array" ref="BB160">AVERAGE(AM160:AM164/AL160:AL164)-AVERAGE(Q160:Q164/P160:P164)</f>
        <v>-1.7727046005067137E-4</v>
      </c>
      <c r="BD160" s="56">
        <f>IF(OR(ISBLANK(R160:R164),ISBLANK(AN160:AN164),ISBLANK(T160:T164),ISBLANK(AP160:AP164)),"·",bdRateExtend(R160:R164,T160:T164,AN160:AN164,AP160:AP164))</f>
        <v>-5.0897966301588493E-4</v>
      </c>
      <c r="BE160" s="56">
        <f>IF(OR(ISBLANK(R160:R164),ISBLANK(AN160:AN164),ISBLANK(U160:U164),ISBLANK(AQ160:AQ164)),"·",bdRateExtend(R160:R164,U160:U164,AN160:AN164,AQ160:AQ164))</f>
        <v>1.9819765158628488E-3</v>
      </c>
      <c r="BF160" s="56">
        <f>IF(OR(ISBLANK(R160:R164),ISBLANK(AN160:AN164),ISBLANK(V160:V164),ISBLANK(AR160:AR164)),"·",bdRateExtend(R160:R164,V160:V164,AN160:AN164,AR160:AR164))</f>
        <v>-8.2947357962770418E-5</v>
      </c>
      <c r="BG160" s="62"/>
      <c r="BI160" s="56">
        <f>IF(OR(ISBLANK(R160:R164),ISBLANK(AN160:AN164),ISBLANK(X160:X164),ISBLANK(AT160:AT164)),"·",bdRateExtend(R160:R164,X160:X164,AN160:AN164,AT160:AT164))</f>
        <v>2.7294035516025605E-3</v>
      </c>
      <c r="BJ160" s="56">
        <f>IF(OR(ISBLANK(R160:R164),ISBLANK(AN160:AN164),ISBLANK(Y160:Y164),ISBLANK(AU160:AU164)),"·",bdRateExtend(R160:R164,Y160:Y164,AN160:AN164,AU160:AU164))</f>
        <v>2.7294035516025605E-3</v>
      </c>
      <c r="BK160" s="56">
        <f>IF(OR(ISBLANK(R160:R164),ISBLANK(AN160:AN164),ISBLANK(Z160:Z164),ISBLANK(AV160:AV164)),"·",bdRateExtend(R160:R164,Z160:Z164,AN160:AN164,AV160:AV164))</f>
        <v>2.7294035516025605E-3</v>
      </c>
      <c r="BL160" s="62"/>
      <c r="BN160" s="56">
        <f>IF(OR(ISBLANK(P160:P164),ISBLANK(AL160:AL164),ISBLANK(T160:T164),ISBLANK(AP160:AP164)),"·",bdRateExtend(P160:P164,T160:T164,AL160:AL164,AP160:AP164))</f>
        <v>5.1142921564162336E-5</v>
      </c>
      <c r="BO160" s="56">
        <f>IF(OR(ISBLANK(P160:P164),ISBLANK(AL160:AL164),ISBLANK(U160:U164),ISBLANK(AQ160:AQ164)),"·",bdRateExtend(P160:P164,U160:U164,AL160:AL164,AQ160:AQ164))</f>
        <v>7.206191666941919E-6</v>
      </c>
      <c r="BP160" s="56">
        <f>IF(OR(ISBLANK(P160:P164),ISBLANK(AL160:AL164),ISBLANK(V160:V164),ISBLANK(AR160:AR164)),"·",bdRateExtend(P160:P164,V160:V164,AL160:AL164,AR160:AR164))</f>
        <v>3.3429024193232237E-7</v>
      </c>
      <c r="BQ160" s="62"/>
      <c r="BS160" s="56">
        <f>IF(OR(ISBLANK(P160:P164),ISBLANK(AL160:AL164),ISBLANK(X160:X164),ISBLANK(AT160:AT164)),"·",bdRateExtend(P160:P164,X160:X164,AL160:AL164,AT160:AT164))</f>
        <v>1.8899387564363934E-4</v>
      </c>
      <c r="BT160" s="56">
        <f>IF(OR(ISBLANK(P160:P164),ISBLANK(AL160:AL164),ISBLANK(Y160:Y164),ISBLANK(AU160:AU164)),"·",bdRateExtend(P160:P164,Y160:Y164,AL160:AL164,AU160:AU164))</f>
        <v>1.8899387564363934E-4</v>
      </c>
      <c r="BU160" s="56">
        <f>IF(OR(ISBLANK(P160:P164),ISBLANK(AL160:AL164),ISBLANK(Z160:Z164),ISBLANK(AV160:AV164)),"·",bdRateExtend(P160:P164,Z160:Z164,AL160:AL164,AV160:AV164))</f>
        <v>1.8899387564363934E-4</v>
      </c>
      <c r="BV160" s="62"/>
      <c r="BX160">
        <f t="shared" si="60"/>
        <v>0</v>
      </c>
      <c r="BY160">
        <f t="shared" si="61"/>
        <v>57832</v>
      </c>
      <c r="BZ160">
        <f t="shared" si="62"/>
        <v>0</v>
      </c>
      <c r="CA160">
        <f t="shared" si="63"/>
        <v>57832</v>
      </c>
      <c r="CB160">
        <f t="shared" si="64"/>
        <v>0</v>
      </c>
      <c r="CC160">
        <f t="shared" si="65"/>
        <v>2.0599999999994623E-2</v>
      </c>
      <c r="CD160">
        <f t="shared" si="66"/>
        <v>3.1599999999997408E-2</v>
      </c>
      <c r="CE160">
        <f t="shared" si="67"/>
        <v>3.1500000000001194E-2</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31.67300323510316</v>
      </c>
      <c r="K161" s="18">
        <f t="shared" si="51"/>
        <v>27.063079412694506</v>
      </c>
      <c r="L161" s="18">
        <f t="shared" si="52"/>
        <v>4.6097190665130734</v>
      </c>
      <c r="M161" s="19"/>
      <c r="N161" s="18">
        <f t="shared" si="53"/>
        <v>31.67300323510316</v>
      </c>
      <c r="O161" s="20">
        <v>5001077</v>
      </c>
      <c r="P161" s="21">
        <v>158399128</v>
      </c>
      <c r="Q161" s="21">
        <v>135344544</v>
      </c>
      <c r="R161" s="21">
        <v>23053560</v>
      </c>
      <c r="S161" s="37"/>
      <c r="T161" s="38">
        <v>48.283000000000001</v>
      </c>
      <c r="U161" s="38">
        <v>51.282200000000003</v>
      </c>
      <c r="V161" s="38">
        <v>51.008099999999999</v>
      </c>
      <c r="W161" s="39"/>
      <c r="X161" s="38">
        <v>42.110199999999999</v>
      </c>
      <c r="Y161" s="38">
        <v>42.110199999999999</v>
      </c>
      <c r="Z161" s="38">
        <v>42.110199999999999</v>
      </c>
      <c r="AA161" s="39"/>
      <c r="AB161" s="49">
        <v>18.295999999999999</v>
      </c>
      <c r="AC161" s="49">
        <v>15.577999999999999</v>
      </c>
      <c r="AE161" s="17" t="str">
        <f t="shared" si="54"/>
        <v>·</v>
      </c>
      <c r="AF161" s="18">
        <f t="shared" si="55"/>
        <v>31.679629007911696</v>
      </c>
      <c r="AG161" s="18">
        <f t="shared" si="56"/>
        <v>27.063079412694506</v>
      </c>
      <c r="AH161" s="18">
        <f t="shared" si="57"/>
        <v>4.6163448393216102</v>
      </c>
      <c r="AI161" s="19"/>
      <c r="AJ161" s="18">
        <f t="shared" si="58"/>
        <v>31.679629007911696</v>
      </c>
      <c r="AK161" s="20">
        <v>5001077</v>
      </c>
      <c r="AL161" s="21">
        <v>158432264</v>
      </c>
      <c r="AM161" s="21">
        <v>135344544</v>
      </c>
      <c r="AN161" s="21">
        <v>23086696</v>
      </c>
      <c r="AO161" s="37"/>
      <c r="AP161" s="38">
        <v>48.302</v>
      </c>
      <c r="AQ161" s="38">
        <v>51.310499999999998</v>
      </c>
      <c r="AR161" s="38">
        <v>51.0336</v>
      </c>
      <c r="AS161" s="39"/>
      <c r="AT161" s="38">
        <v>42.110199999999999</v>
      </c>
      <c r="AU161" s="38">
        <v>42.110199999999999</v>
      </c>
      <c r="AV161" s="38">
        <v>42.110199999999999</v>
      </c>
      <c r="AW161" s="39"/>
      <c r="AX161" s="49">
        <v>18.359000000000002</v>
      </c>
      <c r="AY161" s="49">
        <v>15.75</v>
      </c>
      <c r="BA161" s="53">
        <f t="shared" si="59"/>
        <v>-1.7870817510245995E-4</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33136</v>
      </c>
      <c r="BZ161">
        <f t="shared" si="62"/>
        <v>0</v>
      </c>
      <c r="CA161">
        <f t="shared" si="63"/>
        <v>33136</v>
      </c>
      <c r="CB161">
        <f t="shared" si="64"/>
        <v>0</v>
      </c>
      <c r="CC161">
        <f t="shared" si="65"/>
        <v>1.8999999999998352E-2</v>
      </c>
      <c r="CD161">
        <f t="shared" si="66"/>
        <v>2.8299999999994441E-2</v>
      </c>
      <c r="CE161">
        <f t="shared" si="67"/>
        <v>2.5500000000000966E-2</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29.555772886520245</v>
      </c>
      <c r="K162" s="23">
        <f t="shared" si="51"/>
        <v>27.063079412694506</v>
      </c>
      <c r="L162" s="23">
        <f t="shared" si="52"/>
        <v>2.4924887179301578</v>
      </c>
      <c r="M162" s="24"/>
      <c r="N162" s="23">
        <f t="shared" si="53"/>
        <v>29.555772886520245</v>
      </c>
      <c r="O162" s="25">
        <v>5001077</v>
      </c>
      <c r="P162" s="26">
        <v>147810696</v>
      </c>
      <c r="Q162" s="26">
        <v>135344544</v>
      </c>
      <c r="R162" s="26">
        <v>12465128</v>
      </c>
      <c r="S162" s="40"/>
      <c r="T162" s="41">
        <v>41.3249</v>
      </c>
      <c r="U162" s="41">
        <v>46.065600000000003</v>
      </c>
      <c r="V162" s="41">
        <v>46.045299999999997</v>
      </c>
      <c r="W162" s="42"/>
      <c r="X162" s="41">
        <v>34.151400000000002</v>
      </c>
      <c r="Y162" s="41">
        <v>34.151400000000002</v>
      </c>
      <c r="Z162" s="41">
        <v>34.151400000000002</v>
      </c>
      <c r="AA162" s="42"/>
      <c r="AB162" s="50">
        <v>18.045999999999999</v>
      </c>
      <c r="AC162" s="50">
        <v>15.515000000000001</v>
      </c>
      <c r="AE162" s="22" t="str">
        <f t="shared" si="54"/>
        <v>·</v>
      </c>
      <c r="AF162" s="23">
        <f t="shared" si="55"/>
        <v>29.558652266301838</v>
      </c>
      <c r="AG162" s="23">
        <f t="shared" si="56"/>
        <v>27.063079412694506</v>
      </c>
      <c r="AH162" s="23">
        <f t="shared" si="57"/>
        <v>2.4953680977117529</v>
      </c>
      <c r="AI162" s="24"/>
      <c r="AJ162" s="23">
        <f t="shared" si="58"/>
        <v>29.558652266301838</v>
      </c>
      <c r="AK162" s="25">
        <v>5001077</v>
      </c>
      <c r="AL162" s="26">
        <v>147825096</v>
      </c>
      <c r="AM162" s="26">
        <v>135344544</v>
      </c>
      <c r="AN162" s="26">
        <v>12479528</v>
      </c>
      <c r="AO162" s="40"/>
      <c r="AP162" s="41">
        <v>41.339100000000002</v>
      </c>
      <c r="AQ162" s="41">
        <v>46.0929</v>
      </c>
      <c r="AR162" s="41">
        <v>46.11</v>
      </c>
      <c r="AS162" s="42"/>
      <c r="AT162" s="41">
        <v>34.151400000000002</v>
      </c>
      <c r="AU162" s="41">
        <v>34.151400000000002</v>
      </c>
      <c r="AV162" s="41">
        <v>34.151400000000002</v>
      </c>
      <c r="AW162" s="42"/>
      <c r="AX162" s="50">
        <v>18.155999999999999</v>
      </c>
      <c r="AY162" s="50">
        <v>15.718</v>
      </c>
      <c r="BA162" s="55">
        <f t="shared" si="59"/>
        <v>-8.9196787594447713E-5</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14400</v>
      </c>
      <c r="BZ162">
        <f t="shared" si="62"/>
        <v>0</v>
      </c>
      <c r="CA162">
        <f t="shared" si="63"/>
        <v>14400</v>
      </c>
      <c r="CB162">
        <f t="shared" si="64"/>
        <v>0</v>
      </c>
      <c r="CC162">
        <f t="shared" si="65"/>
        <v>1.4200000000002433E-2</v>
      </c>
      <c r="CD162">
        <f t="shared" si="66"/>
        <v>2.7299999999996771E-2</v>
      </c>
      <c r="CE162">
        <f t="shared" si="67"/>
        <v>6.4700000000001978E-2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28.419604817122391</v>
      </c>
      <c r="K163" s="18">
        <f t="shared" si="51"/>
        <v>27.063079412694506</v>
      </c>
      <c r="L163" s="18">
        <f t="shared" si="52"/>
        <v>1.3563206485323061</v>
      </c>
      <c r="M163" s="19"/>
      <c r="N163" s="18">
        <f t="shared" si="53"/>
        <v>28.419604817122391</v>
      </c>
      <c r="O163" s="20">
        <v>5001077</v>
      </c>
      <c r="P163" s="21">
        <v>142128632</v>
      </c>
      <c r="Q163" s="21">
        <v>135344544</v>
      </c>
      <c r="R163" s="21">
        <v>6783064</v>
      </c>
      <c r="S163" s="37"/>
      <c r="T163" s="38">
        <v>35.941600000000001</v>
      </c>
      <c r="U163" s="38">
        <v>41.635399999999997</v>
      </c>
      <c r="V163" s="38">
        <v>41.644799999999996</v>
      </c>
      <c r="W163" s="39"/>
      <c r="X163" s="38">
        <v>28.130800000000001</v>
      </c>
      <c r="Y163" s="38">
        <v>28.130800000000001</v>
      </c>
      <c r="Z163" s="38">
        <v>28.130800000000001</v>
      </c>
      <c r="AA163" s="39"/>
      <c r="AB163" s="49">
        <v>18.125</v>
      </c>
      <c r="AC163" s="49">
        <v>15.484</v>
      </c>
      <c r="AE163" s="17" t="str">
        <f t="shared" si="54"/>
        <v>·</v>
      </c>
      <c r="AF163" s="18">
        <f t="shared" si="55"/>
        <v>28.426142608882046</v>
      </c>
      <c r="AG163" s="18">
        <f t="shared" si="56"/>
        <v>27.063079412694506</v>
      </c>
      <c r="AH163" s="18">
        <f t="shared" si="57"/>
        <v>1.362858440291961</v>
      </c>
      <c r="AI163" s="19"/>
      <c r="AJ163" s="18">
        <f t="shared" si="58"/>
        <v>28.426142608882046</v>
      </c>
      <c r="AK163" s="20">
        <v>5001077</v>
      </c>
      <c r="AL163" s="21">
        <v>142161328</v>
      </c>
      <c r="AM163" s="21">
        <v>135344544</v>
      </c>
      <c r="AN163" s="21">
        <v>6815760</v>
      </c>
      <c r="AO163" s="37"/>
      <c r="AP163" s="38">
        <v>35.905500000000004</v>
      </c>
      <c r="AQ163" s="38">
        <v>41.618699999999997</v>
      </c>
      <c r="AR163" s="38">
        <v>41.518999999999998</v>
      </c>
      <c r="AS163" s="39"/>
      <c r="AT163" s="38">
        <v>28.130800000000001</v>
      </c>
      <c r="AU163" s="38">
        <v>28.130800000000001</v>
      </c>
      <c r="AV163" s="38">
        <v>28.130800000000001</v>
      </c>
      <c r="AW163" s="39"/>
      <c r="AX163" s="49">
        <v>18.125</v>
      </c>
      <c r="AY163" s="49">
        <v>15.577999999999999</v>
      </c>
      <c r="BA163" s="53">
        <f t="shared" si="59"/>
        <v>-2.1901422851233754E-4</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32696</v>
      </c>
      <c r="BZ163">
        <f t="shared" si="62"/>
        <v>0</v>
      </c>
      <c r="CA163">
        <f t="shared" si="63"/>
        <v>32696</v>
      </c>
      <c r="CB163">
        <f t="shared" si="64"/>
        <v>0</v>
      </c>
      <c r="CC163">
        <f t="shared" si="65"/>
        <v>-3.6099999999997578E-2</v>
      </c>
      <c r="CD163">
        <f t="shared" si="66"/>
        <v>-1.6700000000000159E-2</v>
      </c>
      <c r="CE163">
        <f t="shared" si="67"/>
        <v>-0.12579999999999814</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27.647390352118155</v>
      </c>
      <c r="K164" s="33">
        <f t="shared" si="51"/>
        <v>27.063079412694506</v>
      </c>
      <c r="L164" s="33">
        <f t="shared" si="52"/>
        <v>0.58410618352806809</v>
      </c>
      <c r="M164" s="34"/>
      <c r="N164" s="33">
        <f t="shared" si="53"/>
        <v>27.647390352118155</v>
      </c>
      <c r="O164" s="35">
        <v>5001077</v>
      </c>
      <c r="P164" s="36">
        <v>138266728</v>
      </c>
      <c r="Q164" s="36">
        <v>135344544</v>
      </c>
      <c r="R164" s="36">
        <v>2921160</v>
      </c>
      <c r="S164" s="46"/>
      <c r="T164" s="47">
        <v>29.7301</v>
      </c>
      <c r="U164" s="47">
        <v>36.705199999999998</v>
      </c>
      <c r="V164" s="47">
        <v>36.625399999999999</v>
      </c>
      <c r="W164" s="48"/>
      <c r="X164" s="47">
        <v>21.686399999999999</v>
      </c>
      <c r="Y164" s="47">
        <v>21.686399999999999</v>
      </c>
      <c r="Z164" s="47">
        <v>21.686399999999999</v>
      </c>
      <c r="AA164" s="48"/>
      <c r="AB164" s="52">
        <v>18.015000000000001</v>
      </c>
      <c r="AC164" s="52">
        <v>15.452999999999999</v>
      </c>
      <c r="AE164" s="32" t="str">
        <f t="shared" si="54"/>
        <v>·</v>
      </c>
      <c r="AF164" s="33">
        <f t="shared" si="55"/>
        <v>27.650871202343016</v>
      </c>
      <c r="AG164" s="33">
        <f t="shared" si="56"/>
        <v>27.063079412694506</v>
      </c>
      <c r="AH164" s="33">
        <f t="shared" si="57"/>
        <v>0.58758703375292964</v>
      </c>
      <c r="AI164" s="34"/>
      <c r="AJ164" s="33">
        <f t="shared" si="58"/>
        <v>27.650871202343016</v>
      </c>
      <c r="AK164" s="35">
        <v>5001077</v>
      </c>
      <c r="AL164" s="36">
        <v>138284136</v>
      </c>
      <c r="AM164" s="36">
        <v>135344544</v>
      </c>
      <c r="AN164" s="36">
        <v>2938568</v>
      </c>
      <c r="AO164" s="46"/>
      <c r="AP164" s="47">
        <v>29.9878</v>
      </c>
      <c r="AQ164" s="47">
        <v>36.691800000000001</v>
      </c>
      <c r="AR164" s="47">
        <v>36.937899999999999</v>
      </c>
      <c r="AS164" s="48"/>
      <c r="AT164" s="47">
        <v>21.686399999999999</v>
      </c>
      <c r="AU164" s="47">
        <v>21.686399999999999</v>
      </c>
      <c r="AV164" s="47">
        <v>21.686399999999999</v>
      </c>
      <c r="AW164" s="48"/>
      <c r="AX164" s="52">
        <v>18.045999999999999</v>
      </c>
      <c r="AY164" s="52">
        <v>15.5</v>
      </c>
      <c r="BA164" s="59">
        <f t="shared" si="59"/>
        <v>-1.2322521512608819E-4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17408</v>
      </c>
      <c r="BZ164">
        <f t="shared" si="62"/>
        <v>0</v>
      </c>
      <c r="CA164">
        <f t="shared" si="63"/>
        <v>17408</v>
      </c>
      <c r="CB164">
        <f t="shared" si="64"/>
        <v>0</v>
      </c>
      <c r="CC164">
        <f t="shared" si="65"/>
        <v>0.25769999999999982</v>
      </c>
      <c r="CD164">
        <f t="shared" si="66"/>
        <v>-1.3399999999997192E-2</v>
      </c>
      <c r="CE164">
        <f t="shared" si="67"/>
        <v>0.3125</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11.811331986084301</v>
      </c>
      <c r="K165" s="18">
        <f t="shared" si="51"/>
        <v>4.0031617237838155</v>
      </c>
      <c r="L165" s="18">
        <f t="shared" si="52"/>
        <v>7.8080706349218927</v>
      </c>
      <c r="M165" s="19"/>
      <c r="N165" s="18">
        <f t="shared" si="53"/>
        <v>11.811331986084301</v>
      </c>
      <c r="O165" s="20">
        <v>71948094</v>
      </c>
      <c r="P165" s="21">
        <v>849802824</v>
      </c>
      <c r="Q165" s="21">
        <v>288019856</v>
      </c>
      <c r="R165" s="21">
        <v>561775800</v>
      </c>
      <c r="S165" s="37"/>
      <c r="T165" s="38">
        <v>52.883299999999998</v>
      </c>
      <c r="U165" s="38">
        <v>55.777000000000001</v>
      </c>
      <c r="V165" s="38">
        <v>55.8797</v>
      </c>
      <c r="W165" s="39"/>
      <c r="X165" s="38">
        <v>48.130800000000001</v>
      </c>
      <c r="Y165" s="38">
        <v>48.130800000000001</v>
      </c>
      <c r="Z165" s="38">
        <v>48.130800000000001</v>
      </c>
      <c r="AA165" s="39"/>
      <c r="AB165" s="49">
        <v>124.968</v>
      </c>
      <c r="AC165" s="49">
        <v>93.375</v>
      </c>
      <c r="AE165" s="17" t="str">
        <f t="shared" si="54"/>
        <v>·</v>
      </c>
      <c r="AF165" s="18">
        <f t="shared" si="55"/>
        <v>11.832306996207571</v>
      </c>
      <c r="AG165" s="18">
        <f t="shared" si="56"/>
        <v>4.0031617237838155</v>
      </c>
      <c r="AH165" s="18">
        <f t="shared" si="57"/>
        <v>7.8290456450451629</v>
      </c>
      <c r="AI165" s="19"/>
      <c r="AJ165" s="18">
        <f t="shared" si="58"/>
        <v>11.832306996207571</v>
      </c>
      <c r="AK165" s="20">
        <v>71948094</v>
      </c>
      <c r="AL165" s="21">
        <v>851311936</v>
      </c>
      <c r="AM165" s="21">
        <v>288019856</v>
      </c>
      <c r="AN165" s="21">
        <v>563284912</v>
      </c>
      <c r="AO165" s="37"/>
      <c r="AP165" s="38">
        <v>52.926600000000001</v>
      </c>
      <c r="AQ165" s="38">
        <v>55.8309</v>
      </c>
      <c r="AR165" s="38">
        <v>55.932299999999998</v>
      </c>
      <c r="AS165" s="39"/>
      <c r="AT165" s="38">
        <v>48.130800000000001</v>
      </c>
      <c r="AU165" s="38">
        <v>48.130800000000001</v>
      </c>
      <c r="AV165" s="38">
        <v>48.130800000000001</v>
      </c>
      <c r="AW165" s="39"/>
      <c r="AX165" s="49">
        <v>125.203</v>
      </c>
      <c r="AY165" s="49">
        <v>93.733999999999995</v>
      </c>
      <c r="BA165" s="53">
        <f t="shared" si="59"/>
        <v>-6.0080980127719119E-4</v>
      </c>
      <c r="BB165" s="53">
        <f t="array" ref="BB165">AVERAGE(AM165:AM169/AL165:AL169)-AVERAGE(Q165:Q169/P165:P169)</f>
        <v>-9.8430452673170521E-4</v>
      </c>
      <c r="BD165" s="54">
        <f>IF(OR(ISBLANK(R165:R169),ISBLANK(AN165:AN169),ISBLANK(T165:T169),ISBLANK(AP165:AP169)),"·",bdRateExtend(R165:R169,T165:T169,AN165:AN169,AP165:AP169))</f>
        <v>-1.4481147760569968E-4</v>
      </c>
      <c r="BE165" s="54">
        <f>IF(OR(ISBLANK(R165:R169),ISBLANK(AN165:AN169),ISBLANK(U165:U169),ISBLANK(AQ165:AQ169)),"·",bdRateExtend(R165:R169,U165:U169,AN165:AN169,AQ165:AQ169))</f>
        <v>-3.9886708037686347E-3</v>
      </c>
      <c r="BF165" s="54">
        <f>IF(OR(ISBLANK(R165:R169),ISBLANK(AN165:AN169),ISBLANK(V165:V169),ISBLANK(AR165:AR169)),"·",bdRateExtend(R165:R169,V165:V169,AN165:AN169,AR165:AR169))</f>
        <v>-7.0726328818493389E-4</v>
      </c>
      <c r="BG165" s="61"/>
      <c r="BI165" s="54">
        <f>IF(OR(ISBLANK(R165:R169),ISBLANK(AN165:AN169),ISBLANK(X165:X169),ISBLANK(AT165:AT169)),"·",bdRateExtend(R165:R169,X165:X169,AN165:AN169,AT165:AT169))</f>
        <v>4.0058517627379331E-3</v>
      </c>
      <c r="BJ165" s="54">
        <f>IF(OR(ISBLANK(R165:R169),ISBLANK(AN165:AN169),ISBLANK(Y165:Y169),ISBLANK(AU165:AU169)),"·",bdRateExtend(R165:R169,Y165:Y169,AN165:AN169,AU165:AU169))</f>
        <v>4.0058517627379331E-3</v>
      </c>
      <c r="BK165" s="54">
        <f>IF(OR(ISBLANK(R165:R169),ISBLANK(AN165:AN169),ISBLANK(Z165:Z169),ISBLANK(AV165:AV169)),"·",bdRateExtend(R165:R169,Z165:Z169,AN165:AN169,AV165:AV169))</f>
        <v>4.0058517627379331E-3</v>
      </c>
      <c r="BL165" s="61"/>
      <c r="BN165" s="54">
        <f>IF(OR(ISBLANK(P165:P169),ISBLANK(AL165:AL169),ISBLANK(T165:T169),ISBLANK(AP165:AP169)),"·",bdRateExtend(P165:P169,T165:T169,AL165:AL169,AP165:AP169))</f>
        <v>-6.5630225866031289E-5</v>
      </c>
      <c r="BO165" s="54">
        <f>IF(OR(ISBLANK(P165:P169),ISBLANK(AL165:AL169),ISBLANK(U165:U169),ISBLANK(AQ165:AQ169)),"·",bdRateExtend(P165:P169,U165:U169,AL165:AL169,AQ165:AQ169))</f>
        <v>-1.2808131153955182E-3</v>
      </c>
      <c r="BP165" s="54">
        <f>IF(OR(ISBLANK(P165:P169),ISBLANK(AL165:AL169),ISBLANK(V165:V169),ISBLANK(AR165:AR169)),"·",bdRateExtend(P165:P169,V165:V169,AL165:AL169,AR165:AR169))</f>
        <v>-3.5783688652346601E-4</v>
      </c>
      <c r="BQ165" s="61"/>
      <c r="BS165" s="54">
        <f>IF(OR(ISBLANK(P165:P169),ISBLANK(AL165:AL169),ISBLANK(X165:X169),ISBLANK(AT165:AT169)),"·",bdRateExtend(P165:P169,X165:X169,AL165:AL169,AT165:AT169))</f>
        <v>1.4650530687791985E-3</v>
      </c>
      <c r="BT165" s="54">
        <f>IF(OR(ISBLANK(P165:P169),ISBLANK(AL165:AL169),ISBLANK(Y165:Y169),ISBLANK(AU165:AU169)),"·",bdRateExtend(P165:P169,Y165:Y169,AL165:AL169,AU165:AU169))</f>
        <v>1.4650530687791985E-3</v>
      </c>
      <c r="BU165" s="54">
        <f>IF(OR(ISBLANK(P165:P169),ISBLANK(AL165:AL169),ISBLANK(Z165:Z169),ISBLANK(AV165:AV169)),"·",bdRateExtend(P165:P169,Z165:Z169,AL165:AL169,AV165:AV169))</f>
        <v>1.4650530687791985E-3</v>
      </c>
      <c r="BV165" s="61"/>
      <c r="BX165">
        <f t="shared" si="60"/>
        <v>0</v>
      </c>
      <c r="BY165">
        <f t="shared" si="61"/>
        <v>1509112</v>
      </c>
      <c r="BZ165">
        <f t="shared" si="62"/>
        <v>0</v>
      </c>
      <c r="CA165">
        <f t="shared" si="63"/>
        <v>1509112</v>
      </c>
      <c r="CB165">
        <f t="shared" si="64"/>
        <v>0</v>
      </c>
      <c r="CC165">
        <f t="shared" si="65"/>
        <v>4.3300000000002115E-2</v>
      </c>
      <c r="CD165">
        <f t="shared" si="66"/>
        <v>5.3899999999998727E-2</v>
      </c>
      <c r="CE165">
        <f t="shared" si="67"/>
        <v>5.2599999999998204E-2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9.7336801722641884</v>
      </c>
      <c r="K166" s="23">
        <f t="shared" si="51"/>
        <v>4.0031617237838155</v>
      </c>
      <c r="L166" s="23">
        <f t="shared" si="52"/>
        <v>5.7304188211017797</v>
      </c>
      <c r="M166" s="24"/>
      <c r="N166" s="23">
        <f t="shared" si="53"/>
        <v>9.7336801722641884</v>
      </c>
      <c r="O166" s="25">
        <v>71948094</v>
      </c>
      <c r="P166" s="26">
        <v>700319736</v>
      </c>
      <c r="Q166" s="26">
        <v>288019856</v>
      </c>
      <c r="R166" s="26">
        <v>412292712</v>
      </c>
      <c r="S166" s="40"/>
      <c r="T166" s="41">
        <v>48.113900000000001</v>
      </c>
      <c r="U166" s="41">
        <v>51.172400000000003</v>
      </c>
      <c r="V166" s="41">
        <v>51.012</v>
      </c>
      <c r="W166" s="42"/>
      <c r="X166" s="41">
        <v>42.110199999999999</v>
      </c>
      <c r="Y166" s="41">
        <v>42.110199999999999</v>
      </c>
      <c r="Z166" s="41">
        <v>42.110199999999999</v>
      </c>
      <c r="AA166" s="42"/>
      <c r="AB166" s="50">
        <v>122.875</v>
      </c>
      <c r="AC166" s="50">
        <v>92.015000000000001</v>
      </c>
      <c r="AE166" s="22" t="str">
        <f t="shared" si="54"/>
        <v>·</v>
      </c>
      <c r="AF166" s="23">
        <f t="shared" si="55"/>
        <v>9.7441722917635598</v>
      </c>
      <c r="AG166" s="23">
        <f t="shared" si="56"/>
        <v>4.0031617237838155</v>
      </c>
      <c r="AH166" s="23">
        <f t="shared" si="57"/>
        <v>5.7409109406011503</v>
      </c>
      <c r="AI166" s="24"/>
      <c r="AJ166" s="23">
        <f t="shared" si="58"/>
        <v>9.7441722917635598</v>
      </c>
      <c r="AK166" s="25">
        <v>71948094</v>
      </c>
      <c r="AL166" s="26">
        <v>701074624</v>
      </c>
      <c r="AM166" s="26">
        <v>288019856</v>
      </c>
      <c r="AN166" s="26">
        <v>413047600</v>
      </c>
      <c r="AO166" s="40"/>
      <c r="AP166" s="41">
        <v>48.145200000000003</v>
      </c>
      <c r="AQ166" s="41">
        <v>51.209400000000002</v>
      </c>
      <c r="AR166" s="41">
        <v>51.047699999999999</v>
      </c>
      <c r="AS166" s="42"/>
      <c r="AT166" s="41">
        <v>42.110199999999999</v>
      </c>
      <c r="AU166" s="41">
        <v>42.110199999999999</v>
      </c>
      <c r="AV166" s="41">
        <v>42.110199999999999</v>
      </c>
      <c r="AW166" s="42"/>
      <c r="AX166" s="50">
        <v>123.812</v>
      </c>
      <c r="AY166" s="50">
        <v>93.343000000000004</v>
      </c>
      <c r="BA166" s="55">
        <f t="shared" si="59"/>
        <v>-4.4283744596768093E-4</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754888</v>
      </c>
      <c r="BZ166">
        <f t="shared" si="62"/>
        <v>0</v>
      </c>
      <c r="CA166">
        <f t="shared" si="63"/>
        <v>754888</v>
      </c>
      <c r="CB166">
        <f t="shared" si="64"/>
        <v>0</v>
      </c>
      <c r="CC166">
        <f t="shared" si="65"/>
        <v>3.130000000000166E-2</v>
      </c>
      <c r="CD166">
        <f t="shared" si="66"/>
        <v>3.6999999999999034E-2</v>
      </c>
      <c r="CE166">
        <f t="shared" si="67"/>
        <v>3.5699999999998511E-2</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7.5616975760330778</v>
      </c>
      <c r="K167" s="18">
        <f t="shared" si="51"/>
        <v>4.0031617237838155</v>
      </c>
      <c r="L167" s="18">
        <f t="shared" si="52"/>
        <v>3.5584362248706687</v>
      </c>
      <c r="M167" s="19"/>
      <c r="N167" s="18">
        <f t="shared" si="53"/>
        <v>7.5616975760330778</v>
      </c>
      <c r="O167" s="20">
        <v>71948094</v>
      </c>
      <c r="P167" s="21">
        <v>544049728</v>
      </c>
      <c r="Q167" s="21">
        <v>288019856</v>
      </c>
      <c r="R167" s="21">
        <v>256022704</v>
      </c>
      <c r="S167" s="37"/>
      <c r="T167" s="38">
        <v>40.819499999999998</v>
      </c>
      <c r="U167" s="38">
        <v>45.743200000000002</v>
      </c>
      <c r="V167" s="38">
        <v>45.679400000000001</v>
      </c>
      <c r="W167" s="39"/>
      <c r="X167" s="38">
        <v>34.151400000000002</v>
      </c>
      <c r="Y167" s="38">
        <v>34.151400000000002</v>
      </c>
      <c r="Z167" s="38">
        <v>34.151400000000002</v>
      </c>
      <c r="AA167" s="39"/>
      <c r="AB167" s="49">
        <v>120.703</v>
      </c>
      <c r="AC167" s="49">
        <v>90.656000000000006</v>
      </c>
      <c r="AE167" s="17" t="str">
        <f t="shared" si="54"/>
        <v>·</v>
      </c>
      <c r="AF167" s="18">
        <f t="shared" si="55"/>
        <v>7.5714546100415117</v>
      </c>
      <c r="AG167" s="18">
        <f t="shared" si="56"/>
        <v>4.0031617237838155</v>
      </c>
      <c r="AH167" s="18">
        <f t="shared" si="57"/>
        <v>3.5681932588791025</v>
      </c>
      <c r="AI167" s="19"/>
      <c r="AJ167" s="18">
        <f t="shared" si="58"/>
        <v>7.5714546100415117</v>
      </c>
      <c r="AK167" s="20">
        <v>71948094</v>
      </c>
      <c r="AL167" s="21">
        <v>544751728</v>
      </c>
      <c r="AM167" s="21">
        <v>288019856</v>
      </c>
      <c r="AN167" s="21">
        <v>256724704</v>
      </c>
      <c r="AO167" s="37"/>
      <c r="AP167" s="38">
        <v>40.854599999999998</v>
      </c>
      <c r="AQ167" s="38">
        <v>45.792200000000001</v>
      </c>
      <c r="AR167" s="38">
        <v>45.719299999999997</v>
      </c>
      <c r="AS167" s="39"/>
      <c r="AT167" s="38">
        <v>34.151400000000002</v>
      </c>
      <c r="AU167" s="38">
        <v>34.151400000000002</v>
      </c>
      <c r="AV167" s="38">
        <v>34.151400000000002</v>
      </c>
      <c r="AW167" s="39"/>
      <c r="AX167" s="49">
        <v>121.29600000000001</v>
      </c>
      <c r="AY167" s="49">
        <v>90.953000000000003</v>
      </c>
      <c r="BA167" s="53">
        <f t="shared" si="59"/>
        <v>-6.8221666967016592E-4</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702000</v>
      </c>
      <c r="BZ167">
        <f t="shared" si="62"/>
        <v>0</v>
      </c>
      <c r="CA167">
        <f t="shared" si="63"/>
        <v>702000</v>
      </c>
      <c r="CB167">
        <f t="shared" si="64"/>
        <v>0</v>
      </c>
      <c r="CC167">
        <f t="shared" si="65"/>
        <v>3.5099999999999909E-2</v>
      </c>
      <c r="CD167">
        <f t="shared" si="66"/>
        <v>4.8999999999999488E-2</v>
      </c>
      <c r="CE167">
        <f t="shared" si="67"/>
        <v>3.9899999999995828E-2</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6.1345818556360925</v>
      </c>
      <c r="K168" s="23">
        <f t="shared" si="51"/>
        <v>4.0031617237838155</v>
      </c>
      <c r="L168" s="23">
        <f t="shared" si="52"/>
        <v>2.1313205044736834</v>
      </c>
      <c r="M168" s="24"/>
      <c r="N168" s="23">
        <f t="shared" si="53"/>
        <v>6.1345818556360925</v>
      </c>
      <c r="O168" s="25">
        <v>71948094</v>
      </c>
      <c r="P168" s="26">
        <v>441371472</v>
      </c>
      <c r="Q168" s="26">
        <v>288019856</v>
      </c>
      <c r="R168" s="26">
        <v>153344448</v>
      </c>
      <c r="S168" s="40"/>
      <c r="T168" s="41">
        <v>35.214300000000001</v>
      </c>
      <c r="U168" s="41">
        <v>41.207900000000002</v>
      </c>
      <c r="V168" s="41">
        <v>40.948300000000003</v>
      </c>
      <c r="W168" s="42"/>
      <c r="X168" s="41">
        <v>28.130800000000001</v>
      </c>
      <c r="Y168" s="41">
        <v>28.130800000000001</v>
      </c>
      <c r="Z168" s="41">
        <v>28.130800000000001</v>
      </c>
      <c r="AA168" s="42"/>
      <c r="AB168" s="50">
        <v>119.562</v>
      </c>
      <c r="AC168" s="50">
        <v>89.75</v>
      </c>
      <c r="AE168" s="22" t="str">
        <f t="shared" si="54"/>
        <v>·</v>
      </c>
      <c r="AF168" s="23">
        <f t="shared" si="55"/>
        <v>6.1441386341659028</v>
      </c>
      <c r="AG168" s="23">
        <f t="shared" si="56"/>
        <v>4.0031617237838155</v>
      </c>
      <c r="AH168" s="23">
        <f t="shared" si="57"/>
        <v>2.1408772830034941</v>
      </c>
      <c r="AI168" s="24"/>
      <c r="AJ168" s="23">
        <f t="shared" si="58"/>
        <v>6.1441386341659028</v>
      </c>
      <c r="AK168" s="25">
        <v>71948094</v>
      </c>
      <c r="AL168" s="26">
        <v>442059064</v>
      </c>
      <c r="AM168" s="26">
        <v>288019856</v>
      </c>
      <c r="AN168" s="26">
        <v>154032040</v>
      </c>
      <c r="AO168" s="40"/>
      <c r="AP168" s="41">
        <v>35.253300000000003</v>
      </c>
      <c r="AQ168" s="41">
        <v>41.2652</v>
      </c>
      <c r="AR168" s="41">
        <v>40.9816</v>
      </c>
      <c r="AS168" s="42"/>
      <c r="AT168" s="41">
        <v>28.130800000000001</v>
      </c>
      <c r="AU168" s="41">
        <v>28.130800000000001</v>
      </c>
      <c r="AV168" s="41">
        <v>28.130800000000001</v>
      </c>
      <c r="AW168" s="42"/>
      <c r="AX168" s="50">
        <v>120.687</v>
      </c>
      <c r="AY168" s="50">
        <v>89.811999999999998</v>
      </c>
      <c r="BA168" s="55">
        <f t="shared" si="59"/>
        <v>-1.0150061766559526E-3</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687592</v>
      </c>
      <c r="BZ168">
        <f t="shared" si="62"/>
        <v>0</v>
      </c>
      <c r="CA168">
        <f t="shared" si="63"/>
        <v>687592</v>
      </c>
      <c r="CB168">
        <f t="shared" si="64"/>
        <v>0</v>
      </c>
      <c r="CC168">
        <f t="shared" si="65"/>
        <v>3.9000000000001478E-2</v>
      </c>
      <c r="CD168">
        <f t="shared" si="66"/>
        <v>5.7299999999997908E-2</v>
      </c>
      <c r="CE168">
        <f t="shared" si="67"/>
        <v>3.3299999999996999E-2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4.9132753954538391</v>
      </c>
      <c r="K169" s="28">
        <f t="shared" si="51"/>
        <v>4.0031617237838155</v>
      </c>
      <c r="L169" s="28">
        <f t="shared" si="52"/>
        <v>0.9100140442914304</v>
      </c>
      <c r="M169" s="29"/>
      <c r="N169" s="28">
        <f t="shared" si="53"/>
        <v>4.9132753954538391</v>
      </c>
      <c r="O169" s="30">
        <v>71948094</v>
      </c>
      <c r="P169" s="31">
        <v>353500800</v>
      </c>
      <c r="Q169" s="31">
        <v>288019856</v>
      </c>
      <c r="R169" s="31">
        <v>65473776</v>
      </c>
      <c r="S169" s="43"/>
      <c r="T169" s="44">
        <v>29.530899999999999</v>
      </c>
      <c r="U169" s="44">
        <v>36.8292</v>
      </c>
      <c r="V169" s="44">
        <v>36.427199999999999</v>
      </c>
      <c r="W169" s="45"/>
      <c r="X169" s="44">
        <v>21.686399999999999</v>
      </c>
      <c r="Y169" s="44">
        <v>21.686399999999999</v>
      </c>
      <c r="Z169" s="44">
        <v>21.686399999999999</v>
      </c>
      <c r="AA169" s="45"/>
      <c r="AB169" s="51">
        <v>118.48399999999999</v>
      </c>
      <c r="AC169" s="51">
        <v>88.483999999999995</v>
      </c>
      <c r="AE169" s="27" t="str">
        <f t="shared" si="54"/>
        <v>·</v>
      </c>
      <c r="AF169" s="28">
        <f t="shared" si="55"/>
        <v>4.9264606787220799</v>
      </c>
      <c r="AG169" s="28">
        <f t="shared" si="56"/>
        <v>4.0031617237838155</v>
      </c>
      <c r="AH169" s="28">
        <f t="shared" si="57"/>
        <v>0.92319932755967105</v>
      </c>
      <c r="AI169" s="29"/>
      <c r="AJ169" s="28">
        <f t="shared" si="58"/>
        <v>4.9264606787220799</v>
      </c>
      <c r="AK169" s="30">
        <v>71948094</v>
      </c>
      <c r="AL169" s="31">
        <v>354449456</v>
      </c>
      <c r="AM169" s="31">
        <v>288019856</v>
      </c>
      <c r="AN169" s="31">
        <v>66422432</v>
      </c>
      <c r="AO169" s="43"/>
      <c r="AP169" s="44">
        <v>29.616499999999998</v>
      </c>
      <c r="AQ169" s="44">
        <v>36.992600000000003</v>
      </c>
      <c r="AR169" s="44">
        <v>36.493699999999997</v>
      </c>
      <c r="AS169" s="45"/>
      <c r="AT169" s="44">
        <v>21.686399999999999</v>
      </c>
      <c r="AU169" s="44">
        <v>21.686399999999999</v>
      </c>
      <c r="AV169" s="44">
        <v>21.686399999999999</v>
      </c>
      <c r="AW169" s="45"/>
      <c r="AX169" s="51">
        <v>118.578</v>
      </c>
      <c r="AY169" s="51">
        <v>89.375</v>
      </c>
      <c r="BA169" s="57">
        <f t="shared" si="59"/>
        <v>-2.180652540087813E-3</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948656</v>
      </c>
      <c r="BZ169">
        <f t="shared" si="62"/>
        <v>0</v>
      </c>
      <c r="CA169">
        <f t="shared" si="63"/>
        <v>948656</v>
      </c>
      <c r="CB169">
        <f t="shared" si="64"/>
        <v>0</v>
      </c>
      <c r="CC169">
        <f t="shared" si="65"/>
        <v>8.5599999999999454E-2</v>
      </c>
      <c r="CD169">
        <f t="shared" si="66"/>
        <v>0.16340000000000288</v>
      </c>
      <c r="CE169">
        <f t="shared" si="67"/>
        <v>6.6499999999997783E-2</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28.39412266444878</v>
      </c>
      <c r="K170" s="23">
        <f t="shared" si="51"/>
        <v>20.789421451349689</v>
      </c>
      <c r="L170" s="23">
        <f t="shared" si="52"/>
        <v>7.6046016366165565</v>
      </c>
      <c r="M170" s="24"/>
      <c r="N170" s="23">
        <f t="shared" si="53"/>
        <v>28.39412266444878</v>
      </c>
      <c r="O170" s="25">
        <v>72145549</v>
      </c>
      <c r="P170" s="26">
        <v>2048509568</v>
      </c>
      <c r="Q170" s="26">
        <v>1499864224</v>
      </c>
      <c r="R170" s="26">
        <v>548638160</v>
      </c>
      <c r="S170" s="40"/>
      <c r="T170" s="41">
        <v>52.866100000000003</v>
      </c>
      <c r="U170" s="41">
        <v>55.807699999999997</v>
      </c>
      <c r="V170" s="41">
        <v>55.918700000000001</v>
      </c>
      <c r="W170" s="42"/>
      <c r="X170" s="41">
        <v>48.130800000000001</v>
      </c>
      <c r="Y170" s="41">
        <v>48.130800000000001</v>
      </c>
      <c r="Z170" s="41">
        <v>48.130800000000001</v>
      </c>
      <c r="AA170" s="42"/>
      <c r="AB170" s="50">
        <v>209.25</v>
      </c>
      <c r="AC170" s="50">
        <v>183.04599999999999</v>
      </c>
      <c r="AE170" s="22" t="str">
        <f t="shared" si="54"/>
        <v>·</v>
      </c>
      <c r="AF170" s="23">
        <f t="shared" si="55"/>
        <v>28.413986287636401</v>
      </c>
      <c r="AG170" s="23">
        <f t="shared" si="56"/>
        <v>20.789421451349689</v>
      </c>
      <c r="AH170" s="23">
        <f t="shared" si="57"/>
        <v>7.6244652598041771</v>
      </c>
      <c r="AI170" s="24"/>
      <c r="AJ170" s="23">
        <f t="shared" si="58"/>
        <v>28.413986287636401</v>
      </c>
      <c r="AK170" s="25">
        <v>72145549</v>
      </c>
      <c r="AL170" s="26">
        <v>2049942640</v>
      </c>
      <c r="AM170" s="26">
        <v>1499864224</v>
      </c>
      <c r="AN170" s="26">
        <v>550071232</v>
      </c>
      <c r="AO170" s="40"/>
      <c r="AP170" s="41">
        <v>52.906999999999996</v>
      </c>
      <c r="AQ170" s="41">
        <v>55.859900000000003</v>
      </c>
      <c r="AR170" s="41">
        <v>55.968400000000003</v>
      </c>
      <c r="AS170" s="42"/>
      <c r="AT170" s="41">
        <v>48.130800000000001</v>
      </c>
      <c r="AU170" s="41">
        <v>48.130800000000001</v>
      </c>
      <c r="AV170" s="41">
        <v>48.130800000000001</v>
      </c>
      <c r="AW170" s="42"/>
      <c r="AX170" s="50">
        <v>209.54599999999999</v>
      </c>
      <c r="AY170" s="50">
        <v>184.203</v>
      </c>
      <c r="BA170" s="55">
        <f t="shared" si="59"/>
        <v>-5.1184710453489046E-4</v>
      </c>
      <c r="BB170" s="55">
        <f t="array" ref="BB170">AVERAGE(AM170:AM174/AL170:AL174)-AVERAGE(Q170:Q174/P170:P174)</f>
        <v>-4.0611906636234263E-4</v>
      </c>
      <c r="BD170" s="56">
        <f>IF(OR(ISBLANK(R170:R174),ISBLANK(AN170:AN174),ISBLANK(T170:T174),ISBLANK(AP170:AP174)),"·",bdRateExtend(R170:R174,T170:T174,AN170:AN174,AP170:AP174))</f>
        <v>9.5948153763458777E-5</v>
      </c>
      <c r="BE170" s="56">
        <f>IF(OR(ISBLANK(R170:R174),ISBLANK(AN170:AN174),ISBLANK(U170:U174),ISBLANK(AQ170:AQ174)),"·",bdRateExtend(R170:R174,U170:U174,AN170:AN174,AQ170:AQ174))</f>
        <v>-2.5787766059589545E-3</v>
      </c>
      <c r="BF170" s="56">
        <f>IF(OR(ISBLANK(R170:R174),ISBLANK(AN170:AN174),ISBLANK(V170:V174),ISBLANK(AR170:AR174)),"·",bdRateExtend(R170:R174,V170:V174,AN170:AN174,AR170:AR174))</f>
        <v>-1.83024549075117E-3</v>
      </c>
      <c r="BG170" s="62"/>
      <c r="BI170" s="56">
        <f>IF(OR(ISBLANK(R170:R174),ISBLANK(AN170:AN174),ISBLANK(X170:X174),ISBLANK(AT170:AT174)),"·",bdRateExtend(R170:R174,X170:X174,AN170:AN174,AT170:AT174))</f>
        <v>3.9174637873966578E-3</v>
      </c>
      <c r="BJ170" s="56">
        <f>IF(OR(ISBLANK(R170:R174),ISBLANK(AN170:AN174),ISBLANK(Y170:Y174),ISBLANK(AU170:AU174)),"·",bdRateExtend(R170:R174,Y170:Y174,AN170:AN174,AU170:AU174))</f>
        <v>3.9174637873966578E-3</v>
      </c>
      <c r="BK170" s="56">
        <f>IF(OR(ISBLANK(R170:R174),ISBLANK(AN170:AN174),ISBLANK(Z170:Z174),ISBLANK(AV170:AV174)),"·",bdRateExtend(R170:R174,Z170:Z174,AN170:AN174,AV170:AV174))</f>
        <v>3.9174637873966578E-3</v>
      </c>
      <c r="BL170" s="62"/>
      <c r="BN170" s="56">
        <f>IF(OR(ISBLANK(P170:P174),ISBLANK(AL170:AL174),ISBLANK(T170:T174),ISBLANK(AP170:AP174)),"·",bdRateExtend(P170:P174,T170:T174,AL170:AL174,AP170:AP174))</f>
        <v>-1.0728560173589585E-7</v>
      </c>
      <c r="BO170" s="56">
        <f>IF(OR(ISBLANK(P170:P174),ISBLANK(AL170:AL174),ISBLANK(U170:U174),ISBLANK(AQ170:AQ174)),"·",bdRateExtend(P170:P174,U170:U174,AL170:AL174,AQ170:AQ174))</f>
        <v>-2.8515815442919923E-4</v>
      </c>
      <c r="BP170" s="56">
        <f>IF(OR(ISBLANK(P170:P174),ISBLANK(AL170:AL174),ISBLANK(V170:V174),ISBLANK(AR170:AR174)),"·",bdRateExtend(P170:P174,V170:V174,AL170:AL174,AR170:AR174))</f>
        <v>-1.7233727632881557E-4</v>
      </c>
      <c r="BQ170" s="62"/>
      <c r="BS170" s="56">
        <f>IF(OR(ISBLANK(P170:P174),ISBLANK(AL170:AL174),ISBLANK(X170:X174),ISBLANK(AT170:AT174)),"·",bdRateExtend(P170:P174,X170:X174,AL170:AL174,AT170:AT174))</f>
        <v>4.2242559221050691E-4</v>
      </c>
      <c r="BT170" s="56">
        <f>IF(OR(ISBLANK(P170:P174),ISBLANK(AL170:AL174),ISBLANK(Y170:Y174),ISBLANK(AU170:AU174)),"·",bdRateExtend(P170:P174,Y170:Y174,AL170:AL174,AU170:AU174))</f>
        <v>4.2242559221050691E-4</v>
      </c>
      <c r="BU170" s="56">
        <f>IF(OR(ISBLANK(P170:P174),ISBLANK(AL170:AL174),ISBLANK(Z170:Z174),ISBLANK(AV170:AV174)),"·",bdRateExtend(P170:P174,Z170:Z174,AL170:AL174,AV170:AV174))</f>
        <v>4.2242559221050691E-4</v>
      </c>
      <c r="BV170" s="62"/>
      <c r="BX170">
        <f t="shared" si="60"/>
        <v>0</v>
      </c>
      <c r="BY170">
        <f t="shared" si="61"/>
        <v>1433072</v>
      </c>
      <c r="BZ170">
        <f t="shared" si="62"/>
        <v>0</v>
      </c>
      <c r="CA170">
        <f t="shared" si="63"/>
        <v>1433072</v>
      </c>
      <c r="CB170">
        <f t="shared" si="64"/>
        <v>0</v>
      </c>
      <c r="CC170">
        <f t="shared" si="65"/>
        <v>4.0899999999993497E-2</v>
      </c>
      <c r="CD170">
        <f t="shared" si="66"/>
        <v>5.2200000000006241E-2</v>
      </c>
      <c r="CE170">
        <f t="shared" si="67"/>
        <v>4.970000000000141E-2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26.345636818149377</v>
      </c>
      <c r="K171" s="18">
        <f t="shared" si="51"/>
        <v>20.789421451349689</v>
      </c>
      <c r="L171" s="18">
        <f t="shared" si="52"/>
        <v>5.556115790317155</v>
      </c>
      <c r="M171" s="19"/>
      <c r="N171" s="18">
        <f t="shared" si="53"/>
        <v>26.345636818149377</v>
      </c>
      <c r="O171" s="20">
        <v>72145549</v>
      </c>
      <c r="P171" s="21">
        <v>1900720432</v>
      </c>
      <c r="Q171" s="21">
        <v>1499864224</v>
      </c>
      <c r="R171" s="21">
        <v>400849024</v>
      </c>
      <c r="S171" s="37"/>
      <c r="T171" s="38">
        <v>48.066400000000002</v>
      </c>
      <c r="U171" s="38">
        <v>51.258800000000001</v>
      </c>
      <c r="V171" s="38">
        <v>51.115000000000002</v>
      </c>
      <c r="W171" s="39"/>
      <c r="X171" s="38">
        <v>42.110199999999999</v>
      </c>
      <c r="Y171" s="38">
        <v>42.110199999999999</v>
      </c>
      <c r="Z171" s="38">
        <v>42.110199999999999</v>
      </c>
      <c r="AA171" s="39"/>
      <c r="AB171" s="49">
        <v>206.67099999999999</v>
      </c>
      <c r="AC171" s="49">
        <v>180.53100000000001</v>
      </c>
      <c r="AE171" s="17" t="str">
        <f t="shared" si="54"/>
        <v>·</v>
      </c>
      <c r="AF171" s="18">
        <f t="shared" si="55"/>
        <v>26.355276109964873</v>
      </c>
      <c r="AG171" s="18">
        <f t="shared" si="56"/>
        <v>20.789421451349689</v>
      </c>
      <c r="AH171" s="18">
        <f t="shared" si="57"/>
        <v>5.5657550821326485</v>
      </c>
      <c r="AI171" s="19"/>
      <c r="AJ171" s="18">
        <f t="shared" si="58"/>
        <v>26.355276109964873</v>
      </c>
      <c r="AK171" s="20">
        <v>72145549</v>
      </c>
      <c r="AL171" s="21">
        <v>1901415864</v>
      </c>
      <c r="AM171" s="21">
        <v>1499864224</v>
      </c>
      <c r="AN171" s="21">
        <v>401544456</v>
      </c>
      <c r="AO171" s="37"/>
      <c r="AP171" s="38">
        <v>48.094900000000003</v>
      </c>
      <c r="AQ171" s="38">
        <v>51.295200000000001</v>
      </c>
      <c r="AR171" s="38">
        <v>51.148600000000002</v>
      </c>
      <c r="AS171" s="39"/>
      <c r="AT171" s="38">
        <v>42.110199999999999</v>
      </c>
      <c r="AU171" s="38">
        <v>42.110199999999999</v>
      </c>
      <c r="AV171" s="38">
        <v>42.110199999999999</v>
      </c>
      <c r="AW171" s="39"/>
      <c r="AX171" s="49">
        <v>207.375</v>
      </c>
      <c r="AY171" s="49">
        <v>182.09299999999999</v>
      </c>
      <c r="BA171" s="53">
        <f t="shared" si="59"/>
        <v>-2.8860992404511343E-4</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695432</v>
      </c>
      <c r="BZ171">
        <f t="shared" si="62"/>
        <v>0</v>
      </c>
      <c r="CA171">
        <f t="shared" si="63"/>
        <v>695432</v>
      </c>
      <c r="CB171">
        <f t="shared" si="64"/>
        <v>0</v>
      </c>
      <c r="CC171">
        <f t="shared" si="65"/>
        <v>2.850000000000108E-2</v>
      </c>
      <c r="CD171">
        <f t="shared" si="66"/>
        <v>3.6400000000000432E-2</v>
      </c>
      <c r="CE171">
        <f t="shared" si="67"/>
        <v>3.3599999999999852E-2</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24.212014188151787</v>
      </c>
      <c r="K172" s="23">
        <f t="shared" si="51"/>
        <v>20.789421451349689</v>
      </c>
      <c r="L172" s="23">
        <f t="shared" si="52"/>
        <v>3.4224931603195645</v>
      </c>
      <c r="M172" s="24"/>
      <c r="N172" s="23">
        <f t="shared" si="53"/>
        <v>24.212014188151787</v>
      </c>
      <c r="O172" s="25">
        <v>72145549</v>
      </c>
      <c r="P172" s="26">
        <v>1746789056</v>
      </c>
      <c r="Q172" s="26">
        <v>1499864224</v>
      </c>
      <c r="R172" s="26">
        <v>246917648</v>
      </c>
      <c r="S172" s="40"/>
      <c r="T172" s="41">
        <v>40.790500000000002</v>
      </c>
      <c r="U172" s="41">
        <v>45.879800000000003</v>
      </c>
      <c r="V172" s="41">
        <v>45.842199999999998</v>
      </c>
      <c r="W172" s="42"/>
      <c r="X172" s="41">
        <v>34.151400000000002</v>
      </c>
      <c r="Y172" s="41">
        <v>34.151400000000002</v>
      </c>
      <c r="Z172" s="41">
        <v>34.151400000000002</v>
      </c>
      <c r="AA172" s="42"/>
      <c r="AB172" s="50">
        <v>205.25</v>
      </c>
      <c r="AC172" s="50">
        <v>179.71799999999999</v>
      </c>
      <c r="AE172" s="22" t="str">
        <f t="shared" si="54"/>
        <v>·</v>
      </c>
      <c r="AF172" s="23">
        <f t="shared" si="55"/>
        <v>24.22162154452522</v>
      </c>
      <c r="AG172" s="23">
        <f t="shared" si="56"/>
        <v>20.789421451349689</v>
      </c>
      <c r="AH172" s="23">
        <f t="shared" si="57"/>
        <v>3.4321005166929979</v>
      </c>
      <c r="AI172" s="24"/>
      <c r="AJ172" s="23">
        <f t="shared" si="58"/>
        <v>24.22162154452522</v>
      </c>
      <c r="AK172" s="25">
        <v>72145549</v>
      </c>
      <c r="AL172" s="26">
        <v>1747482184</v>
      </c>
      <c r="AM172" s="26">
        <v>1499864224</v>
      </c>
      <c r="AN172" s="26">
        <v>247610776</v>
      </c>
      <c r="AO172" s="40"/>
      <c r="AP172" s="41">
        <v>40.824199999999998</v>
      </c>
      <c r="AQ172" s="41">
        <v>45.929400000000001</v>
      </c>
      <c r="AR172" s="41">
        <v>45.877800000000001</v>
      </c>
      <c r="AS172" s="42"/>
      <c r="AT172" s="41">
        <v>34.151400000000002</v>
      </c>
      <c r="AU172" s="41">
        <v>34.151400000000002</v>
      </c>
      <c r="AV172" s="41">
        <v>34.151400000000002</v>
      </c>
      <c r="AW172" s="42"/>
      <c r="AX172" s="50">
        <v>205.65600000000001</v>
      </c>
      <c r="AY172" s="50">
        <v>181.59299999999999</v>
      </c>
      <c r="BA172" s="55">
        <f t="shared" si="59"/>
        <v>-3.4057453340152755E-4</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693128</v>
      </c>
      <c r="BZ172">
        <f t="shared" si="62"/>
        <v>0</v>
      </c>
      <c r="CA172">
        <f t="shared" si="63"/>
        <v>693128</v>
      </c>
      <c r="CB172">
        <f t="shared" si="64"/>
        <v>0</v>
      </c>
      <c r="CC172">
        <f t="shared" si="65"/>
        <v>3.3699999999996066E-2</v>
      </c>
      <c r="CD172">
        <f t="shared" si="66"/>
        <v>4.959999999999809E-2</v>
      </c>
      <c r="CE172">
        <f t="shared" si="67"/>
        <v>3.5600000000002296E-2</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22.806515312538547</v>
      </c>
      <c r="K173" s="18">
        <f t="shared" si="51"/>
        <v>20.789421451349689</v>
      </c>
      <c r="L173" s="18">
        <f t="shared" si="52"/>
        <v>2.0169942847063234</v>
      </c>
      <c r="M173" s="19"/>
      <c r="N173" s="18">
        <f t="shared" si="53"/>
        <v>22.806515312538547</v>
      </c>
      <c r="O173" s="20">
        <v>72145549</v>
      </c>
      <c r="P173" s="21">
        <v>1645388568</v>
      </c>
      <c r="Q173" s="21">
        <v>1499864224</v>
      </c>
      <c r="R173" s="21">
        <v>145517160</v>
      </c>
      <c r="S173" s="37"/>
      <c r="T173" s="38">
        <v>35.208399999999997</v>
      </c>
      <c r="U173" s="38">
        <v>41.412999999999997</v>
      </c>
      <c r="V173" s="38">
        <v>41.186599999999999</v>
      </c>
      <c r="W173" s="39"/>
      <c r="X173" s="38">
        <v>28.130800000000001</v>
      </c>
      <c r="Y173" s="38">
        <v>28.130800000000001</v>
      </c>
      <c r="Z173" s="38">
        <v>28.130800000000001</v>
      </c>
      <c r="AA173" s="39"/>
      <c r="AB173" s="49">
        <v>204.375</v>
      </c>
      <c r="AC173" s="49">
        <v>178.93700000000001</v>
      </c>
      <c r="AE173" s="17" t="str">
        <f t="shared" si="54"/>
        <v>·</v>
      </c>
      <c r="AF173" s="18">
        <f t="shared" si="55"/>
        <v>22.815121137965143</v>
      </c>
      <c r="AG173" s="18">
        <f t="shared" si="56"/>
        <v>20.789421451349689</v>
      </c>
      <c r="AH173" s="18">
        <f t="shared" si="57"/>
        <v>2.0256001101329204</v>
      </c>
      <c r="AI173" s="19"/>
      <c r="AJ173" s="18">
        <f t="shared" si="58"/>
        <v>22.815121137965143</v>
      </c>
      <c r="AK173" s="20">
        <v>72145549</v>
      </c>
      <c r="AL173" s="21">
        <v>1646009440</v>
      </c>
      <c r="AM173" s="21">
        <v>1499864224</v>
      </c>
      <c r="AN173" s="21">
        <v>146138032</v>
      </c>
      <c r="AO173" s="37"/>
      <c r="AP173" s="38">
        <v>35.245399999999997</v>
      </c>
      <c r="AQ173" s="38">
        <v>41.467199999999998</v>
      </c>
      <c r="AR173" s="38">
        <v>41.226799999999997</v>
      </c>
      <c r="AS173" s="39"/>
      <c r="AT173" s="38">
        <v>28.130800000000001</v>
      </c>
      <c r="AU173" s="38">
        <v>28.130800000000001</v>
      </c>
      <c r="AV173" s="38">
        <v>28.130800000000001</v>
      </c>
      <c r="AW173" s="39"/>
      <c r="AX173" s="49">
        <v>204.59299999999999</v>
      </c>
      <c r="AY173" s="49">
        <v>180.60900000000001</v>
      </c>
      <c r="BA173" s="53">
        <f t="shared" si="59"/>
        <v>-3.4383748656674484E-4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620872</v>
      </c>
      <c r="BZ173">
        <f t="shared" si="62"/>
        <v>0</v>
      </c>
      <c r="CA173">
        <f t="shared" si="63"/>
        <v>620872</v>
      </c>
      <c r="CB173">
        <f t="shared" si="64"/>
        <v>0</v>
      </c>
      <c r="CC173">
        <f t="shared" si="65"/>
        <v>3.6999999999999034E-2</v>
      </c>
      <c r="CD173">
        <f t="shared" si="66"/>
        <v>5.420000000000158E-2</v>
      </c>
      <c r="CE173">
        <f t="shared" si="67"/>
        <v>4.0199999999998681E-2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21.645082054888793</v>
      </c>
      <c r="K174" s="33">
        <f t="shared" si="51"/>
        <v>20.789421451349689</v>
      </c>
      <c r="L174" s="33">
        <f t="shared" si="52"/>
        <v>0.85556102705656867</v>
      </c>
      <c r="M174" s="34"/>
      <c r="N174" s="33">
        <f t="shared" si="53"/>
        <v>21.645082054888793</v>
      </c>
      <c r="O174" s="35">
        <v>72145549</v>
      </c>
      <c r="P174" s="36">
        <v>1561596328</v>
      </c>
      <c r="Q174" s="36">
        <v>1499864224</v>
      </c>
      <c r="R174" s="36">
        <v>61724920</v>
      </c>
      <c r="S174" s="46"/>
      <c r="T174" s="47">
        <v>29.543900000000001</v>
      </c>
      <c r="U174" s="47">
        <v>37.018099999999997</v>
      </c>
      <c r="V174" s="47">
        <v>36.732900000000001</v>
      </c>
      <c r="W174" s="48"/>
      <c r="X174" s="47">
        <v>21.686399999999999</v>
      </c>
      <c r="Y174" s="47">
        <v>21.686399999999999</v>
      </c>
      <c r="Z174" s="47">
        <v>21.686399999999999</v>
      </c>
      <c r="AA174" s="48"/>
      <c r="AB174" s="52">
        <v>203.34299999999999</v>
      </c>
      <c r="AC174" s="52">
        <v>178.328</v>
      </c>
      <c r="AE174" s="32" t="str">
        <f t="shared" si="54"/>
        <v>·</v>
      </c>
      <c r="AF174" s="33">
        <f t="shared" si="55"/>
        <v>21.657387512568516</v>
      </c>
      <c r="AG174" s="33">
        <f t="shared" si="56"/>
        <v>20.789421451349689</v>
      </c>
      <c r="AH174" s="33">
        <f t="shared" si="57"/>
        <v>0.86786648473629324</v>
      </c>
      <c r="AI174" s="34"/>
      <c r="AJ174" s="33">
        <f t="shared" si="58"/>
        <v>21.657387512568516</v>
      </c>
      <c r="AK174" s="35">
        <v>72145549</v>
      </c>
      <c r="AL174" s="36">
        <v>1562484112</v>
      </c>
      <c r="AM174" s="36">
        <v>1499864224</v>
      </c>
      <c r="AN174" s="36">
        <v>62612704</v>
      </c>
      <c r="AO174" s="46"/>
      <c r="AP174" s="47">
        <v>29.615400000000001</v>
      </c>
      <c r="AQ174" s="47">
        <v>37.106400000000001</v>
      </c>
      <c r="AR174" s="47">
        <v>36.839100000000002</v>
      </c>
      <c r="AS174" s="48"/>
      <c r="AT174" s="47">
        <v>21.686399999999999</v>
      </c>
      <c r="AU174" s="47">
        <v>21.686399999999999</v>
      </c>
      <c r="AV174" s="47">
        <v>21.686399999999999</v>
      </c>
      <c r="AW174" s="48"/>
      <c r="AX174" s="52">
        <v>203.96799999999999</v>
      </c>
      <c r="AY174" s="52">
        <v>180</v>
      </c>
      <c r="BA174" s="59">
        <f t="shared" si="59"/>
        <v>-5.4572628326388095E-4</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887784</v>
      </c>
      <c r="BZ174">
        <f t="shared" si="62"/>
        <v>0</v>
      </c>
      <c r="CA174">
        <f t="shared" si="63"/>
        <v>887784</v>
      </c>
      <c r="CB174">
        <f t="shared" si="64"/>
        <v>0</v>
      </c>
      <c r="CC174">
        <f t="shared" si="65"/>
        <v>7.1500000000000341E-2</v>
      </c>
      <c r="CD174">
        <f t="shared" si="66"/>
        <v>8.830000000000382E-2</v>
      </c>
      <c r="CE174">
        <f t="shared" si="67"/>
        <v>0.10620000000000118</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26.701975406402816</v>
      </c>
      <c r="K175" s="18">
        <f t="shared" si="51"/>
        <v>13.515159301498665</v>
      </c>
      <c r="L175" s="18">
        <f t="shared" si="52"/>
        <v>13.186594497938435</v>
      </c>
      <c r="M175" s="19"/>
      <c r="N175" s="18">
        <f t="shared" si="53"/>
        <v>26.701975406402816</v>
      </c>
      <c r="O175" s="20">
        <v>4187594</v>
      </c>
      <c r="P175" s="21">
        <v>111817032</v>
      </c>
      <c r="Q175" s="21">
        <v>56596000</v>
      </c>
      <c r="R175" s="21">
        <v>55220104</v>
      </c>
      <c r="S175" s="37"/>
      <c r="T175" s="38">
        <v>53.463900000000002</v>
      </c>
      <c r="U175" s="38">
        <v>55.071199999999997</v>
      </c>
      <c r="V175" s="38">
        <v>54.632599999999996</v>
      </c>
      <c r="W175" s="39"/>
      <c r="X175" s="38">
        <v>48.130800000000001</v>
      </c>
      <c r="Y175" s="38">
        <v>48.130800000000001</v>
      </c>
      <c r="Z175" s="38">
        <v>48.130800000000001</v>
      </c>
      <c r="AA175" s="39"/>
      <c r="AB175" s="49">
        <v>12.093</v>
      </c>
      <c r="AC175" s="49">
        <v>10.311999999999999</v>
      </c>
      <c r="AE175" s="17" t="str">
        <f t="shared" si="54"/>
        <v>·</v>
      </c>
      <c r="AF175" s="18">
        <f t="shared" si="55"/>
        <v>26.893900411548969</v>
      </c>
      <c r="AG175" s="18">
        <f t="shared" si="56"/>
        <v>13.515159301498665</v>
      </c>
      <c r="AH175" s="18">
        <f t="shared" si="57"/>
        <v>13.378519503084588</v>
      </c>
      <c r="AI175" s="19"/>
      <c r="AJ175" s="18">
        <f t="shared" si="58"/>
        <v>26.893900411548969</v>
      </c>
      <c r="AK175" s="20">
        <v>4187594</v>
      </c>
      <c r="AL175" s="21">
        <v>112620736</v>
      </c>
      <c r="AM175" s="21">
        <v>56596000</v>
      </c>
      <c r="AN175" s="21">
        <v>56023808</v>
      </c>
      <c r="AO175" s="37"/>
      <c r="AP175" s="38">
        <v>53.9833</v>
      </c>
      <c r="AQ175" s="38">
        <v>55.601300000000002</v>
      </c>
      <c r="AR175" s="38">
        <v>55.1755</v>
      </c>
      <c r="AS175" s="39"/>
      <c r="AT175" s="38">
        <v>48.130800000000001</v>
      </c>
      <c r="AU175" s="38">
        <v>48.130800000000001</v>
      </c>
      <c r="AV175" s="38">
        <v>48.130800000000001</v>
      </c>
      <c r="AW175" s="39"/>
      <c r="AX175" s="49">
        <v>12.359</v>
      </c>
      <c r="AY175" s="49">
        <v>10.39</v>
      </c>
      <c r="BA175" s="53">
        <f t="shared" si="59"/>
        <v>-3.6120649093859258E-3</v>
      </c>
      <c r="BB175" s="53">
        <f t="array" ref="BB175">AVERAGE(AM175:AM179/AL175:AL179)-AVERAGE(Q175:Q179/P175:P179)</f>
        <v>-6.0218179096813707E-3</v>
      </c>
      <c r="BD175" s="54">
        <f>IF(OR(ISBLANK(R175:R179),ISBLANK(AN175:AN179),ISBLANK(T175:T179),ISBLANK(AP175:AP179)),"·",bdRateExtend(R175:R179,T175:T179,AN175:AN179,AP175:AP179))</f>
        <v>-2.3356090977757482E-3</v>
      </c>
      <c r="BE175" s="54">
        <f>IF(OR(ISBLANK(R175:R179),ISBLANK(AN175:AN179),ISBLANK(U175:U179),ISBLANK(AQ175:AQ179)),"·",bdRateExtend(R175:R179,U175:U179,AN175:AN179,AQ175:AQ179))</f>
        <v>1.5504900143843425E-3</v>
      </c>
      <c r="BF175" s="54">
        <f>IF(OR(ISBLANK(R175:R179),ISBLANK(AN175:AN179),ISBLANK(V175:V179),ISBLANK(AR175:AR179)),"·",bdRateExtend(R175:R179,V175:V179,AN175:AN179,AR175:AR179))</f>
        <v>1.615571359611323E-3</v>
      </c>
      <c r="BG175" s="61"/>
      <c r="BI175" s="54">
        <f>IF(OR(ISBLANK(R175:R179),ISBLANK(AN175:AN179),ISBLANK(X175:X179),ISBLANK(AT175:AT179)),"·",bdRateExtend(R175:R179,X175:X179,AN175:AN179,AT175:AT179))</f>
        <v>2.6724479384544697E-2</v>
      </c>
      <c r="BJ175" s="54">
        <f>IF(OR(ISBLANK(R175:R179),ISBLANK(AN175:AN179),ISBLANK(Y175:Y179),ISBLANK(AU175:AU179)),"·",bdRateExtend(R175:R179,Y175:Y179,AN175:AN179,AU175:AU179))</f>
        <v>2.6724479384544697E-2</v>
      </c>
      <c r="BK175" s="54">
        <f>IF(OR(ISBLANK(R175:R179),ISBLANK(AN175:AN179),ISBLANK(Z175:Z179),ISBLANK(AV175:AV179)),"·",bdRateExtend(R175:R179,Z175:Z179,AN175:AN179,AV175:AV179))</f>
        <v>2.6724479384544697E-2</v>
      </c>
      <c r="BL175" s="61"/>
      <c r="BN175" s="54">
        <f>IF(OR(ISBLANK(P175:P179),ISBLANK(AL175:AL179),ISBLANK(T175:T179),ISBLANK(AP175:AP179)),"·",bdRateExtend(P175:P179,T175:T179,AL175:AL179,AP175:AP179))</f>
        <v>-1.4253905835576175E-3</v>
      </c>
      <c r="BO175" s="54">
        <f>IF(OR(ISBLANK(P175:P179),ISBLANK(AL175:AL179),ISBLANK(U175:U179),ISBLANK(AQ175:AQ179)),"·",bdRateExtend(P175:P179,U175:U179,AL175:AL179,AQ175:AQ179))</f>
        <v>-4.753227461674614E-4</v>
      </c>
      <c r="BP175" s="54">
        <f>IF(OR(ISBLANK(P175:P179),ISBLANK(AL175:AL179),ISBLANK(V175:V179),ISBLANK(AR175:AR179)),"·",bdRateExtend(P175:P179,V175:V179,AL175:AL179,AR175:AR179))</f>
        <v>-4.7665874580249401E-4</v>
      </c>
      <c r="BQ175" s="61"/>
      <c r="BS175" s="54">
        <f>IF(OR(ISBLANK(P175:P179),ISBLANK(AL175:AL179),ISBLANK(X175:X179),ISBLANK(AT175:AT179)),"·",bdRateExtend(P175:P179,X175:X179,AL175:AL179,AT175:AT179))</f>
        <v>8.1238584247367296E-3</v>
      </c>
      <c r="BT175" s="54">
        <f>IF(OR(ISBLANK(P175:P179),ISBLANK(AL175:AL179),ISBLANK(Y175:Y179),ISBLANK(AU175:AU179)),"·",bdRateExtend(P175:P179,Y175:Y179,AL175:AL179,AU175:AU179))</f>
        <v>8.1238584247367296E-3</v>
      </c>
      <c r="BU175" s="54">
        <f>IF(OR(ISBLANK(P175:P179),ISBLANK(AL175:AL179),ISBLANK(Z175:Z179),ISBLANK(AV175:AV179)),"·",bdRateExtend(P175:P179,Z175:Z179,AL175:AL179,AV175:AV179))</f>
        <v>8.1238584247367296E-3</v>
      </c>
      <c r="BV175" s="61"/>
      <c r="BX175">
        <f t="shared" si="60"/>
        <v>0</v>
      </c>
      <c r="BY175">
        <f t="shared" si="61"/>
        <v>803704</v>
      </c>
      <c r="BZ175">
        <f t="shared" si="62"/>
        <v>0</v>
      </c>
      <c r="CA175">
        <f t="shared" si="63"/>
        <v>803704</v>
      </c>
      <c r="CB175">
        <f t="shared" si="64"/>
        <v>0</v>
      </c>
      <c r="CC175">
        <f t="shared" si="65"/>
        <v>0.51939999999999742</v>
      </c>
      <c r="CD175">
        <f t="shared" si="66"/>
        <v>0.53010000000000446</v>
      </c>
      <c r="CE175">
        <f t="shared" si="67"/>
        <v>0.54290000000000305</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23.91137249695171</v>
      </c>
      <c r="K176" s="23">
        <f t="shared" si="51"/>
        <v>13.515159301498665</v>
      </c>
      <c r="L176" s="23">
        <f t="shared" si="52"/>
        <v>10.395991588487327</v>
      </c>
      <c r="M176" s="24"/>
      <c r="N176" s="23">
        <f t="shared" si="53"/>
        <v>23.91137249695171</v>
      </c>
      <c r="O176" s="25">
        <v>4187594</v>
      </c>
      <c r="P176" s="26">
        <v>100131120</v>
      </c>
      <c r="Q176" s="26">
        <v>56596000</v>
      </c>
      <c r="R176" s="26">
        <v>43534192</v>
      </c>
      <c r="S176" s="40"/>
      <c r="T176" s="41">
        <v>48.626399999999997</v>
      </c>
      <c r="U176" s="41">
        <v>50.479500000000002</v>
      </c>
      <c r="V176" s="41">
        <v>49.929000000000002</v>
      </c>
      <c r="W176" s="42"/>
      <c r="X176" s="41">
        <v>42.110199999999999</v>
      </c>
      <c r="Y176" s="41">
        <v>42.110199999999999</v>
      </c>
      <c r="Z176" s="41">
        <v>42.110199999999999</v>
      </c>
      <c r="AA176" s="42"/>
      <c r="AB176" s="50">
        <v>12.061999999999999</v>
      </c>
      <c r="AC176" s="50">
        <v>10.218</v>
      </c>
      <c r="AE176" s="22" t="str">
        <f t="shared" si="54"/>
        <v>·</v>
      </c>
      <c r="AF176" s="23">
        <f t="shared" si="55"/>
        <v>24.037994132191422</v>
      </c>
      <c r="AG176" s="23">
        <f t="shared" si="56"/>
        <v>13.515159301498665</v>
      </c>
      <c r="AH176" s="23">
        <f t="shared" si="57"/>
        <v>10.522613223727037</v>
      </c>
      <c r="AI176" s="24"/>
      <c r="AJ176" s="23">
        <f t="shared" si="58"/>
        <v>24.037994132191422</v>
      </c>
      <c r="AK176" s="25">
        <v>4187594</v>
      </c>
      <c r="AL176" s="26">
        <v>100661360</v>
      </c>
      <c r="AM176" s="26">
        <v>56596000</v>
      </c>
      <c r="AN176" s="26">
        <v>44064432</v>
      </c>
      <c r="AO176" s="40"/>
      <c r="AP176" s="41">
        <v>49.045999999999999</v>
      </c>
      <c r="AQ176" s="41">
        <v>50.868400000000001</v>
      </c>
      <c r="AR176" s="41">
        <v>50.322699999999998</v>
      </c>
      <c r="AS176" s="42"/>
      <c r="AT176" s="41">
        <v>42.110199999999999</v>
      </c>
      <c r="AU176" s="41">
        <v>42.110199999999999</v>
      </c>
      <c r="AV176" s="41">
        <v>42.110199999999999</v>
      </c>
      <c r="AW176" s="42"/>
      <c r="AX176" s="50">
        <v>12.218</v>
      </c>
      <c r="AY176" s="50">
        <v>10.265000000000001</v>
      </c>
      <c r="BA176" s="55">
        <f t="shared" si="59"/>
        <v>-2.9773257740739467E-3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530240</v>
      </c>
      <c r="BZ176">
        <f t="shared" si="62"/>
        <v>0</v>
      </c>
      <c r="CA176">
        <f t="shared" si="63"/>
        <v>530240</v>
      </c>
      <c r="CB176">
        <f t="shared" si="64"/>
        <v>0</v>
      </c>
      <c r="CC176">
        <f t="shared" si="65"/>
        <v>0.41960000000000264</v>
      </c>
      <c r="CD176">
        <f t="shared" si="66"/>
        <v>0.38889999999999958</v>
      </c>
      <c r="CE176">
        <f t="shared" si="67"/>
        <v>0.3936999999999955</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20.909876172331892</v>
      </c>
      <c r="K177" s="18">
        <f t="shared" si="51"/>
        <v>13.515159301498665</v>
      </c>
      <c r="L177" s="18">
        <f t="shared" si="52"/>
        <v>7.3944952638675092</v>
      </c>
      <c r="M177" s="19"/>
      <c r="N177" s="18">
        <f t="shared" si="53"/>
        <v>20.909876172331892</v>
      </c>
      <c r="O177" s="20">
        <v>4187594</v>
      </c>
      <c r="P177" s="21">
        <v>87562072</v>
      </c>
      <c r="Q177" s="21">
        <v>56596000</v>
      </c>
      <c r="R177" s="21">
        <v>30965144</v>
      </c>
      <c r="S177" s="37"/>
      <c r="T177" s="38">
        <v>41.375900000000001</v>
      </c>
      <c r="U177" s="38">
        <v>44.473199999999999</v>
      </c>
      <c r="V177" s="38">
        <v>43.517499999999998</v>
      </c>
      <c r="W177" s="39"/>
      <c r="X177" s="38">
        <v>34.151400000000002</v>
      </c>
      <c r="Y177" s="38">
        <v>34.151400000000002</v>
      </c>
      <c r="Z177" s="38">
        <v>34.151400000000002</v>
      </c>
      <c r="AA177" s="39"/>
      <c r="AB177" s="49">
        <v>12</v>
      </c>
      <c r="AC177" s="49">
        <v>10.125</v>
      </c>
      <c r="AE177" s="17" t="str">
        <f t="shared" si="54"/>
        <v>·</v>
      </c>
      <c r="AF177" s="18">
        <f t="shared" si="55"/>
        <v>21.081281518695462</v>
      </c>
      <c r="AG177" s="18">
        <f t="shared" si="56"/>
        <v>13.515159301498665</v>
      </c>
      <c r="AH177" s="18">
        <f t="shared" si="57"/>
        <v>7.5659006102310782</v>
      </c>
      <c r="AI177" s="19"/>
      <c r="AJ177" s="18">
        <f t="shared" si="58"/>
        <v>21.081281518695462</v>
      </c>
      <c r="AK177" s="20">
        <v>4187594</v>
      </c>
      <c r="AL177" s="21">
        <v>88279848</v>
      </c>
      <c r="AM177" s="21">
        <v>56596000</v>
      </c>
      <c r="AN177" s="21">
        <v>31682920</v>
      </c>
      <c r="AO177" s="37"/>
      <c r="AP177" s="38">
        <v>41.9114</v>
      </c>
      <c r="AQ177" s="38">
        <v>44.8414</v>
      </c>
      <c r="AR177" s="38">
        <v>43.948300000000003</v>
      </c>
      <c r="AS177" s="39"/>
      <c r="AT177" s="38">
        <v>34.151400000000002</v>
      </c>
      <c r="AU177" s="38">
        <v>34.151400000000002</v>
      </c>
      <c r="AV177" s="38">
        <v>34.151400000000002</v>
      </c>
      <c r="AW177" s="39"/>
      <c r="AX177" s="49">
        <v>11.984</v>
      </c>
      <c r="AY177" s="49">
        <v>10</v>
      </c>
      <c r="BA177" s="53">
        <f t="shared" si="59"/>
        <v>-5.2552945716113353E-3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717776</v>
      </c>
      <c r="BZ177">
        <f t="shared" si="62"/>
        <v>0</v>
      </c>
      <c r="CA177">
        <f t="shared" si="63"/>
        <v>717776</v>
      </c>
      <c r="CB177">
        <f t="shared" si="64"/>
        <v>0</v>
      </c>
      <c r="CC177">
        <f t="shared" si="65"/>
        <v>0.53549999999999898</v>
      </c>
      <c r="CD177">
        <f t="shared" si="66"/>
        <v>0.36820000000000164</v>
      </c>
      <c r="CE177">
        <f t="shared" si="67"/>
        <v>0.43080000000000496</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18.666634826585387</v>
      </c>
      <c r="K178" s="23">
        <f t="shared" si="51"/>
        <v>13.515159301498665</v>
      </c>
      <c r="L178" s="23">
        <f t="shared" si="52"/>
        <v>5.151253918121002</v>
      </c>
      <c r="M178" s="24"/>
      <c r="N178" s="23">
        <f t="shared" si="53"/>
        <v>18.666634826585387</v>
      </c>
      <c r="O178" s="25">
        <v>4187594</v>
      </c>
      <c r="P178" s="26">
        <v>78168288</v>
      </c>
      <c r="Q178" s="26">
        <v>56596000</v>
      </c>
      <c r="R178" s="26">
        <v>21571360</v>
      </c>
      <c r="S178" s="40"/>
      <c r="T178" s="41">
        <v>35.494799999999998</v>
      </c>
      <c r="U178" s="41">
        <v>40.040300000000002</v>
      </c>
      <c r="V178" s="41">
        <v>38.556100000000001</v>
      </c>
      <c r="W178" s="42"/>
      <c r="X178" s="41">
        <v>28.130800000000001</v>
      </c>
      <c r="Y178" s="41">
        <v>28.130800000000001</v>
      </c>
      <c r="Z178" s="41">
        <v>28.130800000000001</v>
      </c>
      <c r="AA178" s="42"/>
      <c r="AB178" s="50">
        <v>11.936999999999999</v>
      </c>
      <c r="AC178" s="50">
        <v>10.045999999999999</v>
      </c>
      <c r="AE178" s="22" t="str">
        <f t="shared" si="54"/>
        <v>·</v>
      </c>
      <c r="AF178" s="23">
        <f t="shared" si="55"/>
        <v>18.841045239820289</v>
      </c>
      <c r="AG178" s="23">
        <f t="shared" si="56"/>
        <v>13.515159301498665</v>
      </c>
      <c r="AH178" s="23">
        <f t="shared" si="57"/>
        <v>5.3256643313559051</v>
      </c>
      <c r="AI178" s="24"/>
      <c r="AJ178" s="23">
        <f t="shared" si="58"/>
        <v>18.841045239820289</v>
      </c>
      <c r="AK178" s="25">
        <v>4187594</v>
      </c>
      <c r="AL178" s="26">
        <v>78898648</v>
      </c>
      <c r="AM178" s="26">
        <v>56596000</v>
      </c>
      <c r="AN178" s="26">
        <v>22301720</v>
      </c>
      <c r="AO178" s="40"/>
      <c r="AP178" s="41">
        <v>36.0381</v>
      </c>
      <c r="AQ178" s="41">
        <v>40.316099999999999</v>
      </c>
      <c r="AR178" s="41">
        <v>38.877200000000002</v>
      </c>
      <c r="AS178" s="42"/>
      <c r="AT178" s="41">
        <v>28.130800000000001</v>
      </c>
      <c r="AU178" s="41">
        <v>28.130800000000001</v>
      </c>
      <c r="AV178" s="41">
        <v>28.130800000000001</v>
      </c>
      <c r="AW178" s="42"/>
      <c r="AX178" s="50">
        <v>12</v>
      </c>
      <c r="AY178" s="50">
        <v>10.015000000000001</v>
      </c>
      <c r="BA178" s="55">
        <f t="shared" si="59"/>
        <v>-6.7022798290152785E-3</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730360</v>
      </c>
      <c r="BZ178">
        <f t="shared" si="62"/>
        <v>0</v>
      </c>
      <c r="CA178">
        <f t="shared" si="63"/>
        <v>730360</v>
      </c>
      <c r="CB178">
        <f t="shared" si="64"/>
        <v>0</v>
      </c>
      <c r="CC178">
        <f t="shared" si="65"/>
        <v>0.54330000000000211</v>
      </c>
      <c r="CD178">
        <f t="shared" si="66"/>
        <v>0.27579999999999671</v>
      </c>
      <c r="CE178">
        <f t="shared" si="67"/>
        <v>0.32110000000000127</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16.715299525216629</v>
      </c>
      <c r="K179" s="28">
        <f t="shared" si="51"/>
        <v>13.515159301498665</v>
      </c>
      <c r="L179" s="28">
        <f t="shared" si="52"/>
        <v>3.1999186167522446</v>
      </c>
      <c r="M179" s="29"/>
      <c r="N179" s="28">
        <f t="shared" si="53"/>
        <v>16.715299525216629</v>
      </c>
      <c r="O179" s="30">
        <v>4187594</v>
      </c>
      <c r="P179" s="31">
        <v>69996888</v>
      </c>
      <c r="Q179" s="31">
        <v>56596000</v>
      </c>
      <c r="R179" s="31">
        <v>13399960</v>
      </c>
      <c r="S179" s="43"/>
      <c r="T179" s="44">
        <v>28.892600000000002</v>
      </c>
      <c r="U179" s="44">
        <v>35.971400000000003</v>
      </c>
      <c r="V179" s="44">
        <v>34.049300000000002</v>
      </c>
      <c r="W179" s="45"/>
      <c r="X179" s="44">
        <v>21.686399999999999</v>
      </c>
      <c r="Y179" s="44">
        <v>21.686399999999999</v>
      </c>
      <c r="Z179" s="44">
        <v>21.686399999999999</v>
      </c>
      <c r="AA179" s="45"/>
      <c r="AB179" s="51">
        <v>11.545999999999999</v>
      </c>
      <c r="AC179" s="51">
        <v>9.9060000000000006</v>
      </c>
      <c r="AE179" s="27" t="str">
        <f t="shared" si="54"/>
        <v>·</v>
      </c>
      <c r="AF179" s="28">
        <f t="shared" si="55"/>
        <v>16.957792947453836</v>
      </c>
      <c r="AG179" s="28">
        <f t="shared" si="56"/>
        <v>13.515159301498665</v>
      </c>
      <c r="AH179" s="28">
        <f t="shared" si="57"/>
        <v>3.442412038989453</v>
      </c>
      <c r="AI179" s="29"/>
      <c r="AJ179" s="28">
        <f t="shared" si="58"/>
        <v>16.957792947453836</v>
      </c>
      <c r="AK179" s="30">
        <v>4187594</v>
      </c>
      <c r="AL179" s="31">
        <v>71012352</v>
      </c>
      <c r="AM179" s="31">
        <v>56596000</v>
      </c>
      <c r="AN179" s="31">
        <v>14415424</v>
      </c>
      <c r="AO179" s="43"/>
      <c r="AP179" s="44">
        <v>29.521799999999999</v>
      </c>
      <c r="AQ179" s="44">
        <v>36.174100000000003</v>
      </c>
      <c r="AR179" s="44">
        <v>34.243699999999997</v>
      </c>
      <c r="AS179" s="45"/>
      <c r="AT179" s="44">
        <v>21.686399999999999</v>
      </c>
      <c r="AU179" s="44">
        <v>21.686399999999999</v>
      </c>
      <c r="AV179" s="44">
        <v>21.686399999999999</v>
      </c>
      <c r="AW179" s="45"/>
      <c r="AX179" s="51">
        <v>11.781000000000001</v>
      </c>
      <c r="AY179" s="51">
        <v>10</v>
      </c>
      <c r="BA179" s="57">
        <f t="shared" si="59"/>
        <v>-1.1562124464319701E-2</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1015464</v>
      </c>
      <c r="BZ179">
        <f t="shared" si="62"/>
        <v>0</v>
      </c>
      <c r="CA179">
        <f t="shared" si="63"/>
        <v>1015464</v>
      </c>
      <c r="CB179">
        <f t="shared" si="64"/>
        <v>0</v>
      </c>
      <c r="CC179">
        <f t="shared" si="65"/>
        <v>0.62919999999999732</v>
      </c>
      <c r="CD179">
        <f t="shared" si="66"/>
        <v>0.2027000000000001</v>
      </c>
      <c r="CE179">
        <f t="shared" si="67"/>
        <v>0.19439999999999458</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45.023790414851511</v>
      </c>
      <c r="K180" s="23">
        <f t="shared" si="51"/>
        <v>31.85194537914472</v>
      </c>
      <c r="L180" s="23">
        <f t="shared" si="52"/>
        <v>13.171620485627606</v>
      </c>
      <c r="M180" s="24"/>
      <c r="N180" s="23">
        <f t="shared" si="53"/>
        <v>45.023790414851511</v>
      </c>
      <c r="O180" s="25">
        <v>4203962</v>
      </c>
      <c r="P180" s="26">
        <v>189278304</v>
      </c>
      <c r="Q180" s="26">
        <v>133904368</v>
      </c>
      <c r="R180" s="26">
        <v>55372992</v>
      </c>
      <c r="S180" s="40"/>
      <c r="T180" s="41">
        <v>53.463099999999997</v>
      </c>
      <c r="U180" s="41">
        <v>55.069400000000002</v>
      </c>
      <c r="V180" s="41">
        <v>54.6325</v>
      </c>
      <c r="W180" s="42"/>
      <c r="X180" s="41">
        <v>48.130800000000001</v>
      </c>
      <c r="Y180" s="41">
        <v>48.130800000000001</v>
      </c>
      <c r="Z180" s="41">
        <v>48.130800000000001</v>
      </c>
      <c r="AA180" s="42"/>
      <c r="AB180" s="50">
        <v>17.359000000000002</v>
      </c>
      <c r="AC180" s="50">
        <v>14.406000000000001</v>
      </c>
      <c r="AE180" s="22" t="str">
        <f t="shared" si="54"/>
        <v>·</v>
      </c>
      <c r="AF180" s="23">
        <f t="shared" si="55"/>
        <v>45.214420111314041</v>
      </c>
      <c r="AG180" s="23">
        <f t="shared" si="56"/>
        <v>31.85194537914472</v>
      </c>
      <c r="AH180" s="23">
        <f t="shared" si="57"/>
        <v>13.362250182090133</v>
      </c>
      <c r="AI180" s="24"/>
      <c r="AJ180" s="23">
        <f t="shared" si="58"/>
        <v>45.214420111314041</v>
      </c>
      <c r="AK180" s="25">
        <v>4203962</v>
      </c>
      <c r="AL180" s="26">
        <v>190079704</v>
      </c>
      <c r="AM180" s="26">
        <v>133904368</v>
      </c>
      <c r="AN180" s="26">
        <v>56174392</v>
      </c>
      <c r="AO180" s="40"/>
      <c r="AP180" s="41">
        <v>53.976900000000001</v>
      </c>
      <c r="AQ180" s="41">
        <v>55.5931</v>
      </c>
      <c r="AR180" s="41">
        <v>55.168900000000001</v>
      </c>
      <c r="AS180" s="42"/>
      <c r="AT180" s="41">
        <v>48.130800000000001</v>
      </c>
      <c r="AU180" s="41">
        <v>48.130800000000001</v>
      </c>
      <c r="AV180" s="41">
        <v>48.130800000000001</v>
      </c>
      <c r="AW180" s="42"/>
      <c r="AX180" s="50">
        <v>17.545999999999999</v>
      </c>
      <c r="AY180" s="50">
        <v>14.545999999999999</v>
      </c>
      <c r="BA180" s="55">
        <f t="shared" si="59"/>
        <v>-2.9826857495698356E-3</v>
      </c>
      <c r="BB180" s="55">
        <f t="array" ref="BB180">AVERAGE(AM180:AM184/AL180:AL184)-AVERAGE(Q180:Q184/P180:P184)</f>
        <v>-3.8083618644445538E-3</v>
      </c>
      <c r="BD180" s="56">
        <f>IF(OR(ISBLANK(R180:R184),ISBLANK(AN180:AN184),ISBLANK(T180:T184),ISBLANK(AP180:AP184)),"·",bdRateExtend(R180:R184,T180:T184,AN180:AN184,AP180:AP184))</f>
        <v>-2.307557044363806E-3</v>
      </c>
      <c r="BE180" s="56">
        <f>IF(OR(ISBLANK(R180:R184),ISBLANK(AN180:AN184),ISBLANK(U180:U184),ISBLANK(AQ180:AQ184)),"·",bdRateExtend(R180:R184,U180:U184,AN180:AN184,AQ180:AQ184))</f>
        <v>2.2687933019980289E-3</v>
      </c>
      <c r="BF180" s="56">
        <f>IF(OR(ISBLANK(R180:R184),ISBLANK(AN180:AN184),ISBLANK(V180:V184),ISBLANK(AR180:AR184)),"·",bdRateExtend(R180:R184,V180:V184,AN180:AN184,AR180:AR184))</f>
        <v>1.4838023566718928E-3</v>
      </c>
      <c r="BG180" s="62"/>
      <c r="BI180" s="56">
        <f>IF(OR(ISBLANK(R180:R184),ISBLANK(AN180:AN184),ISBLANK(X180:X184),ISBLANK(AT180:AT184)),"·",bdRateExtend(R180:R184,X180:X184,AN180:AN184,AT180:AT184))</f>
        <v>2.671771198502193E-2</v>
      </c>
      <c r="BJ180" s="56">
        <f>IF(OR(ISBLANK(R180:R184),ISBLANK(AN180:AN184),ISBLANK(Y180:Y184),ISBLANK(AU180:AU184)),"·",bdRateExtend(R180:R184,Y180:Y184,AN180:AN184,AU180:AU184))</f>
        <v>2.671771198502193E-2</v>
      </c>
      <c r="BK180" s="56">
        <f>IF(OR(ISBLANK(R180:R184),ISBLANK(AN180:AN184),ISBLANK(Z180:Z184),ISBLANK(AV180:AV184)),"·",bdRateExtend(R180:R184,Z180:Z184,AN180:AN184,AV180:AV184))</f>
        <v>2.671771198502193E-2</v>
      </c>
      <c r="BL180" s="62"/>
      <c r="BN180" s="56">
        <f>IF(OR(ISBLANK(P180:P184),ISBLANK(AL180:AL184),ISBLANK(T180:T184),ISBLANK(AP180:AP184)),"·",bdRateExtend(P180:P184,T180:T184,AL180:AL184,AP180:AP184))</f>
        <v>-8.2139030607619734E-4</v>
      </c>
      <c r="BO180" s="56">
        <f>IF(OR(ISBLANK(P180:P184),ISBLANK(AL180:AL184),ISBLANK(U180:U184),ISBLANK(AQ180:AQ184)),"·",bdRateExtend(P180:P184,U180:U184,AL180:AL184,AQ180:AQ184))</f>
        <v>-3.0615941836287242E-4</v>
      </c>
      <c r="BP180" s="56">
        <f>IF(OR(ISBLANK(P180:P184),ISBLANK(AL180:AL184),ISBLANK(V180:V184),ISBLANK(AR180:AR184)),"·",bdRateExtend(P180:P184,V180:V184,AL180:AL184,AR180:AR184))</f>
        <v>-3.853595240369545E-4</v>
      </c>
      <c r="BQ180" s="62"/>
      <c r="BS180" s="56">
        <f>IF(OR(ISBLANK(P180:P184),ISBLANK(AL180:AL184),ISBLANK(X180:X184),ISBLANK(AT180:AT184)),"·",bdRateExtend(P180:P184,X180:X184,AL180:AL184,AT180:AT184))</f>
        <v>4.2637585280049795E-3</v>
      </c>
      <c r="BT180" s="56">
        <f>IF(OR(ISBLANK(P180:P184),ISBLANK(AL180:AL184),ISBLANK(Y180:Y184),ISBLANK(AU180:AU184)),"·",bdRateExtend(P180:P184,Y180:Y184,AL180:AL184,AU180:AU184))</f>
        <v>4.2637585280049795E-3</v>
      </c>
      <c r="BU180" s="56">
        <f>IF(OR(ISBLANK(P180:P184),ISBLANK(AL180:AL184),ISBLANK(Z180:Z184),ISBLANK(AV180:AV184)),"·",bdRateExtend(P180:P184,Z180:Z184,AL180:AL184,AV180:AV184))</f>
        <v>4.2637585280049795E-3</v>
      </c>
      <c r="BV180" s="62"/>
      <c r="BX180">
        <f t="shared" si="60"/>
        <v>0</v>
      </c>
      <c r="BY180">
        <f t="shared" si="61"/>
        <v>801400</v>
      </c>
      <c r="BZ180">
        <f t="shared" si="62"/>
        <v>0</v>
      </c>
      <c r="CA180">
        <f t="shared" si="63"/>
        <v>801400</v>
      </c>
      <c r="CB180">
        <f t="shared" si="64"/>
        <v>0</v>
      </c>
      <c r="CC180">
        <f t="shared" si="65"/>
        <v>0.51380000000000337</v>
      </c>
      <c r="CD180">
        <f t="shared" si="66"/>
        <v>0.52369999999999806</v>
      </c>
      <c r="CE180">
        <f t="shared" si="67"/>
        <v>0.53640000000000043</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42.235087757691431</v>
      </c>
      <c r="K181" s="18">
        <f t="shared" si="51"/>
        <v>31.85194537914472</v>
      </c>
      <c r="L181" s="18">
        <f t="shared" si="52"/>
        <v>10.382917828467527</v>
      </c>
      <c r="M181" s="19"/>
      <c r="N181" s="18">
        <f t="shared" si="53"/>
        <v>42.235087757691431</v>
      </c>
      <c r="O181" s="20">
        <v>4203962</v>
      </c>
      <c r="P181" s="21">
        <v>177554704</v>
      </c>
      <c r="Q181" s="21">
        <v>133904368</v>
      </c>
      <c r="R181" s="21">
        <v>43649392</v>
      </c>
      <c r="S181" s="37"/>
      <c r="T181" s="38">
        <v>48.623100000000001</v>
      </c>
      <c r="U181" s="38">
        <v>50.4773</v>
      </c>
      <c r="V181" s="38">
        <v>49.924300000000002</v>
      </c>
      <c r="W181" s="39"/>
      <c r="X181" s="38">
        <v>42.110199999999999</v>
      </c>
      <c r="Y181" s="38">
        <v>42.110199999999999</v>
      </c>
      <c r="Z181" s="38">
        <v>42.110199999999999</v>
      </c>
      <c r="AA181" s="39"/>
      <c r="AB181" s="49">
        <v>17.312000000000001</v>
      </c>
      <c r="AC181" s="49">
        <v>14.295999999999999</v>
      </c>
      <c r="AE181" s="17" t="str">
        <f t="shared" si="54"/>
        <v>·</v>
      </c>
      <c r="AF181" s="18">
        <f t="shared" si="55"/>
        <v>42.361815829924247</v>
      </c>
      <c r="AG181" s="18">
        <f t="shared" si="56"/>
        <v>31.85194537914472</v>
      </c>
      <c r="AH181" s="18">
        <f t="shared" si="57"/>
        <v>10.50964590070034</v>
      </c>
      <c r="AI181" s="19"/>
      <c r="AJ181" s="18">
        <f t="shared" si="58"/>
        <v>42.361815829924247</v>
      </c>
      <c r="AK181" s="20">
        <v>4203962</v>
      </c>
      <c r="AL181" s="21">
        <v>178087464</v>
      </c>
      <c r="AM181" s="21">
        <v>133904368</v>
      </c>
      <c r="AN181" s="21">
        <v>44182152</v>
      </c>
      <c r="AO181" s="37"/>
      <c r="AP181" s="38">
        <v>49.036499999999997</v>
      </c>
      <c r="AQ181" s="38">
        <v>50.863500000000002</v>
      </c>
      <c r="AR181" s="38">
        <v>50.322400000000002</v>
      </c>
      <c r="AS181" s="39"/>
      <c r="AT181" s="38">
        <v>42.110199999999999</v>
      </c>
      <c r="AU181" s="38">
        <v>42.110199999999999</v>
      </c>
      <c r="AV181" s="38">
        <v>42.110199999999999</v>
      </c>
      <c r="AW181" s="39"/>
      <c r="AX181" s="49">
        <v>17.295999999999999</v>
      </c>
      <c r="AY181" s="49">
        <v>14.420999999999999</v>
      </c>
      <c r="BA181" s="53">
        <f t="shared" si="59"/>
        <v>-2.256112865635429E-3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532760</v>
      </c>
      <c r="BZ181">
        <f t="shared" si="62"/>
        <v>0</v>
      </c>
      <c r="CA181">
        <f t="shared" si="63"/>
        <v>532760</v>
      </c>
      <c r="CB181">
        <f t="shared" si="64"/>
        <v>0</v>
      </c>
      <c r="CC181">
        <f t="shared" si="65"/>
        <v>0.41339999999999577</v>
      </c>
      <c r="CD181">
        <f t="shared" si="66"/>
        <v>0.38620000000000232</v>
      </c>
      <c r="CE181">
        <f t="shared" si="67"/>
        <v>0.39809999999999945</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39.237669607860397</v>
      </c>
      <c r="K182" s="23">
        <f t="shared" si="51"/>
        <v>31.85194537914472</v>
      </c>
      <c r="L182" s="23">
        <f t="shared" si="52"/>
        <v>7.3854996786364859</v>
      </c>
      <c r="M182" s="24"/>
      <c r="N182" s="23">
        <f t="shared" si="53"/>
        <v>39.237669607860397</v>
      </c>
      <c r="O182" s="25">
        <v>4203962</v>
      </c>
      <c r="P182" s="26">
        <v>164953672</v>
      </c>
      <c r="Q182" s="26">
        <v>133904368</v>
      </c>
      <c r="R182" s="26">
        <v>31048360</v>
      </c>
      <c r="S182" s="40"/>
      <c r="T182" s="41">
        <v>41.3748</v>
      </c>
      <c r="U182" s="41">
        <v>44.470199999999998</v>
      </c>
      <c r="V182" s="41">
        <v>43.519199999999998</v>
      </c>
      <c r="W182" s="42"/>
      <c r="X182" s="41">
        <v>34.151400000000002</v>
      </c>
      <c r="Y182" s="41">
        <v>34.151400000000002</v>
      </c>
      <c r="Z182" s="41">
        <v>34.151400000000002</v>
      </c>
      <c r="AA182" s="42"/>
      <c r="AB182" s="50">
        <v>17.155999999999999</v>
      </c>
      <c r="AC182" s="50">
        <v>14.327999999999999</v>
      </c>
      <c r="AE182" s="22" t="str">
        <f t="shared" si="54"/>
        <v>·</v>
      </c>
      <c r="AF182" s="23">
        <f t="shared" si="55"/>
        <v>39.408125953564756</v>
      </c>
      <c r="AG182" s="23">
        <f t="shared" si="56"/>
        <v>31.85194537914472</v>
      </c>
      <c r="AH182" s="23">
        <f t="shared" si="57"/>
        <v>7.5559560243408477</v>
      </c>
      <c r="AI182" s="24"/>
      <c r="AJ182" s="23">
        <f t="shared" si="58"/>
        <v>39.408125953564756</v>
      </c>
      <c r="AK182" s="25">
        <v>4203962</v>
      </c>
      <c r="AL182" s="26">
        <v>165670264</v>
      </c>
      <c r="AM182" s="26">
        <v>133904368</v>
      </c>
      <c r="AN182" s="26">
        <v>31764952</v>
      </c>
      <c r="AO182" s="40"/>
      <c r="AP182" s="41">
        <v>41.913400000000003</v>
      </c>
      <c r="AQ182" s="41">
        <v>44.848599999999998</v>
      </c>
      <c r="AR182" s="41">
        <v>43.947000000000003</v>
      </c>
      <c r="AS182" s="42"/>
      <c r="AT182" s="41">
        <v>34.151400000000002</v>
      </c>
      <c r="AU182" s="41">
        <v>34.151400000000002</v>
      </c>
      <c r="AV182" s="41">
        <v>34.151400000000002</v>
      </c>
      <c r="AW182" s="42"/>
      <c r="AX182" s="50">
        <v>17.343</v>
      </c>
      <c r="AY182" s="50">
        <v>14.281000000000001</v>
      </c>
      <c r="BA182" s="55">
        <f t="shared" si="59"/>
        <v>-3.5112370255013792E-3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716592</v>
      </c>
      <c r="BZ182">
        <f t="shared" si="62"/>
        <v>0</v>
      </c>
      <c r="CA182">
        <f t="shared" si="63"/>
        <v>716592</v>
      </c>
      <c r="CB182">
        <f t="shared" si="64"/>
        <v>0</v>
      </c>
      <c r="CC182">
        <f t="shared" si="65"/>
        <v>0.53860000000000241</v>
      </c>
      <c r="CD182">
        <f t="shared" si="66"/>
        <v>0.37839999999999918</v>
      </c>
      <c r="CE182">
        <f t="shared" si="67"/>
        <v>0.42780000000000484</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36.99690910621932</v>
      </c>
      <c r="K183" s="18">
        <f t="shared" si="51"/>
        <v>31.85194537914472</v>
      </c>
      <c r="L183" s="18">
        <f t="shared" si="52"/>
        <v>5.1447391769954152</v>
      </c>
      <c r="M183" s="19"/>
      <c r="N183" s="18">
        <f t="shared" si="53"/>
        <v>36.99690910621932</v>
      </c>
      <c r="O183" s="20">
        <v>4203962</v>
      </c>
      <c r="P183" s="21">
        <v>155533600</v>
      </c>
      <c r="Q183" s="21">
        <v>133904368</v>
      </c>
      <c r="R183" s="21">
        <v>21628288</v>
      </c>
      <c r="S183" s="37"/>
      <c r="T183" s="38">
        <v>35.489800000000002</v>
      </c>
      <c r="U183" s="38">
        <v>40.042700000000004</v>
      </c>
      <c r="V183" s="38">
        <v>38.561300000000003</v>
      </c>
      <c r="W183" s="39"/>
      <c r="X183" s="38">
        <v>28.130800000000001</v>
      </c>
      <c r="Y183" s="38">
        <v>28.130800000000001</v>
      </c>
      <c r="Z183" s="38">
        <v>28.130800000000001</v>
      </c>
      <c r="AA183" s="39"/>
      <c r="AB183" s="49">
        <v>16.905999999999999</v>
      </c>
      <c r="AC183" s="49">
        <v>14.077999999999999</v>
      </c>
      <c r="AE183" s="17" t="str">
        <f t="shared" si="54"/>
        <v>·</v>
      </c>
      <c r="AF183" s="18">
        <f t="shared" si="55"/>
        <v>37.170845978151085</v>
      </c>
      <c r="AG183" s="18">
        <f t="shared" si="56"/>
        <v>31.85194537914472</v>
      </c>
      <c r="AH183" s="18">
        <f t="shared" si="57"/>
        <v>5.3186760489271787</v>
      </c>
      <c r="AI183" s="19"/>
      <c r="AJ183" s="18">
        <f t="shared" si="58"/>
        <v>37.170845978151085</v>
      </c>
      <c r="AK183" s="20">
        <v>4203962</v>
      </c>
      <c r="AL183" s="21">
        <v>156264824</v>
      </c>
      <c r="AM183" s="21">
        <v>133904368</v>
      </c>
      <c r="AN183" s="21">
        <v>22359512</v>
      </c>
      <c r="AO183" s="37"/>
      <c r="AP183" s="38">
        <v>36.032899999999998</v>
      </c>
      <c r="AQ183" s="38">
        <v>40.317599999999999</v>
      </c>
      <c r="AR183" s="38">
        <v>38.879300000000001</v>
      </c>
      <c r="AS183" s="39"/>
      <c r="AT183" s="38">
        <v>28.130800000000001</v>
      </c>
      <c r="AU183" s="38">
        <v>28.130800000000001</v>
      </c>
      <c r="AV183" s="38">
        <v>28.130800000000001</v>
      </c>
      <c r="AW183" s="39"/>
      <c r="AX183" s="49">
        <v>16.937000000000001</v>
      </c>
      <c r="AY183" s="49">
        <v>14.25</v>
      </c>
      <c r="BA183" s="53">
        <f t="shared" si="59"/>
        <v>-4.02865177451317E-3</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731224</v>
      </c>
      <c r="BZ183">
        <f t="shared" si="62"/>
        <v>0</v>
      </c>
      <c r="CA183">
        <f t="shared" si="63"/>
        <v>731224</v>
      </c>
      <c r="CB183">
        <f t="shared" si="64"/>
        <v>0</v>
      </c>
      <c r="CC183">
        <f t="shared" si="65"/>
        <v>0.54309999999999548</v>
      </c>
      <c r="CD183">
        <f t="shared" si="66"/>
        <v>0.27489999999999526</v>
      </c>
      <c r="CE183">
        <f t="shared" si="67"/>
        <v>0.31799999999999784</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35.04695237492632</v>
      </c>
      <c r="K184" s="33">
        <f t="shared" si="51"/>
        <v>31.85194537914472</v>
      </c>
      <c r="L184" s="33">
        <f t="shared" si="52"/>
        <v>3.194782445702411</v>
      </c>
      <c r="M184" s="34"/>
      <c r="N184" s="33">
        <f t="shared" si="53"/>
        <v>35.04695237492632</v>
      </c>
      <c r="O184" s="35">
        <v>4203962</v>
      </c>
      <c r="P184" s="36">
        <v>147336056</v>
      </c>
      <c r="Q184" s="36">
        <v>133904368</v>
      </c>
      <c r="R184" s="36">
        <v>13430744</v>
      </c>
      <c r="S184" s="46"/>
      <c r="T184" s="47">
        <v>28.891200000000001</v>
      </c>
      <c r="U184" s="47">
        <v>35.984400000000001</v>
      </c>
      <c r="V184" s="47">
        <v>34.033000000000001</v>
      </c>
      <c r="W184" s="48"/>
      <c r="X184" s="47">
        <v>21.686399999999999</v>
      </c>
      <c r="Y184" s="47">
        <v>21.686399999999999</v>
      </c>
      <c r="Z184" s="47">
        <v>21.686399999999999</v>
      </c>
      <c r="AA184" s="48"/>
      <c r="AB184" s="52">
        <v>16.795999999999999</v>
      </c>
      <c r="AC184" s="52">
        <v>14.170999999999999</v>
      </c>
      <c r="AE184" s="32" t="str">
        <f t="shared" si="54"/>
        <v>·</v>
      </c>
      <c r="AF184" s="33">
        <f t="shared" si="55"/>
        <v>35.290149625519923</v>
      </c>
      <c r="AG184" s="33">
        <f t="shared" si="56"/>
        <v>31.85194537914472</v>
      </c>
      <c r="AH184" s="33">
        <f t="shared" si="57"/>
        <v>3.4379796962960181</v>
      </c>
      <c r="AI184" s="34"/>
      <c r="AJ184" s="33">
        <f t="shared" si="58"/>
        <v>35.290149625519923</v>
      </c>
      <c r="AK184" s="35">
        <v>4203962</v>
      </c>
      <c r="AL184" s="36">
        <v>148358448</v>
      </c>
      <c r="AM184" s="36">
        <v>133904368</v>
      </c>
      <c r="AN184" s="36">
        <v>14453136</v>
      </c>
      <c r="AO184" s="46"/>
      <c r="AP184" s="47">
        <v>29.521999999999998</v>
      </c>
      <c r="AQ184" s="47">
        <v>36.1175</v>
      </c>
      <c r="AR184" s="47">
        <v>34.247300000000003</v>
      </c>
      <c r="AS184" s="48"/>
      <c r="AT184" s="47">
        <v>21.686399999999999</v>
      </c>
      <c r="AU184" s="47">
        <v>21.686399999999999</v>
      </c>
      <c r="AV184" s="47">
        <v>21.686399999999999</v>
      </c>
      <c r="AW184" s="48"/>
      <c r="AX184" s="52">
        <v>16.920999999999999</v>
      </c>
      <c r="AY184" s="52">
        <v>14.265000000000001</v>
      </c>
      <c r="BA184" s="59">
        <f t="shared" si="59"/>
        <v>-6.2631219070037325E-3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1022392</v>
      </c>
      <c r="BZ184">
        <f t="shared" si="62"/>
        <v>0</v>
      </c>
      <c r="CA184">
        <f t="shared" si="63"/>
        <v>1022392</v>
      </c>
      <c r="CB184">
        <f t="shared" si="64"/>
        <v>0</v>
      </c>
      <c r="CC184">
        <f t="shared" si="65"/>
        <v>0.63079999999999714</v>
      </c>
      <c r="CD184">
        <f t="shared" si="66"/>
        <v>0.13309999999999889</v>
      </c>
      <c r="CE184">
        <f t="shared" si="67"/>
        <v>0.21430000000000149</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44.34043050056848</v>
      </c>
      <c r="K185" s="18">
        <f t="shared" si="51"/>
        <v>32.437819058352986</v>
      </c>
      <c r="L185" s="18">
        <f t="shared" si="52"/>
        <v>11.902073143338898</v>
      </c>
      <c r="M185" s="19"/>
      <c r="N185" s="18">
        <f t="shared" si="53"/>
        <v>44.34043050056848</v>
      </c>
      <c r="O185" s="20">
        <v>1010591</v>
      </c>
      <c r="P185" s="21">
        <v>44810040</v>
      </c>
      <c r="Q185" s="21">
        <v>32781368</v>
      </c>
      <c r="R185" s="21">
        <v>12028128</v>
      </c>
      <c r="S185" s="37"/>
      <c r="T185" s="38">
        <v>53.519799999999996</v>
      </c>
      <c r="U185" s="38">
        <v>55.031199999999998</v>
      </c>
      <c r="V185" s="38">
        <v>54.738199999999999</v>
      </c>
      <c r="W185" s="39"/>
      <c r="X185" s="38">
        <v>48.130800000000001</v>
      </c>
      <c r="Y185" s="38">
        <v>48.130800000000001</v>
      </c>
      <c r="Z185" s="38">
        <v>48.130800000000001</v>
      </c>
      <c r="AA185" s="39"/>
      <c r="AB185" s="49">
        <v>3.859</v>
      </c>
      <c r="AC185" s="49">
        <v>3.343</v>
      </c>
      <c r="AE185" s="17" t="str">
        <f t="shared" si="54"/>
        <v>·</v>
      </c>
      <c r="AF185" s="18">
        <f t="shared" si="55"/>
        <v>44.408786541736468</v>
      </c>
      <c r="AG185" s="18">
        <f t="shared" si="56"/>
        <v>32.437819058352986</v>
      </c>
      <c r="AH185" s="18">
        <f t="shared" si="57"/>
        <v>11.970429184506887</v>
      </c>
      <c r="AI185" s="19"/>
      <c r="AJ185" s="18">
        <f t="shared" si="58"/>
        <v>44.408786541736468</v>
      </c>
      <c r="AK185" s="20">
        <v>1010591</v>
      </c>
      <c r="AL185" s="21">
        <v>44879120</v>
      </c>
      <c r="AM185" s="21">
        <v>32781368</v>
      </c>
      <c r="AN185" s="21">
        <v>12097208</v>
      </c>
      <c r="AO185" s="37"/>
      <c r="AP185" s="38">
        <v>53.682899999999997</v>
      </c>
      <c r="AQ185" s="38">
        <v>55.208300000000001</v>
      </c>
      <c r="AR185" s="38">
        <v>54.914000000000001</v>
      </c>
      <c r="AS185" s="39"/>
      <c r="AT185" s="38">
        <v>48.130800000000001</v>
      </c>
      <c r="AU185" s="38">
        <v>48.130800000000001</v>
      </c>
      <c r="AV185" s="38">
        <v>48.130800000000001</v>
      </c>
      <c r="AW185" s="39"/>
      <c r="AX185" s="49">
        <v>3.89</v>
      </c>
      <c r="AY185" s="49">
        <v>3.375</v>
      </c>
      <c r="BA185" s="53">
        <f t="shared" si="59"/>
        <v>-1.1260553489164105E-3</v>
      </c>
      <c r="BB185" s="53">
        <f t="array" ref="BB185">AVERAGE(AM185:AM189/AL185:AL189)-AVERAGE(Q185:Q189/P185:P189)</f>
        <v>-9.9301631062853613E-4</v>
      </c>
      <c r="BD185" s="54">
        <f>IF(OR(ISBLANK(R185:R189),ISBLANK(AN185:AN189),ISBLANK(T185:T189),ISBLANK(AP185:AP189)),"·",bdRateExtend(R185:R189,T185:T189,AN185:AN189,AP185:AP189))</f>
        <v>-2.745855658562113E-3</v>
      </c>
      <c r="BE185" s="54">
        <f>IF(OR(ISBLANK(R185:R189),ISBLANK(AN185:AN189),ISBLANK(U185:U189),ISBLANK(AQ185:AQ189)),"·",bdRateExtend(R185:R189,U185:U189,AN185:AN189,AQ185:AQ189))</f>
        <v>-6.6801534804817875E-3</v>
      </c>
      <c r="BF185" s="54">
        <f>IF(OR(ISBLANK(R185:R189),ISBLANK(AN185:AN189),ISBLANK(V185:V189),ISBLANK(AR185:AR189)),"·",bdRateExtend(R185:R189,V185:V189,AN185:AN189,AR185:AR189))</f>
        <v>-4.7056747056891668E-3</v>
      </c>
      <c r="BG185" s="61"/>
      <c r="BI185" s="54">
        <f>IF(OR(ISBLANK(R185:R189),ISBLANK(AN185:AN189),ISBLANK(X185:X189),ISBLANK(AT185:AT189)),"·",bdRateExtend(R185:R189,X185:X189,AN185:AN189,AT185:AT189))</f>
        <v>7.9778516942501376E-3</v>
      </c>
      <c r="BJ185" s="54">
        <f>IF(OR(ISBLANK(R185:R189),ISBLANK(AN185:AN189),ISBLANK(Y185:Y189),ISBLANK(AU185:AU189)),"·",bdRateExtend(R185:R189,Y185:Y189,AN185:AN189,AU185:AU189))</f>
        <v>7.9778516942501376E-3</v>
      </c>
      <c r="BK185" s="54">
        <f>IF(OR(ISBLANK(R185:R189),ISBLANK(AN185:AN189),ISBLANK(Z185:Z189),ISBLANK(AV185:AV189)),"·",bdRateExtend(R185:R189,Z185:Z189,AN185:AN189,AV185:AV189))</f>
        <v>7.9778516942501376E-3</v>
      </c>
      <c r="BL185" s="61"/>
      <c r="BN185" s="54">
        <f>IF(OR(ISBLANK(P185:P189),ISBLANK(AL185:AL189),ISBLANK(T185:T189),ISBLANK(AP185:AP189)),"·",bdRateExtend(P185:P189,T185:T189,AL185:AL189,AP185:AP189))</f>
        <v>-4.1884755715859701E-4</v>
      </c>
      <c r="BO185" s="54">
        <f>IF(OR(ISBLANK(P185:P189),ISBLANK(AL185:AL189),ISBLANK(U185:U189),ISBLANK(AQ185:AQ189)),"·",bdRateExtend(P185:P189,U185:U189,AL185:AL189,AQ185:AQ189))</f>
        <v>-8.8555984557003864E-4</v>
      </c>
      <c r="BP185" s="54">
        <f>IF(OR(ISBLANK(P185:P189),ISBLANK(AL185:AL189),ISBLANK(V185:V189),ISBLANK(AR185:AR189)),"·",bdRateExtend(P185:P189,V185:V189,AL185:AL189,AR185:AR189))</f>
        <v>-7.013682994024828E-4</v>
      </c>
      <c r="BQ185" s="61"/>
      <c r="BS185" s="54">
        <f>IF(OR(ISBLANK(P185:P189),ISBLANK(AL185:AL189),ISBLANK(X185:X189),ISBLANK(AT185:AT189)),"·",bdRateExtend(P185:P189,X185:X189,AL185:AL189,AT185:AT189))</f>
        <v>1.1171578790529768E-3</v>
      </c>
      <c r="BT185" s="54">
        <f>IF(OR(ISBLANK(P185:P189),ISBLANK(AL185:AL189),ISBLANK(Y185:Y189),ISBLANK(AU185:AU189)),"·",bdRateExtend(P185:P189,Y185:Y189,AL185:AL189,AU185:AU189))</f>
        <v>1.1171578790529768E-3</v>
      </c>
      <c r="BU185" s="54">
        <f>IF(OR(ISBLANK(P185:P189),ISBLANK(AL185:AL189),ISBLANK(Z185:Z189),ISBLANK(AV185:AV189)),"·",bdRateExtend(P185:P189,Z185:Z189,AL185:AL189,AV185:AV189))</f>
        <v>1.1171578790529768E-3</v>
      </c>
      <c r="BV185" s="61"/>
      <c r="BX185">
        <f t="shared" si="60"/>
        <v>0</v>
      </c>
      <c r="BY185">
        <f t="shared" si="61"/>
        <v>69080</v>
      </c>
      <c r="BZ185">
        <f t="shared" si="62"/>
        <v>0</v>
      </c>
      <c r="CA185">
        <f t="shared" si="63"/>
        <v>69080</v>
      </c>
      <c r="CB185">
        <f t="shared" si="64"/>
        <v>0</v>
      </c>
      <c r="CC185">
        <f t="shared" si="65"/>
        <v>0.16310000000000002</v>
      </c>
      <c r="CD185">
        <f t="shared" si="66"/>
        <v>0.17710000000000292</v>
      </c>
      <c r="CE185">
        <f t="shared" si="67"/>
        <v>0.1758000000000024</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41.584593569505365</v>
      </c>
      <c r="K186" s="23">
        <f t="shared" si="51"/>
        <v>32.437819058352986</v>
      </c>
      <c r="L186" s="23">
        <f t="shared" si="52"/>
        <v>9.1462362122757863</v>
      </c>
      <c r="M186" s="24"/>
      <c r="N186" s="23">
        <f t="shared" si="53"/>
        <v>41.584593569505365</v>
      </c>
      <c r="O186" s="25">
        <v>1010591</v>
      </c>
      <c r="P186" s="26">
        <v>42025016</v>
      </c>
      <c r="Q186" s="26">
        <v>32781368</v>
      </c>
      <c r="R186" s="26">
        <v>9243104</v>
      </c>
      <c r="S186" s="40"/>
      <c r="T186" s="41">
        <v>48.595500000000001</v>
      </c>
      <c r="U186" s="41">
        <v>50.469200000000001</v>
      </c>
      <c r="V186" s="41">
        <v>50.127699999999997</v>
      </c>
      <c r="W186" s="42"/>
      <c r="X186" s="41">
        <v>42.110199999999999</v>
      </c>
      <c r="Y186" s="41">
        <v>42.110199999999999</v>
      </c>
      <c r="Z186" s="41">
        <v>42.110199999999999</v>
      </c>
      <c r="AA186" s="42"/>
      <c r="AB186" s="50">
        <v>3.859</v>
      </c>
      <c r="AC186" s="50">
        <v>3.3119999999999998</v>
      </c>
      <c r="AE186" s="22" t="str">
        <f t="shared" si="54"/>
        <v>·</v>
      </c>
      <c r="AF186" s="23">
        <f t="shared" si="55"/>
        <v>41.624031878376115</v>
      </c>
      <c r="AG186" s="23">
        <f t="shared" si="56"/>
        <v>32.437819058352986</v>
      </c>
      <c r="AH186" s="23">
        <f t="shared" si="57"/>
        <v>9.1856745211465363</v>
      </c>
      <c r="AI186" s="24"/>
      <c r="AJ186" s="23">
        <f t="shared" si="58"/>
        <v>41.624031878376115</v>
      </c>
      <c r="AK186" s="25">
        <v>1010591</v>
      </c>
      <c r="AL186" s="26">
        <v>42064872</v>
      </c>
      <c r="AM186" s="26">
        <v>32781368</v>
      </c>
      <c r="AN186" s="26">
        <v>9282960</v>
      </c>
      <c r="AO186" s="40"/>
      <c r="AP186" s="41">
        <v>48.720100000000002</v>
      </c>
      <c r="AQ186" s="41">
        <v>50.6006</v>
      </c>
      <c r="AR186" s="41">
        <v>50.259099999999997</v>
      </c>
      <c r="AS186" s="42"/>
      <c r="AT186" s="41">
        <v>42.110199999999999</v>
      </c>
      <c r="AU186" s="41">
        <v>42.110199999999999</v>
      </c>
      <c r="AV186" s="41">
        <v>42.110199999999999</v>
      </c>
      <c r="AW186" s="42"/>
      <c r="AX186" s="50">
        <v>3.89</v>
      </c>
      <c r="AY186" s="50">
        <v>3.343</v>
      </c>
      <c r="BA186" s="55">
        <f t="shared" si="59"/>
        <v>-7.3908318922211169E-4</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39856</v>
      </c>
      <c r="BZ186">
        <f t="shared" si="62"/>
        <v>0</v>
      </c>
      <c r="CA186">
        <f t="shared" si="63"/>
        <v>39856</v>
      </c>
      <c r="CB186">
        <f t="shared" si="64"/>
        <v>0</v>
      </c>
      <c r="CC186">
        <f t="shared" si="65"/>
        <v>0.12460000000000093</v>
      </c>
      <c r="CD186">
        <f t="shared" si="66"/>
        <v>0.1313999999999993</v>
      </c>
      <c r="CE186">
        <f t="shared" si="67"/>
        <v>0.1313999999999993</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38.64085074970982</v>
      </c>
      <c r="K187" s="18">
        <f t="shared" si="51"/>
        <v>32.437819058352986</v>
      </c>
      <c r="L187" s="18">
        <f t="shared" si="52"/>
        <v>6.2024933924802417</v>
      </c>
      <c r="M187" s="19"/>
      <c r="N187" s="18">
        <f t="shared" si="53"/>
        <v>38.64085074970982</v>
      </c>
      <c r="O187" s="20">
        <v>1010591</v>
      </c>
      <c r="P187" s="21">
        <v>39050096</v>
      </c>
      <c r="Q187" s="21">
        <v>32781368</v>
      </c>
      <c r="R187" s="21">
        <v>6268184</v>
      </c>
      <c r="S187" s="37"/>
      <c r="T187" s="38">
        <v>41.366399999999999</v>
      </c>
      <c r="U187" s="38">
        <v>44.103999999999999</v>
      </c>
      <c r="V187" s="38">
        <v>43.958100000000002</v>
      </c>
      <c r="W187" s="39"/>
      <c r="X187" s="38">
        <v>34.151400000000002</v>
      </c>
      <c r="Y187" s="38">
        <v>34.151400000000002</v>
      </c>
      <c r="Z187" s="38">
        <v>34.151400000000002</v>
      </c>
      <c r="AA187" s="39"/>
      <c r="AB187" s="49">
        <v>3.7810000000000001</v>
      </c>
      <c r="AC187" s="49">
        <v>3.234</v>
      </c>
      <c r="AE187" s="17" t="str">
        <f t="shared" si="54"/>
        <v>·</v>
      </c>
      <c r="AF187" s="18">
        <f t="shared" si="55"/>
        <v>38.689622211161584</v>
      </c>
      <c r="AG187" s="18">
        <f t="shared" si="56"/>
        <v>32.437819058352986</v>
      </c>
      <c r="AH187" s="18">
        <f t="shared" si="57"/>
        <v>6.2512648539320059</v>
      </c>
      <c r="AI187" s="19"/>
      <c r="AJ187" s="18">
        <f t="shared" si="58"/>
        <v>38.689622211161584</v>
      </c>
      <c r="AK187" s="20">
        <v>1010591</v>
      </c>
      <c r="AL187" s="21">
        <v>39099384</v>
      </c>
      <c r="AM187" s="21">
        <v>32781368</v>
      </c>
      <c r="AN187" s="21">
        <v>6317472</v>
      </c>
      <c r="AO187" s="37"/>
      <c r="AP187" s="38">
        <v>41.525500000000001</v>
      </c>
      <c r="AQ187" s="38">
        <v>44.276200000000003</v>
      </c>
      <c r="AR187" s="38">
        <v>44.109900000000003</v>
      </c>
      <c r="AS187" s="39"/>
      <c r="AT187" s="38">
        <v>34.151400000000002</v>
      </c>
      <c r="AU187" s="38">
        <v>34.151400000000002</v>
      </c>
      <c r="AV187" s="38">
        <v>34.151400000000002</v>
      </c>
      <c r="AW187" s="39"/>
      <c r="AX187" s="49">
        <v>3.7650000000000001</v>
      </c>
      <c r="AY187" s="49">
        <v>3.3279999999999998</v>
      </c>
      <c r="BA187" s="53">
        <f t="shared" si="59"/>
        <v>-1.0582206884062195E-3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49288</v>
      </c>
      <c r="BZ187">
        <f t="shared" si="62"/>
        <v>0</v>
      </c>
      <c r="CA187">
        <f t="shared" si="63"/>
        <v>49288</v>
      </c>
      <c r="CB187">
        <f t="shared" si="64"/>
        <v>0</v>
      </c>
      <c r="CC187">
        <f t="shared" si="65"/>
        <v>0.15910000000000224</v>
      </c>
      <c r="CD187">
        <f t="shared" si="66"/>
        <v>0.17220000000000368</v>
      </c>
      <c r="CE187">
        <f t="shared" si="67"/>
        <v>0.15180000000000149</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36.483863402701985</v>
      </c>
      <c r="K188" s="23">
        <f t="shared" si="51"/>
        <v>32.437819058352986</v>
      </c>
      <c r="L188" s="23">
        <f t="shared" si="52"/>
        <v>4.0455060454724014</v>
      </c>
      <c r="M188" s="24"/>
      <c r="N188" s="23">
        <f t="shared" si="53"/>
        <v>36.483863402701985</v>
      </c>
      <c r="O188" s="25">
        <v>1010591</v>
      </c>
      <c r="P188" s="26">
        <v>36870264</v>
      </c>
      <c r="Q188" s="26">
        <v>32781368</v>
      </c>
      <c r="R188" s="26">
        <v>4088352</v>
      </c>
      <c r="S188" s="40"/>
      <c r="T188" s="41">
        <v>35.495899999999999</v>
      </c>
      <c r="U188" s="41">
        <v>39.108199999999997</v>
      </c>
      <c r="V188" s="41">
        <v>39.128700000000002</v>
      </c>
      <c r="W188" s="42"/>
      <c r="X188" s="41">
        <v>28.130800000000001</v>
      </c>
      <c r="Y188" s="41">
        <v>28.130800000000001</v>
      </c>
      <c r="Z188" s="41">
        <v>28.130800000000001</v>
      </c>
      <c r="AA188" s="42"/>
      <c r="AB188" s="50">
        <v>3.7810000000000001</v>
      </c>
      <c r="AC188" s="50">
        <v>3.2810000000000001</v>
      </c>
      <c r="AE188" s="22" t="str">
        <f t="shared" si="54"/>
        <v>·</v>
      </c>
      <c r="AF188" s="23">
        <f t="shared" si="55"/>
        <v>36.520602301029797</v>
      </c>
      <c r="AG188" s="23">
        <f t="shared" si="56"/>
        <v>32.437819058352986</v>
      </c>
      <c r="AH188" s="23">
        <f t="shared" si="57"/>
        <v>4.0822449438002115</v>
      </c>
      <c r="AI188" s="24"/>
      <c r="AJ188" s="23">
        <f t="shared" si="58"/>
        <v>36.520602301029797</v>
      </c>
      <c r="AK188" s="25">
        <v>1010591</v>
      </c>
      <c r="AL188" s="26">
        <v>36907392</v>
      </c>
      <c r="AM188" s="26">
        <v>32781368</v>
      </c>
      <c r="AN188" s="26">
        <v>4125480</v>
      </c>
      <c r="AO188" s="40"/>
      <c r="AP188" s="41">
        <v>35.654400000000003</v>
      </c>
      <c r="AQ188" s="41">
        <v>39.2898</v>
      </c>
      <c r="AR188" s="41">
        <v>39.280099999999997</v>
      </c>
      <c r="AS188" s="42"/>
      <c r="AT188" s="41">
        <v>28.130800000000001</v>
      </c>
      <c r="AU188" s="41">
        <v>28.130800000000001</v>
      </c>
      <c r="AV188" s="41">
        <v>28.130800000000001</v>
      </c>
      <c r="AW188" s="42"/>
      <c r="AX188" s="50">
        <v>3.8119999999999998</v>
      </c>
      <c r="AY188" s="50">
        <v>3.2650000000000001</v>
      </c>
      <c r="BA188" s="55">
        <f t="shared" si="59"/>
        <v>-8.9441489638131255E-4</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37128</v>
      </c>
      <c r="BZ188">
        <f t="shared" si="62"/>
        <v>0</v>
      </c>
      <c r="CA188">
        <f t="shared" si="63"/>
        <v>37128</v>
      </c>
      <c r="CB188">
        <f t="shared" si="64"/>
        <v>0</v>
      </c>
      <c r="CC188">
        <f t="shared" si="65"/>
        <v>0.15850000000000364</v>
      </c>
      <c r="CD188">
        <f t="shared" si="66"/>
        <v>0.18160000000000309</v>
      </c>
      <c r="CE188">
        <f t="shared" si="67"/>
        <v>0.15139999999999532</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34.640427235152501</v>
      </c>
      <c r="K189" s="28">
        <f t="shared" si="51"/>
        <v>32.437819058352986</v>
      </c>
      <c r="L189" s="28">
        <f t="shared" si="52"/>
        <v>2.2020698779229182</v>
      </c>
      <c r="M189" s="29"/>
      <c r="N189" s="28">
        <f t="shared" si="53"/>
        <v>34.640427235152501</v>
      </c>
      <c r="O189" s="30">
        <v>1010591</v>
      </c>
      <c r="P189" s="31">
        <v>35007304</v>
      </c>
      <c r="Q189" s="31">
        <v>32781368</v>
      </c>
      <c r="R189" s="31">
        <v>2225392</v>
      </c>
      <c r="S189" s="43"/>
      <c r="T189" s="44">
        <v>29.164400000000001</v>
      </c>
      <c r="U189" s="44">
        <v>34.114100000000001</v>
      </c>
      <c r="V189" s="44">
        <v>34.6008</v>
      </c>
      <c r="W189" s="45"/>
      <c r="X189" s="44">
        <v>21.686399999999999</v>
      </c>
      <c r="Y189" s="44">
        <v>21.686399999999999</v>
      </c>
      <c r="Z189" s="44">
        <v>21.686399999999999</v>
      </c>
      <c r="AA189" s="45"/>
      <c r="AB189" s="51">
        <v>3.75</v>
      </c>
      <c r="AC189" s="51">
        <v>3.2650000000000001</v>
      </c>
      <c r="AE189" s="27" t="str">
        <f t="shared" si="54"/>
        <v>·</v>
      </c>
      <c r="AF189" s="28">
        <f t="shared" si="55"/>
        <v>34.682921181763938</v>
      </c>
      <c r="AG189" s="28">
        <f t="shared" si="56"/>
        <v>32.437819058352986</v>
      </c>
      <c r="AH189" s="28">
        <f t="shared" si="57"/>
        <v>2.2445638245343567</v>
      </c>
      <c r="AI189" s="29"/>
      <c r="AJ189" s="28">
        <f t="shared" si="58"/>
        <v>34.682921181763938</v>
      </c>
      <c r="AK189" s="30">
        <v>1010591</v>
      </c>
      <c r="AL189" s="31">
        <v>35050248</v>
      </c>
      <c r="AM189" s="31">
        <v>32781368</v>
      </c>
      <c r="AN189" s="31">
        <v>2268336</v>
      </c>
      <c r="AO189" s="43"/>
      <c r="AP189" s="44">
        <v>29.362400000000001</v>
      </c>
      <c r="AQ189" s="44">
        <v>34.3874</v>
      </c>
      <c r="AR189" s="44">
        <v>34.764800000000001</v>
      </c>
      <c r="AS189" s="45"/>
      <c r="AT189" s="44">
        <v>21.686399999999999</v>
      </c>
      <c r="AU189" s="44">
        <v>21.686399999999999</v>
      </c>
      <c r="AV189" s="44">
        <v>21.686399999999999</v>
      </c>
      <c r="AW189" s="45"/>
      <c r="AX189" s="51">
        <v>3.7810000000000001</v>
      </c>
      <c r="AY189" s="51">
        <v>3.2959999999999998</v>
      </c>
      <c r="BA189" s="57">
        <f t="shared" si="59"/>
        <v>-1.1473074302157382E-3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42944</v>
      </c>
      <c r="BZ189">
        <f t="shared" si="62"/>
        <v>0</v>
      </c>
      <c r="CA189">
        <f t="shared" si="63"/>
        <v>42944</v>
      </c>
      <c r="CB189">
        <f t="shared" si="64"/>
        <v>0</v>
      </c>
      <c r="CC189">
        <f t="shared" si="65"/>
        <v>0.1980000000000004</v>
      </c>
      <c r="CD189">
        <f t="shared" si="66"/>
        <v>0.27329999999999899</v>
      </c>
      <c r="CE189">
        <f t="shared" si="67"/>
        <v>0.16400000000000148</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16.595366597451591</v>
      </c>
      <c r="K190" s="23">
        <f t="shared" si="51"/>
        <v>11.060105942794358</v>
      </c>
      <c r="L190" s="23">
        <f t="shared" si="52"/>
        <v>5.5351523719709164</v>
      </c>
      <c r="M190" s="24"/>
      <c r="N190" s="23">
        <f t="shared" si="53"/>
        <v>16.595366597451591</v>
      </c>
      <c r="O190" s="25">
        <v>47062002</v>
      </c>
      <c r="P190" s="26">
        <v>781011176</v>
      </c>
      <c r="Q190" s="26">
        <v>520510728</v>
      </c>
      <c r="R190" s="26">
        <v>260495352</v>
      </c>
      <c r="S190" s="40"/>
      <c r="T190" s="41">
        <v>52.905500000000004</v>
      </c>
      <c r="U190" s="41">
        <v>55.909100000000002</v>
      </c>
      <c r="V190" s="41">
        <v>55.826799999999999</v>
      </c>
      <c r="W190" s="42"/>
      <c r="X190" s="41">
        <v>48.130800000000001</v>
      </c>
      <c r="Y190" s="41">
        <v>48.130800000000001</v>
      </c>
      <c r="Z190" s="41">
        <v>48.130800000000001</v>
      </c>
      <c r="AA190" s="42"/>
      <c r="AB190" s="50">
        <v>104.703</v>
      </c>
      <c r="AC190" s="50">
        <v>91.186999999999998</v>
      </c>
      <c r="AE190" s="22" t="str">
        <f t="shared" si="54"/>
        <v>·</v>
      </c>
      <c r="AF190" s="23">
        <f t="shared" si="55"/>
        <v>16.612484951235182</v>
      </c>
      <c r="AG190" s="23">
        <f t="shared" si="56"/>
        <v>11.060105942794358</v>
      </c>
      <c r="AH190" s="23">
        <f t="shared" si="57"/>
        <v>5.5522707257545054</v>
      </c>
      <c r="AI190" s="24"/>
      <c r="AJ190" s="23">
        <f t="shared" si="58"/>
        <v>16.612484951235182</v>
      </c>
      <c r="AK190" s="25">
        <v>47062002</v>
      </c>
      <c r="AL190" s="26">
        <v>781816800</v>
      </c>
      <c r="AM190" s="26">
        <v>520510728</v>
      </c>
      <c r="AN190" s="26">
        <v>261300976</v>
      </c>
      <c r="AO190" s="40"/>
      <c r="AP190" s="41">
        <v>52.950899999999997</v>
      </c>
      <c r="AQ190" s="41">
        <v>55.9709</v>
      </c>
      <c r="AR190" s="41">
        <v>55.880800000000001</v>
      </c>
      <c r="AS190" s="42"/>
      <c r="AT190" s="41">
        <v>48.130800000000001</v>
      </c>
      <c r="AU190" s="41">
        <v>48.130800000000001</v>
      </c>
      <c r="AV190" s="41">
        <v>48.130800000000001</v>
      </c>
      <c r="AW190" s="42"/>
      <c r="AX190" s="50">
        <v>105.015</v>
      </c>
      <c r="AY190" s="50">
        <v>91.671000000000006</v>
      </c>
      <c r="BA190" s="55">
        <f t="shared" si="59"/>
        <v>-6.8675184298150338E-4</v>
      </c>
      <c r="BB190" s="55">
        <f t="array" ref="BB190">AVERAGE(AM190:AM194/AL190:AL194)-AVERAGE(Q190:Q194/P190:P194)</f>
        <v>-3.9605855236446441E-4</v>
      </c>
      <c r="BD190" s="56">
        <f>IF(OR(ISBLANK(R190:R194),ISBLANK(AN190:AN194),ISBLANK(T190:T194),ISBLANK(AP190:AP194)),"·",bdRateExtend(R190:R194,T190:T194,AN190:AN194,AP190:AP194))</f>
        <v>-6.9703540481698134E-3</v>
      </c>
      <c r="BE190" s="56">
        <f>IF(OR(ISBLANK(R190:R194),ISBLANK(AN190:AN194),ISBLANK(U190:U194),ISBLANK(AQ190:AQ194)),"·",bdRateExtend(R190:R194,U190:U194,AN190:AN194,AQ190:AQ194))</f>
        <v>-1.1965485234785689E-2</v>
      </c>
      <c r="BF190" s="56">
        <f>IF(OR(ISBLANK(R190:R194),ISBLANK(AN190:AN194),ISBLANK(V190:V194),ISBLANK(AR190:AR194)),"·",bdRateExtend(R190:R194,V190:V194,AN190:AN194,AR190:AR194))</f>
        <v>-1.2461086230042606E-2</v>
      </c>
      <c r="BG190" s="62"/>
      <c r="BI190" s="56">
        <f>IF(OR(ISBLANK(R190:R194),ISBLANK(AN190:AN194),ISBLANK(X190:X194),ISBLANK(AT190:AT194)),"·",bdRateExtend(R190:R194,X190:X194,AN190:AN194,AT190:AT194))</f>
        <v>2.6107107797506135E-3</v>
      </c>
      <c r="BJ190" s="56">
        <f>IF(OR(ISBLANK(R190:R194),ISBLANK(AN190:AN194),ISBLANK(Y190:Y194),ISBLANK(AU190:AU194)),"·",bdRateExtend(R190:R194,Y190:Y194,AN190:AN194,AU190:AU194))</f>
        <v>2.6107107797506135E-3</v>
      </c>
      <c r="BK190" s="56">
        <f>IF(OR(ISBLANK(R190:R194),ISBLANK(AN190:AN194),ISBLANK(Z190:Z194),ISBLANK(AV190:AV194)),"·",bdRateExtend(R190:R194,Z190:Z194,AN190:AN194,AV190:AV194))</f>
        <v>2.6107107797506135E-3</v>
      </c>
      <c r="BL190" s="62"/>
      <c r="BN190" s="56">
        <f>IF(OR(ISBLANK(P190:P194),ISBLANK(AL190:AL194),ISBLANK(T190:T194),ISBLANK(AP190:AP194)),"·",bdRateExtend(P190:P194,T190:T194,AL190:AL194,AP190:AP194))</f>
        <v>-7.3388210813629673E-4</v>
      </c>
      <c r="BO190" s="56">
        <f>IF(OR(ISBLANK(P190:P194),ISBLANK(AL190:AL194),ISBLANK(U190:U194),ISBLANK(AQ190:AQ194)),"·",bdRateExtend(P190:P194,U190:U194,AL190:AL194,AQ190:AQ194))</f>
        <v>-1.3523772110692889E-3</v>
      </c>
      <c r="BP190" s="56">
        <f>IF(OR(ISBLANK(P190:P194),ISBLANK(AL190:AL194),ISBLANK(V190:V194),ISBLANK(AR190:AR194)),"·",bdRateExtend(P190:P194,V190:V194,AL190:AL194,AR190:AR194))</f>
        <v>-1.4002659283925967E-3</v>
      </c>
      <c r="BQ190" s="62"/>
      <c r="BS190" s="56">
        <f>IF(OR(ISBLANK(P190:P194),ISBLANK(AL190:AL194),ISBLANK(X190:X194),ISBLANK(AT190:AT194)),"·",bdRateExtend(P190:P194,X190:X194,AL190:AL194,AT190:AT194))</f>
        <v>4.1951406865248231E-4</v>
      </c>
      <c r="BT190" s="56">
        <f>IF(OR(ISBLANK(P190:P194),ISBLANK(AL190:AL194),ISBLANK(Y190:Y194),ISBLANK(AU190:AU194)),"·",bdRateExtend(P190:P194,Y190:Y194,AL190:AL194,AU190:AU194))</f>
        <v>4.1951406865248231E-4</v>
      </c>
      <c r="BU190" s="56">
        <f>IF(OR(ISBLANK(P190:P194),ISBLANK(AL190:AL194),ISBLANK(Z190:Z194),ISBLANK(AV190:AV194)),"·",bdRateExtend(P190:P194,Z190:Z194,AL190:AL194,AV190:AV194))</f>
        <v>4.1951406865248231E-4</v>
      </c>
      <c r="BV190" s="62"/>
      <c r="BX190">
        <f t="shared" si="60"/>
        <v>0</v>
      </c>
      <c r="BY190">
        <f t="shared" si="61"/>
        <v>805624</v>
      </c>
      <c r="BZ190">
        <f t="shared" si="62"/>
        <v>0</v>
      </c>
      <c r="CA190">
        <f t="shared" si="63"/>
        <v>805624</v>
      </c>
      <c r="CB190">
        <f t="shared" si="64"/>
        <v>0</v>
      </c>
      <c r="CC190">
        <f t="shared" si="65"/>
        <v>4.5399999999993668E-2</v>
      </c>
      <c r="CD190">
        <f t="shared" si="66"/>
        <v>6.1799999999998079E-2</v>
      </c>
      <c r="CE190">
        <f t="shared" si="67"/>
        <v>5.4000000000002046E-2</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14.930105863324727</v>
      </c>
      <c r="K191" s="18">
        <f t="shared" si="51"/>
        <v>11.060105942794358</v>
      </c>
      <c r="L191" s="18">
        <f t="shared" si="52"/>
        <v>3.8698916378440509</v>
      </c>
      <c r="M191" s="19"/>
      <c r="N191" s="18">
        <f t="shared" si="53"/>
        <v>14.930105863324727</v>
      </c>
      <c r="O191" s="20">
        <v>47062002</v>
      </c>
      <c r="P191" s="21">
        <v>702640672</v>
      </c>
      <c r="Q191" s="21">
        <v>520510728</v>
      </c>
      <c r="R191" s="21">
        <v>182124848</v>
      </c>
      <c r="S191" s="37"/>
      <c r="T191" s="38">
        <v>48.381999999999998</v>
      </c>
      <c r="U191" s="38">
        <v>51.370100000000001</v>
      </c>
      <c r="V191" s="38">
        <v>51.3887</v>
      </c>
      <c r="W191" s="39"/>
      <c r="X191" s="38">
        <v>42.110199999999999</v>
      </c>
      <c r="Y191" s="38">
        <v>42.110199999999999</v>
      </c>
      <c r="Z191" s="38">
        <v>42.110199999999999</v>
      </c>
      <c r="AA191" s="39"/>
      <c r="AB191" s="49">
        <v>105.515</v>
      </c>
      <c r="AC191" s="49">
        <v>90.703000000000003</v>
      </c>
      <c r="AE191" s="17" t="str">
        <f t="shared" si="54"/>
        <v>·</v>
      </c>
      <c r="AF191" s="18">
        <f t="shared" si="55"/>
        <v>14.937430838577585</v>
      </c>
      <c r="AG191" s="18">
        <f t="shared" si="56"/>
        <v>11.060105942794358</v>
      </c>
      <c r="AH191" s="18">
        <f t="shared" si="57"/>
        <v>3.8772166130969099</v>
      </c>
      <c r="AI191" s="19"/>
      <c r="AJ191" s="18">
        <f t="shared" si="58"/>
        <v>14.937430838577585</v>
      </c>
      <c r="AK191" s="20">
        <v>47062002</v>
      </c>
      <c r="AL191" s="21">
        <v>702985400</v>
      </c>
      <c r="AM191" s="21">
        <v>520510728</v>
      </c>
      <c r="AN191" s="21">
        <v>182469576</v>
      </c>
      <c r="AO191" s="37"/>
      <c r="AP191" s="38">
        <v>48.417900000000003</v>
      </c>
      <c r="AQ191" s="38">
        <v>51.412300000000002</v>
      </c>
      <c r="AR191" s="38">
        <v>51.433700000000002</v>
      </c>
      <c r="AS191" s="39"/>
      <c r="AT191" s="38">
        <v>42.110199999999999</v>
      </c>
      <c r="AU191" s="38">
        <v>42.110199999999999</v>
      </c>
      <c r="AV191" s="38">
        <v>42.110199999999999</v>
      </c>
      <c r="AW191" s="39"/>
      <c r="AX191" s="49">
        <v>104.015</v>
      </c>
      <c r="AY191" s="49">
        <v>90.968000000000004</v>
      </c>
      <c r="BA191" s="53">
        <f t="shared" si="59"/>
        <v>-3.6326759122284891E-4</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344728</v>
      </c>
      <c r="BZ191">
        <f t="shared" si="62"/>
        <v>0</v>
      </c>
      <c r="CA191">
        <f t="shared" si="63"/>
        <v>344728</v>
      </c>
      <c r="CB191">
        <f t="shared" si="64"/>
        <v>0</v>
      </c>
      <c r="CC191">
        <f t="shared" si="65"/>
        <v>3.590000000000515E-2</v>
      </c>
      <c r="CD191">
        <f t="shared" si="66"/>
        <v>4.2200000000001125E-2</v>
      </c>
      <c r="CE191">
        <f t="shared" si="67"/>
        <v>4.5000000000001705E-2</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13.259740883951345</v>
      </c>
      <c r="K192" s="23">
        <f t="shared" si="51"/>
        <v>11.060105942794358</v>
      </c>
      <c r="L192" s="23">
        <f t="shared" si="52"/>
        <v>2.1995266584706701</v>
      </c>
      <c r="M192" s="24"/>
      <c r="N192" s="23">
        <f t="shared" si="53"/>
        <v>13.259740883951345</v>
      </c>
      <c r="O192" s="25">
        <v>47062002</v>
      </c>
      <c r="P192" s="26">
        <v>624029952</v>
      </c>
      <c r="Q192" s="26">
        <v>520510728</v>
      </c>
      <c r="R192" s="26">
        <v>103514128</v>
      </c>
      <c r="S192" s="40"/>
      <c r="T192" s="41">
        <v>41.455199999999998</v>
      </c>
      <c r="U192" s="41">
        <v>45.734299999999998</v>
      </c>
      <c r="V192" s="41">
        <v>46.170200000000001</v>
      </c>
      <c r="W192" s="42"/>
      <c r="X192" s="41">
        <v>34.151400000000002</v>
      </c>
      <c r="Y192" s="41">
        <v>34.151400000000002</v>
      </c>
      <c r="Z192" s="41">
        <v>34.151400000000002</v>
      </c>
      <c r="AA192" s="42"/>
      <c r="AB192" s="50">
        <v>102.53100000000001</v>
      </c>
      <c r="AC192" s="50">
        <v>89.983999999999995</v>
      </c>
      <c r="AE192" s="22" t="str">
        <f t="shared" si="54"/>
        <v>·</v>
      </c>
      <c r="AF192" s="23">
        <f t="shared" si="55"/>
        <v>13.264834929886748</v>
      </c>
      <c r="AG192" s="23">
        <f t="shared" si="56"/>
        <v>11.060105942794358</v>
      </c>
      <c r="AH192" s="23">
        <f t="shared" si="57"/>
        <v>2.2046207044060728</v>
      </c>
      <c r="AI192" s="24"/>
      <c r="AJ192" s="23">
        <f t="shared" si="58"/>
        <v>13.264834929886748</v>
      </c>
      <c r="AK192" s="25">
        <v>47062002</v>
      </c>
      <c r="AL192" s="26">
        <v>624269688</v>
      </c>
      <c r="AM192" s="26">
        <v>520510728</v>
      </c>
      <c r="AN192" s="26">
        <v>103753864</v>
      </c>
      <c r="AO192" s="40"/>
      <c r="AP192" s="41">
        <v>41.522300000000001</v>
      </c>
      <c r="AQ192" s="41">
        <v>45.8232</v>
      </c>
      <c r="AR192" s="41">
        <v>46.263599999999997</v>
      </c>
      <c r="AS192" s="42"/>
      <c r="AT192" s="41">
        <v>34.151400000000002</v>
      </c>
      <c r="AU192" s="41">
        <v>34.151400000000002</v>
      </c>
      <c r="AV192" s="41">
        <v>34.151400000000002</v>
      </c>
      <c r="AW192" s="42"/>
      <c r="AX192" s="50">
        <v>103.062</v>
      </c>
      <c r="AY192" s="50">
        <v>90.358999999999995</v>
      </c>
      <c r="BA192" s="55">
        <f t="shared" si="59"/>
        <v>-3.203208856925599E-4</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239736</v>
      </c>
      <c r="BZ192">
        <f t="shared" si="62"/>
        <v>0</v>
      </c>
      <c r="CA192">
        <f t="shared" si="63"/>
        <v>239736</v>
      </c>
      <c r="CB192">
        <f t="shared" si="64"/>
        <v>0</v>
      </c>
      <c r="CC192">
        <f t="shared" si="65"/>
        <v>6.710000000000349E-2</v>
      </c>
      <c r="CD192">
        <f t="shared" si="66"/>
        <v>8.8900000000002422E-2</v>
      </c>
      <c r="CE192">
        <f t="shared" si="67"/>
        <v>9.3399999999995487E-2</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12.376468472378205</v>
      </c>
      <c r="K193" s="18">
        <f t="shared" si="51"/>
        <v>11.060105942794358</v>
      </c>
      <c r="L193" s="18">
        <f t="shared" si="52"/>
        <v>1.3162542468975289</v>
      </c>
      <c r="M193" s="19"/>
      <c r="N193" s="18">
        <f t="shared" si="53"/>
        <v>12.376468472378205</v>
      </c>
      <c r="O193" s="20">
        <v>47062002</v>
      </c>
      <c r="P193" s="21">
        <v>582461384</v>
      </c>
      <c r="Q193" s="21">
        <v>520510728</v>
      </c>
      <c r="R193" s="21">
        <v>61945560</v>
      </c>
      <c r="S193" s="37"/>
      <c r="T193" s="38">
        <v>35.818800000000003</v>
      </c>
      <c r="U193" s="38">
        <v>40.893999999999998</v>
      </c>
      <c r="V193" s="38">
        <v>41.660600000000002</v>
      </c>
      <c r="W193" s="39"/>
      <c r="X193" s="38">
        <v>28.130800000000001</v>
      </c>
      <c r="Y193" s="38">
        <v>28.130800000000001</v>
      </c>
      <c r="Z193" s="38">
        <v>28.130800000000001</v>
      </c>
      <c r="AA193" s="39"/>
      <c r="AB193" s="49">
        <v>102.093</v>
      </c>
      <c r="AC193" s="49">
        <v>89.156000000000006</v>
      </c>
      <c r="AE193" s="17" t="str">
        <f t="shared" si="54"/>
        <v>·</v>
      </c>
      <c r="AF193" s="18">
        <f t="shared" si="55"/>
        <v>12.378507314669699</v>
      </c>
      <c r="AG193" s="18">
        <f t="shared" si="56"/>
        <v>11.060105942794358</v>
      </c>
      <c r="AH193" s="18">
        <f t="shared" si="57"/>
        <v>1.3182930891890234</v>
      </c>
      <c r="AI193" s="19"/>
      <c r="AJ193" s="18">
        <f t="shared" si="58"/>
        <v>12.378507314669699</v>
      </c>
      <c r="AK193" s="20">
        <v>47062002</v>
      </c>
      <c r="AL193" s="21">
        <v>582557336</v>
      </c>
      <c r="AM193" s="21">
        <v>520510728</v>
      </c>
      <c r="AN193" s="21">
        <v>62041512</v>
      </c>
      <c r="AO193" s="37"/>
      <c r="AP193" s="38">
        <v>35.951999999999998</v>
      </c>
      <c r="AQ193" s="38">
        <v>41.110399999999998</v>
      </c>
      <c r="AR193" s="38">
        <v>41.839300000000001</v>
      </c>
      <c r="AS193" s="39"/>
      <c r="AT193" s="38">
        <v>28.130800000000001</v>
      </c>
      <c r="AU193" s="38">
        <v>28.130800000000001</v>
      </c>
      <c r="AV193" s="38">
        <v>28.130800000000001</v>
      </c>
      <c r="AW193" s="39"/>
      <c r="AX193" s="49">
        <v>102.625</v>
      </c>
      <c r="AY193" s="49">
        <v>89.796000000000006</v>
      </c>
      <c r="BA193" s="53">
        <f t="shared" si="59"/>
        <v>-1.4718986367567855E-4</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95952</v>
      </c>
      <c r="BZ193">
        <f t="shared" si="62"/>
        <v>0</v>
      </c>
      <c r="CA193">
        <f t="shared" si="63"/>
        <v>95952</v>
      </c>
      <c r="CB193">
        <f t="shared" si="64"/>
        <v>0</v>
      </c>
      <c r="CC193">
        <f t="shared" si="65"/>
        <v>0.1331999999999951</v>
      </c>
      <c r="CD193">
        <f t="shared" si="66"/>
        <v>0.21640000000000015</v>
      </c>
      <c r="CE193">
        <f t="shared" si="67"/>
        <v>0.17869999999999919</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11.733196730559825</v>
      </c>
      <c r="K194" s="33">
        <f t="shared" si="51"/>
        <v>11.060105942794358</v>
      </c>
      <c r="L194" s="33">
        <f t="shared" si="52"/>
        <v>0.67298250507915069</v>
      </c>
      <c r="M194" s="34"/>
      <c r="N194" s="33">
        <f t="shared" si="53"/>
        <v>11.733196730559825</v>
      </c>
      <c r="O194" s="35">
        <v>47062002</v>
      </c>
      <c r="P194" s="36">
        <v>552187728</v>
      </c>
      <c r="Q194" s="36">
        <v>520510728</v>
      </c>
      <c r="R194" s="36">
        <v>31671904</v>
      </c>
      <c r="S194" s="46"/>
      <c r="T194" s="47">
        <v>29.637</v>
      </c>
      <c r="U194" s="47">
        <v>35.682000000000002</v>
      </c>
      <c r="V194" s="47">
        <v>37.013800000000003</v>
      </c>
      <c r="W194" s="48"/>
      <c r="X194" s="47">
        <v>21.686399999999999</v>
      </c>
      <c r="Y194" s="47">
        <v>21.686399999999999</v>
      </c>
      <c r="Z194" s="47">
        <v>21.686399999999999</v>
      </c>
      <c r="AA194" s="48"/>
      <c r="AB194" s="52">
        <v>101.875</v>
      </c>
      <c r="AC194" s="52">
        <v>89</v>
      </c>
      <c r="AE194" s="32" t="str">
        <f t="shared" si="54"/>
        <v>·</v>
      </c>
      <c r="AF194" s="33">
        <f t="shared" si="55"/>
        <v>11.738959681315725</v>
      </c>
      <c r="AG194" s="33">
        <f t="shared" si="56"/>
        <v>11.060105942794358</v>
      </c>
      <c r="AH194" s="33">
        <f t="shared" si="57"/>
        <v>0.67874545583504931</v>
      </c>
      <c r="AI194" s="34"/>
      <c r="AJ194" s="33">
        <f t="shared" si="58"/>
        <v>11.738959681315725</v>
      </c>
      <c r="AK194" s="35">
        <v>47062002</v>
      </c>
      <c r="AL194" s="36">
        <v>552458944</v>
      </c>
      <c r="AM194" s="36">
        <v>520510728</v>
      </c>
      <c r="AN194" s="36">
        <v>31943120</v>
      </c>
      <c r="AO194" s="46"/>
      <c r="AP194" s="47">
        <v>29.915199999999999</v>
      </c>
      <c r="AQ194" s="47">
        <v>35.957999999999998</v>
      </c>
      <c r="AR194" s="47">
        <v>37.336199999999998</v>
      </c>
      <c r="AS194" s="48"/>
      <c r="AT194" s="47">
        <v>21.686399999999999</v>
      </c>
      <c r="AU194" s="47">
        <v>21.686399999999999</v>
      </c>
      <c r="AV194" s="47">
        <v>21.686399999999999</v>
      </c>
      <c r="AW194" s="48"/>
      <c r="AX194" s="52">
        <v>101.718</v>
      </c>
      <c r="AY194" s="52">
        <v>89.171000000000006</v>
      </c>
      <c r="BA194" s="59">
        <f t="shared" si="59"/>
        <v>-4.6276257824928724E-4</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271216</v>
      </c>
      <c r="BZ194">
        <f t="shared" si="62"/>
        <v>0</v>
      </c>
      <c r="CA194">
        <f t="shared" si="63"/>
        <v>271216</v>
      </c>
      <c r="CB194">
        <f t="shared" si="64"/>
        <v>0</v>
      </c>
      <c r="CC194">
        <f t="shared" si="65"/>
        <v>0.27819999999999823</v>
      </c>
      <c r="CD194">
        <f t="shared" si="66"/>
        <v>0.27599999999999625</v>
      </c>
      <c r="CE194">
        <f t="shared" si="67"/>
        <v>0.32239999999999469</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16.903571963276203</v>
      </c>
      <c r="K195" s="18">
        <f t="shared" si="51"/>
        <v>11.370199722417343</v>
      </c>
      <c r="L195" s="18">
        <f t="shared" si="52"/>
        <v>5.5332637882208964</v>
      </c>
      <c r="M195" s="19"/>
      <c r="N195" s="18">
        <f t="shared" si="53"/>
        <v>16.903571963276203</v>
      </c>
      <c r="O195" s="20">
        <v>47062018</v>
      </c>
      <c r="P195" s="21">
        <v>795516208</v>
      </c>
      <c r="Q195" s="21">
        <v>535104544</v>
      </c>
      <c r="R195" s="21">
        <v>260406560</v>
      </c>
      <c r="S195" s="37"/>
      <c r="T195" s="38">
        <v>52.905900000000003</v>
      </c>
      <c r="U195" s="38">
        <v>55.913899999999998</v>
      </c>
      <c r="V195" s="38">
        <v>55.824599999999997</v>
      </c>
      <c r="W195" s="39"/>
      <c r="X195" s="38">
        <v>48.130800000000001</v>
      </c>
      <c r="Y195" s="38">
        <v>48.130800000000001</v>
      </c>
      <c r="Z195" s="38">
        <v>48.130800000000001</v>
      </c>
      <c r="AA195" s="39"/>
      <c r="AB195" s="49">
        <v>140.42099999999999</v>
      </c>
      <c r="AC195" s="49">
        <v>123.265</v>
      </c>
      <c r="AE195" s="17" t="str">
        <f t="shared" si="54"/>
        <v>·</v>
      </c>
      <c r="AF195" s="18">
        <f t="shared" si="55"/>
        <v>16.920702040443739</v>
      </c>
      <c r="AG195" s="18">
        <f t="shared" si="56"/>
        <v>11.370199722417343</v>
      </c>
      <c r="AH195" s="18">
        <f t="shared" si="57"/>
        <v>5.5503938653884326</v>
      </c>
      <c r="AI195" s="19"/>
      <c r="AJ195" s="18">
        <f t="shared" si="58"/>
        <v>16.920702040443739</v>
      </c>
      <c r="AK195" s="20">
        <v>47062018</v>
      </c>
      <c r="AL195" s="21">
        <v>796322384</v>
      </c>
      <c r="AM195" s="21">
        <v>535104544</v>
      </c>
      <c r="AN195" s="21">
        <v>261212736</v>
      </c>
      <c r="AO195" s="37"/>
      <c r="AP195" s="38">
        <v>52.951099999999997</v>
      </c>
      <c r="AQ195" s="38">
        <v>55.975000000000001</v>
      </c>
      <c r="AR195" s="38">
        <v>55.881399999999999</v>
      </c>
      <c r="AS195" s="39"/>
      <c r="AT195" s="38">
        <v>48.130800000000001</v>
      </c>
      <c r="AU195" s="38">
        <v>48.130800000000001</v>
      </c>
      <c r="AV195" s="38">
        <v>48.130800000000001</v>
      </c>
      <c r="AW195" s="39"/>
      <c r="AX195" s="49">
        <v>140.59299999999999</v>
      </c>
      <c r="AY195" s="49">
        <v>124.062</v>
      </c>
      <c r="BA195" s="53">
        <f t="shared" si="59"/>
        <v>-6.8097402707489874E-4</v>
      </c>
      <c r="BB195" s="53">
        <f t="array" ref="BB195">AVERAGE(AM195:AM199/AL195:AL199)-AVERAGE(Q195:Q199/P195:P199)</f>
        <v>-3.9901173803036372E-4</v>
      </c>
      <c r="BD195" s="54">
        <f>IF(OR(ISBLANK(R195:R199),ISBLANK(AN195:AN199),ISBLANK(T195:T199),ISBLANK(AP195:AP199)),"·",bdRateExtend(R195:R199,T195:T199,AN195:AN199,AP195:AP199))</f>
        <v>-6.6999383286587832E-3</v>
      </c>
      <c r="BE195" s="54">
        <f>IF(OR(ISBLANK(R195:R199),ISBLANK(AN195:AN199),ISBLANK(U195:U199),ISBLANK(AQ195:AQ199)),"·",bdRateExtend(R195:R199,U195:U199,AN195:AN199,AQ195:AQ199))</f>
        <v>-1.071096389067494E-2</v>
      </c>
      <c r="BF195" s="54">
        <f>IF(OR(ISBLANK(R195:R199),ISBLANK(AN195:AN199),ISBLANK(V195:V199),ISBLANK(AR195:AR199)),"·",bdRateExtend(R195:R199,V195:V199,AN195:AN199,AR195:AR199))</f>
        <v>-1.3326026927423351E-2</v>
      </c>
      <c r="BG195" s="61"/>
      <c r="BI195" s="54">
        <f>IF(OR(ISBLANK(R195:R199),ISBLANK(AN195:AN199),ISBLANK(X195:X199),ISBLANK(AT195:AT199)),"·",bdRateExtend(R195:R199,X195:X199,AN195:AN199,AT195:AT199))</f>
        <v>2.6816182204274508E-3</v>
      </c>
      <c r="BJ195" s="54">
        <f>IF(OR(ISBLANK(R195:R199),ISBLANK(AN195:AN199),ISBLANK(Y195:Y199),ISBLANK(AU195:AU199)),"·",bdRateExtend(R195:R199,Y195:Y199,AN195:AN199,AU195:AU199))</f>
        <v>2.6816182204274508E-3</v>
      </c>
      <c r="BK195" s="54">
        <f>IF(OR(ISBLANK(R195:R199),ISBLANK(AN195:AN199),ISBLANK(Z195:Z199),ISBLANK(AV195:AV199)),"·",bdRateExtend(R195:R199,Z195:Z199,AN195:AN199,AV195:AV199))</f>
        <v>2.6816182204274508E-3</v>
      </c>
      <c r="BL195" s="61"/>
      <c r="BN195" s="54">
        <f>IF(OR(ISBLANK(P195:P199),ISBLANK(AL195:AL199),ISBLANK(T195:T199),ISBLANK(AP195:AP199)),"·",bdRateExtend(P195:P199,T195:T199,AL195:AL199,AP195:AP199))</f>
        <v>-6.8974732291382512E-4</v>
      </c>
      <c r="BO195" s="54">
        <f>IF(OR(ISBLANK(P195:P199),ISBLANK(AL195:AL199),ISBLANK(U195:U199),ISBLANK(AQ195:AQ199)),"·",bdRateExtend(P195:P199,U195:U199,AL195:AL199,AQ195:AQ199))</f>
        <v>-1.1655221777489011E-3</v>
      </c>
      <c r="BP195" s="54">
        <f>IF(OR(ISBLANK(P195:P199),ISBLANK(AL195:AL199),ISBLANK(V195:V199),ISBLANK(AR195:AR199)),"·",bdRateExtend(P195:P199,V195:V199,AL195:AL199,AR195:AR199))</f>
        <v>-1.4264490068672808E-3</v>
      </c>
      <c r="BQ195" s="61"/>
      <c r="BS195" s="54">
        <f>IF(OR(ISBLANK(P195:P199),ISBLANK(AL195:AL199),ISBLANK(X195:X199),ISBLANK(AT195:AT199)),"·",bdRateExtend(P195:P199,X195:X199,AL195:AL199,AT195:AT199))</f>
        <v>4.2374396234956535E-4</v>
      </c>
      <c r="BT195" s="54">
        <f>IF(OR(ISBLANK(P195:P199),ISBLANK(AL195:AL199),ISBLANK(Y195:Y199),ISBLANK(AU195:AU199)),"·",bdRateExtend(P195:P199,Y195:Y199,AL195:AL199,AU195:AU199))</f>
        <v>4.2374396234956535E-4</v>
      </c>
      <c r="BU195" s="54">
        <f>IF(OR(ISBLANK(P195:P199),ISBLANK(AL195:AL199),ISBLANK(Z195:Z199),ISBLANK(AV195:AV199)),"·",bdRateExtend(P195:P199,Z195:Z199,AL195:AL199,AV195:AV199))</f>
        <v>4.2374396234956535E-4</v>
      </c>
      <c r="BV195" s="61"/>
      <c r="BX195">
        <f t="shared" si="60"/>
        <v>0</v>
      </c>
      <c r="BY195">
        <f t="shared" si="61"/>
        <v>806176</v>
      </c>
      <c r="BZ195">
        <f t="shared" si="62"/>
        <v>0</v>
      </c>
      <c r="CA195">
        <f t="shared" si="63"/>
        <v>806176</v>
      </c>
      <c r="CB195">
        <f t="shared" si="64"/>
        <v>0</v>
      </c>
      <c r="CC195">
        <f t="shared" si="65"/>
        <v>4.5199999999994134E-2</v>
      </c>
      <c r="CD195">
        <f t="shared" si="66"/>
        <v>6.1100000000003263E-2</v>
      </c>
      <c r="CE195">
        <f t="shared" si="67"/>
        <v>5.6800000000002626E-2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15.238678630397873</v>
      </c>
      <c r="K196" s="23">
        <f t="shared" si="51"/>
        <v>11.370199722417343</v>
      </c>
      <c r="L196" s="23">
        <f t="shared" si="52"/>
        <v>3.8683704553425651</v>
      </c>
      <c r="M196" s="24"/>
      <c r="N196" s="23">
        <f t="shared" si="53"/>
        <v>15.238678630397873</v>
      </c>
      <c r="O196" s="25">
        <v>47062018</v>
      </c>
      <c r="P196" s="26">
        <v>717162968</v>
      </c>
      <c r="Q196" s="26">
        <v>535104544</v>
      </c>
      <c r="R196" s="26">
        <v>182053320</v>
      </c>
      <c r="S196" s="40"/>
      <c r="T196" s="41">
        <v>48.381399999999999</v>
      </c>
      <c r="U196" s="41">
        <v>51.374000000000002</v>
      </c>
      <c r="V196" s="41">
        <v>51.387300000000003</v>
      </c>
      <c r="W196" s="42"/>
      <c r="X196" s="41">
        <v>42.110199999999999</v>
      </c>
      <c r="Y196" s="41">
        <v>42.110199999999999</v>
      </c>
      <c r="Z196" s="41">
        <v>42.110199999999999</v>
      </c>
      <c r="AA196" s="42"/>
      <c r="AB196" s="50">
        <v>142.38999999999999</v>
      </c>
      <c r="AC196" s="50">
        <v>123.062</v>
      </c>
      <c r="AE196" s="22" t="str">
        <f t="shared" si="54"/>
        <v>·</v>
      </c>
      <c r="AF196" s="23">
        <f t="shared" si="55"/>
        <v>15.24614503355976</v>
      </c>
      <c r="AG196" s="23">
        <f t="shared" si="56"/>
        <v>11.370199722417343</v>
      </c>
      <c r="AH196" s="23">
        <f t="shared" si="57"/>
        <v>3.8758368585044525</v>
      </c>
      <c r="AI196" s="24"/>
      <c r="AJ196" s="23">
        <f t="shared" si="58"/>
        <v>15.24614503355976</v>
      </c>
      <c r="AK196" s="25">
        <v>47062018</v>
      </c>
      <c r="AL196" s="26">
        <v>717514352</v>
      </c>
      <c r="AM196" s="26">
        <v>535104544</v>
      </c>
      <c r="AN196" s="26">
        <v>182404704</v>
      </c>
      <c r="AO196" s="40"/>
      <c r="AP196" s="41">
        <v>48.416499999999999</v>
      </c>
      <c r="AQ196" s="41">
        <v>51.4161</v>
      </c>
      <c r="AR196" s="41">
        <v>51.433999999999997</v>
      </c>
      <c r="AS196" s="42"/>
      <c r="AT196" s="41">
        <v>42.110199999999999</v>
      </c>
      <c r="AU196" s="41">
        <v>42.110199999999999</v>
      </c>
      <c r="AV196" s="41">
        <v>42.110199999999999</v>
      </c>
      <c r="AW196" s="42"/>
      <c r="AX196" s="50">
        <v>139.73400000000001</v>
      </c>
      <c r="AY196" s="50">
        <v>123.60899999999999</v>
      </c>
      <c r="BA196" s="55">
        <f t="shared" si="59"/>
        <v>-3.6540305412213758E-4</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351384</v>
      </c>
      <c r="BZ196">
        <f t="shared" si="62"/>
        <v>0</v>
      </c>
      <c r="CA196">
        <f t="shared" si="63"/>
        <v>351384</v>
      </c>
      <c r="CB196">
        <f t="shared" si="64"/>
        <v>0</v>
      </c>
      <c r="CC196">
        <f t="shared" si="65"/>
        <v>3.5099999999999909E-2</v>
      </c>
      <c r="CD196">
        <f t="shared" si="66"/>
        <v>4.2099999999997806E-2</v>
      </c>
      <c r="CE196">
        <f t="shared" si="67"/>
        <v>4.6699999999994191E-2</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13.568471288247775</v>
      </c>
      <c r="K197" s="18">
        <f t="shared" ref="K197:K260" si="75">IF(Q197="","·",Q197/D197)</f>
        <v>11.370199722417343</v>
      </c>
      <c r="L197" s="18">
        <f t="shared" ref="L197:L249" si="76">IF(ISBLANK(R197),"·",R197/D197)</f>
        <v>2.1981631131924688</v>
      </c>
      <c r="M197" s="19"/>
      <c r="N197" s="18">
        <f t="shared" ref="N197:N260" si="77">IF(ISBLANK(P197),"·",P197/O197)</f>
        <v>13.568471288247775</v>
      </c>
      <c r="O197" s="20">
        <v>47062018</v>
      </c>
      <c r="P197" s="21">
        <v>638559640</v>
      </c>
      <c r="Q197" s="21">
        <v>535104544</v>
      </c>
      <c r="R197" s="21">
        <v>103449992</v>
      </c>
      <c r="S197" s="37"/>
      <c r="T197" s="38">
        <v>41.458100000000002</v>
      </c>
      <c r="U197" s="38">
        <v>45.739699999999999</v>
      </c>
      <c r="V197" s="38">
        <v>46.178400000000003</v>
      </c>
      <c r="W197" s="39"/>
      <c r="X197" s="38">
        <v>34.151400000000002</v>
      </c>
      <c r="Y197" s="38">
        <v>34.151400000000002</v>
      </c>
      <c r="Z197" s="38">
        <v>34.151400000000002</v>
      </c>
      <c r="AA197" s="39"/>
      <c r="AB197" s="49">
        <v>138.34299999999999</v>
      </c>
      <c r="AC197" s="49">
        <v>121.98399999999999</v>
      </c>
      <c r="AE197" s="17" t="str">
        <f t="shared" ref="AE197:AE260" si="78">IF(OR(ISBLANK(AL197),ISBLANK(G197)),"·",AL197*G197/F197/1000000)</f>
        <v>·</v>
      </c>
      <c r="AF197" s="18">
        <f t="shared" ref="AF197:AF260" si="79">IF(ISBLANK(AL197),"·",AL197/D197)</f>
        <v>13.574241546548217</v>
      </c>
      <c r="AG197" s="18">
        <f t="shared" ref="AG197:AG260" si="80">IF(AM197="","·",AM197/D197)</f>
        <v>11.370199722417343</v>
      </c>
      <c r="AH197" s="18">
        <f t="shared" ref="AH197:AH249" si="81">IF(ISBLANK(AN197),"·",AN197/D197)</f>
        <v>2.2039333714929095</v>
      </c>
      <c r="AI197" s="19"/>
      <c r="AJ197" s="18">
        <f t="shared" ref="AJ197:AJ260" si="82">IF(ISBLANK(AL197),"·",AL197/AK197)</f>
        <v>13.574241546548217</v>
      </c>
      <c r="AK197" s="20">
        <v>47062018</v>
      </c>
      <c r="AL197" s="21">
        <v>638831200</v>
      </c>
      <c r="AM197" s="21">
        <v>535104544</v>
      </c>
      <c r="AN197" s="21">
        <v>103721552</v>
      </c>
      <c r="AO197" s="37"/>
      <c r="AP197" s="38">
        <v>41.526899999999998</v>
      </c>
      <c r="AQ197" s="38">
        <v>45.826700000000002</v>
      </c>
      <c r="AR197" s="38">
        <v>46.264699999999998</v>
      </c>
      <c r="AS197" s="39"/>
      <c r="AT197" s="38">
        <v>34.151400000000002</v>
      </c>
      <c r="AU197" s="38">
        <v>34.151400000000002</v>
      </c>
      <c r="AV197" s="38">
        <v>34.151400000000002</v>
      </c>
      <c r="AW197" s="39"/>
      <c r="AX197" s="49">
        <v>138.78100000000001</v>
      </c>
      <c r="AY197" s="49">
        <v>122.593</v>
      </c>
      <c r="BA197" s="53">
        <f t="shared" ref="BA197:BA260" si="83">(AM197/AL197)-(Q197/P197)</f>
        <v>-3.5621881514269482E-4</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271560</v>
      </c>
      <c r="BZ197">
        <f t="shared" si="62"/>
        <v>0</v>
      </c>
      <c r="CA197">
        <f t="shared" si="63"/>
        <v>271560</v>
      </c>
      <c r="CB197">
        <f t="shared" si="64"/>
        <v>0</v>
      </c>
      <c r="CC197">
        <f t="shared" si="65"/>
        <v>6.8799999999995975E-2</v>
      </c>
      <c r="CD197">
        <f t="shared" si="66"/>
        <v>8.7000000000003297E-2</v>
      </c>
      <c r="CE197">
        <f t="shared" si="67"/>
        <v>8.629999999999427E-2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12.686249365677435</v>
      </c>
      <c r="K198" s="23">
        <f t="shared" si="75"/>
        <v>11.370199722417343</v>
      </c>
      <c r="L198" s="23">
        <f t="shared" si="76"/>
        <v>1.3159411906221277</v>
      </c>
      <c r="M198" s="24"/>
      <c r="N198" s="23">
        <f t="shared" si="77"/>
        <v>12.686249365677435</v>
      </c>
      <c r="O198" s="25">
        <v>47062018</v>
      </c>
      <c r="P198" s="26">
        <v>597040496</v>
      </c>
      <c r="Q198" s="26">
        <v>535104544</v>
      </c>
      <c r="R198" s="26">
        <v>61930848</v>
      </c>
      <c r="S198" s="40"/>
      <c r="T198" s="41">
        <v>35.815100000000001</v>
      </c>
      <c r="U198" s="41">
        <v>40.9163</v>
      </c>
      <c r="V198" s="41">
        <v>41.663699999999999</v>
      </c>
      <c r="W198" s="42"/>
      <c r="X198" s="41">
        <v>28.130800000000001</v>
      </c>
      <c r="Y198" s="41">
        <v>28.130800000000001</v>
      </c>
      <c r="Z198" s="41">
        <v>28.130800000000001</v>
      </c>
      <c r="AA198" s="42"/>
      <c r="AB198" s="50">
        <v>138.375</v>
      </c>
      <c r="AC198" s="50">
        <v>121.453</v>
      </c>
      <c r="AE198" s="22" t="str">
        <f t="shared" si="78"/>
        <v>·</v>
      </c>
      <c r="AF198" s="23">
        <f t="shared" si="79"/>
        <v>12.688135897614931</v>
      </c>
      <c r="AG198" s="23">
        <f t="shared" si="80"/>
        <v>11.370199722417343</v>
      </c>
      <c r="AH198" s="23">
        <f t="shared" si="81"/>
        <v>1.3178277225596233</v>
      </c>
      <c r="AI198" s="24"/>
      <c r="AJ198" s="23">
        <f t="shared" si="82"/>
        <v>12.688135897614931</v>
      </c>
      <c r="AK198" s="25">
        <v>47062018</v>
      </c>
      <c r="AL198" s="26">
        <v>597129280</v>
      </c>
      <c r="AM198" s="26">
        <v>535104544</v>
      </c>
      <c r="AN198" s="26">
        <v>62019632</v>
      </c>
      <c r="AO198" s="40"/>
      <c r="AP198" s="41">
        <v>35.947000000000003</v>
      </c>
      <c r="AQ198" s="41">
        <v>41.089300000000001</v>
      </c>
      <c r="AR198" s="41">
        <v>41.857300000000002</v>
      </c>
      <c r="AS198" s="42"/>
      <c r="AT198" s="41">
        <v>28.130800000000001</v>
      </c>
      <c r="AU198" s="41">
        <v>28.130800000000001</v>
      </c>
      <c r="AV198" s="41">
        <v>28.130800000000001</v>
      </c>
      <c r="AW198" s="42"/>
      <c r="AX198" s="50">
        <v>137.96799999999999</v>
      </c>
      <c r="AY198" s="50">
        <v>122.265</v>
      </c>
      <c r="BA198" s="55">
        <f t="shared" si="83"/>
        <v>-1.3326042371841762E-4</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88784</v>
      </c>
      <c r="BZ198">
        <f t="shared" ref="BZ198:BZ261" si="86">AM198-Q198</f>
        <v>0</v>
      </c>
      <c r="CA198">
        <f t="shared" ref="CA198:CA261" si="87">AN198-R198</f>
        <v>88784</v>
      </c>
      <c r="CB198">
        <f t="shared" ref="CB198:CB261" si="88">AO198-S198</f>
        <v>0</v>
      </c>
      <c r="CC198">
        <f t="shared" ref="CC198:CC261" si="89">AP198-T198</f>
        <v>0.13190000000000168</v>
      </c>
      <c r="CD198">
        <f t="shared" ref="CD198:CD261" si="90">AQ198-U198</f>
        <v>0.17300000000000182</v>
      </c>
      <c r="CE198">
        <f t="shared" ref="CE198:CE261" si="91">AR198-V198</f>
        <v>0.19360000000000355</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12.043097514432976</v>
      </c>
      <c r="K199" s="28">
        <f t="shared" si="75"/>
        <v>11.370199722417343</v>
      </c>
      <c r="L199" s="28">
        <f t="shared" si="76"/>
        <v>0.67278933937766972</v>
      </c>
      <c r="M199" s="29"/>
      <c r="N199" s="28">
        <f t="shared" si="77"/>
        <v>12.043097514432976</v>
      </c>
      <c r="O199" s="30">
        <v>47062018</v>
      </c>
      <c r="P199" s="31">
        <v>566772472</v>
      </c>
      <c r="Q199" s="31">
        <v>535104544</v>
      </c>
      <c r="R199" s="31">
        <v>31662824</v>
      </c>
      <c r="S199" s="43"/>
      <c r="T199" s="44">
        <v>29.6374</v>
      </c>
      <c r="U199" s="44">
        <v>35.563699999999997</v>
      </c>
      <c r="V199" s="44">
        <v>37.030900000000003</v>
      </c>
      <c r="W199" s="45"/>
      <c r="X199" s="44">
        <v>21.686399999999999</v>
      </c>
      <c r="Y199" s="44">
        <v>21.686399999999999</v>
      </c>
      <c r="Z199" s="44">
        <v>21.686399999999999</v>
      </c>
      <c r="AA199" s="45"/>
      <c r="AB199" s="51">
        <v>137.60900000000001</v>
      </c>
      <c r="AC199" s="51">
        <v>120.92100000000001</v>
      </c>
      <c r="AE199" s="27" t="str">
        <f t="shared" si="78"/>
        <v>·</v>
      </c>
      <c r="AF199" s="28">
        <f t="shared" si="79"/>
        <v>12.04895786661762</v>
      </c>
      <c r="AG199" s="28">
        <f t="shared" si="80"/>
        <v>11.370199722417343</v>
      </c>
      <c r="AH199" s="28">
        <f t="shared" si="81"/>
        <v>0.67864969156231247</v>
      </c>
      <c r="AI199" s="29"/>
      <c r="AJ199" s="28">
        <f t="shared" si="82"/>
        <v>12.04895786661762</v>
      </c>
      <c r="AK199" s="30">
        <v>47062018</v>
      </c>
      <c r="AL199" s="31">
        <v>567048272</v>
      </c>
      <c r="AM199" s="31">
        <v>535104544</v>
      </c>
      <c r="AN199" s="31">
        <v>31938624</v>
      </c>
      <c r="AO199" s="43"/>
      <c r="AP199" s="44">
        <v>29.8993</v>
      </c>
      <c r="AQ199" s="44">
        <v>35.872799999999998</v>
      </c>
      <c r="AR199" s="44">
        <v>37.392600000000002</v>
      </c>
      <c r="AS199" s="45"/>
      <c r="AT199" s="44">
        <v>21.686399999999999</v>
      </c>
      <c r="AU199" s="44">
        <v>21.686399999999999</v>
      </c>
      <c r="AV199" s="44">
        <v>21.686399999999999</v>
      </c>
      <c r="AW199" s="45"/>
      <c r="AX199" s="51">
        <v>137.18700000000001</v>
      </c>
      <c r="AY199" s="51">
        <v>121.98399999999999</v>
      </c>
      <c r="BA199" s="57">
        <f t="shared" si="83"/>
        <v>-4.592023700935588E-4</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275800</v>
      </c>
      <c r="BZ199">
        <f t="shared" si="86"/>
        <v>0</v>
      </c>
      <c r="CA199">
        <f t="shared" si="87"/>
        <v>275800</v>
      </c>
      <c r="CB199">
        <f t="shared" si="88"/>
        <v>0</v>
      </c>
      <c r="CC199">
        <f t="shared" si="89"/>
        <v>0.26190000000000069</v>
      </c>
      <c r="CD199">
        <f t="shared" si="90"/>
        <v>0.30910000000000082</v>
      </c>
      <c r="CE199">
        <f t="shared" si="91"/>
        <v>0.36169999999999902</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17.28473950812554</v>
      </c>
      <c r="K200" s="23">
        <f t="shared" si="75"/>
        <v>11.385743572624051</v>
      </c>
      <c r="L200" s="23">
        <f t="shared" si="76"/>
        <v>5.8988914174554905</v>
      </c>
      <c r="M200" s="24"/>
      <c r="N200" s="23">
        <f t="shared" si="77"/>
        <v>17.28473950812554</v>
      </c>
      <c r="O200" s="25">
        <v>43399204</v>
      </c>
      <c r="P200" s="26">
        <v>750143936</v>
      </c>
      <c r="Q200" s="26">
        <v>494132208</v>
      </c>
      <c r="R200" s="26">
        <v>256007192</v>
      </c>
      <c r="S200" s="40"/>
      <c r="T200" s="41">
        <v>52.941299999999998</v>
      </c>
      <c r="U200" s="41">
        <v>55.857799999999997</v>
      </c>
      <c r="V200" s="41">
        <v>55.74</v>
      </c>
      <c r="W200" s="42"/>
      <c r="X200" s="41">
        <v>48.130800000000001</v>
      </c>
      <c r="Y200" s="41">
        <v>48.130800000000001</v>
      </c>
      <c r="Z200" s="41">
        <v>48.130800000000001</v>
      </c>
      <c r="AA200" s="42"/>
      <c r="AB200" s="50">
        <v>100.078</v>
      </c>
      <c r="AC200" s="50">
        <v>87.906000000000006</v>
      </c>
      <c r="AE200" s="22" t="str">
        <f t="shared" si="78"/>
        <v>·</v>
      </c>
      <c r="AF200" s="23">
        <f t="shared" si="79"/>
        <v>17.304987437096774</v>
      </c>
      <c r="AG200" s="23">
        <f t="shared" si="80"/>
        <v>11.385743572624051</v>
      </c>
      <c r="AH200" s="23">
        <f t="shared" si="81"/>
        <v>5.9191393464267223</v>
      </c>
      <c r="AI200" s="24"/>
      <c r="AJ200" s="23">
        <f t="shared" si="82"/>
        <v>17.304987437096774</v>
      </c>
      <c r="AK200" s="25">
        <v>43399204</v>
      </c>
      <c r="AL200" s="26">
        <v>751022680</v>
      </c>
      <c r="AM200" s="26">
        <v>494132208</v>
      </c>
      <c r="AN200" s="26">
        <v>256885936</v>
      </c>
      <c r="AO200" s="40"/>
      <c r="AP200" s="41">
        <v>52.994500000000002</v>
      </c>
      <c r="AQ200" s="41">
        <v>55.927100000000003</v>
      </c>
      <c r="AR200" s="41">
        <v>55.807499999999997</v>
      </c>
      <c r="AS200" s="42"/>
      <c r="AT200" s="41">
        <v>48.130800000000001</v>
      </c>
      <c r="AU200" s="41">
        <v>48.130800000000001</v>
      </c>
      <c r="AV200" s="41">
        <v>48.130800000000001</v>
      </c>
      <c r="AW200" s="42"/>
      <c r="AX200" s="50">
        <v>100.17100000000001</v>
      </c>
      <c r="AY200" s="50">
        <v>88.14</v>
      </c>
      <c r="BA200" s="55">
        <f t="shared" si="83"/>
        <v>-7.7073996684551282E-4</v>
      </c>
      <c r="BB200" s="55">
        <f t="array" ref="BB200">AVERAGE(AM200:AM204/AL200:AL204)-AVERAGE(Q200:Q204/P200:P204)</f>
        <v>-4.5024314394193077E-4</v>
      </c>
      <c r="BD200" s="56">
        <f>IF(OR(ISBLANK(R200:R204),ISBLANK(AN200:AN204),ISBLANK(T200:T204),ISBLANK(AP200:AP204)),"·",bdRateExtend(R200:R204,T200:T204,AN200:AN204,AP200:AP204))</f>
        <v>-8.0085170987370669E-3</v>
      </c>
      <c r="BE200" s="56">
        <f>IF(OR(ISBLANK(R200:R204),ISBLANK(AN200:AN204),ISBLANK(U200:U204),ISBLANK(AQ200:AQ204)),"·",bdRateExtend(R200:R204,U200:U204,AN200:AN204,AQ200:AQ204))</f>
        <v>-1.2843976352541642E-2</v>
      </c>
      <c r="BF200" s="56">
        <f>IF(OR(ISBLANK(R200:R204),ISBLANK(AN200:AN204),ISBLANK(V200:V204),ISBLANK(AR200:AR204)),"·",bdRateExtend(R200:R204,V200:V204,AN200:AN204,AR200:AR204))</f>
        <v>-1.5829242931970966E-2</v>
      </c>
      <c r="BG200" s="62"/>
      <c r="BI200" s="56">
        <f>IF(OR(ISBLANK(R200:R204),ISBLANK(AN200:AN204),ISBLANK(X200:X204),ISBLANK(AT200:AT204)),"·",bdRateExtend(R200:R204,X200:X204,AN200:AN204,AT200:AT204))</f>
        <v>2.8930401084574786E-3</v>
      </c>
      <c r="BJ200" s="56">
        <f>IF(OR(ISBLANK(R200:R204),ISBLANK(AN200:AN204),ISBLANK(Y200:Y204),ISBLANK(AU200:AU204)),"·",bdRateExtend(R200:R204,Y200:Y204,AN200:AN204,AU200:AU204))</f>
        <v>2.8930401084574786E-3</v>
      </c>
      <c r="BK200" s="56">
        <f>IF(OR(ISBLANK(R200:R204),ISBLANK(AN200:AN204),ISBLANK(Z200:Z204),ISBLANK(AV200:AV204)),"·",bdRateExtend(R200:R204,Z200:Z204,AN200:AN204,AV200:AV204))</f>
        <v>2.8930401084574786E-3</v>
      </c>
      <c r="BL200" s="62"/>
      <c r="BN200" s="56">
        <f>IF(OR(ISBLANK(P200:P204),ISBLANK(AL200:AL204),ISBLANK(T200:T204),ISBLANK(AP200:AP204)),"·",bdRateExtend(P200:P204,T200:T204,AL200:AL204,AP200:AP204))</f>
        <v>-8.716394502854552E-4</v>
      </c>
      <c r="BO200" s="56">
        <f>IF(OR(ISBLANK(P200:P204),ISBLANK(AL200:AL204),ISBLANK(U200:U204),ISBLANK(AQ200:AQ204)),"·",bdRateExtend(P200:P204,U200:U204,AL200:AL204,AQ200:AQ204))</f>
        <v>-1.5494070259521875E-3</v>
      </c>
      <c r="BP200" s="56">
        <f>IF(OR(ISBLANK(P200:P204),ISBLANK(AL200:AL204),ISBLANK(V200:V204),ISBLANK(AR200:AR204)),"·",bdRateExtend(P200:P204,V200:V204,AL200:AL204,AR200:AR204))</f>
        <v>-1.8581306878070469E-3</v>
      </c>
      <c r="BQ200" s="62"/>
      <c r="BS200" s="56">
        <f>IF(OR(ISBLANK(P200:P204),ISBLANK(AL200:AL204),ISBLANK(X200:X204),ISBLANK(AT200:AT204)),"·",bdRateExtend(P200:P204,X200:X204,AL200:AL204,AT200:AT204))</f>
        <v>4.7624473081686602E-4</v>
      </c>
      <c r="BT200" s="56">
        <f>IF(OR(ISBLANK(P200:P204),ISBLANK(AL200:AL204),ISBLANK(Y200:Y204),ISBLANK(AU200:AU204)),"·",bdRateExtend(P200:P204,Y200:Y204,AL200:AL204,AU200:AU204))</f>
        <v>4.7624473081686602E-4</v>
      </c>
      <c r="BU200" s="56">
        <f>IF(OR(ISBLANK(P200:P204),ISBLANK(AL200:AL204),ISBLANK(Z200:Z204),ISBLANK(AV200:AV204)),"·",bdRateExtend(P200:P204,Z200:Z204,AL200:AL204,AV200:AV204))</f>
        <v>4.7624473081686602E-4</v>
      </c>
      <c r="BV200" s="62"/>
      <c r="BX200">
        <f t="shared" si="84"/>
        <v>0</v>
      </c>
      <c r="BY200">
        <f t="shared" si="85"/>
        <v>878744</v>
      </c>
      <c r="BZ200">
        <f t="shared" si="86"/>
        <v>0</v>
      </c>
      <c r="CA200">
        <f t="shared" si="87"/>
        <v>878744</v>
      </c>
      <c r="CB200">
        <f t="shared" si="88"/>
        <v>0</v>
      </c>
      <c r="CC200">
        <f t="shared" si="89"/>
        <v>5.3200000000003911E-2</v>
      </c>
      <c r="CD200">
        <f t="shared" si="90"/>
        <v>6.9300000000005468E-2</v>
      </c>
      <c r="CE200">
        <f t="shared" si="91"/>
        <v>6.7499999999995453E-2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15.551075084234263</v>
      </c>
      <c r="K201" s="18">
        <f t="shared" si="75"/>
        <v>11.385743572624051</v>
      </c>
      <c r="L201" s="18">
        <f t="shared" si="76"/>
        <v>4.1652269935642137</v>
      </c>
      <c r="M201" s="19"/>
      <c r="N201" s="18">
        <f t="shared" si="77"/>
        <v>15.551075084234263</v>
      </c>
      <c r="O201" s="20">
        <v>43399204</v>
      </c>
      <c r="P201" s="21">
        <v>674904280</v>
      </c>
      <c r="Q201" s="21">
        <v>494132208</v>
      </c>
      <c r="R201" s="21">
        <v>180767536</v>
      </c>
      <c r="S201" s="37"/>
      <c r="T201" s="38">
        <v>48.380200000000002</v>
      </c>
      <c r="U201" s="38">
        <v>51.313200000000002</v>
      </c>
      <c r="V201" s="38">
        <v>51.279299999999999</v>
      </c>
      <c r="W201" s="39"/>
      <c r="X201" s="38">
        <v>42.110199999999999</v>
      </c>
      <c r="Y201" s="38">
        <v>42.110199999999999</v>
      </c>
      <c r="Z201" s="38">
        <v>42.110199999999999</v>
      </c>
      <c r="AA201" s="39"/>
      <c r="AB201" s="49">
        <v>99.515000000000001</v>
      </c>
      <c r="AC201" s="49">
        <v>87.015000000000001</v>
      </c>
      <c r="AE201" s="17" t="str">
        <f t="shared" si="78"/>
        <v>·</v>
      </c>
      <c r="AF201" s="18">
        <f t="shared" si="79"/>
        <v>15.559671002260778</v>
      </c>
      <c r="AG201" s="18">
        <f t="shared" si="80"/>
        <v>11.385743572624051</v>
      </c>
      <c r="AH201" s="18">
        <f t="shared" si="81"/>
        <v>4.1738229115907286</v>
      </c>
      <c r="AI201" s="19"/>
      <c r="AJ201" s="18">
        <f t="shared" si="82"/>
        <v>15.559671002260778</v>
      </c>
      <c r="AK201" s="20">
        <v>43399204</v>
      </c>
      <c r="AL201" s="21">
        <v>675277336</v>
      </c>
      <c r="AM201" s="21">
        <v>494132208</v>
      </c>
      <c r="AN201" s="21">
        <v>181140592</v>
      </c>
      <c r="AO201" s="37"/>
      <c r="AP201" s="38">
        <v>48.424399999999999</v>
      </c>
      <c r="AQ201" s="38">
        <v>51.3688</v>
      </c>
      <c r="AR201" s="38">
        <v>51.334000000000003</v>
      </c>
      <c r="AS201" s="39"/>
      <c r="AT201" s="38">
        <v>42.110199999999999</v>
      </c>
      <c r="AU201" s="38">
        <v>42.110199999999999</v>
      </c>
      <c r="AV201" s="38">
        <v>42.110199999999999</v>
      </c>
      <c r="AW201" s="39"/>
      <c r="AX201" s="49">
        <v>100.078</v>
      </c>
      <c r="AY201" s="49">
        <v>87.671000000000006</v>
      </c>
      <c r="BA201" s="53">
        <f t="shared" si="83"/>
        <v>-4.0447607282256826E-4</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373056</v>
      </c>
      <c r="BZ201">
        <f t="shared" si="86"/>
        <v>0</v>
      </c>
      <c r="CA201">
        <f t="shared" si="87"/>
        <v>373056</v>
      </c>
      <c r="CB201">
        <f t="shared" si="88"/>
        <v>0</v>
      </c>
      <c r="CC201">
        <f t="shared" si="89"/>
        <v>4.4199999999996464E-2</v>
      </c>
      <c r="CD201">
        <f t="shared" si="90"/>
        <v>5.5599999999998317E-2</v>
      </c>
      <c r="CE201">
        <f t="shared" si="91"/>
        <v>5.4700000000003968E-2</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13.773395843850039</v>
      </c>
      <c r="K202" s="23">
        <f t="shared" si="75"/>
        <v>11.385743572624051</v>
      </c>
      <c r="L202" s="23">
        <f t="shared" si="76"/>
        <v>2.3875477531799891</v>
      </c>
      <c r="M202" s="24"/>
      <c r="N202" s="23">
        <f t="shared" si="77"/>
        <v>13.773395843850039</v>
      </c>
      <c r="O202" s="25">
        <v>43399204</v>
      </c>
      <c r="P202" s="26">
        <v>597754416</v>
      </c>
      <c r="Q202" s="26">
        <v>494132208</v>
      </c>
      <c r="R202" s="26">
        <v>103617672</v>
      </c>
      <c r="S202" s="40"/>
      <c r="T202" s="41">
        <v>41.495800000000003</v>
      </c>
      <c r="U202" s="41">
        <v>45.637999999999998</v>
      </c>
      <c r="V202" s="41">
        <v>45.936199999999999</v>
      </c>
      <c r="W202" s="42"/>
      <c r="X202" s="41">
        <v>34.151400000000002</v>
      </c>
      <c r="Y202" s="41">
        <v>34.151400000000002</v>
      </c>
      <c r="Z202" s="41">
        <v>34.151400000000002</v>
      </c>
      <c r="AA202" s="42"/>
      <c r="AB202" s="50">
        <v>98.843000000000004</v>
      </c>
      <c r="AC202" s="50">
        <v>86.858999999999995</v>
      </c>
      <c r="AE202" s="22" t="str">
        <f t="shared" si="78"/>
        <v>·</v>
      </c>
      <c r="AF202" s="23">
        <f t="shared" si="79"/>
        <v>13.779223416171412</v>
      </c>
      <c r="AG202" s="23">
        <f t="shared" si="80"/>
        <v>11.385743572624051</v>
      </c>
      <c r="AH202" s="23">
        <f t="shared" si="81"/>
        <v>2.3933753255013617</v>
      </c>
      <c r="AI202" s="24"/>
      <c r="AJ202" s="23">
        <f t="shared" si="82"/>
        <v>13.779223416171412</v>
      </c>
      <c r="AK202" s="25">
        <v>43399204</v>
      </c>
      <c r="AL202" s="26">
        <v>598007328</v>
      </c>
      <c r="AM202" s="26">
        <v>494132208</v>
      </c>
      <c r="AN202" s="26">
        <v>103870584</v>
      </c>
      <c r="AO202" s="40"/>
      <c r="AP202" s="41">
        <v>41.569400000000002</v>
      </c>
      <c r="AQ202" s="41">
        <v>45.749400000000001</v>
      </c>
      <c r="AR202" s="41">
        <v>46.059399999999997</v>
      </c>
      <c r="AS202" s="42"/>
      <c r="AT202" s="41">
        <v>34.151400000000002</v>
      </c>
      <c r="AU202" s="41">
        <v>34.151400000000002</v>
      </c>
      <c r="AV202" s="41">
        <v>34.151400000000002</v>
      </c>
      <c r="AW202" s="42"/>
      <c r="AX202" s="50">
        <v>98.828000000000003</v>
      </c>
      <c r="AY202" s="50">
        <v>87.281000000000006</v>
      </c>
      <c r="BA202" s="55">
        <f t="shared" si="83"/>
        <v>-3.496095596550175E-4</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252912</v>
      </c>
      <c r="BZ202">
        <f t="shared" si="86"/>
        <v>0</v>
      </c>
      <c r="CA202">
        <f t="shared" si="87"/>
        <v>252912</v>
      </c>
      <c r="CB202">
        <f t="shared" si="88"/>
        <v>0</v>
      </c>
      <c r="CC202">
        <f t="shared" si="89"/>
        <v>7.3599999999999E-2</v>
      </c>
      <c r="CD202">
        <f t="shared" si="90"/>
        <v>0.11140000000000327</v>
      </c>
      <c r="CE202">
        <f t="shared" si="91"/>
        <v>0.12319999999999709</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12.803114084765241</v>
      </c>
      <c r="K203" s="18">
        <f t="shared" si="75"/>
        <v>11.385743572624051</v>
      </c>
      <c r="L203" s="18">
        <f t="shared" si="76"/>
        <v>1.4172659940951913</v>
      </c>
      <c r="M203" s="19"/>
      <c r="N203" s="18">
        <f t="shared" si="77"/>
        <v>12.803114084765241</v>
      </c>
      <c r="O203" s="20">
        <v>43399204</v>
      </c>
      <c r="P203" s="21">
        <v>555644960</v>
      </c>
      <c r="Q203" s="21">
        <v>494132208</v>
      </c>
      <c r="R203" s="21">
        <v>61508216</v>
      </c>
      <c r="S203" s="37"/>
      <c r="T203" s="38">
        <v>35.926000000000002</v>
      </c>
      <c r="U203" s="38">
        <v>40.804900000000004</v>
      </c>
      <c r="V203" s="38">
        <v>41.370899999999999</v>
      </c>
      <c r="W203" s="39"/>
      <c r="X203" s="38">
        <v>28.130800000000001</v>
      </c>
      <c r="Y203" s="38">
        <v>28.130800000000001</v>
      </c>
      <c r="Z203" s="38">
        <v>28.130800000000001</v>
      </c>
      <c r="AA203" s="39"/>
      <c r="AB203" s="49">
        <v>98.203000000000003</v>
      </c>
      <c r="AC203" s="49">
        <v>86.171000000000006</v>
      </c>
      <c r="AE203" s="17" t="str">
        <f t="shared" si="78"/>
        <v>·</v>
      </c>
      <c r="AF203" s="18">
        <f t="shared" si="79"/>
        <v>12.805588047190911</v>
      </c>
      <c r="AG203" s="18">
        <f t="shared" si="80"/>
        <v>11.385743572624051</v>
      </c>
      <c r="AH203" s="18">
        <f t="shared" si="81"/>
        <v>1.4197399565208615</v>
      </c>
      <c r="AI203" s="19"/>
      <c r="AJ203" s="18">
        <f t="shared" si="82"/>
        <v>12.805588047190911</v>
      </c>
      <c r="AK203" s="20">
        <v>43399204</v>
      </c>
      <c r="AL203" s="21">
        <v>555752328</v>
      </c>
      <c r="AM203" s="21">
        <v>494132208</v>
      </c>
      <c r="AN203" s="21">
        <v>61615584</v>
      </c>
      <c r="AO203" s="37"/>
      <c r="AP203" s="38">
        <v>36.060600000000001</v>
      </c>
      <c r="AQ203" s="38">
        <v>41</v>
      </c>
      <c r="AR203" s="38">
        <v>41.5867</v>
      </c>
      <c r="AS203" s="39"/>
      <c r="AT203" s="38">
        <v>28.130800000000001</v>
      </c>
      <c r="AU203" s="38">
        <v>28.130800000000001</v>
      </c>
      <c r="AV203" s="38">
        <v>28.130800000000001</v>
      </c>
      <c r="AW203" s="39"/>
      <c r="AX203" s="49">
        <v>97.968000000000004</v>
      </c>
      <c r="AY203" s="49">
        <v>86.593000000000004</v>
      </c>
      <c r="BA203" s="53">
        <f t="shared" si="83"/>
        <v>-1.7180640714919981E-4</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107368</v>
      </c>
      <c r="BZ203">
        <f t="shared" si="86"/>
        <v>0</v>
      </c>
      <c r="CA203">
        <f t="shared" si="87"/>
        <v>107368</v>
      </c>
      <c r="CB203">
        <f t="shared" si="88"/>
        <v>0</v>
      </c>
      <c r="CC203">
        <f t="shared" si="89"/>
        <v>0.13459999999999894</v>
      </c>
      <c r="CD203">
        <f t="shared" si="90"/>
        <v>0.1950999999999965</v>
      </c>
      <c r="CE203">
        <f t="shared" si="91"/>
        <v>0.21580000000000155</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12.11091687303758</v>
      </c>
      <c r="K204" s="33">
        <f t="shared" si="75"/>
        <v>11.385743572624051</v>
      </c>
      <c r="L204" s="33">
        <f t="shared" si="76"/>
        <v>0.72506878236752914</v>
      </c>
      <c r="M204" s="34"/>
      <c r="N204" s="33">
        <f t="shared" si="77"/>
        <v>12.11091687303758</v>
      </c>
      <c r="O204" s="35">
        <v>43399204</v>
      </c>
      <c r="P204" s="36">
        <v>525604152</v>
      </c>
      <c r="Q204" s="36">
        <v>494132208</v>
      </c>
      <c r="R204" s="36">
        <v>31467408</v>
      </c>
      <c r="S204" s="46"/>
      <c r="T204" s="47">
        <v>29.767299999999999</v>
      </c>
      <c r="U204" s="47">
        <v>35.5762</v>
      </c>
      <c r="V204" s="47">
        <v>36.506100000000004</v>
      </c>
      <c r="W204" s="48"/>
      <c r="X204" s="47">
        <v>21.686399999999999</v>
      </c>
      <c r="Y204" s="47">
        <v>21.686399999999999</v>
      </c>
      <c r="Z204" s="47">
        <v>21.686399999999999</v>
      </c>
      <c r="AA204" s="48"/>
      <c r="AB204" s="52">
        <v>97.343000000000004</v>
      </c>
      <c r="AC204" s="52">
        <v>86.14</v>
      </c>
      <c r="AE204" s="32" t="str">
        <f t="shared" si="78"/>
        <v>·</v>
      </c>
      <c r="AF204" s="33">
        <f t="shared" si="79"/>
        <v>12.118065391245425</v>
      </c>
      <c r="AG204" s="33">
        <f t="shared" si="80"/>
        <v>11.385743572624051</v>
      </c>
      <c r="AH204" s="33">
        <f t="shared" si="81"/>
        <v>0.7322173005753746</v>
      </c>
      <c r="AI204" s="34"/>
      <c r="AJ204" s="33">
        <f t="shared" si="82"/>
        <v>12.118065391245425</v>
      </c>
      <c r="AK204" s="35">
        <v>43399204</v>
      </c>
      <c r="AL204" s="36">
        <v>525914392</v>
      </c>
      <c r="AM204" s="36">
        <v>494132208</v>
      </c>
      <c r="AN204" s="36">
        <v>31777648</v>
      </c>
      <c r="AO204" s="46"/>
      <c r="AP204" s="47">
        <v>30.127600000000001</v>
      </c>
      <c r="AQ204" s="47">
        <v>35.930500000000002</v>
      </c>
      <c r="AR204" s="47">
        <v>36.951000000000001</v>
      </c>
      <c r="AS204" s="48"/>
      <c r="AT204" s="47">
        <v>21.686399999999999</v>
      </c>
      <c r="AU204" s="47">
        <v>21.686399999999999</v>
      </c>
      <c r="AV204" s="47">
        <v>21.686399999999999</v>
      </c>
      <c r="AW204" s="48"/>
      <c r="AX204" s="52">
        <v>98.015000000000001</v>
      </c>
      <c r="AY204" s="52">
        <v>86.328000000000003</v>
      </c>
      <c r="BA204" s="59">
        <f t="shared" si="83"/>
        <v>-5.5458371323680034E-4</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310240</v>
      </c>
      <c r="BZ204">
        <f t="shared" si="86"/>
        <v>0</v>
      </c>
      <c r="CA204">
        <f t="shared" si="87"/>
        <v>310240</v>
      </c>
      <c r="CB204">
        <f t="shared" si="88"/>
        <v>0</v>
      </c>
      <c r="CC204">
        <f t="shared" si="89"/>
        <v>0.36030000000000229</v>
      </c>
      <c r="CD204">
        <f t="shared" si="90"/>
        <v>0.35430000000000206</v>
      </c>
      <c r="CE204">
        <f t="shared" si="91"/>
        <v>0.44489999999999696</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17.533251978544218</v>
      </c>
      <c r="K205" s="18">
        <f t="shared" si="75"/>
        <v>11.635811133599745</v>
      </c>
      <c r="L205" s="18">
        <f t="shared" si="76"/>
        <v>5.8973361425705315</v>
      </c>
      <c r="M205" s="19"/>
      <c r="N205" s="18">
        <f t="shared" si="77"/>
        <v>17.533251978544218</v>
      </c>
      <c r="O205" s="20">
        <v>43399207</v>
      </c>
      <c r="P205" s="21">
        <v>760929232</v>
      </c>
      <c r="Q205" s="21">
        <v>504984976</v>
      </c>
      <c r="R205" s="21">
        <v>255939712</v>
      </c>
      <c r="S205" s="37"/>
      <c r="T205" s="38">
        <v>52.940399999999997</v>
      </c>
      <c r="U205" s="38">
        <v>55.861499999999999</v>
      </c>
      <c r="V205" s="38">
        <v>55.7376</v>
      </c>
      <c r="W205" s="39"/>
      <c r="X205" s="38">
        <v>48.130800000000001</v>
      </c>
      <c r="Y205" s="38">
        <v>48.130800000000001</v>
      </c>
      <c r="Z205" s="38">
        <v>48.130800000000001</v>
      </c>
      <c r="AA205" s="39"/>
      <c r="AB205" s="49">
        <v>134.34299999999999</v>
      </c>
      <c r="AC205" s="49">
        <v>116.843</v>
      </c>
      <c r="AE205" s="17" t="str">
        <f t="shared" si="78"/>
        <v>·</v>
      </c>
      <c r="AF205" s="18">
        <f t="shared" si="79"/>
        <v>17.553668757127291</v>
      </c>
      <c r="AG205" s="18">
        <f t="shared" si="80"/>
        <v>11.635811133599745</v>
      </c>
      <c r="AH205" s="18">
        <f t="shared" si="81"/>
        <v>5.9177529211536051</v>
      </c>
      <c r="AI205" s="19"/>
      <c r="AJ205" s="18">
        <f t="shared" si="82"/>
        <v>17.553668757127291</v>
      </c>
      <c r="AK205" s="20">
        <v>43399207</v>
      </c>
      <c r="AL205" s="21">
        <v>761815304</v>
      </c>
      <c r="AM205" s="21">
        <v>504984976</v>
      </c>
      <c r="AN205" s="21">
        <v>256825784</v>
      </c>
      <c r="AO205" s="37"/>
      <c r="AP205" s="38">
        <v>52.995399999999997</v>
      </c>
      <c r="AQ205" s="38">
        <v>55.9313</v>
      </c>
      <c r="AR205" s="38">
        <v>55.807899999999997</v>
      </c>
      <c r="AS205" s="39"/>
      <c r="AT205" s="38">
        <v>48.130800000000001</v>
      </c>
      <c r="AU205" s="38">
        <v>48.130800000000001</v>
      </c>
      <c r="AV205" s="38">
        <v>48.130800000000001</v>
      </c>
      <c r="AW205" s="39"/>
      <c r="AX205" s="49">
        <v>134.5</v>
      </c>
      <c r="AY205" s="49">
        <v>118.40600000000001</v>
      </c>
      <c r="BA205" s="53">
        <f t="shared" si="83"/>
        <v>-7.7188661348892573E-4</v>
      </c>
      <c r="BB205" s="53">
        <f t="array" ref="BB205">AVERAGE(AM205:AM209/AL205:AL209)-AVERAGE(Q205:Q209/P205:P209)</f>
        <v>-4.5671073592545852E-4</v>
      </c>
      <c r="BD205" s="54">
        <f>IF(OR(ISBLANK(R205:R209),ISBLANK(AN205:AN209),ISBLANK(T205:T209),ISBLANK(AP205:AP209)),"·",bdRateExtend(R205:R209,T205:T209,AN205:AN209,AP205:AP209))</f>
        <v>-7.6112398211460874E-3</v>
      </c>
      <c r="BE205" s="54">
        <f>IF(OR(ISBLANK(R205:R209),ISBLANK(AN205:AN209),ISBLANK(U205:U209),ISBLANK(AQ205:AQ209)),"·",bdRateExtend(R205:R209,U205:U209,AN205:AN209,AQ205:AQ209))</f>
        <v>-1.1733871570075771E-2</v>
      </c>
      <c r="BF205" s="54">
        <f>IF(OR(ISBLANK(R205:R209),ISBLANK(AN205:AN209),ISBLANK(V205:V209),ISBLANK(AR205:AR209)),"·",bdRateExtend(R205:R209,V205:V209,AN205:AN209,AR205:AR209))</f>
        <v>-1.4788900553228901E-2</v>
      </c>
      <c r="BG205" s="61"/>
      <c r="BI205" s="54">
        <f>IF(OR(ISBLANK(R205:R209),ISBLANK(AN205:AN209),ISBLANK(X205:X209),ISBLANK(AT205:AT209)),"·",bdRateExtend(R205:R209,X205:X209,AN205:AN209,AT205:AT209))</f>
        <v>2.9719602042632687E-3</v>
      </c>
      <c r="BJ205" s="54">
        <f>IF(OR(ISBLANK(R205:R209),ISBLANK(AN205:AN209),ISBLANK(Y205:Y209),ISBLANK(AU205:AU209)),"·",bdRateExtend(R205:R209,Y205:Y209,AN205:AN209,AU205:AU209))</f>
        <v>2.9719602042632687E-3</v>
      </c>
      <c r="BK205" s="54">
        <f>IF(OR(ISBLANK(R205:R209),ISBLANK(AN205:AN209),ISBLANK(Z205:Z209),ISBLANK(AV205:AV209)),"·",bdRateExtend(R205:R209,Z205:Z209,AN205:AN209,AV205:AV209))</f>
        <v>2.9719602042632687E-3</v>
      </c>
      <c r="BL205" s="61"/>
      <c r="BN205" s="54">
        <f>IF(OR(ISBLANK(P205:P209),ISBLANK(AL205:AL209),ISBLANK(T205:T209),ISBLANK(AP205:AP209)),"·",bdRateExtend(P205:P209,T205:T209,AL205:AL209,AP205:AP209))</f>
        <v>-8.3135764225905628E-4</v>
      </c>
      <c r="BO205" s="54">
        <f>IF(OR(ISBLANK(P205:P209),ISBLANK(AL205:AL209),ISBLANK(U205:U209),ISBLANK(AQ205:AQ209)),"·",bdRateExtend(P205:P209,U205:U209,AL205:AL209,AQ205:AQ209))</f>
        <v>-1.3813199233368989E-3</v>
      </c>
      <c r="BP205" s="54">
        <f>IF(OR(ISBLANK(P205:P209),ISBLANK(AL205:AL209),ISBLANK(V205:V209),ISBLANK(AR205:AR209)),"·",bdRateExtend(P205:P209,V205:V209,AL205:AL209,AR205:AR209))</f>
        <v>-1.7334558458668159E-3</v>
      </c>
      <c r="BQ205" s="61"/>
      <c r="BS205" s="54">
        <f>IF(OR(ISBLANK(P205:P209),ISBLANK(AL205:AL209),ISBLANK(X205:X209),ISBLANK(AT205:AT209)),"·",bdRateExtend(P205:P209,X205:X209,AL205:AL209,AT205:AT209))</f>
        <v>4.7925391108782911E-4</v>
      </c>
      <c r="BT205" s="54">
        <f>IF(OR(ISBLANK(P205:P209),ISBLANK(AL205:AL209),ISBLANK(Y205:Y209),ISBLANK(AU205:AU209)),"·",bdRateExtend(P205:P209,Y205:Y209,AL205:AL209,AU205:AU209))</f>
        <v>4.7925391108782911E-4</v>
      </c>
      <c r="BU205" s="54">
        <f>IF(OR(ISBLANK(P205:P209),ISBLANK(AL205:AL209),ISBLANK(Z205:Z209),ISBLANK(AV205:AV209)),"·",bdRateExtend(P205:P209,Z205:Z209,AL205:AL209,AV205:AV209))</f>
        <v>4.7925391108782911E-4</v>
      </c>
      <c r="BV205" s="61"/>
      <c r="BX205">
        <f t="shared" si="84"/>
        <v>0</v>
      </c>
      <c r="BY205">
        <f t="shared" si="85"/>
        <v>886072</v>
      </c>
      <c r="BZ205">
        <f t="shared" si="86"/>
        <v>0</v>
      </c>
      <c r="CA205">
        <f t="shared" si="87"/>
        <v>886072</v>
      </c>
      <c r="CB205">
        <f t="shared" si="88"/>
        <v>0</v>
      </c>
      <c r="CC205">
        <f t="shared" si="89"/>
        <v>5.4999999999999716E-2</v>
      </c>
      <c r="CD205">
        <f t="shared" si="90"/>
        <v>6.980000000000075E-2</v>
      </c>
      <c r="CE205">
        <f t="shared" si="91"/>
        <v>7.0299999999996032E-2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15.800165196566841</v>
      </c>
      <c r="K206" s="23">
        <f t="shared" si="75"/>
        <v>11.635811133599745</v>
      </c>
      <c r="L206" s="23">
        <f t="shared" si="76"/>
        <v>4.1642493605931552</v>
      </c>
      <c r="M206" s="24"/>
      <c r="N206" s="23">
        <f t="shared" si="77"/>
        <v>15.800165196566841</v>
      </c>
      <c r="O206" s="25">
        <v>43399207</v>
      </c>
      <c r="P206" s="26">
        <v>685714640</v>
      </c>
      <c r="Q206" s="26">
        <v>504984976</v>
      </c>
      <c r="R206" s="26">
        <v>180725120</v>
      </c>
      <c r="S206" s="40"/>
      <c r="T206" s="41">
        <v>48.379199999999997</v>
      </c>
      <c r="U206" s="41">
        <v>51.311199999999999</v>
      </c>
      <c r="V206" s="41">
        <v>51.277999999999999</v>
      </c>
      <c r="W206" s="42"/>
      <c r="X206" s="41">
        <v>42.110199999999999</v>
      </c>
      <c r="Y206" s="41">
        <v>42.110199999999999</v>
      </c>
      <c r="Z206" s="41">
        <v>42.110199999999999</v>
      </c>
      <c r="AA206" s="42"/>
      <c r="AB206" s="50">
        <v>133.46799999999999</v>
      </c>
      <c r="AC206" s="50">
        <v>115.375</v>
      </c>
      <c r="AE206" s="22" t="str">
        <f t="shared" si="78"/>
        <v>·</v>
      </c>
      <c r="AF206" s="23">
        <f t="shared" si="79"/>
        <v>15.808414563888229</v>
      </c>
      <c r="AG206" s="23">
        <f t="shared" si="80"/>
        <v>11.635811133599745</v>
      </c>
      <c r="AH206" s="23">
        <f t="shared" si="81"/>
        <v>4.1724987279145447</v>
      </c>
      <c r="AI206" s="24"/>
      <c r="AJ206" s="23">
        <f t="shared" si="82"/>
        <v>15.808414563888229</v>
      </c>
      <c r="AK206" s="25">
        <v>43399207</v>
      </c>
      <c r="AL206" s="26">
        <v>686072656</v>
      </c>
      <c r="AM206" s="26">
        <v>504984976</v>
      </c>
      <c r="AN206" s="26">
        <v>181083136</v>
      </c>
      <c r="AO206" s="40"/>
      <c r="AP206" s="41">
        <v>48.4238</v>
      </c>
      <c r="AQ206" s="41">
        <v>51.365000000000002</v>
      </c>
      <c r="AR206" s="41">
        <v>51.336100000000002</v>
      </c>
      <c r="AS206" s="42"/>
      <c r="AT206" s="41">
        <v>42.110199999999999</v>
      </c>
      <c r="AU206" s="41">
        <v>42.110199999999999</v>
      </c>
      <c r="AV206" s="41">
        <v>42.110199999999999</v>
      </c>
      <c r="AW206" s="42"/>
      <c r="AX206" s="50">
        <v>133.03100000000001</v>
      </c>
      <c r="AY206" s="50">
        <v>116.40600000000001</v>
      </c>
      <c r="BA206" s="55">
        <f t="shared" si="83"/>
        <v>-3.8429732479228207E-4</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358016</v>
      </c>
      <c r="BZ206">
        <f t="shared" si="86"/>
        <v>0</v>
      </c>
      <c r="CA206">
        <f t="shared" si="87"/>
        <v>358016</v>
      </c>
      <c r="CB206">
        <f t="shared" si="88"/>
        <v>0</v>
      </c>
      <c r="CC206">
        <f t="shared" si="89"/>
        <v>4.4600000000002638E-2</v>
      </c>
      <c r="CD206">
        <f t="shared" si="90"/>
        <v>5.3800000000002512E-2</v>
      </c>
      <c r="CE206">
        <f t="shared" si="91"/>
        <v>5.8100000000003149E-2</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14.022151879411069</v>
      </c>
      <c r="K207" s="18">
        <f t="shared" si="75"/>
        <v>11.635811133599745</v>
      </c>
      <c r="L207" s="18">
        <f t="shared" si="76"/>
        <v>2.3862360434373837</v>
      </c>
      <c r="M207" s="19"/>
      <c r="N207" s="18">
        <f t="shared" si="77"/>
        <v>14.022151879411069</v>
      </c>
      <c r="O207" s="20">
        <v>43399207</v>
      </c>
      <c r="P207" s="21">
        <v>608550272</v>
      </c>
      <c r="Q207" s="21">
        <v>504984976</v>
      </c>
      <c r="R207" s="21">
        <v>103560752</v>
      </c>
      <c r="S207" s="37"/>
      <c r="T207" s="38">
        <v>41.487200000000001</v>
      </c>
      <c r="U207" s="38">
        <v>45.645400000000002</v>
      </c>
      <c r="V207" s="38">
        <v>45.9482</v>
      </c>
      <c r="W207" s="39"/>
      <c r="X207" s="38">
        <v>34.151400000000002</v>
      </c>
      <c r="Y207" s="38">
        <v>34.151400000000002</v>
      </c>
      <c r="Z207" s="38">
        <v>34.151400000000002</v>
      </c>
      <c r="AA207" s="39"/>
      <c r="AB207" s="49">
        <v>132.71799999999999</v>
      </c>
      <c r="AC207" s="49">
        <v>115.187</v>
      </c>
      <c r="AE207" s="17" t="str">
        <f t="shared" si="78"/>
        <v>·</v>
      </c>
      <c r="AF207" s="18">
        <f t="shared" si="79"/>
        <v>14.029085093651595</v>
      </c>
      <c r="AG207" s="18">
        <f t="shared" si="80"/>
        <v>11.635811133599745</v>
      </c>
      <c r="AH207" s="18">
        <f t="shared" si="81"/>
        <v>2.3931692576779109</v>
      </c>
      <c r="AI207" s="19"/>
      <c r="AJ207" s="18">
        <f t="shared" si="82"/>
        <v>14.029085093651595</v>
      </c>
      <c r="AK207" s="20">
        <v>43399207</v>
      </c>
      <c r="AL207" s="21">
        <v>608851168</v>
      </c>
      <c r="AM207" s="21">
        <v>504984976</v>
      </c>
      <c r="AN207" s="21">
        <v>103861648</v>
      </c>
      <c r="AO207" s="37"/>
      <c r="AP207" s="38">
        <v>41.562600000000003</v>
      </c>
      <c r="AQ207" s="38">
        <v>45.746400000000001</v>
      </c>
      <c r="AR207" s="38">
        <v>46.055599999999998</v>
      </c>
      <c r="AS207" s="39"/>
      <c r="AT207" s="38">
        <v>34.151400000000002</v>
      </c>
      <c r="AU207" s="38">
        <v>34.151400000000002</v>
      </c>
      <c r="AV207" s="38">
        <v>34.151400000000002</v>
      </c>
      <c r="AW207" s="39"/>
      <c r="AX207" s="49">
        <v>132.35900000000001</v>
      </c>
      <c r="AY207" s="49">
        <v>116.125</v>
      </c>
      <c r="BA207" s="53">
        <f t="shared" si="83"/>
        <v>-4.1009763758881324E-4</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CB207">
        <f t="shared" si="88"/>
        <v>0</v>
      </c>
      <c r="CC207">
        <f t="shared" si="89"/>
        <v>7.540000000000191E-2</v>
      </c>
      <c r="CD207">
        <f t="shared" si="90"/>
        <v>0.10099999999999909</v>
      </c>
      <c r="CE207">
        <f t="shared" si="91"/>
        <v>0.10739999999999839</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13.053039978357209</v>
      </c>
      <c r="K208" s="23">
        <f t="shared" si="75"/>
        <v>11.635811133599745</v>
      </c>
      <c r="L208" s="23">
        <f t="shared" si="76"/>
        <v>1.4171241423835232</v>
      </c>
      <c r="M208" s="24"/>
      <c r="N208" s="23">
        <f t="shared" si="77"/>
        <v>13.053039978357209</v>
      </c>
      <c r="O208" s="25">
        <v>43399207</v>
      </c>
      <c r="P208" s="26">
        <v>566491584</v>
      </c>
      <c r="Q208" s="26">
        <v>504984976</v>
      </c>
      <c r="R208" s="26">
        <v>61502064</v>
      </c>
      <c r="S208" s="40"/>
      <c r="T208" s="41">
        <v>35.924700000000001</v>
      </c>
      <c r="U208" s="41">
        <v>40.824399999999997</v>
      </c>
      <c r="V208" s="41">
        <v>41.3797</v>
      </c>
      <c r="W208" s="42"/>
      <c r="X208" s="41">
        <v>28.130800000000001</v>
      </c>
      <c r="Y208" s="41">
        <v>28.130800000000001</v>
      </c>
      <c r="Z208" s="41">
        <v>28.130800000000001</v>
      </c>
      <c r="AA208" s="42"/>
      <c r="AB208" s="50">
        <v>131.26499999999999</v>
      </c>
      <c r="AC208" s="50">
        <v>114.015</v>
      </c>
      <c r="AE208" s="22" t="str">
        <f t="shared" si="78"/>
        <v>·</v>
      </c>
      <c r="AF208" s="23">
        <f t="shared" si="79"/>
        <v>13.055235778847296</v>
      </c>
      <c r="AG208" s="23">
        <f t="shared" si="80"/>
        <v>11.635811133599745</v>
      </c>
      <c r="AH208" s="23">
        <f t="shared" si="81"/>
        <v>1.4193199428736105</v>
      </c>
      <c r="AI208" s="24"/>
      <c r="AJ208" s="23">
        <f t="shared" si="82"/>
        <v>13.055235778847296</v>
      </c>
      <c r="AK208" s="25">
        <v>43399207</v>
      </c>
      <c r="AL208" s="26">
        <v>566586880</v>
      </c>
      <c r="AM208" s="26">
        <v>504984976</v>
      </c>
      <c r="AN208" s="26">
        <v>61597360</v>
      </c>
      <c r="AO208" s="40"/>
      <c r="AP208" s="41">
        <v>36.058199999999999</v>
      </c>
      <c r="AQ208" s="41">
        <v>41.003999999999998</v>
      </c>
      <c r="AR208" s="41">
        <v>41.598799999999997</v>
      </c>
      <c r="AS208" s="42"/>
      <c r="AT208" s="41">
        <v>28.130800000000001</v>
      </c>
      <c r="AU208" s="41">
        <v>28.130800000000001</v>
      </c>
      <c r="AV208" s="41">
        <v>28.130800000000001</v>
      </c>
      <c r="AW208" s="42"/>
      <c r="AX208" s="50">
        <v>131.84299999999999</v>
      </c>
      <c r="AY208" s="50">
        <v>114.843</v>
      </c>
      <c r="BA208" s="55">
        <f t="shared" si="83"/>
        <v>-1.4993159229326203E-4</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95296</v>
      </c>
      <c r="BZ208">
        <f t="shared" si="86"/>
        <v>0</v>
      </c>
      <c r="CA208">
        <f t="shared" si="87"/>
        <v>95296</v>
      </c>
      <c r="CB208">
        <f t="shared" si="88"/>
        <v>0</v>
      </c>
      <c r="CC208">
        <f t="shared" si="89"/>
        <v>0.13349999999999795</v>
      </c>
      <c r="CD208">
        <f t="shared" si="90"/>
        <v>0.17960000000000065</v>
      </c>
      <c r="CE208">
        <f t="shared" si="91"/>
        <v>0.21909999999999741</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12.359822703672904</v>
      </c>
      <c r="K209" s="28">
        <f t="shared" si="75"/>
        <v>11.635811133599745</v>
      </c>
      <c r="L209" s="28">
        <f t="shared" si="76"/>
        <v>0.72390686769921853</v>
      </c>
      <c r="M209" s="29"/>
      <c r="N209" s="28">
        <f t="shared" si="77"/>
        <v>12.359822703672904</v>
      </c>
      <c r="O209" s="30">
        <v>43399207</v>
      </c>
      <c r="P209" s="31">
        <v>536406504</v>
      </c>
      <c r="Q209" s="31">
        <v>504984976</v>
      </c>
      <c r="R209" s="31">
        <v>31416984</v>
      </c>
      <c r="S209" s="43"/>
      <c r="T209" s="44">
        <v>29.796700000000001</v>
      </c>
      <c r="U209" s="44">
        <v>35.5398</v>
      </c>
      <c r="V209" s="44">
        <v>36.6267</v>
      </c>
      <c r="W209" s="45"/>
      <c r="X209" s="44">
        <v>21.686399999999999</v>
      </c>
      <c r="Y209" s="44">
        <v>21.686399999999999</v>
      </c>
      <c r="Z209" s="44">
        <v>21.686399999999999</v>
      </c>
      <c r="AA209" s="45"/>
      <c r="AB209" s="51">
        <v>131.09299999999999</v>
      </c>
      <c r="AC209" s="51">
        <v>114.17100000000001</v>
      </c>
      <c r="AE209" s="27" t="str">
        <f t="shared" si="78"/>
        <v>·</v>
      </c>
      <c r="AF209" s="28">
        <f t="shared" si="79"/>
        <v>12.367275743079821</v>
      </c>
      <c r="AG209" s="28">
        <f t="shared" si="80"/>
        <v>11.635811133599745</v>
      </c>
      <c r="AH209" s="28">
        <f t="shared" si="81"/>
        <v>0.73135990710613674</v>
      </c>
      <c r="AI209" s="29"/>
      <c r="AJ209" s="28">
        <f t="shared" si="82"/>
        <v>12.367275743079821</v>
      </c>
      <c r="AK209" s="30">
        <v>43399207</v>
      </c>
      <c r="AL209" s="31">
        <v>536729960</v>
      </c>
      <c r="AM209" s="31">
        <v>504984976</v>
      </c>
      <c r="AN209" s="31">
        <v>31740440</v>
      </c>
      <c r="AO209" s="43"/>
      <c r="AP209" s="44">
        <v>30.122599999999998</v>
      </c>
      <c r="AQ209" s="44">
        <v>35.878599999999999</v>
      </c>
      <c r="AR209" s="44">
        <v>36.998699999999999</v>
      </c>
      <c r="AS209" s="45"/>
      <c r="AT209" s="44">
        <v>21.686399999999999</v>
      </c>
      <c r="AU209" s="44">
        <v>21.686399999999999</v>
      </c>
      <c r="AV209" s="44">
        <v>21.686399999999999</v>
      </c>
      <c r="AW209" s="45"/>
      <c r="AX209" s="51">
        <v>131.25</v>
      </c>
      <c r="AY209" s="51">
        <v>114.25</v>
      </c>
      <c r="BA209" s="57">
        <f t="shared" si="83"/>
        <v>-5.6734051146289932E-4</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323456</v>
      </c>
      <c r="BZ209">
        <f t="shared" si="86"/>
        <v>0</v>
      </c>
      <c r="CA209">
        <f t="shared" si="87"/>
        <v>323456</v>
      </c>
      <c r="CB209">
        <f t="shared" si="88"/>
        <v>0</v>
      </c>
      <c r="CC209">
        <f t="shared" si="89"/>
        <v>0.32589999999999719</v>
      </c>
      <c r="CD209">
        <f t="shared" si="90"/>
        <v>0.3387999999999991</v>
      </c>
      <c r="CE209">
        <f t="shared" si="91"/>
        <v>0.37199999999999989</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19.561125565384462</v>
      </c>
      <c r="K210" s="23">
        <f t="shared" si="75"/>
        <v>9.8042669014930155</v>
      </c>
      <c r="L210" s="23">
        <f t="shared" si="76"/>
        <v>9.7558179562102225</v>
      </c>
      <c r="M210" s="24"/>
      <c r="N210" s="23">
        <f t="shared" si="77"/>
        <v>19.561125565384462</v>
      </c>
      <c r="O210" s="25">
        <v>499660</v>
      </c>
      <c r="P210" s="26">
        <v>9773912</v>
      </c>
      <c r="Q210" s="26">
        <v>4898800</v>
      </c>
      <c r="R210" s="26">
        <v>4874592</v>
      </c>
      <c r="S210" s="40"/>
      <c r="T210" s="41">
        <v>53.418399999999998</v>
      </c>
      <c r="U210" s="41">
        <v>54.818800000000003</v>
      </c>
      <c r="V210" s="41">
        <v>54.979100000000003</v>
      </c>
      <c r="W210" s="42"/>
      <c r="X210" s="41">
        <v>48.130800000000001</v>
      </c>
      <c r="Y210" s="41">
        <v>48.130800000000001</v>
      </c>
      <c r="Z210" s="41">
        <v>48.130800000000001</v>
      </c>
      <c r="AA210" s="42"/>
      <c r="AB210" s="50">
        <v>1.0620000000000001</v>
      </c>
      <c r="AC210" s="50">
        <v>0.93700000000000006</v>
      </c>
      <c r="AE210" s="22" t="str">
        <f t="shared" si="78"/>
        <v>·</v>
      </c>
      <c r="AF210" s="23">
        <f t="shared" si="79"/>
        <v>19.598014649961975</v>
      </c>
      <c r="AG210" s="23">
        <f t="shared" si="80"/>
        <v>9.8042669014930155</v>
      </c>
      <c r="AH210" s="23">
        <f t="shared" si="81"/>
        <v>9.7927070407877359</v>
      </c>
      <c r="AI210" s="24"/>
      <c r="AJ210" s="23">
        <f t="shared" si="82"/>
        <v>19.598014649961975</v>
      </c>
      <c r="AK210" s="25">
        <v>499660</v>
      </c>
      <c r="AL210" s="26">
        <v>9792344</v>
      </c>
      <c r="AM210" s="26">
        <v>4898800</v>
      </c>
      <c r="AN210" s="26">
        <v>4893024</v>
      </c>
      <c r="AO210" s="40"/>
      <c r="AP210" s="41">
        <v>53.488999999999997</v>
      </c>
      <c r="AQ210" s="41">
        <v>54.912300000000002</v>
      </c>
      <c r="AR210" s="41">
        <v>55.064</v>
      </c>
      <c r="AS210" s="42"/>
      <c r="AT210" s="41">
        <v>48.130800000000001</v>
      </c>
      <c r="AU210" s="41">
        <v>48.130800000000001</v>
      </c>
      <c r="AV210" s="41">
        <v>48.130800000000001</v>
      </c>
      <c r="AW210" s="42"/>
      <c r="AX210" s="50">
        <v>1.0309999999999999</v>
      </c>
      <c r="AY210" s="50">
        <v>0.93700000000000006</v>
      </c>
      <c r="BA210" s="55">
        <f t="shared" si="83"/>
        <v>-9.4342435759087184E-4</v>
      </c>
      <c r="BB210" s="55">
        <f t="array" ref="BB210">AVERAGE(AM210:AM214/AL210:AL214)-AVERAGE(Q210:Q214/P210:P214)</f>
        <v>-7.1477339588277289E-4</v>
      </c>
      <c r="BD210" s="56">
        <f>IF(OR(ISBLANK(R210:R214),ISBLANK(AN210:AN214),ISBLANK(T210:T214),ISBLANK(AP210:AP214)),"·",bdRateExtend(R210:R214,T210:T214,AN210:AN214,AP210:AP214))</f>
        <v>-5.2715947521482232E-3</v>
      </c>
      <c r="BE210" s="56">
        <f>IF(OR(ISBLANK(R210:R214),ISBLANK(AN210:AN214),ISBLANK(U210:U214),ISBLANK(AQ210:AQ214)),"·",bdRateExtend(R210:R214,U210:U214,AN210:AN214,AQ210:AQ214))</f>
        <v>-1.0567139951246918E-2</v>
      </c>
      <c r="BF210" s="56">
        <f>IF(OR(ISBLANK(R210:R214),ISBLANK(AN210:AN214),ISBLANK(V210:V214),ISBLANK(AR210:AR214)),"·",bdRateExtend(R210:R214,V210:V214,AN210:AN214,AR210:AR214))</f>
        <v>-1.1035327985522314E-2</v>
      </c>
      <c r="BG210" s="62"/>
      <c r="BI210" s="56">
        <f>IF(OR(ISBLANK(R210:R214),ISBLANK(AN210:AN214),ISBLANK(X210:X214),ISBLANK(AT210:AT214)),"·",bdRateExtend(R210:R214,X210:X214,AN210:AN214,AT210:AT214))</f>
        <v>3.3788888621422153E-3</v>
      </c>
      <c r="BJ210" s="56">
        <f>IF(OR(ISBLANK(R210:R214),ISBLANK(AN210:AN214),ISBLANK(Y210:Y214),ISBLANK(AU210:AU214)),"·",bdRateExtend(R210:R214,Y210:Y214,AN210:AN214,AU210:AU214))</f>
        <v>3.3788888621422153E-3</v>
      </c>
      <c r="BK210" s="56">
        <f>IF(OR(ISBLANK(R210:R214),ISBLANK(AN210:AN214),ISBLANK(Z210:Z214),ISBLANK(AV210:AV214)),"·",bdRateExtend(R210:R214,Z210:Z214,AN210:AN214,AV210:AV214))</f>
        <v>3.3788888621422153E-3</v>
      </c>
      <c r="BL210" s="62"/>
      <c r="BN210" s="56">
        <f>IF(OR(ISBLANK(P210:P214),ISBLANK(AL210:AL214),ISBLANK(T210:T214),ISBLANK(AP210:AP214)),"·",bdRateExtend(P210:P214,T210:T214,AL210:AL214,AP210:AP214))</f>
        <v>-1.1804702820713553E-3</v>
      </c>
      <c r="BO210" s="56">
        <f>IF(OR(ISBLANK(P210:P214),ISBLANK(AL210:AL214),ISBLANK(U210:U214),ISBLANK(AQ210:AQ214)),"·",bdRateExtend(P210:P214,U210:U214,AL210:AL214,AQ210:AQ214))</f>
        <v>-2.2969243068796663E-3</v>
      </c>
      <c r="BP210" s="56">
        <f>IF(OR(ISBLANK(P210:P214),ISBLANK(AL210:AL214),ISBLANK(V210:V214),ISBLANK(AR210:AR214)),"·",bdRateExtend(P210:P214,V210:V214,AL210:AL214,AR210:AR214))</f>
        <v>-2.5449865986392206E-3</v>
      </c>
      <c r="BQ210" s="62"/>
      <c r="BS210" s="56">
        <f>IF(OR(ISBLANK(P210:P214),ISBLANK(AL210:AL214),ISBLANK(X210:X214),ISBLANK(AT210:AT214)),"·",bdRateExtend(P210:P214,X210:X214,AL210:AL214,AT210:AT214))</f>
        <v>1.0043796184415754E-3</v>
      </c>
      <c r="BT210" s="56">
        <f>IF(OR(ISBLANK(P210:P214),ISBLANK(AL210:AL214),ISBLANK(Y210:Y214),ISBLANK(AU210:AU214)),"·",bdRateExtend(P210:P214,Y210:Y214,AL210:AL214,AU210:AU214))</f>
        <v>1.0043796184415754E-3</v>
      </c>
      <c r="BU210" s="56">
        <f>IF(OR(ISBLANK(P210:P214),ISBLANK(AL210:AL214),ISBLANK(Z210:Z214),ISBLANK(AV210:AV214)),"·",bdRateExtend(P210:P214,Z210:Z214,AL210:AL214,AV210:AV214))</f>
        <v>1.0043796184415754E-3</v>
      </c>
      <c r="BV210" s="62"/>
      <c r="BX210">
        <f t="shared" si="84"/>
        <v>0</v>
      </c>
      <c r="BY210">
        <f t="shared" si="85"/>
        <v>18432</v>
      </c>
      <c r="BZ210">
        <f t="shared" si="86"/>
        <v>0</v>
      </c>
      <c r="CA210">
        <f t="shared" si="87"/>
        <v>18432</v>
      </c>
      <c r="CB210">
        <f t="shared" si="88"/>
        <v>0</v>
      </c>
      <c r="CC210">
        <f t="shared" si="89"/>
        <v>7.0599999999998886E-2</v>
      </c>
      <c r="CD210">
        <f t="shared" si="90"/>
        <v>9.3499999999998806E-2</v>
      </c>
      <c r="CE210">
        <f t="shared" si="91"/>
        <v>8.4899999999997533E-2</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17.027386622903574</v>
      </c>
      <c r="K211" s="18">
        <f t="shared" si="75"/>
        <v>9.8042669014930155</v>
      </c>
      <c r="L211" s="18">
        <f t="shared" si="76"/>
        <v>7.2220790137293358</v>
      </c>
      <c r="M211" s="19"/>
      <c r="N211" s="18">
        <f t="shared" si="77"/>
        <v>17.027386622903574</v>
      </c>
      <c r="O211" s="20">
        <v>499660</v>
      </c>
      <c r="P211" s="21">
        <v>8507904</v>
      </c>
      <c r="Q211" s="21">
        <v>4898800</v>
      </c>
      <c r="R211" s="21">
        <v>3608584</v>
      </c>
      <c r="S211" s="37"/>
      <c r="T211" s="38">
        <v>48.517800000000001</v>
      </c>
      <c r="U211" s="38">
        <v>50.479199999999999</v>
      </c>
      <c r="V211" s="38">
        <v>50.468800000000002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17.045558980106474</v>
      </c>
      <c r="AG211" s="18">
        <f t="shared" si="80"/>
        <v>9.8042669014930155</v>
      </c>
      <c r="AH211" s="18">
        <f t="shared" si="81"/>
        <v>7.240251370932234</v>
      </c>
      <c r="AI211" s="19"/>
      <c r="AJ211" s="18">
        <f t="shared" si="82"/>
        <v>17.045558980106474</v>
      </c>
      <c r="AK211" s="20">
        <v>499660</v>
      </c>
      <c r="AL211" s="21">
        <v>8516984</v>
      </c>
      <c r="AM211" s="21">
        <v>4898800</v>
      </c>
      <c r="AN211" s="21">
        <v>3617664</v>
      </c>
      <c r="AO211" s="37"/>
      <c r="AP211" s="38">
        <v>48.577100000000002</v>
      </c>
      <c r="AQ211" s="38">
        <v>50.541400000000003</v>
      </c>
      <c r="AR211" s="38">
        <v>50.533700000000003</v>
      </c>
      <c r="AS211" s="39"/>
      <c r="AT211" s="38">
        <v>42.110199999999999</v>
      </c>
      <c r="AU211" s="38">
        <v>42.110199999999999</v>
      </c>
      <c r="AV211" s="38">
        <v>42.110199999999999</v>
      </c>
      <c r="AW211" s="39"/>
      <c r="AX211" s="49">
        <v>1.0149999999999999</v>
      </c>
      <c r="AY211" s="49">
        <v>0.92100000000000004</v>
      </c>
      <c r="BA211" s="53">
        <f t="shared" si="83"/>
        <v>-6.1385690511206459E-4</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9080</v>
      </c>
      <c r="BZ211">
        <f t="shared" si="86"/>
        <v>0</v>
      </c>
      <c r="CA211">
        <f t="shared" si="87"/>
        <v>9080</v>
      </c>
      <c r="CB211">
        <f t="shared" si="88"/>
        <v>0</v>
      </c>
      <c r="CC211">
        <f t="shared" si="89"/>
        <v>5.9300000000000352E-2</v>
      </c>
      <c r="CD211">
        <f t="shared" si="90"/>
        <v>6.2200000000004252E-2</v>
      </c>
      <c r="CE211">
        <f t="shared" si="91"/>
        <v>6.4900000000001512E-2</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14.365320417884162</v>
      </c>
      <c r="K212" s="23">
        <f t="shared" si="75"/>
        <v>9.8042669014930155</v>
      </c>
      <c r="L212" s="23">
        <f t="shared" si="76"/>
        <v>4.5600128087099225</v>
      </c>
      <c r="M212" s="24"/>
      <c r="N212" s="23">
        <f t="shared" si="77"/>
        <v>14.365320417884162</v>
      </c>
      <c r="O212" s="25">
        <v>499660</v>
      </c>
      <c r="P212" s="26">
        <v>7177776</v>
      </c>
      <c r="Q212" s="26">
        <v>4898800</v>
      </c>
      <c r="R212" s="26">
        <v>2278456</v>
      </c>
      <c r="S212" s="40"/>
      <c r="T212" s="41">
        <v>41.375900000000001</v>
      </c>
      <c r="U212" s="41">
        <v>44.245699999999999</v>
      </c>
      <c r="V212" s="41">
        <v>44.580800000000004</v>
      </c>
      <c r="W212" s="42"/>
      <c r="X212" s="41">
        <v>34.151400000000002</v>
      </c>
      <c r="Y212" s="41">
        <v>34.151400000000002</v>
      </c>
      <c r="Z212" s="41">
        <v>34.151400000000002</v>
      </c>
      <c r="AA212" s="42"/>
      <c r="AB212" s="50">
        <v>1</v>
      </c>
      <c r="AC212" s="50">
        <v>0.92100000000000004</v>
      </c>
      <c r="AE212" s="22" t="str">
        <f t="shared" si="78"/>
        <v>·</v>
      </c>
      <c r="AF212" s="23">
        <f t="shared" si="79"/>
        <v>14.380626826241844</v>
      </c>
      <c r="AG212" s="23">
        <f t="shared" si="80"/>
        <v>9.8042669014930155</v>
      </c>
      <c r="AH212" s="23">
        <f t="shared" si="81"/>
        <v>4.575319217067606</v>
      </c>
      <c r="AI212" s="24"/>
      <c r="AJ212" s="23">
        <f t="shared" si="82"/>
        <v>14.380626826241844</v>
      </c>
      <c r="AK212" s="25">
        <v>499660</v>
      </c>
      <c r="AL212" s="26">
        <v>7185424</v>
      </c>
      <c r="AM212" s="26">
        <v>4898800</v>
      </c>
      <c r="AN212" s="26">
        <v>2286104</v>
      </c>
      <c r="AO212" s="40"/>
      <c r="AP212" s="41">
        <v>41.474400000000003</v>
      </c>
      <c r="AQ212" s="41">
        <v>44.372399999999999</v>
      </c>
      <c r="AR212" s="41">
        <v>44.714100000000002</v>
      </c>
      <c r="AS212" s="42"/>
      <c r="AT212" s="41">
        <v>34.151400000000002</v>
      </c>
      <c r="AU212" s="41">
        <v>34.151400000000002</v>
      </c>
      <c r="AV212" s="41">
        <v>34.151400000000002</v>
      </c>
      <c r="AW212" s="42"/>
      <c r="AX212" s="50">
        <v>1.0149999999999999</v>
      </c>
      <c r="AY212" s="50">
        <v>0.90600000000000003</v>
      </c>
      <c r="BA212" s="55">
        <f t="shared" si="83"/>
        <v>-7.2643253561432974E-4</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7648</v>
      </c>
      <c r="BZ212">
        <f t="shared" si="86"/>
        <v>0</v>
      </c>
      <c r="CA212">
        <f t="shared" si="87"/>
        <v>7648</v>
      </c>
      <c r="CB212">
        <f t="shared" si="88"/>
        <v>0</v>
      </c>
      <c r="CC212">
        <f t="shared" si="89"/>
        <v>9.8500000000001364E-2</v>
      </c>
      <c r="CD212">
        <f t="shared" si="90"/>
        <v>0.12669999999999959</v>
      </c>
      <c r="CE212">
        <f t="shared" si="91"/>
        <v>0.13329999999999842</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12.589536885081856</v>
      </c>
      <c r="K213" s="18">
        <f t="shared" si="75"/>
        <v>9.8042669014930155</v>
      </c>
      <c r="L213" s="18">
        <f t="shared" si="76"/>
        <v>2.784229275907617</v>
      </c>
      <c r="M213" s="19"/>
      <c r="N213" s="18">
        <f t="shared" si="77"/>
        <v>12.589536885081856</v>
      </c>
      <c r="O213" s="20">
        <v>499660</v>
      </c>
      <c r="P213" s="21">
        <v>6290488</v>
      </c>
      <c r="Q213" s="21">
        <v>4898800</v>
      </c>
      <c r="R213" s="21">
        <v>1391168</v>
      </c>
      <c r="S213" s="37"/>
      <c r="T213" s="38">
        <v>35.670299999999997</v>
      </c>
      <c r="U213" s="38">
        <v>39.3994</v>
      </c>
      <c r="V213" s="38">
        <v>39.7926</v>
      </c>
      <c r="W213" s="39"/>
      <c r="X213" s="38">
        <v>28.130800000000001</v>
      </c>
      <c r="Y213" s="38">
        <v>28.130800000000001</v>
      </c>
      <c r="Z213" s="38">
        <v>28.130800000000001</v>
      </c>
      <c r="AA213" s="39"/>
      <c r="AB213" s="49">
        <v>0.98399999999999999</v>
      </c>
      <c r="AC213" s="49">
        <v>0.90600000000000003</v>
      </c>
      <c r="AE213" s="17" t="str">
        <f t="shared" si="78"/>
        <v>·</v>
      </c>
      <c r="AF213" s="18">
        <f t="shared" si="79"/>
        <v>12.597782492094625</v>
      </c>
      <c r="AG213" s="18">
        <f t="shared" si="80"/>
        <v>9.8042669014930155</v>
      </c>
      <c r="AH213" s="18">
        <f t="shared" si="81"/>
        <v>2.792474882920386</v>
      </c>
      <c r="AI213" s="19"/>
      <c r="AJ213" s="18">
        <f t="shared" si="82"/>
        <v>12.597782492094625</v>
      </c>
      <c r="AK213" s="20">
        <v>499660</v>
      </c>
      <c r="AL213" s="21">
        <v>6294608</v>
      </c>
      <c r="AM213" s="21">
        <v>4898800</v>
      </c>
      <c r="AN213" s="21">
        <v>1395288</v>
      </c>
      <c r="AO213" s="37"/>
      <c r="AP213" s="38">
        <v>35.773699999999998</v>
      </c>
      <c r="AQ213" s="38">
        <v>39.5291</v>
      </c>
      <c r="AR213" s="38">
        <v>39.971299999999999</v>
      </c>
      <c r="AS213" s="39"/>
      <c r="AT213" s="38">
        <v>28.130800000000001</v>
      </c>
      <c r="AU213" s="38">
        <v>28.130800000000001</v>
      </c>
      <c r="AV213" s="38">
        <v>28.130800000000001</v>
      </c>
      <c r="AW213" s="39"/>
      <c r="AX213" s="49">
        <v>0.95299999999999996</v>
      </c>
      <c r="AY213" s="49">
        <v>0.92100000000000004</v>
      </c>
      <c r="BA213" s="53">
        <f t="shared" si="83"/>
        <v>-5.0972260930537416E-4</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4120</v>
      </c>
      <c r="BZ213">
        <f t="shared" si="86"/>
        <v>0</v>
      </c>
      <c r="CA213">
        <f t="shared" si="87"/>
        <v>4120</v>
      </c>
      <c r="CB213">
        <f t="shared" si="88"/>
        <v>0</v>
      </c>
      <c r="CC213">
        <f t="shared" si="89"/>
        <v>0.1034000000000006</v>
      </c>
      <c r="CD213">
        <f t="shared" si="90"/>
        <v>0.1296999999999997</v>
      </c>
      <c r="CE213">
        <f t="shared" si="91"/>
        <v>0.17869999999999919</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11.180210543169355</v>
      </c>
      <c r="K214" s="33">
        <f t="shared" si="75"/>
        <v>9.8042669014930155</v>
      </c>
      <c r="L214" s="33">
        <f t="shared" si="76"/>
        <v>1.3749029339951166</v>
      </c>
      <c r="M214" s="34"/>
      <c r="N214" s="33">
        <f t="shared" si="77"/>
        <v>11.180210543169355</v>
      </c>
      <c r="O214" s="35">
        <v>499660</v>
      </c>
      <c r="P214" s="36">
        <v>5586304</v>
      </c>
      <c r="Q214" s="36">
        <v>4898800</v>
      </c>
      <c r="R214" s="36">
        <v>686984</v>
      </c>
      <c r="S214" s="46"/>
      <c r="T214" s="47">
        <v>29.646999999999998</v>
      </c>
      <c r="U214" s="47">
        <v>34.083399999999997</v>
      </c>
      <c r="V214" s="47">
        <v>34.875500000000002</v>
      </c>
      <c r="W214" s="48"/>
      <c r="X214" s="47">
        <v>21.686399999999999</v>
      </c>
      <c r="Y214" s="47">
        <v>21.686399999999999</v>
      </c>
      <c r="Z214" s="47">
        <v>21.686399999999999</v>
      </c>
      <c r="AA214" s="48"/>
      <c r="AB214" s="52">
        <v>0.95299999999999996</v>
      </c>
      <c r="AC214" s="52">
        <v>0.89</v>
      </c>
      <c r="AE214" s="32" t="str">
        <f t="shared" si="78"/>
        <v>·</v>
      </c>
      <c r="AF214" s="33">
        <f t="shared" si="79"/>
        <v>11.190169315134291</v>
      </c>
      <c r="AG214" s="33">
        <f t="shared" si="80"/>
        <v>9.8042669014930155</v>
      </c>
      <c r="AH214" s="33">
        <f t="shared" si="81"/>
        <v>1.3848617059600528</v>
      </c>
      <c r="AI214" s="34"/>
      <c r="AJ214" s="33">
        <f t="shared" si="82"/>
        <v>11.190169315134291</v>
      </c>
      <c r="AK214" s="35">
        <v>499660</v>
      </c>
      <c r="AL214" s="36">
        <v>5591280</v>
      </c>
      <c r="AM214" s="36">
        <v>4898800</v>
      </c>
      <c r="AN214" s="36">
        <v>691960</v>
      </c>
      <c r="AO214" s="46"/>
      <c r="AP214" s="47">
        <v>29.844899999999999</v>
      </c>
      <c r="AQ214" s="47">
        <v>34.462800000000001</v>
      </c>
      <c r="AR214" s="47">
        <v>35.121299999999998</v>
      </c>
      <c r="AS214" s="48"/>
      <c r="AT214" s="47">
        <v>21.686399999999999</v>
      </c>
      <c r="AU214" s="47">
        <v>21.686399999999999</v>
      </c>
      <c r="AV214" s="47">
        <v>21.686399999999999</v>
      </c>
      <c r="AW214" s="48"/>
      <c r="AX214" s="52">
        <v>1</v>
      </c>
      <c r="AY214" s="52">
        <v>0.89</v>
      </c>
      <c r="BA214" s="59">
        <f t="shared" si="83"/>
        <v>-7.8043057179111308E-4</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4976</v>
      </c>
      <c r="BZ214">
        <f t="shared" si="86"/>
        <v>0</v>
      </c>
      <c r="CA214">
        <f t="shared" si="87"/>
        <v>4976</v>
      </c>
      <c r="CB214">
        <f t="shared" si="88"/>
        <v>0</v>
      </c>
      <c r="CC214">
        <f t="shared" si="89"/>
        <v>0.19790000000000063</v>
      </c>
      <c r="CD214">
        <f t="shared" si="90"/>
        <v>0.37940000000000396</v>
      </c>
      <c r="CE214">
        <f t="shared" si="91"/>
        <v>0.24579999999999558</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43.979051223679001</v>
      </c>
      <c r="K215" s="18">
        <f t="shared" si="75"/>
        <v>34.227515873619183</v>
      </c>
      <c r="L215" s="18">
        <f t="shared" si="76"/>
        <v>9.7504471019392422</v>
      </c>
      <c r="M215" s="19"/>
      <c r="N215" s="18">
        <f t="shared" si="77"/>
        <v>43.979051223679001</v>
      </c>
      <c r="O215" s="20">
        <v>499886</v>
      </c>
      <c r="P215" s="21">
        <v>21984512</v>
      </c>
      <c r="Q215" s="21">
        <v>17109856</v>
      </c>
      <c r="R215" s="21">
        <v>4874112</v>
      </c>
      <c r="S215" s="37"/>
      <c r="T215" s="38">
        <v>53.410600000000002</v>
      </c>
      <c r="U215" s="38">
        <v>54.808399999999999</v>
      </c>
      <c r="V215" s="38">
        <v>54.982500000000002</v>
      </c>
      <c r="W215" s="39"/>
      <c r="X215" s="38">
        <v>48.130800000000001</v>
      </c>
      <c r="Y215" s="38">
        <v>48.130800000000001</v>
      </c>
      <c r="Z215" s="38">
        <v>48.130800000000001</v>
      </c>
      <c r="AA215" s="39"/>
      <c r="AB215" s="49">
        <v>1.89</v>
      </c>
      <c r="AC215" s="49">
        <v>1.609</v>
      </c>
      <c r="AE215" s="17" t="str">
        <f t="shared" si="78"/>
        <v>·</v>
      </c>
      <c r="AF215" s="18">
        <f t="shared" si="79"/>
        <v>44.015667572206461</v>
      </c>
      <c r="AG215" s="18">
        <f t="shared" si="80"/>
        <v>34.227515873619183</v>
      </c>
      <c r="AH215" s="18">
        <f t="shared" si="81"/>
        <v>9.7870634504667056</v>
      </c>
      <c r="AI215" s="19"/>
      <c r="AJ215" s="18">
        <f t="shared" si="82"/>
        <v>44.015667572206461</v>
      </c>
      <c r="AK215" s="20">
        <v>499886</v>
      </c>
      <c r="AL215" s="21">
        <v>22002816</v>
      </c>
      <c r="AM215" s="21">
        <v>17109856</v>
      </c>
      <c r="AN215" s="21">
        <v>4892416</v>
      </c>
      <c r="AO215" s="37"/>
      <c r="AP215" s="38">
        <v>53.482599999999998</v>
      </c>
      <c r="AQ215" s="38">
        <v>54.900599999999997</v>
      </c>
      <c r="AR215" s="38">
        <v>55.0807</v>
      </c>
      <c r="AS215" s="39"/>
      <c r="AT215" s="38">
        <v>48.130800000000001</v>
      </c>
      <c r="AU215" s="38">
        <v>48.130800000000001</v>
      </c>
      <c r="AV215" s="38">
        <v>48.130800000000001</v>
      </c>
      <c r="AW215" s="39"/>
      <c r="AX215" s="49">
        <v>1.875</v>
      </c>
      <c r="AY215" s="49">
        <v>1.6559999999999999</v>
      </c>
      <c r="BA215" s="53">
        <f t="shared" si="83"/>
        <v>-6.474366269297871E-4</v>
      </c>
      <c r="BB215" s="53">
        <f t="array" ref="BB215">AVERAGE(AM215:AM219/AL215:AL219)-AVERAGE(Q215:Q219/P215:P219)</f>
        <v>-3.5110691761597312E-4</v>
      </c>
      <c r="BD215" s="54">
        <f>IF(OR(ISBLANK(R215:R219),ISBLANK(AN215:AN219),ISBLANK(T215:T219),ISBLANK(AP215:AP219)),"·",bdRateExtend(R215:R219,T215:T219,AN215:AN219,AP215:AP219))</f>
        <v>-5.5124204981739089E-3</v>
      </c>
      <c r="BE215" s="54">
        <f>IF(OR(ISBLANK(R215:R219),ISBLANK(AN215:AN219),ISBLANK(U215:U219),ISBLANK(AQ215:AQ219)),"·",bdRateExtend(R215:R219,U215:U219,AN215:AN219,AQ215:AQ219))</f>
        <v>-9.79808959715045E-3</v>
      </c>
      <c r="BF215" s="54">
        <f>IF(OR(ISBLANK(R215:R219),ISBLANK(AN215:AN219),ISBLANK(V215:V219),ISBLANK(AR215:AR219)),"·",bdRateExtend(R215:R219,V215:V219,AN215:AN219,AR215:AR219))</f>
        <v>-1.0498677883199359E-2</v>
      </c>
      <c r="BG215" s="61"/>
      <c r="BI215" s="54">
        <f>IF(OR(ISBLANK(R215:R219),ISBLANK(AN215:AN219),ISBLANK(X215:X219),ISBLANK(AT215:AT219)),"·",bdRateExtend(R215:R219,X215:X219,AN215:AN219,AT215:AT219))</f>
        <v>3.3765828258498498E-3</v>
      </c>
      <c r="BJ215" s="54">
        <f>IF(OR(ISBLANK(R215:R219),ISBLANK(AN215:AN219),ISBLANK(Y215:Y219),ISBLANK(AU215:AU219)),"·",bdRateExtend(R215:R219,Y215:Y219,AN215:AN219,AU215:AU219))</f>
        <v>3.3765828258498498E-3</v>
      </c>
      <c r="BK215" s="54">
        <f>IF(OR(ISBLANK(R215:R219),ISBLANK(AN215:AN219),ISBLANK(Z215:Z219),ISBLANK(AV215:AV219)),"·",bdRateExtend(R215:R219,Z215:Z219,AN215:AN219,AV215:AV219))</f>
        <v>3.3765828258498498E-3</v>
      </c>
      <c r="BL215" s="61"/>
      <c r="BN215" s="54">
        <f>IF(OR(ISBLANK(P215:P219),ISBLANK(AL215:AL219),ISBLANK(T215:T219),ISBLANK(AP215:AP219)),"·",bdRateExtend(P215:P219,T215:T219,AL215:AL219,AP215:AP219))</f>
        <v>-4.7187572772822151E-4</v>
      </c>
      <c r="BO215" s="54">
        <f>IF(OR(ISBLANK(P215:P219),ISBLANK(AL215:AL219),ISBLANK(U215:U219),ISBLANK(AQ215:AQ219)),"·",bdRateExtend(P215:P219,U215:U219,AL215:AL219,AQ215:AQ219))</f>
        <v>-8.2819289774971327E-4</v>
      </c>
      <c r="BP215" s="54">
        <f>IF(OR(ISBLANK(P215:P219),ISBLANK(AL215:AL219),ISBLANK(V215:V219),ISBLANK(AR215:AR219)),"·",bdRateExtend(P215:P219,V215:V219,AL215:AL219,AR215:AR219))</f>
        <v>-8.9916589218808074E-4</v>
      </c>
      <c r="BQ215" s="61"/>
      <c r="BS215" s="54">
        <f>IF(OR(ISBLANK(P215:P219),ISBLANK(AL215:AL219),ISBLANK(X215:X219),ISBLANK(AT215:AT219)),"·",bdRateExtend(P215:P219,X215:X219,AL215:AL219,AT215:AT219))</f>
        <v>3.7144635253616443E-4</v>
      </c>
      <c r="BT215" s="54">
        <f>IF(OR(ISBLANK(P215:P219),ISBLANK(AL215:AL219),ISBLANK(Y215:Y219),ISBLANK(AU215:AU219)),"·",bdRateExtend(P215:P219,Y215:Y219,AL215:AL219,AU215:AU219))</f>
        <v>3.7144635253616443E-4</v>
      </c>
      <c r="BU215" s="54">
        <f>IF(OR(ISBLANK(P215:P219),ISBLANK(AL215:AL219),ISBLANK(Z215:Z219),ISBLANK(AV215:AV219)),"·",bdRateExtend(P215:P219,Z215:Z219,AL215:AL219,AV215:AV219))</f>
        <v>3.7144635253616443E-4</v>
      </c>
      <c r="BV215" s="61"/>
      <c r="BX215">
        <f t="shared" si="84"/>
        <v>0</v>
      </c>
      <c r="BY215">
        <f t="shared" si="85"/>
        <v>18304</v>
      </c>
      <c r="BZ215">
        <f t="shared" si="86"/>
        <v>0</v>
      </c>
      <c r="CA215">
        <f t="shared" si="87"/>
        <v>18304</v>
      </c>
      <c r="CB215">
        <f t="shared" si="88"/>
        <v>0</v>
      </c>
      <c r="CC215">
        <f t="shared" si="89"/>
        <v>7.1999999999995623E-2</v>
      </c>
      <c r="CD215">
        <f t="shared" si="90"/>
        <v>9.2199999999998283E-2</v>
      </c>
      <c r="CE215">
        <f t="shared" si="91"/>
        <v>9.8199999999998511E-2</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41.445593595339737</v>
      </c>
      <c r="K216" s="23">
        <f t="shared" si="75"/>
        <v>34.227515873619183</v>
      </c>
      <c r="L216" s="23">
        <f t="shared" si="76"/>
        <v>7.2169894735999804</v>
      </c>
      <c r="M216" s="24"/>
      <c r="N216" s="23">
        <f t="shared" si="77"/>
        <v>41.445593595339737</v>
      </c>
      <c r="O216" s="25">
        <v>499886</v>
      </c>
      <c r="P216" s="26">
        <v>20718072</v>
      </c>
      <c r="Q216" s="26">
        <v>17109856</v>
      </c>
      <c r="R216" s="26">
        <v>3607672</v>
      </c>
      <c r="S216" s="40"/>
      <c r="T216" s="41">
        <v>48.510300000000001</v>
      </c>
      <c r="U216" s="41">
        <v>50.477200000000003</v>
      </c>
      <c r="V216" s="41">
        <v>50.466299999999997</v>
      </c>
      <c r="W216" s="42"/>
      <c r="X216" s="41">
        <v>42.110199999999999</v>
      </c>
      <c r="Y216" s="41">
        <v>42.110199999999999</v>
      </c>
      <c r="Z216" s="41">
        <v>42.110199999999999</v>
      </c>
      <c r="AA216" s="42"/>
      <c r="AB216" s="50">
        <v>1.875</v>
      </c>
      <c r="AC216" s="50">
        <v>1.625</v>
      </c>
      <c r="AE216" s="22" t="str">
        <f t="shared" si="78"/>
        <v>·</v>
      </c>
      <c r="AF216" s="23">
        <f t="shared" si="79"/>
        <v>41.463165601757204</v>
      </c>
      <c r="AG216" s="23">
        <f t="shared" si="80"/>
        <v>34.227515873619183</v>
      </c>
      <c r="AH216" s="23">
        <f t="shared" si="81"/>
        <v>7.2345614800174438</v>
      </c>
      <c r="AI216" s="24"/>
      <c r="AJ216" s="23">
        <f t="shared" si="82"/>
        <v>41.463165601757204</v>
      </c>
      <c r="AK216" s="25">
        <v>499886</v>
      </c>
      <c r="AL216" s="26">
        <v>20726856</v>
      </c>
      <c r="AM216" s="26">
        <v>17109856</v>
      </c>
      <c r="AN216" s="26">
        <v>3616456</v>
      </c>
      <c r="AO216" s="40"/>
      <c r="AP216" s="41">
        <v>48.584800000000001</v>
      </c>
      <c r="AQ216" s="41">
        <v>50.555599999999998</v>
      </c>
      <c r="AR216" s="41">
        <v>50.549700000000001</v>
      </c>
      <c r="AS216" s="42"/>
      <c r="AT216" s="41">
        <v>42.110199999999999</v>
      </c>
      <c r="AU216" s="41">
        <v>42.110199999999999</v>
      </c>
      <c r="AV216" s="41">
        <v>42.110199999999999</v>
      </c>
      <c r="AW216" s="42"/>
      <c r="AX216" s="50">
        <v>1.875</v>
      </c>
      <c r="AY216" s="50">
        <v>1.625</v>
      </c>
      <c r="BA216" s="55">
        <f t="shared" si="83"/>
        <v>-3.4999022374193611E-4</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8784</v>
      </c>
      <c r="BZ216">
        <f t="shared" si="86"/>
        <v>0</v>
      </c>
      <c r="CA216">
        <f t="shared" si="87"/>
        <v>8784</v>
      </c>
      <c r="CB216">
        <f t="shared" si="88"/>
        <v>0</v>
      </c>
      <c r="CC216">
        <f t="shared" si="89"/>
        <v>7.4500000000000455E-2</v>
      </c>
      <c r="CD216">
        <f t="shared" si="90"/>
        <v>7.8399999999994918E-2</v>
      </c>
      <c r="CE216">
        <f t="shared" si="91"/>
        <v>8.3400000000004582E-2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38.793997031323144</v>
      </c>
      <c r="K217" s="18">
        <f t="shared" si="75"/>
        <v>34.227515873619183</v>
      </c>
      <c r="L217" s="18">
        <f t="shared" si="76"/>
        <v>4.5653929095833847</v>
      </c>
      <c r="M217" s="19"/>
      <c r="N217" s="18">
        <f t="shared" si="77"/>
        <v>38.793997031323144</v>
      </c>
      <c r="O217" s="20">
        <v>499886</v>
      </c>
      <c r="P217" s="21">
        <v>19392576</v>
      </c>
      <c r="Q217" s="21">
        <v>17109856</v>
      </c>
      <c r="R217" s="21">
        <v>2282176</v>
      </c>
      <c r="S217" s="37"/>
      <c r="T217" s="38">
        <v>41.389400000000002</v>
      </c>
      <c r="U217" s="38">
        <v>44.240099999999998</v>
      </c>
      <c r="V217" s="38">
        <v>44.588500000000003</v>
      </c>
      <c r="W217" s="39"/>
      <c r="X217" s="38">
        <v>34.151400000000002</v>
      </c>
      <c r="Y217" s="38">
        <v>34.151400000000002</v>
      </c>
      <c r="Z217" s="38">
        <v>34.151400000000002</v>
      </c>
      <c r="AA217" s="39"/>
      <c r="AB217" s="49">
        <v>1.843</v>
      </c>
      <c r="AC217" s="49">
        <v>1.609</v>
      </c>
      <c r="AE217" s="17" t="str">
        <f t="shared" si="78"/>
        <v>·</v>
      </c>
      <c r="AF217" s="18">
        <f t="shared" si="79"/>
        <v>38.803039092913181</v>
      </c>
      <c r="AG217" s="18">
        <f t="shared" si="80"/>
        <v>34.227515873619183</v>
      </c>
      <c r="AH217" s="18">
        <f t="shared" si="81"/>
        <v>4.5744349711734271</v>
      </c>
      <c r="AI217" s="19"/>
      <c r="AJ217" s="18">
        <f t="shared" si="82"/>
        <v>38.803039092913181</v>
      </c>
      <c r="AK217" s="20">
        <v>499886</v>
      </c>
      <c r="AL217" s="21">
        <v>19397096</v>
      </c>
      <c r="AM217" s="21">
        <v>17109856</v>
      </c>
      <c r="AN217" s="21">
        <v>2286696</v>
      </c>
      <c r="AO217" s="37"/>
      <c r="AP217" s="38">
        <v>41.477400000000003</v>
      </c>
      <c r="AQ217" s="38">
        <v>44.3568</v>
      </c>
      <c r="AR217" s="38">
        <v>44.7149</v>
      </c>
      <c r="AS217" s="39"/>
      <c r="AT217" s="38">
        <v>34.151400000000002</v>
      </c>
      <c r="AU217" s="38">
        <v>34.151400000000002</v>
      </c>
      <c r="AV217" s="38">
        <v>34.151400000000002</v>
      </c>
      <c r="AW217" s="39"/>
      <c r="AX217" s="49">
        <v>1.89</v>
      </c>
      <c r="AY217" s="49">
        <v>1.64</v>
      </c>
      <c r="BA217" s="53">
        <f t="shared" si="83"/>
        <v>-2.0559501105810174E-4</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4520</v>
      </c>
      <c r="BZ217">
        <f t="shared" si="86"/>
        <v>0</v>
      </c>
      <c r="CA217">
        <f t="shared" si="87"/>
        <v>4520</v>
      </c>
      <c r="CB217">
        <f t="shared" si="88"/>
        <v>0</v>
      </c>
      <c r="CC217">
        <f t="shared" si="89"/>
        <v>8.8000000000000966E-2</v>
      </c>
      <c r="CD217">
        <f t="shared" si="90"/>
        <v>0.11670000000000158</v>
      </c>
      <c r="CE217">
        <f t="shared" si="91"/>
        <v>0.12639999999999674</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37.015127449058383</v>
      </c>
      <c r="K218" s="23">
        <f t="shared" si="75"/>
        <v>34.227515873619183</v>
      </c>
      <c r="L218" s="23">
        <f t="shared" si="76"/>
        <v>2.7865233273186285</v>
      </c>
      <c r="M218" s="24"/>
      <c r="N218" s="23">
        <f t="shared" si="77"/>
        <v>37.015127449058383</v>
      </c>
      <c r="O218" s="25">
        <v>499886</v>
      </c>
      <c r="P218" s="26">
        <v>18503344</v>
      </c>
      <c r="Q218" s="26">
        <v>17109856</v>
      </c>
      <c r="R218" s="26">
        <v>1392944</v>
      </c>
      <c r="S218" s="40"/>
      <c r="T218" s="41">
        <v>35.667099999999998</v>
      </c>
      <c r="U218" s="41">
        <v>39.405200000000001</v>
      </c>
      <c r="V218" s="41">
        <v>39.805700000000002</v>
      </c>
      <c r="W218" s="42"/>
      <c r="X218" s="41">
        <v>28.130800000000001</v>
      </c>
      <c r="Y218" s="41">
        <v>28.130800000000001</v>
      </c>
      <c r="Z218" s="41">
        <v>28.130800000000001</v>
      </c>
      <c r="AA218" s="42"/>
      <c r="AB218" s="50">
        <v>1.843</v>
      </c>
      <c r="AC218" s="50">
        <v>1.609</v>
      </c>
      <c r="AE218" s="22" t="str">
        <f t="shared" si="78"/>
        <v>·</v>
      </c>
      <c r="AF218" s="23">
        <f t="shared" si="79"/>
        <v>37.028170422856412</v>
      </c>
      <c r="AG218" s="23">
        <f t="shared" si="80"/>
        <v>34.227515873619183</v>
      </c>
      <c r="AH218" s="23">
        <f t="shared" si="81"/>
        <v>2.7995663011166547</v>
      </c>
      <c r="AI218" s="24"/>
      <c r="AJ218" s="23">
        <f t="shared" si="82"/>
        <v>37.028170422856412</v>
      </c>
      <c r="AK218" s="25">
        <v>499886</v>
      </c>
      <c r="AL218" s="26">
        <v>18509864</v>
      </c>
      <c r="AM218" s="26">
        <v>17109856</v>
      </c>
      <c r="AN218" s="26">
        <v>1399464</v>
      </c>
      <c r="AO218" s="40"/>
      <c r="AP218" s="41">
        <v>35.781700000000001</v>
      </c>
      <c r="AQ218" s="41">
        <v>39.546100000000003</v>
      </c>
      <c r="AR218" s="41">
        <v>39.938600000000001</v>
      </c>
      <c r="AS218" s="42"/>
      <c r="AT218" s="41">
        <v>28.130800000000001</v>
      </c>
      <c r="AU218" s="41">
        <v>28.130800000000001</v>
      </c>
      <c r="AV218" s="41">
        <v>28.130800000000001</v>
      </c>
      <c r="AW218" s="42"/>
      <c r="AX218" s="50">
        <v>1.843</v>
      </c>
      <c r="AY218" s="50">
        <v>1.5780000000000001</v>
      </c>
      <c r="BA218" s="55">
        <f t="shared" si="83"/>
        <v>-3.2571705497508319E-4</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6520</v>
      </c>
      <c r="BZ218">
        <f t="shared" si="86"/>
        <v>0</v>
      </c>
      <c r="CA218">
        <f t="shared" si="87"/>
        <v>6520</v>
      </c>
      <c r="CB218">
        <f t="shared" si="88"/>
        <v>0</v>
      </c>
      <c r="CC218">
        <f t="shared" si="89"/>
        <v>0.11460000000000292</v>
      </c>
      <c r="CD218">
        <f t="shared" si="90"/>
        <v>0.14090000000000202</v>
      </c>
      <c r="CE218">
        <f t="shared" si="91"/>
        <v>0.13289999999999935</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35.604773888446566</v>
      </c>
      <c r="K219" s="28">
        <f t="shared" si="75"/>
        <v>34.227515873619183</v>
      </c>
      <c r="L219" s="28">
        <f t="shared" si="76"/>
        <v>1.3761697667068091</v>
      </c>
      <c r="M219" s="29"/>
      <c r="N219" s="28">
        <f t="shared" si="77"/>
        <v>35.604773888446566</v>
      </c>
      <c r="O219" s="30">
        <v>499886</v>
      </c>
      <c r="P219" s="31">
        <v>17798328</v>
      </c>
      <c r="Q219" s="31">
        <v>17109856</v>
      </c>
      <c r="R219" s="31">
        <v>687928</v>
      </c>
      <c r="S219" s="43"/>
      <c r="T219" s="44">
        <v>29.667200000000001</v>
      </c>
      <c r="U219" s="44">
        <v>34.148099999999999</v>
      </c>
      <c r="V219" s="44">
        <v>34.879600000000003</v>
      </c>
      <c r="W219" s="45"/>
      <c r="X219" s="44">
        <v>21.686399999999999</v>
      </c>
      <c r="Y219" s="44">
        <v>21.686399999999999</v>
      </c>
      <c r="Z219" s="44">
        <v>21.686399999999999</v>
      </c>
      <c r="AA219" s="45"/>
      <c r="AB219" s="51">
        <v>1.843</v>
      </c>
      <c r="AC219" s="51">
        <v>1.593</v>
      </c>
      <c r="AE219" s="27" t="str">
        <f t="shared" si="78"/>
        <v>·</v>
      </c>
      <c r="AF219" s="28">
        <f t="shared" si="79"/>
        <v>35.613175804083333</v>
      </c>
      <c r="AG219" s="28">
        <f t="shared" si="80"/>
        <v>34.227515873619183</v>
      </c>
      <c r="AH219" s="28">
        <f t="shared" si="81"/>
        <v>1.3845716823435743</v>
      </c>
      <c r="AI219" s="29"/>
      <c r="AJ219" s="28">
        <f t="shared" si="82"/>
        <v>35.613175804083333</v>
      </c>
      <c r="AK219" s="30">
        <v>499886</v>
      </c>
      <c r="AL219" s="31">
        <v>17802528</v>
      </c>
      <c r="AM219" s="31">
        <v>17109856</v>
      </c>
      <c r="AN219" s="31">
        <v>692128</v>
      </c>
      <c r="AO219" s="43"/>
      <c r="AP219" s="44">
        <v>29.851299999999998</v>
      </c>
      <c r="AQ219" s="44">
        <v>34.428100000000001</v>
      </c>
      <c r="AR219" s="44">
        <v>35.176900000000003</v>
      </c>
      <c r="AS219" s="45"/>
      <c r="AT219" s="44">
        <v>21.686399999999999</v>
      </c>
      <c r="AU219" s="44">
        <v>21.686399999999999</v>
      </c>
      <c r="AV219" s="44">
        <v>21.686399999999999</v>
      </c>
      <c r="AW219" s="45"/>
      <c r="AX219" s="51">
        <v>1.8280000000000001</v>
      </c>
      <c r="AY219" s="51">
        <v>1.609</v>
      </c>
      <c r="BA219" s="57">
        <f t="shared" si="83"/>
        <v>-2.2679567137462442E-4</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4200</v>
      </c>
      <c r="BZ219">
        <f t="shared" si="86"/>
        <v>0</v>
      </c>
      <c r="CA219">
        <f t="shared" si="87"/>
        <v>4200</v>
      </c>
      <c r="CB219">
        <f t="shared" si="88"/>
        <v>0</v>
      </c>
      <c r="CC219">
        <f t="shared" si="89"/>
        <v>0.18409999999999727</v>
      </c>
      <c r="CD219">
        <f t="shared" si="90"/>
        <v>0.28000000000000114</v>
      </c>
      <c r="CE219">
        <f t="shared" si="91"/>
        <v>0.2972999999999999</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12.410876120616139</v>
      </c>
      <c r="K220" s="23">
        <f t="shared" si="75"/>
        <v>8.3884078225887588</v>
      </c>
      <c r="L220" s="23">
        <f t="shared" si="76"/>
        <v>4.0223860243633203</v>
      </c>
      <c r="M220" s="24"/>
      <c r="N220" s="23">
        <f t="shared" si="77"/>
        <v>12.410876120616139</v>
      </c>
      <c r="O220" s="25">
        <v>63787119</v>
      </c>
      <c r="P220" s="26">
        <v>791654032</v>
      </c>
      <c r="Q220" s="26">
        <v>535072368</v>
      </c>
      <c r="R220" s="26">
        <v>256576416</v>
      </c>
      <c r="S220" s="40"/>
      <c r="T220" s="41">
        <v>52.622999999999998</v>
      </c>
      <c r="U220" s="41">
        <v>56.85</v>
      </c>
      <c r="V220" s="41">
        <v>56.299799999999998</v>
      </c>
      <c r="W220" s="42"/>
      <c r="X220" s="41">
        <v>48.130800000000001</v>
      </c>
      <c r="Y220" s="41">
        <v>48.130800000000001</v>
      </c>
      <c r="Z220" s="41">
        <v>48.130800000000001</v>
      </c>
      <c r="AA220" s="42"/>
      <c r="AB220" s="50">
        <v>151.56200000000001</v>
      </c>
      <c r="AC220" s="50">
        <v>133.98400000000001</v>
      </c>
      <c r="AE220" s="22" t="str">
        <f t="shared" si="78"/>
        <v>·</v>
      </c>
      <c r="AF220" s="23">
        <f t="shared" si="79"/>
        <v>12.4125471790002</v>
      </c>
      <c r="AG220" s="23">
        <f t="shared" si="80"/>
        <v>8.3884078225887588</v>
      </c>
      <c r="AH220" s="23">
        <f t="shared" si="81"/>
        <v>4.0240570827473805</v>
      </c>
      <c r="AI220" s="24"/>
      <c r="AJ220" s="23">
        <f t="shared" si="82"/>
        <v>12.4125471790002</v>
      </c>
      <c r="AK220" s="25">
        <v>63787119</v>
      </c>
      <c r="AL220" s="26">
        <v>791760624</v>
      </c>
      <c r="AM220" s="26">
        <v>535072368</v>
      </c>
      <c r="AN220" s="26">
        <v>256683008</v>
      </c>
      <c r="AO220" s="40"/>
      <c r="AP220" s="41">
        <v>52.628700000000002</v>
      </c>
      <c r="AQ220" s="41">
        <v>56.8626</v>
      </c>
      <c r="AR220" s="41">
        <v>56.3127</v>
      </c>
      <c r="AS220" s="42"/>
      <c r="AT220" s="41">
        <v>48.130800000000001</v>
      </c>
      <c r="AU220" s="41">
        <v>48.130800000000001</v>
      </c>
      <c r="AV220" s="41">
        <v>48.130800000000001</v>
      </c>
      <c r="AW220" s="42"/>
      <c r="AX220" s="50">
        <v>152.06200000000001</v>
      </c>
      <c r="AY220" s="50">
        <v>134.23400000000001</v>
      </c>
      <c r="BA220" s="55">
        <f t="shared" si="83"/>
        <v>-9.0992963034053354E-5</v>
      </c>
      <c r="BB220" s="55">
        <f t="array" ref="BB220">AVERAGE(AM220:AM224/AL220:AL224)-AVERAGE(Q220:Q224/P220:P224)</f>
        <v>1.0455924376473469E-4</v>
      </c>
      <c r="BD220" s="56">
        <f>IF(OR(ISBLANK(R220:R224),ISBLANK(AN220:AN224),ISBLANK(T220:T224),ISBLANK(AP220:AP224)),"·",bdRateExtend(R220:R224,T220:T224,AN220:AN224,AP220:AP224))</f>
        <v>-5.9731473258962664E-3</v>
      </c>
      <c r="BE220" s="56">
        <f>IF(OR(ISBLANK(R220:R224),ISBLANK(AN220:AN224),ISBLANK(U220:U224),ISBLANK(AQ220:AQ224)),"·",bdRateExtend(R220:R224,U220:U224,AN220:AN224,AQ220:AQ224))</f>
        <v>-1.7364181897672637E-2</v>
      </c>
      <c r="BF220" s="56">
        <f>IF(OR(ISBLANK(R220:R224),ISBLANK(AN220:AN224),ISBLANK(V220:V224),ISBLANK(AR220:AR224)),"·",bdRateExtend(R220:R224,V220:V224,AN220:AN224,AR220:AR224))</f>
        <v>-1.6944777707750935E-2</v>
      </c>
      <c r="BG220" s="62"/>
      <c r="BI220" s="56">
        <f>IF(OR(ISBLANK(R220:R224),ISBLANK(AN220:AN224),ISBLANK(X220:X224),ISBLANK(AT220:AT224)),"·",bdRateExtend(R220:R224,X220:X224,AN220:AN224,AT220:AT224))</f>
        <v>-2.1280013226405714E-3</v>
      </c>
      <c r="BJ220" s="56">
        <f>IF(OR(ISBLANK(R220:R224),ISBLANK(AN220:AN224),ISBLANK(Y220:Y224),ISBLANK(AU220:AU224)),"·",bdRateExtend(R220:R224,Y220:Y224,AN220:AN224,AU220:AU224))</f>
        <v>-2.1280013226405714E-3</v>
      </c>
      <c r="BK220" s="56">
        <f>IF(OR(ISBLANK(R220:R224),ISBLANK(AN220:AN224),ISBLANK(Z220:Z224),ISBLANK(AV220:AV224)),"·",bdRateExtend(R220:R224,Z220:Z224,AN220:AN224,AV220:AV224))</f>
        <v>-2.1280013226405714E-3</v>
      </c>
      <c r="BL220" s="62"/>
      <c r="BN220" s="56">
        <f>IF(OR(ISBLANK(P220:P224),ISBLANK(AL220:AL224),ISBLANK(T220:T224),ISBLANK(AP220:AP224)),"·",bdRateExtend(P220:P224,T220:T224,AL220:AL224,AP220:AP224))</f>
        <v>-3.2323640498266304E-4</v>
      </c>
      <c r="BO220" s="56">
        <f>IF(OR(ISBLANK(P220:P224),ISBLANK(AL220:AL224),ISBLANK(U220:U224),ISBLANK(AQ220:AQ224)),"·",bdRateExtend(P220:P224,U220:U224,AL220:AL224,AQ220:AQ224))</f>
        <v>-9.9820838448927418E-4</v>
      </c>
      <c r="BP220" s="56">
        <f>IF(OR(ISBLANK(P220:P224),ISBLANK(AL220:AL224),ISBLANK(V220:V224),ISBLANK(AR220:AR224)),"·",bdRateExtend(P220:P224,V220:V224,AL220:AL224,AR220:AR224))</f>
        <v>-1.1051472610685842E-3</v>
      </c>
      <c r="BQ220" s="62"/>
      <c r="BS220" s="56">
        <f>IF(OR(ISBLANK(P220:P224),ISBLANK(AL220:AL224),ISBLANK(X220:X224),ISBLANK(AT220:AT224)),"·",bdRateExtend(P220:P224,X220:X224,AL220:AL224,AT220:AT224))</f>
        <v>-1.2141314558478111E-4</v>
      </c>
      <c r="BT220" s="56">
        <f>IF(OR(ISBLANK(P220:P224),ISBLANK(AL220:AL224),ISBLANK(Y220:Y224),ISBLANK(AU220:AU224)),"·",bdRateExtend(P220:P224,Y220:Y224,AL220:AL224,AU220:AU224))</f>
        <v>-1.2141314558478111E-4</v>
      </c>
      <c r="BU220" s="56">
        <f>IF(OR(ISBLANK(P220:P224),ISBLANK(AL220:AL224),ISBLANK(Z220:Z224),ISBLANK(AV220:AV224)),"·",bdRateExtend(P220:P224,Z220:Z224,AL220:AL224,AV220:AV224))</f>
        <v>-1.2141314558478111E-4</v>
      </c>
      <c r="BV220" s="62"/>
      <c r="BX220">
        <f t="shared" si="84"/>
        <v>0</v>
      </c>
      <c r="BY220">
        <f t="shared" si="85"/>
        <v>106592</v>
      </c>
      <c r="BZ220">
        <f t="shared" si="86"/>
        <v>0</v>
      </c>
      <c r="CA220">
        <f t="shared" si="87"/>
        <v>106592</v>
      </c>
      <c r="CB220">
        <f t="shared" si="88"/>
        <v>0</v>
      </c>
      <c r="CC220">
        <f t="shared" si="89"/>
        <v>5.7000000000044793E-3</v>
      </c>
      <c r="CD220">
        <f t="shared" si="90"/>
        <v>1.2599999999999056E-2</v>
      </c>
      <c r="CE220">
        <f t="shared" si="91"/>
        <v>1.290000000000191E-2</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11.11096464475845</v>
      </c>
      <c r="K221" s="18">
        <f t="shared" si="75"/>
        <v>8.3884078225887588</v>
      </c>
      <c r="L221" s="18">
        <f t="shared" si="76"/>
        <v>2.7224745485056316</v>
      </c>
      <c r="M221" s="19"/>
      <c r="N221" s="18">
        <f t="shared" si="77"/>
        <v>11.11096464475845</v>
      </c>
      <c r="O221" s="20">
        <v>63787119</v>
      </c>
      <c r="P221" s="21">
        <v>708736424</v>
      </c>
      <c r="Q221" s="21">
        <v>535072368</v>
      </c>
      <c r="R221" s="21">
        <v>173658808</v>
      </c>
      <c r="S221" s="37"/>
      <c r="T221" s="38">
        <v>47.863599999999998</v>
      </c>
      <c r="U221" s="38">
        <v>52.790999999999997</v>
      </c>
      <c r="V221" s="38">
        <v>52.210900000000002</v>
      </c>
      <c r="W221" s="39"/>
      <c r="X221" s="38">
        <v>42.110199999999999</v>
      </c>
      <c r="Y221" s="38">
        <v>42.110199999999999</v>
      </c>
      <c r="Z221" s="38">
        <v>42.110199999999999</v>
      </c>
      <c r="AA221" s="39"/>
      <c r="AB221" s="49">
        <v>151.21799999999999</v>
      </c>
      <c r="AC221" s="49">
        <v>133.375</v>
      </c>
      <c r="AE221" s="17" t="str">
        <f t="shared" si="78"/>
        <v>·</v>
      </c>
      <c r="AF221" s="18">
        <f t="shared" si="79"/>
        <v>11.111086801082832</v>
      </c>
      <c r="AG221" s="18">
        <f t="shared" si="80"/>
        <v>8.3884078225887588</v>
      </c>
      <c r="AH221" s="18">
        <f t="shared" si="81"/>
        <v>2.7225967048300141</v>
      </c>
      <c r="AI221" s="19"/>
      <c r="AJ221" s="18">
        <f t="shared" si="82"/>
        <v>11.111086801082832</v>
      </c>
      <c r="AK221" s="20">
        <v>63787119</v>
      </c>
      <c r="AL221" s="21">
        <v>708744216</v>
      </c>
      <c r="AM221" s="21">
        <v>535072368</v>
      </c>
      <c r="AN221" s="21">
        <v>173666600</v>
      </c>
      <c r="AO221" s="37"/>
      <c r="AP221" s="38">
        <v>47.867199999999997</v>
      </c>
      <c r="AQ221" s="38">
        <v>52.802999999999997</v>
      </c>
      <c r="AR221" s="38">
        <v>52.223300000000002</v>
      </c>
      <c r="AS221" s="39"/>
      <c r="AT221" s="38">
        <v>42.110199999999999</v>
      </c>
      <c r="AU221" s="38">
        <v>42.110199999999999</v>
      </c>
      <c r="AV221" s="38">
        <v>42.110199999999999</v>
      </c>
      <c r="AW221" s="39"/>
      <c r="AX221" s="49">
        <v>151.125</v>
      </c>
      <c r="AY221" s="49">
        <v>133.203</v>
      </c>
      <c r="BA221" s="53">
        <f t="shared" si="83"/>
        <v>-8.3001738153676285E-6</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7792</v>
      </c>
      <c r="BZ221">
        <f t="shared" si="86"/>
        <v>0</v>
      </c>
      <c r="CA221">
        <f t="shared" si="87"/>
        <v>7792</v>
      </c>
      <c r="CB221">
        <f t="shared" si="88"/>
        <v>0</v>
      </c>
      <c r="CC221">
        <f t="shared" si="89"/>
        <v>3.5999999999987153E-3</v>
      </c>
      <c r="CD221">
        <f t="shared" si="90"/>
        <v>1.2000000000000455E-2</v>
      </c>
      <c r="CE221">
        <f t="shared" si="91"/>
        <v>1.2399999999999523E-2</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9.7117617743482043</v>
      </c>
      <c r="K222" s="23">
        <f t="shared" si="75"/>
        <v>8.3884078225887588</v>
      </c>
      <c r="L222" s="23">
        <f t="shared" si="76"/>
        <v>1.3232716780953848</v>
      </c>
      <c r="M222" s="24"/>
      <c r="N222" s="23">
        <f t="shared" si="77"/>
        <v>9.7117617743482043</v>
      </c>
      <c r="O222" s="25">
        <v>63787119</v>
      </c>
      <c r="P222" s="26">
        <v>619485304</v>
      </c>
      <c r="Q222" s="26">
        <v>535072368</v>
      </c>
      <c r="R222" s="26">
        <v>84407688</v>
      </c>
      <c r="S222" s="40"/>
      <c r="T222" s="41">
        <v>41.1526</v>
      </c>
      <c r="U222" s="41">
        <v>47.8386</v>
      </c>
      <c r="V222" s="41">
        <v>46.976700000000001</v>
      </c>
      <c r="W222" s="42"/>
      <c r="X222" s="41">
        <v>34.151400000000002</v>
      </c>
      <c r="Y222" s="41">
        <v>34.151400000000002</v>
      </c>
      <c r="Z222" s="41">
        <v>34.151400000000002</v>
      </c>
      <c r="AA222" s="42"/>
      <c r="AB222" s="50">
        <v>150.18700000000001</v>
      </c>
      <c r="AC222" s="50">
        <v>131.98400000000001</v>
      </c>
      <c r="AE222" s="22" t="str">
        <f t="shared" si="78"/>
        <v>·</v>
      </c>
      <c r="AF222" s="23">
        <f t="shared" si="79"/>
        <v>9.7103691420833727</v>
      </c>
      <c r="AG222" s="23">
        <f t="shared" si="80"/>
        <v>8.3884078225887588</v>
      </c>
      <c r="AH222" s="23">
        <f t="shared" si="81"/>
        <v>1.321879045830554</v>
      </c>
      <c r="AI222" s="24"/>
      <c r="AJ222" s="23">
        <f t="shared" si="82"/>
        <v>9.7103691420833727</v>
      </c>
      <c r="AK222" s="25">
        <v>63787119</v>
      </c>
      <c r="AL222" s="26">
        <v>619396472</v>
      </c>
      <c r="AM222" s="26">
        <v>535072368</v>
      </c>
      <c r="AN222" s="26">
        <v>84318856</v>
      </c>
      <c r="AO222" s="40"/>
      <c r="AP222" s="41">
        <v>41.1571</v>
      </c>
      <c r="AQ222" s="41">
        <v>47.8626</v>
      </c>
      <c r="AR222" s="41">
        <v>47.028500000000001</v>
      </c>
      <c r="AS222" s="42"/>
      <c r="AT222" s="41">
        <v>34.151400000000002</v>
      </c>
      <c r="AU222" s="41">
        <v>34.151400000000002</v>
      </c>
      <c r="AV222" s="41">
        <v>34.151400000000002</v>
      </c>
      <c r="AW222" s="42"/>
      <c r="AX222" s="50">
        <v>150.13999999999999</v>
      </c>
      <c r="AY222" s="50">
        <v>132.29599999999999</v>
      </c>
      <c r="BA222" s="55">
        <f t="shared" si="83"/>
        <v>1.2387458956497621E-4</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-88832</v>
      </c>
      <c r="BZ222">
        <f t="shared" si="86"/>
        <v>0</v>
      </c>
      <c r="CA222">
        <f t="shared" si="87"/>
        <v>-88832</v>
      </c>
      <c r="CB222">
        <f t="shared" si="88"/>
        <v>0</v>
      </c>
      <c r="CC222">
        <f t="shared" si="89"/>
        <v>4.5000000000001705E-3</v>
      </c>
      <c r="CD222">
        <f t="shared" si="90"/>
        <v>2.4000000000000909E-2</v>
      </c>
      <c r="CE222">
        <f t="shared" si="91"/>
        <v>5.1800000000000068E-2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9.0207911725876819</v>
      </c>
      <c r="K223" s="18">
        <f t="shared" si="75"/>
        <v>8.3884078225887588</v>
      </c>
      <c r="L223" s="18">
        <f t="shared" si="76"/>
        <v>0.63230107633486321</v>
      </c>
      <c r="M223" s="19"/>
      <c r="N223" s="18">
        <f t="shared" si="77"/>
        <v>9.0207911725876819</v>
      </c>
      <c r="O223" s="20">
        <v>63787119</v>
      </c>
      <c r="P223" s="21">
        <v>575410280</v>
      </c>
      <c r="Q223" s="21">
        <v>535072368</v>
      </c>
      <c r="R223" s="21">
        <v>40332664</v>
      </c>
      <c r="S223" s="37"/>
      <c r="T223" s="38">
        <v>35.887</v>
      </c>
      <c r="U223" s="38">
        <v>43.0959</v>
      </c>
      <c r="V223" s="38">
        <v>42.058700000000002</v>
      </c>
      <c r="W223" s="39"/>
      <c r="X223" s="38">
        <v>28.130800000000001</v>
      </c>
      <c r="Y223" s="38">
        <v>28.130800000000001</v>
      </c>
      <c r="Z223" s="38">
        <v>28.130800000000001</v>
      </c>
      <c r="AA223" s="39"/>
      <c r="AB223" s="49">
        <v>148.93700000000001</v>
      </c>
      <c r="AC223" s="49">
        <v>131.18700000000001</v>
      </c>
      <c r="AE223" s="17" t="str">
        <f t="shared" si="78"/>
        <v>·</v>
      </c>
      <c r="AF223" s="18">
        <f t="shared" si="79"/>
        <v>9.0182102126292936</v>
      </c>
      <c r="AG223" s="18">
        <f t="shared" si="80"/>
        <v>8.3884078225887588</v>
      </c>
      <c r="AH223" s="18">
        <f t="shared" si="81"/>
        <v>0.62972011637647407</v>
      </c>
      <c r="AI223" s="19"/>
      <c r="AJ223" s="18">
        <f t="shared" si="82"/>
        <v>9.0182102126292936</v>
      </c>
      <c r="AK223" s="20">
        <v>63787119</v>
      </c>
      <c r="AL223" s="21">
        <v>575245648</v>
      </c>
      <c r="AM223" s="21">
        <v>535072368</v>
      </c>
      <c r="AN223" s="21">
        <v>40168032</v>
      </c>
      <c r="AO223" s="37"/>
      <c r="AP223" s="38">
        <v>35.9131</v>
      </c>
      <c r="AQ223" s="38">
        <v>43.214500000000001</v>
      </c>
      <c r="AR223" s="38">
        <v>42.188099999999999</v>
      </c>
      <c r="AS223" s="39"/>
      <c r="AT223" s="38">
        <v>28.130800000000001</v>
      </c>
      <c r="AU223" s="38">
        <v>28.130800000000001</v>
      </c>
      <c r="AV223" s="38">
        <v>28.130800000000001</v>
      </c>
      <c r="AW223" s="39"/>
      <c r="AX223" s="49">
        <v>149.06200000000001</v>
      </c>
      <c r="AY223" s="49">
        <v>131.46799999999999</v>
      </c>
      <c r="BA223" s="53">
        <f t="shared" si="83"/>
        <v>2.6613121690588493E-4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-164632</v>
      </c>
      <c r="BZ223">
        <f t="shared" si="86"/>
        <v>0</v>
      </c>
      <c r="CA223">
        <f t="shared" si="87"/>
        <v>-164632</v>
      </c>
      <c r="CB223">
        <f t="shared" si="88"/>
        <v>0</v>
      </c>
      <c r="CC223">
        <f t="shared" si="89"/>
        <v>2.6099999999999568E-2</v>
      </c>
      <c r="CD223">
        <f t="shared" si="90"/>
        <v>0.1186000000000007</v>
      </c>
      <c r="CE223">
        <f t="shared" si="91"/>
        <v>0.12939999999999685</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8.6266443856791835</v>
      </c>
      <c r="K224" s="33">
        <f t="shared" si="75"/>
        <v>8.3884078225887588</v>
      </c>
      <c r="L224" s="33">
        <f t="shared" si="76"/>
        <v>0.23815428942636521</v>
      </c>
      <c r="M224" s="34"/>
      <c r="N224" s="33">
        <f t="shared" si="77"/>
        <v>8.6266443856791835</v>
      </c>
      <c r="O224" s="35">
        <v>63787119</v>
      </c>
      <c r="P224" s="36">
        <v>550268792</v>
      </c>
      <c r="Q224" s="36">
        <v>535072368</v>
      </c>
      <c r="R224" s="36">
        <v>15191176</v>
      </c>
      <c r="S224" s="46"/>
      <c r="T224" s="47">
        <v>30.000699999999998</v>
      </c>
      <c r="U224" s="47">
        <v>37.064799999999998</v>
      </c>
      <c r="V224" s="47">
        <v>35.758800000000001</v>
      </c>
      <c r="W224" s="48"/>
      <c r="X224" s="47">
        <v>21.686399999999999</v>
      </c>
      <c r="Y224" s="47">
        <v>21.686399999999999</v>
      </c>
      <c r="Z224" s="47">
        <v>21.686399999999999</v>
      </c>
      <c r="AA224" s="48"/>
      <c r="AB224" s="52">
        <v>148.01499999999999</v>
      </c>
      <c r="AC224" s="52">
        <v>130.828</v>
      </c>
      <c r="AE224" s="32" t="str">
        <f t="shared" si="78"/>
        <v>·</v>
      </c>
      <c r="AF224" s="33">
        <f t="shared" si="79"/>
        <v>8.6245859136544478</v>
      </c>
      <c r="AG224" s="33">
        <f t="shared" si="80"/>
        <v>8.3884078225887588</v>
      </c>
      <c r="AH224" s="33">
        <f t="shared" si="81"/>
        <v>0.23609581740162933</v>
      </c>
      <c r="AI224" s="34"/>
      <c r="AJ224" s="33">
        <f t="shared" si="82"/>
        <v>8.6245859136544478</v>
      </c>
      <c r="AK224" s="35">
        <v>63787119</v>
      </c>
      <c r="AL224" s="36">
        <v>550137488</v>
      </c>
      <c r="AM224" s="36">
        <v>535072368</v>
      </c>
      <c r="AN224" s="36">
        <v>15059872</v>
      </c>
      <c r="AO224" s="46"/>
      <c r="AP224" s="47">
        <v>30.135100000000001</v>
      </c>
      <c r="AQ224" s="47">
        <v>37.471699999999998</v>
      </c>
      <c r="AR224" s="47">
        <v>36.0824</v>
      </c>
      <c r="AS224" s="48"/>
      <c r="AT224" s="47">
        <v>21.686399999999999</v>
      </c>
      <c r="AU224" s="47">
        <v>21.686399999999999</v>
      </c>
      <c r="AV224" s="47">
        <v>21.686399999999999</v>
      </c>
      <c r="AW224" s="48"/>
      <c r="AX224" s="52">
        <v>148.60900000000001</v>
      </c>
      <c r="AY224" s="52">
        <v>131.26499999999999</v>
      </c>
      <c r="BA224" s="59">
        <f t="shared" si="83"/>
        <v>2.3208354920212226E-4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-131304</v>
      </c>
      <c r="BZ224">
        <f t="shared" si="86"/>
        <v>0</v>
      </c>
      <c r="CA224">
        <f t="shared" si="87"/>
        <v>-131304</v>
      </c>
      <c r="CB224">
        <f t="shared" si="88"/>
        <v>0</v>
      </c>
      <c r="CC224">
        <f t="shared" si="89"/>
        <v>0.13440000000000296</v>
      </c>
      <c r="CD224">
        <f t="shared" si="90"/>
        <v>0.40690000000000026</v>
      </c>
      <c r="CE224">
        <f t="shared" si="91"/>
        <v>0.323599999999999</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27.358751832645549</v>
      </c>
      <c r="K225" s="18">
        <f t="shared" si="75"/>
        <v>23.377496539908524</v>
      </c>
      <c r="L225" s="18">
        <f t="shared" si="76"/>
        <v>3.9811728684108627</v>
      </c>
      <c r="M225" s="19"/>
      <c r="N225" s="18">
        <f t="shared" si="77"/>
        <v>27.358751832645549</v>
      </c>
      <c r="O225" s="20">
        <v>63864641</v>
      </c>
      <c r="P225" s="21">
        <v>1747256864</v>
      </c>
      <c r="Q225" s="21">
        <v>1492995424</v>
      </c>
      <c r="R225" s="21">
        <v>254256176</v>
      </c>
      <c r="S225" s="37"/>
      <c r="T225" s="38">
        <v>52.624000000000002</v>
      </c>
      <c r="U225" s="38">
        <v>56.852499999999999</v>
      </c>
      <c r="V225" s="38">
        <v>56.302100000000003</v>
      </c>
      <c r="W225" s="39"/>
      <c r="X225" s="38">
        <v>48.130800000000001</v>
      </c>
      <c r="Y225" s="38">
        <v>48.130800000000001</v>
      </c>
      <c r="Z225" s="38">
        <v>48.130800000000001</v>
      </c>
      <c r="AA225" s="39"/>
      <c r="AB225" s="49">
        <v>235.04599999999999</v>
      </c>
      <c r="AC225" s="49">
        <v>207.35900000000001</v>
      </c>
      <c r="AE225" s="17" t="str">
        <f t="shared" si="78"/>
        <v>·</v>
      </c>
      <c r="AF225" s="18">
        <f t="shared" si="79"/>
        <v>27.360519696650297</v>
      </c>
      <c r="AG225" s="18">
        <f t="shared" si="80"/>
        <v>23.377496539908524</v>
      </c>
      <c r="AH225" s="18">
        <f t="shared" si="81"/>
        <v>3.9829407324156101</v>
      </c>
      <c r="AI225" s="19"/>
      <c r="AJ225" s="18">
        <f t="shared" si="82"/>
        <v>27.360519696650297</v>
      </c>
      <c r="AK225" s="20">
        <v>63864641</v>
      </c>
      <c r="AL225" s="21">
        <v>1747369768</v>
      </c>
      <c r="AM225" s="21">
        <v>1492995424</v>
      </c>
      <c r="AN225" s="21">
        <v>254369080</v>
      </c>
      <c r="AO225" s="37"/>
      <c r="AP225" s="38">
        <v>52.629300000000001</v>
      </c>
      <c r="AQ225" s="38">
        <v>56.864400000000003</v>
      </c>
      <c r="AR225" s="38">
        <v>56.313800000000001</v>
      </c>
      <c r="AS225" s="39"/>
      <c r="AT225" s="38">
        <v>48.130800000000001</v>
      </c>
      <c r="AU225" s="38">
        <v>48.130800000000001</v>
      </c>
      <c r="AV225" s="38">
        <v>48.130800000000001</v>
      </c>
      <c r="AW225" s="39"/>
      <c r="AX225" s="49">
        <v>235.06200000000001</v>
      </c>
      <c r="AY225" s="49">
        <v>208.71799999999999</v>
      </c>
      <c r="BA225" s="53">
        <f t="shared" si="83"/>
        <v>-5.5211078701988825E-5</v>
      </c>
      <c r="BB225" s="53">
        <f t="array" ref="BB225">AVERAGE(AM225:AM229/AL225:AL229)-AVERAGE(Q225:Q229/P225:P229)</f>
        <v>4.6249204003756539E-5</v>
      </c>
      <c r="BD225" s="54">
        <f>IF(OR(ISBLANK(R225:R229),ISBLANK(AN225:AN229),ISBLANK(T225:T229),ISBLANK(AP225:AP229)),"·",bdRateExtend(R225:R229,T225:T229,AN225:AN229,AP225:AP229))</f>
        <v>-5.2497361430497991E-3</v>
      </c>
      <c r="BE225" s="54">
        <f>IF(OR(ISBLANK(R225:R229),ISBLANK(AN225:AN229),ISBLANK(U225:U229),ISBLANK(AQ225:AQ229)),"·",bdRateExtend(R225:R229,U225:U229,AN225:AN229,AQ225:AQ229))</f>
        <v>-1.5961535432253537E-2</v>
      </c>
      <c r="BF225" s="54">
        <f>IF(OR(ISBLANK(R225:R229),ISBLANK(AN225:AN229),ISBLANK(V225:V229),ISBLANK(AR225:AR229)),"·",bdRateExtend(R225:R229,V225:V229,AN225:AN229,AR225:AR229))</f>
        <v>-1.7584334803914081E-2</v>
      </c>
      <c r="BG225" s="61"/>
      <c r="BI225" s="54">
        <f>IF(OR(ISBLANK(R225:R229),ISBLANK(AN225:AN229),ISBLANK(X225:X229),ISBLANK(AT225:AT229)),"·",bdRateExtend(R225:R229,X225:X229,AN225:AN229,AT225:AT229))</f>
        <v>-2.6108354449267956E-3</v>
      </c>
      <c r="BJ225" s="54">
        <f>IF(OR(ISBLANK(R225:R229),ISBLANK(AN225:AN229),ISBLANK(Y225:Y229),ISBLANK(AU225:AU229)),"·",bdRateExtend(R225:R229,Y225:Y229,AN225:AN229,AU225:AU229))</f>
        <v>-2.6108354449267956E-3</v>
      </c>
      <c r="BK225" s="54">
        <f>IF(OR(ISBLANK(R225:R229),ISBLANK(AN225:AN229),ISBLANK(Z225:Z229),ISBLANK(AV225:AV229)),"·",bdRateExtend(R225:R229,Z225:Z229,AN225:AN229,AV225:AV229))</f>
        <v>-2.6108354449267956E-3</v>
      </c>
      <c r="BL225" s="61"/>
      <c r="BN225" s="54">
        <f>IF(OR(ISBLANK(P225:P229),ISBLANK(AL225:AL229),ISBLANK(T225:T229),ISBLANK(AP225:AP229)),"·",bdRateExtend(P225:P229,T225:T229,AL225:AL229,AP225:AP229))</f>
        <v>-1.0459939332485568E-4</v>
      </c>
      <c r="BO225" s="54">
        <f>IF(OR(ISBLANK(P225:P229),ISBLANK(AL225:AL229),ISBLANK(U225:U229),ISBLANK(AQ225:AQ229)),"·",bdRateExtend(P225:P229,U225:U229,AL225:AL229,AQ225:AQ229))</f>
        <v>-3.9397726073453487E-4</v>
      </c>
      <c r="BP225" s="54">
        <f>IF(OR(ISBLANK(P225:P229),ISBLANK(AL225:AL229),ISBLANK(V225:V229),ISBLANK(AR225:AR229)),"·",bdRateExtend(P225:P229,V225:V229,AL225:AL229,AR225:AR229))</f>
        <v>-3.9044709565905222E-4</v>
      </c>
      <c r="BQ225" s="61"/>
      <c r="BS225" s="54">
        <f>IF(OR(ISBLANK(P225:P229),ISBLANK(AL225:AL229),ISBLANK(X225:X229),ISBLANK(AT225:AT229)),"·",bdRateExtend(P225:P229,X225:X229,AL225:AL229,AT225:AT229))</f>
        <v>-5.0428998808027536E-5</v>
      </c>
      <c r="BT225" s="54">
        <f>IF(OR(ISBLANK(P225:P229),ISBLANK(AL225:AL229),ISBLANK(Y225:Y229),ISBLANK(AU225:AU229)),"·",bdRateExtend(P225:P229,Y225:Y229,AL225:AL229,AU225:AU229))</f>
        <v>-5.0428998808027536E-5</v>
      </c>
      <c r="BU225" s="54">
        <f>IF(OR(ISBLANK(P225:P229),ISBLANK(AL225:AL229),ISBLANK(Z225:Z229),ISBLANK(AV225:AV229)),"·",bdRateExtend(P225:P229,Z225:Z229,AL225:AL229,AV225:AV229))</f>
        <v>-5.0428998808027536E-5</v>
      </c>
      <c r="BV225" s="61"/>
      <c r="BX225">
        <f t="shared" si="84"/>
        <v>0</v>
      </c>
      <c r="BY225">
        <f t="shared" si="85"/>
        <v>112904</v>
      </c>
      <c r="BZ225">
        <f t="shared" si="86"/>
        <v>0</v>
      </c>
      <c r="CA225">
        <f t="shared" si="87"/>
        <v>112904</v>
      </c>
      <c r="CB225">
        <f t="shared" si="88"/>
        <v>0</v>
      </c>
      <c r="CC225">
        <f t="shared" si="89"/>
        <v>5.2999999999983061E-3</v>
      </c>
      <c r="CD225">
        <f t="shared" si="90"/>
        <v>1.1900000000004241E-2</v>
      </c>
      <c r="CE225">
        <f t="shared" si="91"/>
        <v>1.1699999999997601E-2</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26.062520699051607</v>
      </c>
      <c r="K226" s="23">
        <f t="shared" si="75"/>
        <v>23.377496539908524</v>
      </c>
      <c r="L226" s="23">
        <f t="shared" si="76"/>
        <v>2.6849417348169231</v>
      </c>
      <c r="M226" s="24"/>
      <c r="N226" s="23">
        <f t="shared" si="77"/>
        <v>26.062520699051607</v>
      </c>
      <c r="O226" s="25">
        <v>63864641</v>
      </c>
      <c r="P226" s="26">
        <v>1664473528</v>
      </c>
      <c r="Q226" s="26">
        <v>1492995424</v>
      </c>
      <c r="R226" s="26">
        <v>171472840</v>
      </c>
      <c r="S226" s="40"/>
      <c r="T226" s="41">
        <v>47.856699999999996</v>
      </c>
      <c r="U226" s="41">
        <v>52.834499999999998</v>
      </c>
      <c r="V226" s="41">
        <v>52.243899999999996</v>
      </c>
      <c r="W226" s="42"/>
      <c r="X226" s="41">
        <v>42.110199999999999</v>
      </c>
      <c r="Y226" s="41">
        <v>42.110199999999999</v>
      </c>
      <c r="Z226" s="41">
        <v>42.110199999999999</v>
      </c>
      <c r="AA226" s="42"/>
      <c r="AB226" s="50">
        <v>234.453</v>
      </c>
      <c r="AC226" s="50">
        <v>206.578</v>
      </c>
      <c r="AE226" s="22" t="str">
        <f t="shared" si="78"/>
        <v>·</v>
      </c>
      <c r="AF226" s="23">
        <f t="shared" si="79"/>
        <v>26.062381279180759</v>
      </c>
      <c r="AG226" s="23">
        <f t="shared" si="80"/>
        <v>23.377496539908524</v>
      </c>
      <c r="AH226" s="23">
        <f t="shared" si="81"/>
        <v>2.6848023149460749</v>
      </c>
      <c r="AI226" s="24"/>
      <c r="AJ226" s="23">
        <f t="shared" si="82"/>
        <v>26.062381279180759</v>
      </c>
      <c r="AK226" s="25">
        <v>63864641</v>
      </c>
      <c r="AL226" s="26">
        <v>1664464624</v>
      </c>
      <c r="AM226" s="26">
        <v>1492995424</v>
      </c>
      <c r="AN226" s="26">
        <v>171463936</v>
      </c>
      <c r="AO226" s="40"/>
      <c r="AP226" s="41">
        <v>47.8611</v>
      </c>
      <c r="AQ226" s="41">
        <v>52.847900000000003</v>
      </c>
      <c r="AR226" s="41">
        <v>52.256500000000003</v>
      </c>
      <c r="AS226" s="42"/>
      <c r="AT226" s="41">
        <v>42.110199999999999</v>
      </c>
      <c r="AU226" s="41">
        <v>42.110199999999999</v>
      </c>
      <c r="AV226" s="41">
        <v>42.110199999999999</v>
      </c>
      <c r="AW226" s="42"/>
      <c r="AX226" s="50">
        <v>234.28100000000001</v>
      </c>
      <c r="AY226" s="50">
        <v>208.10900000000001</v>
      </c>
      <c r="BA226" s="55">
        <f t="shared" si="83"/>
        <v>4.7983526877404259E-6</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-8904</v>
      </c>
      <c r="BZ226">
        <f t="shared" si="86"/>
        <v>0</v>
      </c>
      <c r="CA226">
        <f t="shared" si="87"/>
        <v>-8904</v>
      </c>
      <c r="CB226">
        <f t="shared" si="88"/>
        <v>0</v>
      </c>
      <c r="CC226">
        <f t="shared" si="89"/>
        <v>4.4000000000039563E-3</v>
      </c>
      <c r="CD226">
        <f t="shared" si="90"/>
        <v>1.3400000000004297E-2</v>
      </c>
      <c r="CE226">
        <f t="shared" si="91"/>
        <v>1.2600000000006162E-2</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24.681992027482</v>
      </c>
      <c r="K227" s="18">
        <f t="shared" si="75"/>
        <v>23.377496539908524</v>
      </c>
      <c r="L227" s="18">
        <f t="shared" si="76"/>
        <v>1.3044130632473139</v>
      </c>
      <c r="M227" s="19"/>
      <c r="N227" s="18">
        <f t="shared" si="77"/>
        <v>24.681992027482</v>
      </c>
      <c r="O227" s="20">
        <v>63864641</v>
      </c>
      <c r="P227" s="21">
        <v>1576306560</v>
      </c>
      <c r="Q227" s="21">
        <v>1492995424</v>
      </c>
      <c r="R227" s="21">
        <v>83305872</v>
      </c>
      <c r="S227" s="37"/>
      <c r="T227" s="38">
        <v>41.143099999999997</v>
      </c>
      <c r="U227" s="38">
        <v>47.872300000000003</v>
      </c>
      <c r="V227" s="38">
        <v>47.016199999999998</v>
      </c>
      <c r="W227" s="39"/>
      <c r="X227" s="38">
        <v>34.151400000000002</v>
      </c>
      <c r="Y227" s="38">
        <v>34.151400000000002</v>
      </c>
      <c r="Z227" s="38">
        <v>34.151400000000002</v>
      </c>
      <c r="AA227" s="39"/>
      <c r="AB227" s="49">
        <v>232.73400000000001</v>
      </c>
      <c r="AC227" s="49">
        <v>205.53100000000001</v>
      </c>
      <c r="AE227" s="17" t="str">
        <f t="shared" si="78"/>
        <v>·</v>
      </c>
      <c r="AF227" s="18">
        <f t="shared" si="79"/>
        <v>24.68095520962844</v>
      </c>
      <c r="AG227" s="18">
        <f t="shared" si="80"/>
        <v>23.377496539908524</v>
      </c>
      <c r="AH227" s="18">
        <f t="shared" si="81"/>
        <v>1.3033762453937539</v>
      </c>
      <c r="AI227" s="19"/>
      <c r="AJ227" s="18">
        <f t="shared" si="82"/>
        <v>24.68095520962844</v>
      </c>
      <c r="AK227" s="20">
        <v>63864641</v>
      </c>
      <c r="AL227" s="21">
        <v>1576240344</v>
      </c>
      <c r="AM227" s="21">
        <v>1492995424</v>
      </c>
      <c r="AN227" s="21">
        <v>83239656</v>
      </c>
      <c r="AO227" s="37"/>
      <c r="AP227" s="38">
        <v>41.148899999999998</v>
      </c>
      <c r="AQ227" s="38">
        <v>47.9071</v>
      </c>
      <c r="AR227" s="38">
        <v>47.043399999999998</v>
      </c>
      <c r="AS227" s="39"/>
      <c r="AT227" s="38">
        <v>34.151400000000002</v>
      </c>
      <c r="AU227" s="38">
        <v>34.151400000000002</v>
      </c>
      <c r="AV227" s="38">
        <v>34.151400000000002</v>
      </c>
      <c r="AW227" s="39"/>
      <c r="AX227" s="49">
        <v>232.828</v>
      </c>
      <c r="AY227" s="49">
        <v>206.92099999999999</v>
      </c>
      <c r="BA227" s="53">
        <f t="shared" si="83"/>
        <v>3.9788566873255604E-5</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-66216</v>
      </c>
      <c r="BZ227">
        <f t="shared" si="86"/>
        <v>0</v>
      </c>
      <c r="CA227">
        <f t="shared" si="87"/>
        <v>-66216</v>
      </c>
      <c r="CB227">
        <f t="shared" si="88"/>
        <v>0</v>
      </c>
      <c r="CC227">
        <f t="shared" si="89"/>
        <v>5.8000000000006935E-3</v>
      </c>
      <c r="CD227">
        <f t="shared" si="90"/>
        <v>3.4799999999997056E-2</v>
      </c>
      <c r="CE227">
        <f t="shared" si="91"/>
        <v>2.7200000000000557E-2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24.000235247544882</v>
      </c>
      <c r="K228" s="23">
        <f t="shared" si="75"/>
        <v>23.377496539908524</v>
      </c>
      <c r="L228" s="23">
        <f t="shared" si="76"/>
        <v>0.62265628331019662</v>
      </c>
      <c r="M228" s="24"/>
      <c r="N228" s="23">
        <f t="shared" si="77"/>
        <v>24.000235247544882</v>
      </c>
      <c r="O228" s="25">
        <v>63864641</v>
      </c>
      <c r="P228" s="26">
        <v>1532766408</v>
      </c>
      <c r="Q228" s="26">
        <v>1492995424</v>
      </c>
      <c r="R228" s="26">
        <v>39765720</v>
      </c>
      <c r="S228" s="40"/>
      <c r="T228" s="41">
        <v>35.896500000000003</v>
      </c>
      <c r="U228" s="41">
        <v>43.1434</v>
      </c>
      <c r="V228" s="41">
        <v>42.053100000000001</v>
      </c>
      <c r="W228" s="42"/>
      <c r="X228" s="41">
        <v>28.130800000000001</v>
      </c>
      <c r="Y228" s="41">
        <v>28.130800000000001</v>
      </c>
      <c r="Z228" s="41">
        <v>28.130800000000001</v>
      </c>
      <c r="AA228" s="42"/>
      <c r="AB228" s="50">
        <v>232.34299999999999</v>
      </c>
      <c r="AC228" s="50">
        <v>205.35900000000001</v>
      </c>
      <c r="AE228" s="22" t="str">
        <f t="shared" si="78"/>
        <v>·</v>
      </c>
      <c r="AF228" s="23">
        <f t="shared" si="79"/>
        <v>23.997431818335908</v>
      </c>
      <c r="AG228" s="23">
        <f t="shared" si="80"/>
        <v>23.377496539908524</v>
      </c>
      <c r="AH228" s="23">
        <f t="shared" si="81"/>
        <v>0.61985285410122326</v>
      </c>
      <c r="AI228" s="24"/>
      <c r="AJ228" s="23">
        <f t="shared" si="82"/>
        <v>23.997431818335908</v>
      </c>
      <c r="AK228" s="25">
        <v>63864641</v>
      </c>
      <c r="AL228" s="26">
        <v>1532587368</v>
      </c>
      <c r="AM228" s="26">
        <v>1492995424</v>
      </c>
      <c r="AN228" s="26">
        <v>39586680</v>
      </c>
      <c r="AO228" s="40"/>
      <c r="AP228" s="41">
        <v>35.902700000000003</v>
      </c>
      <c r="AQ228" s="41">
        <v>43.271000000000001</v>
      </c>
      <c r="AR228" s="41">
        <v>42.186799999999998</v>
      </c>
      <c r="AS228" s="42"/>
      <c r="AT228" s="41">
        <v>28.130800000000001</v>
      </c>
      <c r="AU228" s="41">
        <v>28.130800000000001</v>
      </c>
      <c r="AV228" s="41">
        <v>28.130800000000001</v>
      </c>
      <c r="AW228" s="42"/>
      <c r="AX228" s="50">
        <v>234.64</v>
      </c>
      <c r="AY228" s="50">
        <v>207.5</v>
      </c>
      <c r="BA228" s="55">
        <f t="shared" si="83"/>
        <v>1.1379084704621345E-4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-179040</v>
      </c>
      <c r="BZ228">
        <f t="shared" si="86"/>
        <v>0</v>
      </c>
      <c r="CA228">
        <f t="shared" si="87"/>
        <v>-179040</v>
      </c>
      <c r="CB228">
        <f t="shared" si="88"/>
        <v>0</v>
      </c>
      <c r="CC228">
        <f t="shared" si="89"/>
        <v>6.1999999999997613E-3</v>
      </c>
      <c r="CD228">
        <f t="shared" si="90"/>
        <v>0.12760000000000105</v>
      </c>
      <c r="CE228">
        <f t="shared" si="91"/>
        <v>0.13369999999999749</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23.612713019086726</v>
      </c>
      <c r="K229" s="28">
        <f t="shared" si="75"/>
        <v>23.377496539908524</v>
      </c>
      <c r="L229" s="28">
        <f t="shared" si="76"/>
        <v>0.23513405485204247</v>
      </c>
      <c r="M229" s="29"/>
      <c r="N229" s="28">
        <f t="shared" si="77"/>
        <v>23.612713019086726</v>
      </c>
      <c r="O229" s="30">
        <v>63864641</v>
      </c>
      <c r="P229" s="31">
        <v>1508017440</v>
      </c>
      <c r="Q229" s="31">
        <v>1492995424</v>
      </c>
      <c r="R229" s="31">
        <v>15016752</v>
      </c>
      <c r="S229" s="43"/>
      <c r="T229" s="44">
        <v>30.026900000000001</v>
      </c>
      <c r="U229" s="44">
        <v>37.265700000000002</v>
      </c>
      <c r="V229" s="44">
        <v>35.726999999999997</v>
      </c>
      <c r="W229" s="45"/>
      <c r="X229" s="44">
        <v>21.686399999999999</v>
      </c>
      <c r="Y229" s="44">
        <v>21.686399999999999</v>
      </c>
      <c r="Z229" s="44">
        <v>21.686399999999999</v>
      </c>
      <c r="AA229" s="45"/>
      <c r="AB229" s="51">
        <v>232.703</v>
      </c>
      <c r="AC229" s="51">
        <v>205.39</v>
      </c>
      <c r="AE229" s="27" t="str">
        <f t="shared" si="78"/>
        <v>·</v>
      </c>
      <c r="AF229" s="28">
        <f t="shared" si="79"/>
        <v>23.6096586842162</v>
      </c>
      <c r="AG229" s="28">
        <f t="shared" si="80"/>
        <v>23.377496539908524</v>
      </c>
      <c r="AH229" s="28">
        <f t="shared" si="81"/>
        <v>0.23207971998151528</v>
      </c>
      <c r="AI229" s="29"/>
      <c r="AJ229" s="28">
        <f t="shared" si="82"/>
        <v>23.6096586842162</v>
      </c>
      <c r="AK229" s="30">
        <v>63864641</v>
      </c>
      <c r="AL229" s="31">
        <v>1507822376</v>
      </c>
      <c r="AM229" s="31">
        <v>1492995424</v>
      </c>
      <c r="AN229" s="31">
        <v>14821688</v>
      </c>
      <c r="AO229" s="43"/>
      <c r="AP229" s="44">
        <v>30.1374</v>
      </c>
      <c r="AQ229" s="44">
        <v>37.5017</v>
      </c>
      <c r="AR229" s="44">
        <v>36.0901</v>
      </c>
      <c r="AS229" s="45"/>
      <c r="AT229" s="44">
        <v>21.686399999999999</v>
      </c>
      <c r="AU229" s="44">
        <v>21.686399999999999</v>
      </c>
      <c r="AV229" s="44">
        <v>21.686399999999999</v>
      </c>
      <c r="AW229" s="45"/>
      <c r="AX229" s="51">
        <v>232.79599999999999</v>
      </c>
      <c r="AY229" s="51">
        <v>206.54599999999999</v>
      </c>
      <c r="BA229" s="57">
        <f t="shared" si="83"/>
        <v>1.2807933211356204E-4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-195064</v>
      </c>
      <c r="BZ229">
        <f t="shared" si="86"/>
        <v>0</v>
      </c>
      <c r="CA229">
        <f t="shared" si="87"/>
        <v>-195064</v>
      </c>
      <c r="CB229">
        <f t="shared" si="88"/>
        <v>0</v>
      </c>
      <c r="CC229">
        <f t="shared" si="89"/>
        <v>0.11049999999999827</v>
      </c>
      <c r="CD229">
        <f t="shared" si="90"/>
        <v>0.2359999999999971</v>
      </c>
      <c r="CE229">
        <f t="shared" si="91"/>
        <v>0.36310000000000286</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35.506663260505817</v>
      </c>
      <c r="K230" s="23">
        <f t="shared" si="75"/>
        <v>30.838964413784552</v>
      </c>
      <c r="L230" s="23">
        <f t="shared" si="76"/>
        <v>4.6673868930463822</v>
      </c>
      <c r="M230" s="24"/>
      <c r="N230" s="23">
        <f t="shared" si="77"/>
        <v>35.506663260505817</v>
      </c>
      <c r="O230" s="25">
        <v>2000297</v>
      </c>
      <c r="P230" s="26">
        <v>71023872</v>
      </c>
      <c r="Q230" s="26">
        <v>61687088</v>
      </c>
      <c r="R230" s="26">
        <v>9336160</v>
      </c>
      <c r="S230" s="40"/>
      <c r="T230" s="41">
        <v>53.3521</v>
      </c>
      <c r="U230" s="41">
        <v>56.021999999999998</v>
      </c>
      <c r="V230" s="41">
        <v>55.086500000000001</v>
      </c>
      <c r="W230" s="42"/>
      <c r="X230" s="41">
        <v>48.130800000000001</v>
      </c>
      <c r="Y230" s="41">
        <v>48.130800000000001</v>
      </c>
      <c r="Z230" s="41">
        <v>48.130800000000001</v>
      </c>
      <c r="AA230" s="42"/>
      <c r="AB230" s="50">
        <v>7.9370000000000003</v>
      </c>
      <c r="AC230" s="50">
        <v>6.875</v>
      </c>
      <c r="AE230" s="22" t="str">
        <f t="shared" si="78"/>
        <v>·</v>
      </c>
      <c r="AF230" s="23">
        <f t="shared" si="79"/>
        <v>35.526372333708444</v>
      </c>
      <c r="AG230" s="23">
        <f t="shared" si="80"/>
        <v>30.838964413784552</v>
      </c>
      <c r="AH230" s="23">
        <f t="shared" si="81"/>
        <v>4.6870959662490117</v>
      </c>
      <c r="AI230" s="24"/>
      <c r="AJ230" s="23">
        <f t="shared" si="82"/>
        <v>35.526372333708444</v>
      </c>
      <c r="AK230" s="25">
        <v>2000297</v>
      </c>
      <c r="AL230" s="26">
        <v>71063296</v>
      </c>
      <c r="AM230" s="26">
        <v>61687088</v>
      </c>
      <c r="AN230" s="26">
        <v>9375584</v>
      </c>
      <c r="AO230" s="40"/>
      <c r="AP230" s="41">
        <v>53.629199999999997</v>
      </c>
      <c r="AQ230" s="41">
        <v>56.302900000000001</v>
      </c>
      <c r="AR230" s="41">
        <v>55.739600000000003</v>
      </c>
      <c r="AS230" s="42"/>
      <c r="AT230" s="41">
        <v>48.130800000000001</v>
      </c>
      <c r="AU230" s="41">
        <v>48.130800000000001</v>
      </c>
      <c r="AV230" s="41">
        <v>48.130800000000001</v>
      </c>
      <c r="AW230" s="42"/>
      <c r="AX230" s="50">
        <v>7.9530000000000003</v>
      </c>
      <c r="AY230" s="50">
        <v>6.968</v>
      </c>
      <c r="BA230" s="55">
        <f t="shared" si="83"/>
        <v>-4.8184267796180791E-4</v>
      </c>
      <c r="BB230" s="55">
        <f t="array" ref="BB230">AVERAGE(AM230:AM234/AL230:AL234)-AVERAGE(Q230:Q234/P230:P234)</f>
        <v>-2.483285237042665E-4</v>
      </c>
      <c r="BD230" s="56">
        <f>IF(OR(ISBLANK(R230:R234),ISBLANK(AN230:AN234),ISBLANK(T230:T234),ISBLANK(AP230:AP234)),"·",bdRateExtend(R230:R234,T230:T234,AN230:AN234,AP230:AP234))</f>
        <v>-2.3900910455100011E-2</v>
      </c>
      <c r="BE230" s="56">
        <f>IF(OR(ISBLANK(R230:R234),ISBLANK(AN230:AN234),ISBLANK(U230:U234),ISBLANK(AQ230:AQ234)),"·",bdRateExtend(R230:R234,U230:U234,AN230:AN234,AQ230:AQ234))</f>
        <v>-4.4669449480988832E-2</v>
      </c>
      <c r="BF230" s="56">
        <f>IF(OR(ISBLANK(R230:R234),ISBLANK(AN230:AN234),ISBLANK(V230:V234),ISBLANK(AR230:AR234)),"·",bdRateExtend(R230:R234,V230:V234,AN230:AN234,AR230:AR234))</f>
        <v>-3.1614886067715231E-2</v>
      </c>
      <c r="BG230" s="62"/>
      <c r="BI230" s="56">
        <f>IF(OR(ISBLANK(R230:R234),ISBLANK(AN230:AN234),ISBLANK(X230:X234),ISBLANK(AT230:AT234)),"·",bdRateExtend(R230:R234,X230:X234,AN230:AN234,AT230:AT234))</f>
        <v>3.1548604964999338E-3</v>
      </c>
      <c r="BJ230" s="56">
        <f>IF(OR(ISBLANK(R230:R234),ISBLANK(AN230:AN234),ISBLANK(Y230:Y234),ISBLANK(AU230:AU234)),"·",bdRateExtend(R230:R234,Y230:Y234,AN230:AN234,AU230:AU234))</f>
        <v>3.1548604964999338E-3</v>
      </c>
      <c r="BK230" s="56">
        <f>IF(OR(ISBLANK(R230:R234),ISBLANK(AN230:AN234),ISBLANK(Z230:Z234),ISBLANK(AV230:AV234)),"·",bdRateExtend(R230:R234,Z230:Z234,AN230:AN234,AV230:AV234))</f>
        <v>3.1548604964999338E-3</v>
      </c>
      <c r="BL230" s="62"/>
      <c r="BN230" s="56">
        <f>IF(OR(ISBLANK(P230:P234),ISBLANK(AL230:AL234),ISBLANK(T230:T234),ISBLANK(AP230:AP234)),"·",bdRateExtend(P230:P234,T230:T234,AL230:AL234,AP230:AP234))</f>
        <v>-1.3352399243106161E-3</v>
      </c>
      <c r="BO230" s="56">
        <f>IF(OR(ISBLANK(P230:P234),ISBLANK(AL230:AL234),ISBLANK(U230:U234),ISBLANK(AQ230:AQ234)),"·",bdRateExtend(P230:P234,U230:U234,AL230:AL234,AQ230:AQ234))</f>
        <v>-2.7365640041733252E-3</v>
      </c>
      <c r="BP230" s="56">
        <f>IF(OR(ISBLANK(P230:P234),ISBLANK(AL230:AL234),ISBLANK(V230:V234),ISBLANK(AR230:AR234)),"·",bdRateExtend(P230:P234,V230:V234,AL230:AL234,AR230:AR234))</f>
        <v>-1.944994817744794E-3</v>
      </c>
      <c r="BQ230" s="62"/>
      <c r="BS230" s="56">
        <f>IF(OR(ISBLANK(P230:P234),ISBLANK(AL230:AL234),ISBLANK(X230:X234),ISBLANK(AT230:AT234)),"·",bdRateExtend(P230:P234,X230:X234,AL230:AL234,AT230:AT234))</f>
        <v>2.1670457424916023E-4</v>
      </c>
      <c r="BT230" s="56">
        <f>IF(OR(ISBLANK(P230:P234),ISBLANK(AL230:AL234),ISBLANK(Y230:Y234),ISBLANK(AU230:AU234)),"·",bdRateExtend(P230:P234,Y230:Y234,AL230:AL234,AU230:AU234))</f>
        <v>2.1670457424916023E-4</v>
      </c>
      <c r="BU230" s="56">
        <f>IF(OR(ISBLANK(P230:P234),ISBLANK(AL230:AL234),ISBLANK(Z230:Z234),ISBLANK(AV230:AV234)),"·",bdRateExtend(P230:P234,Z230:Z234,AL230:AL234,AV230:AV234))</f>
        <v>2.1670457424916023E-4</v>
      </c>
      <c r="BV230" s="62"/>
      <c r="BX230">
        <f t="shared" si="84"/>
        <v>0</v>
      </c>
      <c r="BY230">
        <f t="shared" si="85"/>
        <v>39424</v>
      </c>
      <c r="BZ230">
        <f t="shared" si="86"/>
        <v>0</v>
      </c>
      <c r="CA230">
        <f t="shared" si="87"/>
        <v>39424</v>
      </c>
      <c r="CB230">
        <f t="shared" si="88"/>
        <v>0</v>
      </c>
      <c r="CC230">
        <f t="shared" si="89"/>
        <v>0.27709999999999724</v>
      </c>
      <c r="CD230">
        <f t="shared" si="90"/>
        <v>0.28090000000000259</v>
      </c>
      <c r="CE230">
        <f t="shared" si="91"/>
        <v>0.65310000000000201</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34.365836673254023</v>
      </c>
      <c r="K231" s="18">
        <f t="shared" si="75"/>
        <v>30.838964413784552</v>
      </c>
      <c r="L231" s="18">
        <f t="shared" si="76"/>
        <v>3.5265603057945896</v>
      </c>
      <c r="M231" s="19"/>
      <c r="N231" s="18">
        <f t="shared" si="77"/>
        <v>34.365836673254023</v>
      </c>
      <c r="O231" s="20">
        <v>2000297</v>
      </c>
      <c r="P231" s="21">
        <v>68741880</v>
      </c>
      <c r="Q231" s="21">
        <v>61687088</v>
      </c>
      <c r="R231" s="21">
        <v>7054168</v>
      </c>
      <c r="S231" s="37"/>
      <c r="T231" s="38">
        <v>49.1738</v>
      </c>
      <c r="U231" s="38">
        <v>51.948399999999999</v>
      </c>
      <c r="V231" s="38">
        <v>51.4741</v>
      </c>
      <c r="W231" s="39"/>
      <c r="X231" s="38">
        <v>42.110199999999999</v>
      </c>
      <c r="Y231" s="38">
        <v>42.110199999999999</v>
      </c>
      <c r="Z231" s="38">
        <v>42.110199999999999</v>
      </c>
      <c r="AA231" s="39"/>
      <c r="AB231" s="49">
        <v>7.7649999999999997</v>
      </c>
      <c r="AC231" s="49">
        <v>6.859</v>
      </c>
      <c r="AE231" s="17" t="str">
        <f t="shared" si="78"/>
        <v>·</v>
      </c>
      <c r="AF231" s="18">
        <f t="shared" si="79"/>
        <v>34.374791343485491</v>
      </c>
      <c r="AG231" s="18">
        <f t="shared" si="80"/>
        <v>30.838964413784552</v>
      </c>
      <c r="AH231" s="18">
        <f t="shared" si="81"/>
        <v>3.53551497602606</v>
      </c>
      <c r="AI231" s="19"/>
      <c r="AJ231" s="18">
        <f t="shared" si="82"/>
        <v>34.374791343485491</v>
      </c>
      <c r="AK231" s="20">
        <v>2000297</v>
      </c>
      <c r="AL231" s="21">
        <v>68759792</v>
      </c>
      <c r="AM231" s="21">
        <v>61687088</v>
      </c>
      <c r="AN231" s="21">
        <v>7072080</v>
      </c>
      <c r="AO231" s="37"/>
      <c r="AP231" s="38">
        <v>49.332900000000002</v>
      </c>
      <c r="AQ231" s="38">
        <v>52.215699999999998</v>
      </c>
      <c r="AR231" s="38">
        <v>51.804600000000001</v>
      </c>
      <c r="AS231" s="39"/>
      <c r="AT231" s="38">
        <v>42.110199999999999</v>
      </c>
      <c r="AU231" s="38">
        <v>42.110199999999999</v>
      </c>
      <c r="AV231" s="38">
        <v>42.110199999999999</v>
      </c>
      <c r="AW231" s="39"/>
      <c r="AX231" s="49">
        <v>7.9059999999999997</v>
      </c>
      <c r="AY231" s="49">
        <v>6.9530000000000003</v>
      </c>
      <c r="BA231" s="53">
        <f t="shared" si="83"/>
        <v>-2.3376656235407633E-4</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17912</v>
      </c>
      <c r="BZ231">
        <f t="shared" si="86"/>
        <v>0</v>
      </c>
      <c r="CA231">
        <f t="shared" si="87"/>
        <v>17912</v>
      </c>
      <c r="CB231">
        <f t="shared" si="88"/>
        <v>0</v>
      </c>
      <c r="CC231">
        <f t="shared" si="89"/>
        <v>0.15910000000000224</v>
      </c>
      <c r="CD231">
        <f t="shared" si="90"/>
        <v>0.26729999999999876</v>
      </c>
      <c r="CE231">
        <f t="shared" si="91"/>
        <v>0.33050000000000068</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33.116042267723245</v>
      </c>
      <c r="K232" s="23">
        <f t="shared" si="75"/>
        <v>30.838964413784552</v>
      </c>
      <c r="L232" s="23">
        <f t="shared" si="76"/>
        <v>2.2767659002638108</v>
      </c>
      <c r="M232" s="24"/>
      <c r="N232" s="23">
        <f t="shared" si="77"/>
        <v>33.116042267723245</v>
      </c>
      <c r="O232" s="25">
        <v>2000297</v>
      </c>
      <c r="P232" s="26">
        <v>66241920</v>
      </c>
      <c r="Q232" s="26">
        <v>61687088</v>
      </c>
      <c r="R232" s="26">
        <v>4554208</v>
      </c>
      <c r="S232" s="40"/>
      <c r="T232" s="41">
        <v>41.881</v>
      </c>
      <c r="U232" s="41">
        <v>45.722799999999999</v>
      </c>
      <c r="V232" s="41">
        <v>45.221899999999998</v>
      </c>
      <c r="W232" s="42"/>
      <c r="X232" s="41">
        <v>34.151400000000002</v>
      </c>
      <c r="Y232" s="41">
        <v>34.151400000000002</v>
      </c>
      <c r="Z232" s="41">
        <v>34.151400000000002</v>
      </c>
      <c r="AA232" s="42"/>
      <c r="AB232" s="50">
        <v>7.8120000000000003</v>
      </c>
      <c r="AC232" s="50">
        <v>6.7960000000000003</v>
      </c>
      <c r="AE232" s="22" t="str">
        <f t="shared" si="78"/>
        <v>·</v>
      </c>
      <c r="AF232" s="23">
        <f t="shared" si="79"/>
        <v>33.123333185022027</v>
      </c>
      <c r="AG232" s="23">
        <f t="shared" si="80"/>
        <v>30.838964413784552</v>
      </c>
      <c r="AH232" s="23">
        <f t="shared" si="81"/>
        <v>2.2840568175625919</v>
      </c>
      <c r="AI232" s="24"/>
      <c r="AJ232" s="23">
        <f t="shared" si="82"/>
        <v>33.123333185022027</v>
      </c>
      <c r="AK232" s="25">
        <v>2000297</v>
      </c>
      <c r="AL232" s="26">
        <v>66256504</v>
      </c>
      <c r="AM232" s="26">
        <v>61687088</v>
      </c>
      <c r="AN232" s="26">
        <v>4568792</v>
      </c>
      <c r="AO232" s="40"/>
      <c r="AP232" s="41">
        <v>42.2254</v>
      </c>
      <c r="AQ232" s="41">
        <v>46.474499999999999</v>
      </c>
      <c r="AR232" s="41">
        <v>45.539700000000003</v>
      </c>
      <c r="AS232" s="42"/>
      <c r="AT232" s="41">
        <v>34.151400000000002</v>
      </c>
      <c r="AU232" s="41">
        <v>34.151400000000002</v>
      </c>
      <c r="AV232" s="41">
        <v>34.151400000000002</v>
      </c>
      <c r="AW232" s="42"/>
      <c r="AX232" s="50">
        <v>7.7960000000000003</v>
      </c>
      <c r="AY232" s="50">
        <v>6.89</v>
      </c>
      <c r="BA232" s="55">
        <f t="shared" si="83"/>
        <v>-2.0497905965743968E-4</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14584</v>
      </c>
      <c r="BZ232">
        <f t="shared" si="86"/>
        <v>0</v>
      </c>
      <c r="CA232">
        <f t="shared" si="87"/>
        <v>14584</v>
      </c>
      <c r="CB232">
        <f t="shared" si="88"/>
        <v>0</v>
      </c>
      <c r="CC232">
        <f t="shared" si="89"/>
        <v>0.34440000000000026</v>
      </c>
      <c r="CD232">
        <f t="shared" si="90"/>
        <v>0.75169999999999959</v>
      </c>
      <c r="CE232">
        <f t="shared" si="91"/>
        <v>0.31780000000000541</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32.313249482451859</v>
      </c>
      <c r="K233" s="18">
        <f t="shared" si="75"/>
        <v>30.838964413784552</v>
      </c>
      <c r="L233" s="18">
        <f t="shared" si="76"/>
        <v>1.4739731149924236</v>
      </c>
      <c r="M233" s="19"/>
      <c r="N233" s="18">
        <f t="shared" si="77"/>
        <v>32.313249482451859</v>
      </c>
      <c r="O233" s="20">
        <v>2000297</v>
      </c>
      <c r="P233" s="21">
        <v>64636096</v>
      </c>
      <c r="Q233" s="21">
        <v>61687088</v>
      </c>
      <c r="R233" s="21">
        <v>2948384</v>
      </c>
      <c r="S233" s="37"/>
      <c r="T233" s="38">
        <v>36.432600000000001</v>
      </c>
      <c r="U233" s="38">
        <v>40.878399999999999</v>
      </c>
      <c r="V233" s="38">
        <v>40.203800000000001</v>
      </c>
      <c r="W233" s="39"/>
      <c r="X233" s="38">
        <v>28.130800000000001</v>
      </c>
      <c r="Y233" s="38">
        <v>28.130800000000001</v>
      </c>
      <c r="Z233" s="38">
        <v>28.130800000000001</v>
      </c>
      <c r="AA233" s="39"/>
      <c r="AB233" s="49">
        <v>7.8120000000000003</v>
      </c>
      <c r="AC233" s="49">
        <v>6.7960000000000003</v>
      </c>
      <c r="AE233" s="17" t="str">
        <f t="shared" si="78"/>
        <v>·</v>
      </c>
      <c r="AF233" s="18">
        <f t="shared" si="79"/>
        <v>32.314417309029608</v>
      </c>
      <c r="AG233" s="18">
        <f t="shared" si="80"/>
        <v>30.838964413784552</v>
      </c>
      <c r="AH233" s="18">
        <f t="shared" si="81"/>
        <v>1.4751409415701768</v>
      </c>
      <c r="AI233" s="19"/>
      <c r="AJ233" s="18">
        <f t="shared" si="82"/>
        <v>32.314417309029608</v>
      </c>
      <c r="AK233" s="20">
        <v>2000297</v>
      </c>
      <c r="AL233" s="21">
        <v>64638432</v>
      </c>
      <c r="AM233" s="21">
        <v>61687088</v>
      </c>
      <c r="AN233" s="21">
        <v>2950720</v>
      </c>
      <c r="AO233" s="37"/>
      <c r="AP233" s="38">
        <v>36.883499999999998</v>
      </c>
      <c r="AQ233" s="38">
        <v>41.633200000000002</v>
      </c>
      <c r="AR233" s="38">
        <v>40.529299999999999</v>
      </c>
      <c r="AS233" s="39"/>
      <c r="AT233" s="38">
        <v>28.130800000000001</v>
      </c>
      <c r="AU233" s="38">
        <v>28.130800000000001</v>
      </c>
      <c r="AV233" s="38">
        <v>28.130800000000001</v>
      </c>
      <c r="AW233" s="39"/>
      <c r="AX233" s="49">
        <v>7.7960000000000003</v>
      </c>
      <c r="AY233" s="49">
        <v>6.875</v>
      </c>
      <c r="BA233" s="53">
        <f t="shared" si="83"/>
        <v>-3.4490634018391475E-5</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2336</v>
      </c>
      <c r="BZ233">
        <f t="shared" si="86"/>
        <v>0</v>
      </c>
      <c r="CA233">
        <f t="shared" si="87"/>
        <v>2336</v>
      </c>
      <c r="CB233">
        <f t="shared" si="88"/>
        <v>0</v>
      </c>
      <c r="CC233">
        <f t="shared" si="89"/>
        <v>0.45089999999999719</v>
      </c>
      <c r="CD233">
        <f t="shared" si="90"/>
        <v>0.75480000000000302</v>
      </c>
      <c r="CE233">
        <f t="shared" si="91"/>
        <v>0.32549999999999812</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31.669725045830695</v>
      </c>
      <c r="K234" s="33">
        <f t="shared" si="75"/>
        <v>30.838964413784552</v>
      </c>
      <c r="L234" s="33">
        <f t="shared" si="76"/>
        <v>0.83044867837126191</v>
      </c>
      <c r="M234" s="34"/>
      <c r="N234" s="33">
        <f t="shared" si="77"/>
        <v>31.669725045830695</v>
      </c>
      <c r="O234" s="35">
        <v>2000297</v>
      </c>
      <c r="P234" s="36">
        <v>63348856</v>
      </c>
      <c r="Q234" s="36">
        <v>61687088</v>
      </c>
      <c r="R234" s="36">
        <v>1661144</v>
      </c>
      <c r="S234" s="46"/>
      <c r="T234" s="47">
        <v>30.113900000000001</v>
      </c>
      <c r="U234" s="47">
        <v>36.168900000000001</v>
      </c>
      <c r="V234" s="47">
        <v>33.892899999999997</v>
      </c>
      <c r="W234" s="48"/>
      <c r="X234" s="47">
        <v>21.686399999999999</v>
      </c>
      <c r="Y234" s="47">
        <v>21.686399999999999</v>
      </c>
      <c r="Z234" s="47">
        <v>21.686399999999999</v>
      </c>
      <c r="AA234" s="48"/>
      <c r="AB234" s="52">
        <v>7.9210000000000003</v>
      </c>
      <c r="AC234" s="52">
        <v>6.875</v>
      </c>
      <c r="AE234" s="32" t="str">
        <f t="shared" si="78"/>
        <v>·</v>
      </c>
      <c r="AF234" s="33">
        <f t="shared" si="79"/>
        <v>31.679047661422278</v>
      </c>
      <c r="AG234" s="33">
        <f t="shared" si="80"/>
        <v>30.838964413784552</v>
      </c>
      <c r="AH234" s="33">
        <f t="shared" si="81"/>
        <v>0.83977129396284655</v>
      </c>
      <c r="AI234" s="34"/>
      <c r="AJ234" s="33">
        <f t="shared" si="82"/>
        <v>31.679047661422278</v>
      </c>
      <c r="AK234" s="35">
        <v>2000297</v>
      </c>
      <c r="AL234" s="36">
        <v>63367504</v>
      </c>
      <c r="AM234" s="36">
        <v>61687088</v>
      </c>
      <c r="AN234" s="36">
        <v>1679792</v>
      </c>
      <c r="AO234" s="46"/>
      <c r="AP234" s="47">
        <v>30.728400000000001</v>
      </c>
      <c r="AQ234" s="47">
        <v>36.516599999999997</v>
      </c>
      <c r="AR234" s="47">
        <v>35.057200000000002</v>
      </c>
      <c r="AS234" s="48"/>
      <c r="AT234" s="47">
        <v>21.686399999999999</v>
      </c>
      <c r="AU234" s="47">
        <v>21.686399999999999</v>
      </c>
      <c r="AV234" s="47">
        <v>21.686399999999999</v>
      </c>
      <c r="AW234" s="48"/>
      <c r="AX234" s="52">
        <v>7.7960000000000003</v>
      </c>
      <c r="AY234" s="52">
        <v>6.9059999999999997</v>
      </c>
      <c r="BA234" s="59">
        <f t="shared" si="83"/>
        <v>-2.8656368453039427E-4</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18648</v>
      </c>
      <c r="BZ234">
        <f t="shared" si="86"/>
        <v>0</v>
      </c>
      <c r="CA234">
        <f t="shared" si="87"/>
        <v>18648</v>
      </c>
      <c r="CB234">
        <f t="shared" si="88"/>
        <v>0</v>
      </c>
      <c r="CC234">
        <f t="shared" si="89"/>
        <v>0.6144999999999996</v>
      </c>
      <c r="CD234">
        <f t="shared" si="90"/>
        <v>0.34769999999999612</v>
      </c>
      <c r="CE234">
        <f t="shared" si="91"/>
        <v>1.1643000000000043</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32.008581459877853</v>
      </c>
      <c r="K235" s="18">
        <f t="shared" si="75"/>
        <v>17.528235366127969</v>
      </c>
      <c r="L235" s="18">
        <f t="shared" si="76"/>
        <v>10.790820448702913</v>
      </c>
      <c r="M235" s="18">
        <f t="shared" ref="M235:M266" si="97">IF(ISBLANK(Q235),"·",S235/D235)</f>
        <v>3.689328333229982</v>
      </c>
      <c r="N235" s="18">
        <f t="shared" si="77"/>
        <v>32.008581459877853</v>
      </c>
      <c r="O235" s="20">
        <v>19948121</v>
      </c>
      <c r="P235" s="21">
        <v>638511056</v>
      </c>
      <c r="Q235" s="21">
        <v>349655360</v>
      </c>
      <c r="R235" s="21">
        <v>215256592</v>
      </c>
      <c r="S235" s="21">
        <v>73595168</v>
      </c>
      <c r="T235" s="38">
        <v>53.490600000000001</v>
      </c>
      <c r="U235" s="38">
        <v>55.035699999999999</v>
      </c>
      <c r="V235" s="38">
        <v>54.831099999999999</v>
      </c>
      <c r="W235" s="38"/>
      <c r="X235" s="38">
        <v>48.130800000000001</v>
      </c>
      <c r="Y235" s="38">
        <v>48.130800000000001</v>
      </c>
      <c r="Z235" s="38">
        <v>48.130800000000001</v>
      </c>
      <c r="AA235" s="38"/>
      <c r="AB235" s="49">
        <v>46.265000000000001</v>
      </c>
      <c r="AC235" s="49">
        <v>36.030999999999999</v>
      </c>
      <c r="AE235" s="17" t="str">
        <f t="shared" si="78"/>
        <v>·</v>
      </c>
      <c r="AF235" s="18">
        <f t="shared" si="79"/>
        <v>32.060221812370195</v>
      </c>
      <c r="AG235" s="18">
        <f t="shared" si="80"/>
        <v>17.528235366127969</v>
      </c>
      <c r="AH235" s="18">
        <f t="shared" si="81"/>
        <v>10.84246080119526</v>
      </c>
      <c r="AI235" s="18">
        <f t="shared" ref="AI235:AI266" si="98">IF(ISBLANK(AM235),"·",AO235/D235)</f>
        <v>3.689328333229982</v>
      </c>
      <c r="AJ235" s="18">
        <f t="shared" si="82"/>
        <v>32.060221812370195</v>
      </c>
      <c r="AK235" s="20">
        <v>19948121</v>
      </c>
      <c r="AL235" s="21">
        <v>639541184</v>
      </c>
      <c r="AM235" s="21">
        <v>349655360</v>
      </c>
      <c r="AN235" s="21">
        <v>216286720</v>
      </c>
      <c r="AO235" s="21">
        <v>73595168</v>
      </c>
      <c r="AP235" s="38">
        <v>53.680799999999998</v>
      </c>
      <c r="AQ235" s="38">
        <v>55.222999999999999</v>
      </c>
      <c r="AR235" s="38">
        <v>55.037300000000002</v>
      </c>
      <c r="AS235" s="38"/>
      <c r="AT235" s="38">
        <v>48.130800000000001</v>
      </c>
      <c r="AU235" s="38">
        <v>48.130800000000001</v>
      </c>
      <c r="AV235" s="38">
        <v>48.130800000000001</v>
      </c>
      <c r="AW235" s="38"/>
      <c r="AX235" s="49">
        <v>46.186999999999998</v>
      </c>
      <c r="AY235" s="49">
        <v>36.280999999999999</v>
      </c>
      <c r="BA235" s="53">
        <f t="shared" si="83"/>
        <v>-8.8205251743644908E-4</v>
      </c>
      <c r="BB235" s="53">
        <f t="array" ref="BB235">AVERAGE(AM235:AM239/AL235:AL239)-AVERAGE(Q235:Q239/P235:P239)</f>
        <v>-1.3023532352494094E-3</v>
      </c>
      <c r="BD235" s="54">
        <f>IF(OR(ISBLANK(R235:R239),ISBLANK(AN235:AN239),ISBLANK(T235:T239),ISBLANK(AP235:AP239)),"·",bdRateExtend(R235:R239,T235:T239,AN235:AN239,AP235:AP239))</f>
        <v>-8.9593246568492324E-3</v>
      </c>
      <c r="BE235" s="54">
        <f>IF(OR(ISBLANK(R235:R239),ISBLANK(AN235:AN239),ISBLANK(U235:U239),ISBLANK(AQ235:AQ239)),"·",bdRateExtend(R235:R239,U235:U239,AN235:AN239,AQ235:AQ239))</f>
        <v>-9.4333091019125348E-3</v>
      </c>
      <c r="BF235" s="54">
        <f>IF(OR(ISBLANK(R235:R239),ISBLANK(AN235:AN239),ISBLANK(V235:V239),ISBLANK(AR235:AR239)),"·",bdRateExtend(R235:R239,V235:V239,AN235:AN239,AR235:AR239))</f>
        <v>-8.9654260371425654E-3</v>
      </c>
      <c r="BG235" s="54" t="str">
        <f>IF(OR(ISBLANK(S235:S239),ISBLANK(AO235:AO239),ISBLANK(W235:W239),ISBLANK(AS235:AS239)),"·",bdRateExtend(S235:S239,W235:W239,AO235:AO239,AS235:AS239))</f>
        <v>·</v>
      </c>
      <c r="BI235" s="54">
        <f>IF(OR(ISBLANK(R235:R239),ISBLANK(AN235:AN239),ISBLANK(X235:X239),ISBLANK(AT235:AT239)),"·",bdRateExtend(R235:R239,X235:X239,AN235:AN239,AT235:AT239))</f>
        <v>9.1155822881336945E-3</v>
      </c>
      <c r="BJ235" s="54">
        <f>IF(OR(ISBLANK(R235:R239),ISBLANK(AN235:AN239),ISBLANK(Y235:Y239),ISBLANK(AU235:AU239)),"·",bdRateExtend(R235:R239,Y235:Y239,AN235:AN239,AU235:AU239))</f>
        <v>9.1155822881336945E-3</v>
      </c>
      <c r="BK235" s="54">
        <f>IF(OR(ISBLANK(R235:R239),ISBLANK(AN235:AN239),ISBLANK(Z235:Z239),ISBLANK(AV235:AV239)),"·",bdRateExtend(R235:R239,Z235:Z239,AN235:AN239,AV235:AV239))</f>
        <v>9.1155822881336945E-3</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-2.8617519195460739E-3</v>
      </c>
      <c r="BO235" s="54">
        <f>IF(OR(ISBLANK(P235:P239),ISBLANK(AL235:AL239),ISBLANK(U235:U239),ISBLANK(AQ235:AQ239)),"·",bdRateExtend(P235:P239,U235:U239,AL235:AL239,AQ235:AQ239))</f>
        <v>-3.0341157240039163E-3</v>
      </c>
      <c r="BP235" s="54">
        <f>IF(OR(ISBLANK(P235:P239),ISBLANK(AL235:AL239),ISBLANK(V235:V239),ISBLANK(AR235:AR239)),"·",bdRateExtend(P235:P239,V235:V239,AL235:AL239,AR235:AR239))</f>
        <v>-3.0075556407471726E-3</v>
      </c>
      <c r="BQ235" s="54" t="str">
        <f>IF(OR(ISBLANK(P235:P239),ISBLANK(AL235:AL239),ISBLANK(W235:W239),ISBLANK(AS235:AS239)),"·",bdRateExtend(P235:P239,W235:W239,AL235:AL239,AS235:AS239))</f>
        <v>·</v>
      </c>
      <c r="BS235" s="54">
        <f>IF(OR(ISBLANK(P235:P239),ISBLANK(AL235:AL239),ISBLANK(X235:X239),ISBLANK(AT235:AT239)),"·",bdRateExtend(P235:P239,X235:X239,AL235:AL239,AT235:AT239))</f>
        <v>1.663156641936947E-3</v>
      </c>
      <c r="BT235" s="54">
        <f>IF(OR(ISBLANK(P235:P239),ISBLANK(AL235:AL239),ISBLANK(Y235:Y239),ISBLANK(AU235:AU239)),"·",bdRateExtend(P235:P239,Y235:Y239,AL235:AL239,AU235:AU239))</f>
        <v>1.663156641936947E-3</v>
      </c>
      <c r="BU235" s="54">
        <f>IF(OR(ISBLANK(P235:P239),ISBLANK(AL235:AL239),ISBLANK(Z235:Z239),ISBLANK(AV235:AV239)),"·",bdRateExtend(P235:P239,Z235:Z239,AL235:AL239,AV235:AV239))</f>
        <v>1.663156641936947E-3</v>
      </c>
      <c r="BV235" s="54" t="str">
        <f>IF(OR(ISBLANK(P235:P239),ISBLANK(AL235:AL239),ISBLANK(AA235:AA239),ISBLANK(AW235:AW239)),"·",bdRateExtend(P235:P239,AA235:AA239,AL235:AL239,AW235:AW239))</f>
        <v>·</v>
      </c>
      <c r="BX235">
        <f t="shared" si="84"/>
        <v>0</v>
      </c>
      <c r="BY235">
        <f t="shared" si="85"/>
        <v>1030128</v>
      </c>
      <c r="BZ235">
        <f t="shared" si="86"/>
        <v>0</v>
      </c>
      <c r="CA235">
        <f t="shared" si="87"/>
        <v>1030128</v>
      </c>
      <c r="CB235">
        <f t="shared" si="88"/>
        <v>0</v>
      </c>
      <c r="CC235">
        <f t="shared" si="89"/>
        <v>0.19019999999999726</v>
      </c>
      <c r="CD235">
        <f t="shared" si="90"/>
        <v>0.18730000000000047</v>
      </c>
      <c r="CE235">
        <f t="shared" si="91"/>
        <v>0.2062000000000026</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28.552284799154769</v>
      </c>
      <c r="K236" s="23">
        <f t="shared" si="75"/>
        <v>17.528235366127969</v>
      </c>
      <c r="L236" s="23">
        <f t="shared" si="76"/>
        <v>8.2668738574425138</v>
      </c>
      <c r="M236" s="23">
        <f t="shared" si="97"/>
        <v>2.7569778627270209</v>
      </c>
      <c r="N236" s="23">
        <f t="shared" si="77"/>
        <v>28.552284799154769</v>
      </c>
      <c r="O236" s="25">
        <v>19948121</v>
      </c>
      <c r="P236" s="26">
        <v>569564432</v>
      </c>
      <c r="Q236" s="26">
        <v>349655360</v>
      </c>
      <c r="R236" s="26">
        <v>164908600</v>
      </c>
      <c r="S236" s="26">
        <v>54996528</v>
      </c>
      <c r="T236" s="41">
        <v>48.668300000000002</v>
      </c>
      <c r="U236" s="41">
        <v>50.564300000000003</v>
      </c>
      <c r="V236" s="41">
        <v>50.217500000000001</v>
      </c>
      <c r="W236" s="41"/>
      <c r="X236" s="41">
        <v>42.110199999999999</v>
      </c>
      <c r="Y236" s="41">
        <v>42.110199999999999</v>
      </c>
      <c r="Z236" s="41">
        <v>42.110199999999999</v>
      </c>
      <c r="AA236" s="41"/>
      <c r="AB236" s="50">
        <v>45.405999999999999</v>
      </c>
      <c r="AC236" s="50">
        <v>35.530999999999999</v>
      </c>
      <c r="AE236" s="22" t="str">
        <f t="shared" si="78"/>
        <v>·</v>
      </c>
      <c r="AF236" s="23">
        <f t="shared" si="79"/>
        <v>28.585135612522102</v>
      </c>
      <c r="AG236" s="23">
        <f t="shared" si="80"/>
        <v>17.528235366127969</v>
      </c>
      <c r="AH236" s="23">
        <f t="shared" si="81"/>
        <v>8.299724670809848</v>
      </c>
      <c r="AI236" s="23">
        <f t="shared" si="98"/>
        <v>2.7569778627270209</v>
      </c>
      <c r="AJ236" s="23">
        <f t="shared" si="82"/>
        <v>28.585135612522102</v>
      </c>
      <c r="AK236" s="25">
        <v>19948121</v>
      </c>
      <c r="AL236" s="26">
        <v>570219744</v>
      </c>
      <c r="AM236" s="26">
        <v>349655360</v>
      </c>
      <c r="AN236" s="26">
        <v>165563912</v>
      </c>
      <c r="AO236" s="26">
        <v>54996528</v>
      </c>
      <c r="AP236" s="41">
        <v>48.834299999999999</v>
      </c>
      <c r="AQ236" s="41">
        <v>50.715899999999998</v>
      </c>
      <c r="AR236" s="41">
        <v>50.374400000000001</v>
      </c>
      <c r="AS236" s="41"/>
      <c r="AT236" s="41">
        <v>42.110199999999999</v>
      </c>
      <c r="AU236" s="41">
        <v>42.110199999999999</v>
      </c>
      <c r="AV236" s="41">
        <v>42.110199999999999</v>
      </c>
      <c r="AW236" s="41"/>
      <c r="AX236" s="50">
        <v>46.030999999999999</v>
      </c>
      <c r="AY236" s="50">
        <v>35.561999999999998</v>
      </c>
      <c r="BA236" s="55">
        <f t="shared" si="83"/>
        <v>-7.055100413008164E-4</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655312</v>
      </c>
      <c r="BZ236">
        <f t="shared" si="86"/>
        <v>0</v>
      </c>
      <c r="CA236">
        <f t="shared" si="87"/>
        <v>655312</v>
      </c>
      <c r="CB236">
        <f t="shared" si="88"/>
        <v>0</v>
      </c>
      <c r="CC236">
        <f t="shared" si="89"/>
        <v>0.16599999999999682</v>
      </c>
      <c r="CD236">
        <f t="shared" si="90"/>
        <v>0.15159999999999485</v>
      </c>
      <c r="CE236">
        <f t="shared" si="91"/>
        <v>0.15690000000000026</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24.719665977562499</v>
      </c>
      <c r="K237" s="18">
        <f t="shared" si="75"/>
        <v>17.528235366127969</v>
      </c>
      <c r="L237" s="18">
        <f t="shared" si="76"/>
        <v>5.4869103711572631</v>
      </c>
      <c r="M237" s="18">
        <f t="shared" si="97"/>
        <v>1.7043225274200011</v>
      </c>
      <c r="N237" s="18">
        <f t="shared" si="77"/>
        <v>24.719665977562499</v>
      </c>
      <c r="O237" s="20">
        <v>19948121</v>
      </c>
      <c r="P237" s="21">
        <v>493110888</v>
      </c>
      <c r="Q237" s="21">
        <v>349655360</v>
      </c>
      <c r="R237" s="21">
        <v>109453552</v>
      </c>
      <c r="S237" s="21">
        <v>33998032</v>
      </c>
      <c r="T237" s="38">
        <v>41.5473</v>
      </c>
      <c r="U237" s="38">
        <v>44.386299999999999</v>
      </c>
      <c r="V237" s="38">
        <v>44.0672</v>
      </c>
      <c r="W237" s="38"/>
      <c r="X237" s="38">
        <v>34.151400000000002</v>
      </c>
      <c r="Y237" s="38">
        <v>34.151400000000002</v>
      </c>
      <c r="Z237" s="38">
        <v>34.151400000000002</v>
      </c>
      <c r="AA237" s="38"/>
      <c r="AB237" s="49">
        <v>44.64</v>
      </c>
      <c r="AC237" s="49">
        <v>34.811999999999998</v>
      </c>
      <c r="AE237" s="17" t="str">
        <f t="shared" si="78"/>
        <v>·</v>
      </c>
      <c r="AF237" s="18">
        <f t="shared" si="79"/>
        <v>24.762643459000476</v>
      </c>
      <c r="AG237" s="18">
        <f t="shared" si="80"/>
        <v>17.528235366127969</v>
      </c>
      <c r="AH237" s="18">
        <f t="shared" si="81"/>
        <v>5.5298878525952393</v>
      </c>
      <c r="AI237" s="18">
        <f t="shared" si="98"/>
        <v>1.7043225274200011</v>
      </c>
      <c r="AJ237" s="18">
        <f t="shared" si="82"/>
        <v>24.762643459000476</v>
      </c>
      <c r="AK237" s="20">
        <v>19948121</v>
      </c>
      <c r="AL237" s="21">
        <v>493968208</v>
      </c>
      <c r="AM237" s="21">
        <v>349655360</v>
      </c>
      <c r="AN237" s="21">
        <v>110310872</v>
      </c>
      <c r="AO237" s="21">
        <v>33998032</v>
      </c>
      <c r="AP237" s="38">
        <v>41.765599999999999</v>
      </c>
      <c r="AQ237" s="38">
        <v>44.576799999999999</v>
      </c>
      <c r="AR237" s="38">
        <v>44.265999999999998</v>
      </c>
      <c r="AS237" s="38"/>
      <c r="AT237" s="38">
        <v>34.151400000000002</v>
      </c>
      <c r="AU237" s="38">
        <v>34.151400000000002</v>
      </c>
      <c r="AV237" s="38">
        <v>34.151400000000002</v>
      </c>
      <c r="AW237" s="38"/>
      <c r="AX237" s="49">
        <v>44.718000000000004</v>
      </c>
      <c r="AY237" s="49">
        <v>35.14</v>
      </c>
      <c r="BA237" s="53">
        <f t="shared" si="83"/>
        <v>-1.230664165465134E-3</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857320</v>
      </c>
      <c r="BZ237">
        <f t="shared" si="86"/>
        <v>0</v>
      </c>
      <c r="CA237">
        <f t="shared" si="87"/>
        <v>857320</v>
      </c>
      <c r="CB237">
        <f t="shared" si="88"/>
        <v>0</v>
      </c>
      <c r="CC237">
        <f t="shared" si="89"/>
        <v>0.21829999999999927</v>
      </c>
      <c r="CD237">
        <f t="shared" si="90"/>
        <v>0.19050000000000011</v>
      </c>
      <c r="CE237">
        <f t="shared" si="91"/>
        <v>0.19879999999999853</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22.0520739772934</v>
      </c>
      <c r="K238" s="23">
        <f t="shared" si="75"/>
        <v>17.528235366127969</v>
      </c>
      <c r="L238" s="23">
        <f t="shared" si="76"/>
        <v>3.5226243113323807</v>
      </c>
      <c r="M238" s="23">
        <f t="shared" si="97"/>
        <v>1.0010165869757859</v>
      </c>
      <c r="N238" s="23">
        <f t="shared" si="77"/>
        <v>22.0520739772934</v>
      </c>
      <c r="O238" s="25">
        <v>19948121</v>
      </c>
      <c r="P238" s="26">
        <v>439897440</v>
      </c>
      <c r="Q238" s="26">
        <v>349655360</v>
      </c>
      <c r="R238" s="26">
        <v>70269736</v>
      </c>
      <c r="S238" s="26">
        <v>19968400</v>
      </c>
      <c r="T238" s="41">
        <v>35.807600000000001</v>
      </c>
      <c r="U238" s="41">
        <v>39.656300000000002</v>
      </c>
      <c r="V238" s="41">
        <v>39.164900000000003</v>
      </c>
      <c r="W238" s="41"/>
      <c r="X238" s="41">
        <v>28.130800000000001</v>
      </c>
      <c r="Y238" s="41">
        <v>28.130800000000001</v>
      </c>
      <c r="Z238" s="41">
        <v>28.130800000000001</v>
      </c>
      <c r="AA238" s="41"/>
      <c r="AB238" s="50">
        <v>44.015000000000001</v>
      </c>
      <c r="AC238" s="50">
        <v>34.453000000000003</v>
      </c>
      <c r="AE238" s="22" t="str">
        <f t="shared" si="78"/>
        <v>·</v>
      </c>
      <c r="AF238" s="23">
        <f t="shared" si="79"/>
        <v>22.093911301219798</v>
      </c>
      <c r="AG238" s="23">
        <f t="shared" si="80"/>
        <v>17.528235366127969</v>
      </c>
      <c r="AH238" s="23">
        <f t="shared" si="81"/>
        <v>3.5644616352587795</v>
      </c>
      <c r="AI238" s="23">
        <f t="shared" si="98"/>
        <v>1.0010165869757859</v>
      </c>
      <c r="AJ238" s="23">
        <f t="shared" si="82"/>
        <v>22.093911301219798</v>
      </c>
      <c r="AK238" s="25">
        <v>19948121</v>
      </c>
      <c r="AL238" s="26">
        <v>440732016</v>
      </c>
      <c r="AM238" s="26">
        <v>349655360</v>
      </c>
      <c r="AN238" s="26">
        <v>71104312</v>
      </c>
      <c r="AO238" s="26">
        <v>19968400</v>
      </c>
      <c r="AP238" s="41">
        <v>36.089700000000001</v>
      </c>
      <c r="AQ238" s="41">
        <v>39.888599999999997</v>
      </c>
      <c r="AR238" s="41">
        <v>39.400599999999997</v>
      </c>
      <c r="AS238" s="41"/>
      <c r="AT238" s="41">
        <v>28.130800000000001</v>
      </c>
      <c r="AU238" s="41">
        <v>28.130800000000001</v>
      </c>
      <c r="AV238" s="41">
        <v>28.130800000000001</v>
      </c>
      <c r="AW238" s="41"/>
      <c r="AX238" s="50">
        <v>44.203000000000003</v>
      </c>
      <c r="AY238" s="50">
        <v>34.578000000000003</v>
      </c>
      <c r="BA238" s="55">
        <f t="shared" si="83"/>
        <v>-1.5051509151170483E-3</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834576</v>
      </c>
      <c r="BZ238">
        <f t="shared" si="86"/>
        <v>0</v>
      </c>
      <c r="CA238">
        <f t="shared" si="87"/>
        <v>834576</v>
      </c>
      <c r="CB238">
        <f t="shared" si="88"/>
        <v>0</v>
      </c>
      <c r="CC238">
        <f t="shared" si="89"/>
        <v>0.2820999999999998</v>
      </c>
      <c r="CD238">
        <f t="shared" si="90"/>
        <v>0.23229999999999507</v>
      </c>
      <c r="CE238">
        <f t="shared" si="91"/>
        <v>0.23569999999999425</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20.00918241873508</v>
      </c>
      <c r="K239" s="28">
        <f t="shared" si="75"/>
        <v>17.528235366127969</v>
      </c>
      <c r="L239" s="28">
        <f t="shared" si="76"/>
        <v>1.9653544311266209</v>
      </c>
      <c r="M239" s="28">
        <f t="shared" si="97"/>
        <v>0.51539490862322324</v>
      </c>
      <c r="N239" s="28">
        <f t="shared" si="77"/>
        <v>20.00918241873508</v>
      </c>
      <c r="O239" s="30">
        <v>19948121</v>
      </c>
      <c r="P239" s="31">
        <v>399145592</v>
      </c>
      <c r="Q239" s="31">
        <v>349655360</v>
      </c>
      <c r="R239" s="31">
        <v>39205128</v>
      </c>
      <c r="S239" s="31">
        <v>10281160</v>
      </c>
      <c r="T239" s="44">
        <v>29.313700000000001</v>
      </c>
      <c r="U239" s="44">
        <v>35.092300000000002</v>
      </c>
      <c r="V239" s="44">
        <v>34.4313</v>
      </c>
      <c r="W239" s="44"/>
      <c r="X239" s="44">
        <v>21.686399999999999</v>
      </c>
      <c r="Y239" s="44">
        <v>21.686399999999999</v>
      </c>
      <c r="Z239" s="44">
        <v>21.686399999999999</v>
      </c>
      <c r="AA239" s="44"/>
      <c r="AB239" s="51">
        <v>43</v>
      </c>
      <c r="AC239" s="51">
        <v>34.14</v>
      </c>
      <c r="AE239" s="27" t="str">
        <f t="shared" si="78"/>
        <v>·</v>
      </c>
      <c r="AF239" s="28">
        <f t="shared" si="79"/>
        <v>20.059293203605492</v>
      </c>
      <c r="AG239" s="28">
        <f t="shared" si="80"/>
        <v>17.528235366127969</v>
      </c>
      <c r="AH239" s="28">
        <f t="shared" si="81"/>
        <v>2.0154652159970357</v>
      </c>
      <c r="AI239" s="28">
        <f t="shared" si="98"/>
        <v>0.51539490862322324</v>
      </c>
      <c r="AJ239" s="28">
        <f t="shared" si="82"/>
        <v>20.059293203605492</v>
      </c>
      <c r="AK239" s="30">
        <v>19948121</v>
      </c>
      <c r="AL239" s="31">
        <v>400145208</v>
      </c>
      <c r="AM239" s="31">
        <v>349655360</v>
      </c>
      <c r="AN239" s="31">
        <v>40204744</v>
      </c>
      <c r="AO239" s="31">
        <v>10281160</v>
      </c>
      <c r="AP239" s="44">
        <v>29.787400000000002</v>
      </c>
      <c r="AQ239" s="44">
        <v>35.427500000000002</v>
      </c>
      <c r="AR239" s="44">
        <v>34.727400000000003</v>
      </c>
      <c r="AS239" s="44"/>
      <c r="AT239" s="44">
        <v>21.686399999999999</v>
      </c>
      <c r="AU239" s="44">
        <v>21.686399999999999</v>
      </c>
      <c r="AV239" s="44">
        <v>21.686399999999999</v>
      </c>
      <c r="AW239" s="44"/>
      <c r="AX239" s="51">
        <v>43.593000000000004</v>
      </c>
      <c r="AY239" s="51">
        <v>34.530999999999999</v>
      </c>
      <c r="BA239" s="57">
        <f t="shared" si="83"/>
        <v>-2.1883885369278211E-3</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999616</v>
      </c>
      <c r="BZ239">
        <f t="shared" si="86"/>
        <v>0</v>
      </c>
      <c r="CA239">
        <f t="shared" si="87"/>
        <v>999616</v>
      </c>
      <c r="CB239">
        <f t="shared" si="88"/>
        <v>0</v>
      </c>
      <c r="CC239">
        <f t="shared" si="89"/>
        <v>0.4737000000000009</v>
      </c>
      <c r="CD239">
        <f t="shared" si="90"/>
        <v>0.33520000000000039</v>
      </c>
      <c r="CE239">
        <f t="shared" si="91"/>
        <v>0.29610000000000269</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35.295872083288941</v>
      </c>
      <c r="K240" s="23">
        <f t="shared" si="75"/>
        <v>20.815736921414327</v>
      </c>
      <c r="L240" s="23">
        <f t="shared" si="76"/>
        <v>10.362233823954703</v>
      </c>
      <c r="M240" s="23">
        <f t="shared" si="97"/>
        <v>4.1176090960288585</v>
      </c>
      <c r="N240" s="23">
        <f t="shared" si="77"/>
        <v>35.295872083288941</v>
      </c>
      <c r="O240" s="25">
        <v>5255920</v>
      </c>
      <c r="P240" s="26">
        <v>185512280</v>
      </c>
      <c r="Q240" s="26">
        <v>109405848</v>
      </c>
      <c r="R240" s="26">
        <v>54463072</v>
      </c>
      <c r="S240" s="26">
        <v>21641824</v>
      </c>
      <c r="T240" s="41">
        <v>53.425800000000002</v>
      </c>
      <c r="U240" s="41">
        <v>55.035200000000003</v>
      </c>
      <c r="V240" s="41">
        <v>54.944000000000003</v>
      </c>
      <c r="W240" s="41"/>
      <c r="X240" s="41">
        <v>48.130800000000001</v>
      </c>
      <c r="Y240" s="41">
        <v>48.130800000000001</v>
      </c>
      <c r="Z240" s="41">
        <v>48.130800000000001</v>
      </c>
      <c r="AA240" s="41"/>
      <c r="AB240" s="50">
        <v>11.843</v>
      </c>
      <c r="AC240" s="50">
        <v>9.109</v>
      </c>
      <c r="AE240" s="22" t="str">
        <f t="shared" si="78"/>
        <v>·</v>
      </c>
      <c r="AF240" s="23">
        <f t="shared" si="79"/>
        <v>35.341420721776586</v>
      </c>
      <c r="AG240" s="23">
        <f t="shared" si="80"/>
        <v>20.815736921414327</v>
      </c>
      <c r="AH240" s="23">
        <f t="shared" si="81"/>
        <v>10.40778246244235</v>
      </c>
      <c r="AI240" s="23">
        <f t="shared" si="98"/>
        <v>4.1176090960288585</v>
      </c>
      <c r="AJ240" s="23">
        <f t="shared" si="82"/>
        <v>35.341420721776586</v>
      </c>
      <c r="AK240" s="25">
        <v>5255920</v>
      </c>
      <c r="AL240" s="26">
        <v>185751680</v>
      </c>
      <c r="AM240" s="26">
        <v>109405848</v>
      </c>
      <c r="AN240" s="26">
        <v>54702472</v>
      </c>
      <c r="AO240" s="26">
        <v>21641824</v>
      </c>
      <c r="AP240" s="41">
        <v>53.552</v>
      </c>
      <c r="AQ240" s="41">
        <v>55.165799999999997</v>
      </c>
      <c r="AR240" s="41">
        <v>55.084400000000002</v>
      </c>
      <c r="AS240" s="41"/>
      <c r="AT240" s="41">
        <v>48.130800000000001</v>
      </c>
      <c r="AU240" s="41">
        <v>48.130800000000001</v>
      </c>
      <c r="AV240" s="41">
        <v>48.130800000000001</v>
      </c>
      <c r="AW240" s="41"/>
      <c r="AX240" s="50">
        <v>11.811999999999999</v>
      </c>
      <c r="AY240" s="50">
        <v>9.125</v>
      </c>
      <c r="BA240" s="55">
        <f t="shared" si="83"/>
        <v>-7.6007993743631985E-4</v>
      </c>
      <c r="BB240" s="55">
        <f t="array" ref="BB240">AVERAGE(AM240:AM244/AL240:AL244)-AVERAGE(Q240:Q244/P240:P244)</f>
        <v>-9.6587886591326111E-4</v>
      </c>
      <c r="BD240" s="56">
        <f>IF(OR(ISBLANK(R240:R244),ISBLANK(AN240:AN244),ISBLANK(T240:T244),ISBLANK(AP240:AP244)),"·",bdRateExtend(R240:R244,T240:T244,AN240:AN244,AP240:AP244))</f>
        <v>-4.0610548366466492E-3</v>
      </c>
      <c r="BE240" s="56">
        <f>IF(OR(ISBLANK(R240:R244),ISBLANK(AN240:AN244),ISBLANK(U240:U244),ISBLANK(AQ240:AQ244)),"·",bdRateExtend(R240:R244,U240:U244,AN240:AN244,AQ240:AQ244))</f>
        <v>-8.0568489090910855E-3</v>
      </c>
      <c r="BF240" s="56">
        <f>IF(OR(ISBLANK(R240:R244),ISBLANK(AN240:AN244),ISBLANK(V240:V244),ISBLANK(AR240:AR244)),"·",bdRateExtend(R240:R244,V240:V244,AN240:AN244,AR240:AR244))</f>
        <v>-6.8421722503972937E-3</v>
      </c>
      <c r="BG240" s="56" t="str">
        <f>IF(OR(ISBLANK(S240:S244),ISBLANK(AO240:AO244),ISBLANK(W240:W244),ISBLANK(AS240:AS244)),"·",bdRateExtend(S240:S244,W240:W244,AO240:AO244,AS240:AS244))</f>
        <v>·</v>
      </c>
      <c r="BI240" s="56">
        <f>IF(OR(ISBLANK(R240:R244),ISBLANK(AN240:AN244),ISBLANK(X240:X244),ISBLANK(AT240:AT244)),"·",bdRateExtend(R240:R244,X240:X244,AN240:AN244,AT240:AT244))</f>
        <v>8.2199019921400662E-3</v>
      </c>
      <c r="BJ240" s="56">
        <f>IF(OR(ISBLANK(R240:R244),ISBLANK(AN240:AN244),ISBLANK(Y240:Y244),ISBLANK(AU240:AU244)),"·",bdRateExtend(R240:R244,Y240:Y244,AN240:AN244,AU240:AU244))</f>
        <v>8.2199019921400662E-3</v>
      </c>
      <c r="BK240" s="56">
        <f>IF(OR(ISBLANK(R240:R244),ISBLANK(AN240:AN244),ISBLANK(Z240:Z244),ISBLANK(AV240:AV244)),"·",bdRateExtend(R240:R244,Z240:Z244,AN240:AN244,AV240:AV244))</f>
        <v>8.2199019921400662E-3</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-1.3796860094655861E-3</v>
      </c>
      <c r="BO240" s="56">
        <f>IF(OR(ISBLANK(P240:P244),ISBLANK(AL240:AL244),ISBLANK(U240:U244),ISBLANK(AQ240:AQ244)),"·",bdRateExtend(P240:P244,U240:U244,AL240:AL244,AQ240:AQ244))</f>
        <v>-2.104241242125604E-3</v>
      </c>
      <c r="BP240" s="56">
        <f>IF(OR(ISBLANK(P240:P244),ISBLANK(AL240:AL244),ISBLANK(V240:V244),ISBLANK(AR240:AR244)),"·",bdRateExtend(P240:P244,V240:V244,AL240:AL244,AR240:AR244))</f>
        <v>-1.943219638245397E-3</v>
      </c>
      <c r="BQ240" s="56" t="str">
        <f>IF(OR(ISBLANK(P240:P244),ISBLANK(AL240:AL244),ISBLANK(W240:W244),ISBLANK(AS240:AS244)),"·",bdRateExtend(P240:P244,W240:W244,AL240:AL244,AS240:AS244))</f>
        <v>·</v>
      </c>
      <c r="BS240" s="56">
        <f>IF(OR(ISBLANK(P240:P244),ISBLANK(AL240:AL244),ISBLANK(X240:X244),ISBLANK(AT240:AT244)),"·",bdRateExtend(P240:P244,X240:X244,AL240:AL244,AT240:AT244))</f>
        <v>1.1943895119961301E-3</v>
      </c>
      <c r="BT240" s="56">
        <f>IF(OR(ISBLANK(P240:P244),ISBLANK(AL240:AL244),ISBLANK(Y240:Y244),ISBLANK(AU240:AU244)),"·",bdRateExtend(P240:P244,Y240:Y244,AL240:AL244,AU240:AU244))</f>
        <v>1.1943895119961301E-3</v>
      </c>
      <c r="BU240" s="56">
        <f>IF(OR(ISBLANK(P240:P244),ISBLANK(AL240:AL244),ISBLANK(Z240:Z244),ISBLANK(AV240:AV244)),"·",bdRateExtend(P240:P244,Z240:Z244,AL240:AL244,AV240:AV244))</f>
        <v>1.1943895119961301E-3</v>
      </c>
      <c r="BV240" s="56" t="str">
        <f>IF(OR(ISBLANK(P240:P244),ISBLANK(AL240:AL244),ISBLANK(AA240:AA244),ISBLANK(AW240:AW244)),"·",bdRateExtend(P240:P244,AA240:AA244,AL240:AL244,AW240:AW244))</f>
        <v>·</v>
      </c>
      <c r="BX240">
        <f t="shared" si="84"/>
        <v>0</v>
      </c>
      <c r="BY240">
        <f t="shared" si="85"/>
        <v>239400</v>
      </c>
      <c r="BZ240">
        <f t="shared" si="86"/>
        <v>0</v>
      </c>
      <c r="CA240">
        <f t="shared" si="87"/>
        <v>239400</v>
      </c>
      <c r="CB240">
        <f t="shared" si="88"/>
        <v>0</v>
      </c>
      <c r="CC240">
        <f t="shared" si="89"/>
        <v>0.1261999999999972</v>
      </c>
      <c r="CD240">
        <f t="shared" si="90"/>
        <v>0.13059999999999405</v>
      </c>
      <c r="CE240">
        <f t="shared" si="91"/>
        <v>0.14039999999999964</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31.777107718534527</v>
      </c>
      <c r="K241" s="18">
        <f t="shared" si="75"/>
        <v>20.815736921414327</v>
      </c>
      <c r="L241" s="18">
        <f t="shared" si="76"/>
        <v>7.7995753360020696</v>
      </c>
      <c r="M241" s="18">
        <f t="shared" si="97"/>
        <v>3.1615016971338985</v>
      </c>
      <c r="N241" s="18">
        <f t="shared" si="77"/>
        <v>31.777107718534527</v>
      </c>
      <c r="O241" s="20">
        <v>5255920</v>
      </c>
      <c r="P241" s="21">
        <v>167017936</v>
      </c>
      <c r="Q241" s="21">
        <v>109405848</v>
      </c>
      <c r="R241" s="21">
        <v>40993944</v>
      </c>
      <c r="S241" s="21">
        <v>16616600</v>
      </c>
      <c r="T241" s="38">
        <v>48.593000000000004</v>
      </c>
      <c r="U241" s="38">
        <v>50.586500000000001</v>
      </c>
      <c r="V241" s="38">
        <v>50.304200000000002</v>
      </c>
      <c r="W241" s="38"/>
      <c r="X241" s="38">
        <v>42.110199999999999</v>
      </c>
      <c r="Y241" s="38">
        <v>42.110199999999999</v>
      </c>
      <c r="Z241" s="38">
        <v>42.110199999999999</v>
      </c>
      <c r="AA241" s="38"/>
      <c r="AB241" s="49">
        <v>11.561999999999999</v>
      </c>
      <c r="AC241" s="49">
        <v>8.9060000000000006</v>
      </c>
      <c r="AE241" s="17" t="str">
        <f t="shared" si="78"/>
        <v>·</v>
      </c>
      <c r="AF241" s="18">
        <f t="shared" si="79"/>
        <v>31.804981810986469</v>
      </c>
      <c r="AG241" s="18">
        <f t="shared" si="80"/>
        <v>20.815736921414327</v>
      </c>
      <c r="AH241" s="18">
        <f t="shared" si="81"/>
        <v>7.8274494284540097</v>
      </c>
      <c r="AI241" s="18">
        <f t="shared" si="98"/>
        <v>3.1615016971338985</v>
      </c>
      <c r="AJ241" s="18">
        <f t="shared" si="82"/>
        <v>31.804981810986469</v>
      </c>
      <c r="AK241" s="20">
        <v>5255920</v>
      </c>
      <c r="AL241" s="21">
        <v>167164440</v>
      </c>
      <c r="AM241" s="21">
        <v>109405848</v>
      </c>
      <c r="AN241" s="21">
        <v>41140448</v>
      </c>
      <c r="AO241" s="21">
        <v>16616600</v>
      </c>
      <c r="AP241" s="38">
        <v>48.699599999999997</v>
      </c>
      <c r="AQ241" s="38">
        <v>50.686199999999999</v>
      </c>
      <c r="AR241" s="38">
        <v>50.407400000000003</v>
      </c>
      <c r="AS241" s="38"/>
      <c r="AT241" s="38">
        <v>42.110199999999999</v>
      </c>
      <c r="AU241" s="38">
        <v>42.110199999999999</v>
      </c>
      <c r="AV241" s="38">
        <v>42.110199999999999</v>
      </c>
      <c r="AW241" s="38"/>
      <c r="AX241" s="49">
        <v>11.593</v>
      </c>
      <c r="AY241" s="49">
        <v>9.0310000000000006</v>
      </c>
      <c r="BA241" s="53">
        <f t="shared" si="83"/>
        <v>-5.7409400123986654E-4</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146504</v>
      </c>
      <c r="BZ241">
        <f t="shared" si="86"/>
        <v>0</v>
      </c>
      <c r="CA241">
        <f t="shared" si="87"/>
        <v>146504</v>
      </c>
      <c r="CB241">
        <f t="shared" si="88"/>
        <v>0</v>
      </c>
      <c r="CC241">
        <f t="shared" si="89"/>
        <v>0.10659999999999314</v>
      </c>
      <c r="CD241">
        <f t="shared" si="90"/>
        <v>9.9699999999998568E-2</v>
      </c>
      <c r="CE241">
        <f t="shared" si="91"/>
        <v>0.10320000000000107</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27.85448636965555</v>
      </c>
      <c r="K242" s="23">
        <f t="shared" si="75"/>
        <v>20.815736921414327</v>
      </c>
      <c r="L242" s="23">
        <f t="shared" si="76"/>
        <v>4.9567664652430024</v>
      </c>
      <c r="M242" s="23">
        <f t="shared" si="97"/>
        <v>2.0816892190139882</v>
      </c>
      <c r="N242" s="23">
        <f t="shared" si="77"/>
        <v>27.85448636965555</v>
      </c>
      <c r="O242" s="25">
        <v>5255920</v>
      </c>
      <c r="P242" s="26">
        <v>146400952</v>
      </c>
      <c r="Q242" s="26">
        <v>109405848</v>
      </c>
      <c r="R242" s="26">
        <v>26052368</v>
      </c>
      <c r="S242" s="26">
        <v>10941192</v>
      </c>
      <c r="T242" s="41">
        <v>41.497999999999998</v>
      </c>
      <c r="U242" s="41">
        <v>44.657200000000003</v>
      </c>
      <c r="V242" s="41">
        <v>44.447099999999999</v>
      </c>
      <c r="W242" s="41"/>
      <c r="X242" s="41">
        <v>34.151400000000002</v>
      </c>
      <c r="Y242" s="41">
        <v>34.151400000000002</v>
      </c>
      <c r="Z242" s="41">
        <v>34.151400000000002</v>
      </c>
      <c r="AA242" s="41"/>
      <c r="AB242" s="50">
        <v>11.406000000000001</v>
      </c>
      <c r="AC242" s="50">
        <v>8.734</v>
      </c>
      <c r="AE242" s="22" t="str">
        <f t="shared" si="78"/>
        <v>·</v>
      </c>
      <c r="AF242" s="23">
        <f t="shared" si="79"/>
        <v>27.88978371055876</v>
      </c>
      <c r="AG242" s="23">
        <f t="shared" si="80"/>
        <v>20.815736921414327</v>
      </c>
      <c r="AH242" s="23">
        <f t="shared" si="81"/>
        <v>4.9920638061462119</v>
      </c>
      <c r="AI242" s="23">
        <f t="shared" si="98"/>
        <v>2.0816892190139882</v>
      </c>
      <c r="AJ242" s="23">
        <f t="shared" si="82"/>
        <v>27.88978371055876</v>
      </c>
      <c r="AK242" s="25">
        <v>5255920</v>
      </c>
      <c r="AL242" s="26">
        <v>146586472</v>
      </c>
      <c r="AM242" s="26">
        <v>109405848</v>
      </c>
      <c r="AN242" s="26">
        <v>26237888</v>
      </c>
      <c r="AO242" s="26">
        <v>10941192</v>
      </c>
      <c r="AP242" s="41">
        <v>41.639099999999999</v>
      </c>
      <c r="AQ242" s="41">
        <v>44.800800000000002</v>
      </c>
      <c r="AR242" s="41">
        <v>44.59</v>
      </c>
      <c r="AS242" s="41"/>
      <c r="AT242" s="41">
        <v>34.151400000000002</v>
      </c>
      <c r="AU242" s="41">
        <v>34.151400000000002</v>
      </c>
      <c r="AV242" s="41">
        <v>34.151400000000002</v>
      </c>
      <c r="AW242" s="41"/>
      <c r="AX242" s="50">
        <v>11.39</v>
      </c>
      <c r="AY242" s="50">
        <v>8.7650000000000006</v>
      </c>
      <c r="BA242" s="55">
        <f t="shared" si="83"/>
        <v>-9.4578730211913875E-4</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185520</v>
      </c>
      <c r="BZ242">
        <f t="shared" si="86"/>
        <v>0</v>
      </c>
      <c r="CA242">
        <f t="shared" si="87"/>
        <v>185520</v>
      </c>
      <c r="CB242">
        <f t="shared" si="88"/>
        <v>0</v>
      </c>
      <c r="CC242">
        <f t="shared" si="89"/>
        <v>0.14110000000000156</v>
      </c>
      <c r="CD242">
        <f t="shared" si="90"/>
        <v>0.14359999999999928</v>
      </c>
      <c r="CE242">
        <f t="shared" si="91"/>
        <v>0.14290000000000447</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25.173702796085177</v>
      </c>
      <c r="K243" s="18">
        <f t="shared" si="75"/>
        <v>20.815736921414327</v>
      </c>
      <c r="L243" s="18">
        <f t="shared" si="76"/>
        <v>3.0716981993637651</v>
      </c>
      <c r="M243" s="18">
        <f t="shared" si="97"/>
        <v>1.2859739113228512</v>
      </c>
      <c r="N243" s="18">
        <f t="shared" si="77"/>
        <v>25.173702796085177</v>
      </c>
      <c r="O243" s="20">
        <v>5255920</v>
      </c>
      <c r="P243" s="21">
        <v>132310968</v>
      </c>
      <c r="Q243" s="21">
        <v>109405848</v>
      </c>
      <c r="R243" s="21">
        <v>16144600</v>
      </c>
      <c r="S243" s="21">
        <v>6758976</v>
      </c>
      <c r="T243" s="38">
        <v>35.860300000000002</v>
      </c>
      <c r="U243" s="38">
        <v>40.259399999999999</v>
      </c>
      <c r="V243" s="38">
        <v>39.805599999999998</v>
      </c>
      <c r="W243" s="38"/>
      <c r="X243" s="38">
        <v>28.130800000000001</v>
      </c>
      <c r="Y243" s="38">
        <v>28.130800000000001</v>
      </c>
      <c r="Z243" s="38">
        <v>28.130800000000001</v>
      </c>
      <c r="AA243" s="38"/>
      <c r="AB243" s="49">
        <v>11.045999999999999</v>
      </c>
      <c r="AC243" s="49">
        <v>8.64</v>
      </c>
      <c r="AE243" s="17" t="str">
        <f t="shared" si="78"/>
        <v>·</v>
      </c>
      <c r="AF243" s="18">
        <f t="shared" si="79"/>
        <v>25.206462807653086</v>
      </c>
      <c r="AG243" s="18">
        <f t="shared" si="80"/>
        <v>20.815736921414327</v>
      </c>
      <c r="AH243" s="18">
        <f t="shared" si="81"/>
        <v>3.1044582109316732</v>
      </c>
      <c r="AI243" s="18">
        <f t="shared" si="98"/>
        <v>1.2859739113228512</v>
      </c>
      <c r="AJ243" s="18">
        <f t="shared" si="82"/>
        <v>25.206462807653086</v>
      </c>
      <c r="AK243" s="20">
        <v>5255920</v>
      </c>
      <c r="AL243" s="21">
        <v>132483152</v>
      </c>
      <c r="AM243" s="21">
        <v>109405848</v>
      </c>
      <c r="AN243" s="21">
        <v>16316784</v>
      </c>
      <c r="AO243" s="21">
        <v>6758976</v>
      </c>
      <c r="AP243" s="38">
        <v>36.0336</v>
      </c>
      <c r="AQ243" s="38">
        <v>40.444699999999997</v>
      </c>
      <c r="AR243" s="38">
        <v>39.985599999999998</v>
      </c>
      <c r="AS243" s="38"/>
      <c r="AT243" s="38">
        <v>28.130800000000001</v>
      </c>
      <c r="AU243" s="38">
        <v>28.130800000000001</v>
      </c>
      <c r="AV243" s="38">
        <v>28.130800000000001</v>
      </c>
      <c r="AW243" s="38"/>
      <c r="AX243" s="49">
        <v>11.14</v>
      </c>
      <c r="AY243" s="49">
        <v>8.6560000000000006</v>
      </c>
      <c r="BA243" s="53">
        <f t="shared" si="83"/>
        <v>-1.0746742188610936E-3</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172184</v>
      </c>
      <c r="BZ243">
        <f t="shared" si="86"/>
        <v>0</v>
      </c>
      <c r="CA243">
        <f t="shared" si="87"/>
        <v>172184</v>
      </c>
      <c r="CB243">
        <f t="shared" si="88"/>
        <v>0</v>
      </c>
      <c r="CC243">
        <f t="shared" si="89"/>
        <v>0.17329999999999757</v>
      </c>
      <c r="CD243">
        <f t="shared" si="90"/>
        <v>0.18529999999999802</v>
      </c>
      <c r="CE243">
        <f t="shared" si="91"/>
        <v>0.17999999999999972</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23.161405805263399</v>
      </c>
      <c r="K244" s="33">
        <f t="shared" si="75"/>
        <v>20.815736921414327</v>
      </c>
      <c r="L244" s="33">
        <f t="shared" si="76"/>
        <v>1.6609293900972617</v>
      </c>
      <c r="M244" s="33">
        <f t="shared" si="97"/>
        <v>0.68444572976757634</v>
      </c>
      <c r="N244" s="33">
        <f t="shared" si="77"/>
        <v>23.161405805263399</v>
      </c>
      <c r="O244" s="35">
        <v>5255920</v>
      </c>
      <c r="P244" s="36">
        <v>121734496</v>
      </c>
      <c r="Q244" s="36">
        <v>109405848</v>
      </c>
      <c r="R244" s="36">
        <v>8729712</v>
      </c>
      <c r="S244" s="36">
        <v>3597392</v>
      </c>
      <c r="T244" s="47">
        <v>29.423200000000001</v>
      </c>
      <c r="U244" s="47">
        <v>36.036900000000003</v>
      </c>
      <c r="V244" s="47">
        <v>35.366900000000001</v>
      </c>
      <c r="W244" s="47"/>
      <c r="X244" s="47">
        <v>21.686399999999999</v>
      </c>
      <c r="Y244" s="47">
        <v>21.686399999999999</v>
      </c>
      <c r="Z244" s="47">
        <v>21.686399999999999</v>
      </c>
      <c r="AA244" s="47"/>
      <c r="AB244" s="52">
        <v>10.859</v>
      </c>
      <c r="AC244" s="52">
        <v>8.4209999999999994</v>
      </c>
      <c r="AE244" s="32" t="str">
        <f t="shared" si="78"/>
        <v>·</v>
      </c>
      <c r="AF244" s="33">
        <f t="shared" si="79"/>
        <v>23.199474877852023</v>
      </c>
      <c r="AG244" s="33">
        <f t="shared" si="80"/>
        <v>20.815736921414327</v>
      </c>
      <c r="AH244" s="33">
        <f t="shared" si="81"/>
        <v>1.6989984626858856</v>
      </c>
      <c r="AI244" s="33">
        <f t="shared" si="98"/>
        <v>0.68444572976757634</v>
      </c>
      <c r="AJ244" s="33">
        <f t="shared" si="82"/>
        <v>23.199474877852023</v>
      </c>
      <c r="AK244" s="35">
        <v>5255920</v>
      </c>
      <c r="AL244" s="36">
        <v>121934584</v>
      </c>
      <c r="AM244" s="36">
        <v>109405848</v>
      </c>
      <c r="AN244" s="36">
        <v>8929800</v>
      </c>
      <c r="AO244" s="36">
        <v>3597392</v>
      </c>
      <c r="AP244" s="47">
        <v>29.724399999999999</v>
      </c>
      <c r="AQ244" s="47">
        <v>36.324599999999997</v>
      </c>
      <c r="AR244" s="47">
        <v>35.6051</v>
      </c>
      <c r="AS244" s="47"/>
      <c r="AT244" s="47">
        <v>21.686399999999999</v>
      </c>
      <c r="AU244" s="47">
        <v>21.686399999999999</v>
      </c>
      <c r="AV244" s="47">
        <v>21.686399999999999</v>
      </c>
      <c r="AW244" s="47"/>
      <c r="AX244" s="52">
        <v>11.061999999999999</v>
      </c>
      <c r="AY244" s="52">
        <v>8.625</v>
      </c>
      <c r="BA244" s="59">
        <f t="shared" si="83"/>
        <v>-1.4747588699101088E-3</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200088</v>
      </c>
      <c r="BZ244">
        <f t="shared" si="86"/>
        <v>0</v>
      </c>
      <c r="CA244">
        <f t="shared" si="87"/>
        <v>200088</v>
      </c>
      <c r="CB244">
        <f t="shared" si="88"/>
        <v>0</v>
      </c>
      <c r="CC244">
        <f t="shared" si="89"/>
        <v>0.30119999999999791</v>
      </c>
      <c r="CD244">
        <f t="shared" si="90"/>
        <v>0.28769999999999385</v>
      </c>
      <c r="CE244">
        <f t="shared" si="91"/>
        <v>0.23819999999999908</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33.765375638803917</v>
      </c>
      <c r="K245" s="18">
        <f t="shared" si="75"/>
        <v>20.74781842832834</v>
      </c>
      <c r="L245" s="18">
        <f t="shared" si="76"/>
        <v>9.0452149788851273</v>
      </c>
      <c r="M245" s="18">
        <f t="shared" si="97"/>
        <v>3.9720602150152562</v>
      </c>
      <c r="N245" s="18">
        <f t="shared" si="77"/>
        <v>33.765375638803917</v>
      </c>
      <c r="O245" s="20">
        <v>7148516</v>
      </c>
      <c r="P245" s="21">
        <v>241372328</v>
      </c>
      <c r="Q245" s="21">
        <v>148316112</v>
      </c>
      <c r="R245" s="21">
        <v>64659864</v>
      </c>
      <c r="S245" s="21">
        <v>28394336</v>
      </c>
      <c r="T245" s="38">
        <v>53.363900000000001</v>
      </c>
      <c r="U245" s="38">
        <v>55.130499999999998</v>
      </c>
      <c r="V245" s="38">
        <v>55.030200000000001</v>
      </c>
      <c r="W245" s="38"/>
      <c r="X245" s="38">
        <v>48.130800000000001</v>
      </c>
      <c r="Y245" s="38">
        <v>48.130800000000001</v>
      </c>
      <c r="Z245" s="38">
        <v>48.130800000000001</v>
      </c>
      <c r="AA245" s="38"/>
      <c r="AB245" s="49">
        <v>15.702999999999999</v>
      </c>
      <c r="AC245" s="49">
        <v>12.109</v>
      </c>
      <c r="AE245" s="17" t="str">
        <f t="shared" si="78"/>
        <v>·</v>
      </c>
      <c r="AF245" s="18">
        <f t="shared" si="79"/>
        <v>33.800797815938303</v>
      </c>
      <c r="AG245" s="18">
        <f t="shared" si="80"/>
        <v>20.74781842832834</v>
      </c>
      <c r="AH245" s="18">
        <f t="shared" si="81"/>
        <v>9.0806371560195149</v>
      </c>
      <c r="AI245" s="18">
        <f t="shared" si="98"/>
        <v>3.9720602150152562</v>
      </c>
      <c r="AJ245" s="18">
        <f t="shared" si="82"/>
        <v>33.800797815938303</v>
      </c>
      <c r="AK245" s="20">
        <v>7148516</v>
      </c>
      <c r="AL245" s="21">
        <v>241625544</v>
      </c>
      <c r="AM245" s="21">
        <v>148316112</v>
      </c>
      <c r="AN245" s="21">
        <v>64913080</v>
      </c>
      <c r="AO245" s="21">
        <v>28394336</v>
      </c>
      <c r="AP245" s="38">
        <v>53.454599999999999</v>
      </c>
      <c r="AQ245" s="38">
        <v>55.223199999999999</v>
      </c>
      <c r="AR245" s="38">
        <v>55.122799999999998</v>
      </c>
      <c r="AS245" s="38"/>
      <c r="AT245" s="38">
        <v>48.130800000000001</v>
      </c>
      <c r="AU245" s="38">
        <v>48.130800000000001</v>
      </c>
      <c r="AV245" s="38">
        <v>48.130800000000001</v>
      </c>
      <c r="AW245" s="38"/>
      <c r="AX245" s="49">
        <v>15.827999999999999</v>
      </c>
      <c r="AY245" s="49">
        <v>12.156000000000001</v>
      </c>
      <c r="BA245" s="53">
        <f t="shared" si="83"/>
        <v>-6.4394555883895421E-4</v>
      </c>
      <c r="BB245" s="53">
        <f t="array" ref="BB245">AVERAGE(AM245:AM249/AL245:AL249)-AVERAGE(Q245:Q249/P245:P249)</f>
        <v>-6.8726946065744698E-4</v>
      </c>
      <c r="BD245" s="54">
        <f>IF(OR(ISBLANK(R245:R249),ISBLANK(AN245:AN249),ISBLANK(T245:T249),ISBLANK(AP245:AP249)),"·",bdRateExtend(R245:R249,T245:T249,AN245:AN249,AP245:AP249))</f>
        <v>-4.481519866531003E-3</v>
      </c>
      <c r="BE245" s="54">
        <f>IF(OR(ISBLANK(R245:R249),ISBLANK(AN245:AN249),ISBLANK(U245:U249),ISBLANK(AQ245:AQ249)),"·",bdRateExtend(R245:R249,U245:U249,AN245:AN249,AQ245:AQ249))</f>
        <v>-8.6171088253911288E-3</v>
      </c>
      <c r="BF245" s="54">
        <f>IF(OR(ISBLANK(R245:R249),ISBLANK(AN245:AN249),ISBLANK(V245:V249),ISBLANK(AR245:AR249)),"·",bdRateExtend(R245:R249,V245:V249,AN245:AN249,AR245:AR249))</f>
        <v>-5.200859642712885E-3</v>
      </c>
      <c r="BG245" s="54" t="str">
        <f>IF(OR(ISBLANK(S245:S249),ISBLANK(AO245:AO249),ISBLANK(W245:W249),ISBLANK(AS245:AS249)),"·",bdRateExtend(S245:S249,W245:W249,AO245:AO249,AS245:AS249))</f>
        <v>·</v>
      </c>
      <c r="BI245" s="54">
        <f>IF(OR(ISBLANK(R245:R249),ISBLANK(AN245:AN249),ISBLANK(X245:X249),ISBLANK(AT245:AT249)),"·",bdRateExtend(R245:R249,X245:X249,AN245:AN249,AT245:AT249))</f>
        <v>6.7124751451712594E-3</v>
      </c>
      <c r="BJ245" s="54">
        <f>IF(OR(ISBLANK(R245:R249),ISBLANK(AN245:AN249),ISBLANK(Y245:Y249),ISBLANK(AU245:AU249)),"·",bdRateExtend(R245:R249,Y245:Y249,AN245:AN249,AU245:AU249))</f>
        <v>6.7124751451712594E-3</v>
      </c>
      <c r="BK245" s="54">
        <f>IF(OR(ISBLANK(R245:R249),ISBLANK(AN245:AN249),ISBLANK(Z245:Z249),ISBLANK(AV245:AV249)),"·",bdRateExtend(R245:R249,Z245:Z249,AN245:AN249,AV245:AV249))</f>
        <v>6.7124751451712594E-3</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-1.0836897870404316E-3</v>
      </c>
      <c r="BO245" s="54">
        <f>IF(OR(ISBLANK(P245:P249),ISBLANK(AL245:AL249),ISBLANK(U245:U249),ISBLANK(AQ245:AQ249)),"·",bdRateExtend(P245:P249,U245:U249,AL245:AL249,AQ245:AQ249))</f>
        <v>-1.7414088206899603E-3</v>
      </c>
      <c r="BP245" s="54">
        <f>IF(OR(ISBLANK(P245:P249),ISBLANK(AL245:AL249),ISBLANK(V245:V249),ISBLANK(AR245:AR249)),"·",bdRateExtend(P245:P249,V245:V249,AL245:AL249,AR245:AR249))</f>
        <v>-1.2922984560428397E-3</v>
      </c>
      <c r="BQ245" s="54" t="str">
        <f>IF(OR(ISBLANK(P245:P249),ISBLANK(AL245:AL249),ISBLANK(W245:W249),ISBLANK(AS245:AS249)),"·",bdRateExtend(P245:P249,W245:W249,AL245:AL249,AS245:AS249))</f>
        <v>·</v>
      </c>
      <c r="BS245" s="54">
        <f>IF(OR(ISBLANK(P245:P249),ISBLANK(AL245:AL249),ISBLANK(X245:X249),ISBLANK(AT245:AT249)),"·",bdRateExtend(P245:P249,X245:X249,AL245:AL249,AT245:AT249))</f>
        <v>8.3416351716270043E-4</v>
      </c>
      <c r="BT245" s="54">
        <f>IF(OR(ISBLANK(P245:P249),ISBLANK(AL245:AL249),ISBLANK(Y245:Y249),ISBLANK(AU245:AU249)),"·",bdRateExtend(P245:P249,Y245:Y249,AL245:AL249,AU245:AU249))</f>
        <v>8.3416351716270043E-4</v>
      </c>
      <c r="BU245" s="54">
        <f>IF(OR(ISBLANK(P245:P249),ISBLANK(AL245:AL249),ISBLANK(Z245:Z249),ISBLANK(AV245:AV249)),"·",bdRateExtend(P245:P249,Z245:Z249,AL245:AL249,AV245:AV249))</f>
        <v>8.3416351716270043E-4</v>
      </c>
      <c r="BV245" s="54" t="str">
        <f>IF(OR(ISBLANK(P245:P249),ISBLANK(AL245:AL249),ISBLANK(AA245:AA249),ISBLANK(AW245:AW249)),"·",bdRateExtend(P245:P249,AA245:AA249,AL245:AL249,AW245:AW249))</f>
        <v>·</v>
      </c>
      <c r="BX245">
        <f t="shared" si="84"/>
        <v>0</v>
      </c>
      <c r="BY245">
        <f t="shared" si="85"/>
        <v>253216</v>
      </c>
      <c r="BZ245">
        <f t="shared" si="86"/>
        <v>0</v>
      </c>
      <c r="CA245">
        <f t="shared" si="87"/>
        <v>253216</v>
      </c>
      <c r="CB245">
        <f t="shared" si="88"/>
        <v>0</v>
      </c>
      <c r="CC245">
        <f t="shared" si="89"/>
        <v>9.0699999999998226E-2</v>
      </c>
      <c r="CD245">
        <f t="shared" si="90"/>
        <v>9.2700000000000671E-2</v>
      </c>
      <c r="CE245">
        <f t="shared" si="91"/>
        <v>9.2599999999997351E-2</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30.402116467249986</v>
      </c>
      <c r="K246" s="23">
        <f t="shared" si="75"/>
        <v>20.74781842832834</v>
      </c>
      <c r="L246" s="23">
        <f t="shared" si="76"/>
        <v>6.6189804988895595</v>
      </c>
      <c r="M246" s="23">
        <f t="shared" si="97"/>
        <v>3.0350344043435027</v>
      </c>
      <c r="N246" s="23">
        <f t="shared" si="77"/>
        <v>30.402116467249986</v>
      </c>
      <c r="O246" s="25">
        <v>7148516</v>
      </c>
      <c r="P246" s="26">
        <v>217330016</v>
      </c>
      <c r="Q246" s="26">
        <v>148316112</v>
      </c>
      <c r="R246" s="26">
        <v>47315888</v>
      </c>
      <c r="S246" s="26">
        <v>21695992</v>
      </c>
      <c r="T246" s="41">
        <v>48.640700000000002</v>
      </c>
      <c r="U246" s="41">
        <v>50.673999999999999</v>
      </c>
      <c r="V246" s="41">
        <v>50.400799999999997</v>
      </c>
      <c r="W246" s="41"/>
      <c r="X246" s="41">
        <v>42.110199999999999</v>
      </c>
      <c r="Y246" s="41">
        <v>42.110199999999999</v>
      </c>
      <c r="Z246" s="41">
        <v>42.110199999999999</v>
      </c>
      <c r="AA246" s="41"/>
      <c r="AB246" s="50">
        <v>15.545999999999999</v>
      </c>
      <c r="AC246" s="50">
        <v>11.875</v>
      </c>
      <c r="AE246" s="22" t="str">
        <f t="shared" si="78"/>
        <v>·</v>
      </c>
      <c r="AF246" s="23">
        <f t="shared" si="79"/>
        <v>30.422661150929788</v>
      </c>
      <c r="AG246" s="23">
        <f t="shared" si="80"/>
        <v>20.74781842832834</v>
      </c>
      <c r="AH246" s="23">
        <f t="shared" si="81"/>
        <v>6.6395251825693613</v>
      </c>
      <c r="AI246" s="23">
        <f t="shared" si="98"/>
        <v>3.0350344043435027</v>
      </c>
      <c r="AJ246" s="23">
        <f t="shared" si="82"/>
        <v>30.422661150929788</v>
      </c>
      <c r="AK246" s="25">
        <v>7148516</v>
      </c>
      <c r="AL246" s="26">
        <v>217476880</v>
      </c>
      <c r="AM246" s="26">
        <v>148316112</v>
      </c>
      <c r="AN246" s="26">
        <v>47462752</v>
      </c>
      <c r="AO246" s="26">
        <v>21695992</v>
      </c>
      <c r="AP246" s="41">
        <v>48.715400000000002</v>
      </c>
      <c r="AQ246" s="41">
        <v>50.748199999999997</v>
      </c>
      <c r="AR246" s="41">
        <v>50.472000000000001</v>
      </c>
      <c r="AS246" s="41"/>
      <c r="AT246" s="41">
        <v>42.110199999999999</v>
      </c>
      <c r="AU246" s="41">
        <v>42.110199999999999</v>
      </c>
      <c r="AV246" s="41">
        <v>42.110199999999999</v>
      </c>
      <c r="AW246" s="41"/>
      <c r="AX246" s="50">
        <v>15.670999999999999</v>
      </c>
      <c r="AY246" s="50">
        <v>11.936999999999999</v>
      </c>
      <c r="BA246" s="55">
        <f t="shared" si="83"/>
        <v>-4.6086197743255841E-4</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146864</v>
      </c>
      <c r="BZ246">
        <f t="shared" si="86"/>
        <v>0</v>
      </c>
      <c r="CA246">
        <f t="shared" si="87"/>
        <v>146864</v>
      </c>
      <c r="CB246">
        <f t="shared" si="88"/>
        <v>0</v>
      </c>
      <c r="CC246">
        <f t="shared" si="89"/>
        <v>7.4699999999999989E-2</v>
      </c>
      <c r="CD246">
        <f t="shared" si="90"/>
        <v>7.4199999999997601E-2</v>
      </c>
      <c r="CE246">
        <f t="shared" si="91"/>
        <v>7.1200000000004593E-2</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26.686501086379327</v>
      </c>
      <c r="K247" s="18">
        <f t="shared" si="75"/>
        <v>20.74781842832834</v>
      </c>
      <c r="L247" s="18">
        <f t="shared" si="76"/>
        <v>3.9608646046256313</v>
      </c>
      <c r="M247" s="18">
        <f t="shared" si="97"/>
        <v>1.9775349177367723</v>
      </c>
      <c r="N247" s="18">
        <f t="shared" si="77"/>
        <v>26.686501086379327</v>
      </c>
      <c r="O247" s="20">
        <v>7148516</v>
      </c>
      <c r="P247" s="21">
        <v>190768880</v>
      </c>
      <c r="Q247" s="21">
        <v>148316112</v>
      </c>
      <c r="R247" s="21">
        <v>28314304</v>
      </c>
      <c r="S247" s="21">
        <v>14136440</v>
      </c>
      <c r="T247" s="38">
        <v>41.628399999999999</v>
      </c>
      <c r="U247" s="38">
        <v>45.058500000000002</v>
      </c>
      <c r="V247" s="38">
        <v>44.786099999999998</v>
      </c>
      <c r="W247" s="38"/>
      <c r="X247" s="38">
        <v>34.151400000000002</v>
      </c>
      <c r="Y247" s="38">
        <v>34.151400000000002</v>
      </c>
      <c r="Z247" s="38">
        <v>34.151400000000002</v>
      </c>
      <c r="AA247" s="38"/>
      <c r="AB247" s="49">
        <v>15.093</v>
      </c>
      <c r="AC247" s="49">
        <v>11.875</v>
      </c>
      <c r="AE247" s="17" t="str">
        <f t="shared" si="78"/>
        <v>·</v>
      </c>
      <c r="AF247" s="18">
        <f t="shared" si="79"/>
        <v>26.709452982968774</v>
      </c>
      <c r="AG247" s="18">
        <f t="shared" si="80"/>
        <v>20.74781842832834</v>
      </c>
      <c r="AH247" s="18">
        <f t="shared" si="81"/>
        <v>3.9838165012150775</v>
      </c>
      <c r="AI247" s="18">
        <f t="shared" si="98"/>
        <v>1.9775349177367723</v>
      </c>
      <c r="AJ247" s="18">
        <f t="shared" si="82"/>
        <v>26.709452982968774</v>
      </c>
      <c r="AK247" s="20">
        <v>7148516</v>
      </c>
      <c r="AL247" s="21">
        <v>190932952</v>
      </c>
      <c r="AM247" s="21">
        <v>148316112</v>
      </c>
      <c r="AN247" s="21">
        <v>28478376</v>
      </c>
      <c r="AO247" s="21">
        <v>14136440</v>
      </c>
      <c r="AP247" s="38">
        <v>41.732700000000001</v>
      </c>
      <c r="AQ247" s="38">
        <v>45.171599999999998</v>
      </c>
      <c r="AR247" s="38">
        <v>44.894599999999997</v>
      </c>
      <c r="AS247" s="38"/>
      <c r="AT247" s="38">
        <v>34.151400000000002</v>
      </c>
      <c r="AU247" s="38">
        <v>34.151400000000002</v>
      </c>
      <c r="AV247" s="38">
        <v>34.151400000000002</v>
      </c>
      <c r="AW247" s="38"/>
      <c r="AX247" s="49">
        <v>15.218</v>
      </c>
      <c r="AY247" s="49">
        <v>11.64</v>
      </c>
      <c r="BA247" s="53">
        <f t="shared" si="83"/>
        <v>-6.6808910140581101E-4</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164072</v>
      </c>
      <c r="BZ247">
        <f t="shared" si="86"/>
        <v>0</v>
      </c>
      <c r="CA247">
        <f t="shared" si="87"/>
        <v>164072</v>
      </c>
      <c r="CB247">
        <f t="shared" si="88"/>
        <v>0</v>
      </c>
      <c r="CC247">
        <f t="shared" si="89"/>
        <v>0.10430000000000206</v>
      </c>
      <c r="CD247">
        <f t="shared" si="90"/>
        <v>0.11309999999999576</v>
      </c>
      <c r="CE247">
        <f t="shared" si="91"/>
        <v>0.10849999999999937</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24.404027912926264</v>
      </c>
      <c r="K248" s="23">
        <f t="shared" si="75"/>
        <v>20.74781842832834</v>
      </c>
      <c r="L248" s="23">
        <f t="shared" si="76"/>
        <v>2.4125141497899705</v>
      </c>
      <c r="M248" s="23">
        <f t="shared" si="97"/>
        <v>1.2434121991193696</v>
      </c>
      <c r="N248" s="23">
        <f t="shared" si="77"/>
        <v>24.404027912926264</v>
      </c>
      <c r="O248" s="25">
        <v>7148516</v>
      </c>
      <c r="P248" s="26">
        <v>174452584</v>
      </c>
      <c r="Q248" s="26">
        <v>148316112</v>
      </c>
      <c r="R248" s="26">
        <v>17245896</v>
      </c>
      <c r="S248" s="26">
        <v>8888552</v>
      </c>
      <c r="T248" s="41">
        <v>35.960599999999999</v>
      </c>
      <c r="U248" s="41">
        <v>40.7425</v>
      </c>
      <c r="V248" s="41">
        <v>40.221200000000003</v>
      </c>
      <c r="W248" s="41"/>
      <c r="X248" s="41">
        <v>28.130800000000001</v>
      </c>
      <c r="Y248" s="41">
        <v>28.130800000000001</v>
      </c>
      <c r="Z248" s="41">
        <v>28.130800000000001</v>
      </c>
      <c r="AA248" s="41"/>
      <c r="AB248" s="50">
        <v>14.843</v>
      </c>
      <c r="AC248" s="50">
        <v>11.436999999999999</v>
      </c>
      <c r="AE248" s="22" t="str">
        <f t="shared" si="78"/>
        <v>·</v>
      </c>
      <c r="AF248" s="23">
        <f t="shared" si="79"/>
        <v>24.424985549448305</v>
      </c>
      <c r="AG248" s="23">
        <f t="shared" si="80"/>
        <v>20.74781842832834</v>
      </c>
      <c r="AH248" s="23">
        <f t="shared" si="81"/>
        <v>2.4334717863120123</v>
      </c>
      <c r="AI248" s="23">
        <f t="shared" si="98"/>
        <v>1.2434121991193696</v>
      </c>
      <c r="AJ248" s="23">
        <f t="shared" si="82"/>
        <v>24.424985549448305</v>
      </c>
      <c r="AK248" s="25">
        <v>7148516</v>
      </c>
      <c r="AL248" s="26">
        <v>174602400</v>
      </c>
      <c r="AM248" s="26">
        <v>148316112</v>
      </c>
      <c r="AN248" s="26">
        <v>17395712</v>
      </c>
      <c r="AO248" s="26">
        <v>8888552</v>
      </c>
      <c r="AP248" s="41">
        <v>36.104999999999997</v>
      </c>
      <c r="AQ248" s="41">
        <v>40.911099999999998</v>
      </c>
      <c r="AR248" s="41">
        <v>40.349800000000002</v>
      </c>
      <c r="AS248" s="41"/>
      <c r="AT248" s="41">
        <v>28.130800000000001</v>
      </c>
      <c r="AU248" s="41">
        <v>28.130800000000001</v>
      </c>
      <c r="AV248" s="41">
        <v>28.130800000000001</v>
      </c>
      <c r="AW248" s="41"/>
      <c r="AX248" s="50">
        <v>14.984</v>
      </c>
      <c r="AY248" s="50">
        <v>11.561999999999999</v>
      </c>
      <c r="BA248" s="55">
        <f t="shared" si="83"/>
        <v>-7.2948927975058364E-4</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149816</v>
      </c>
      <c r="BZ248">
        <f t="shared" si="86"/>
        <v>0</v>
      </c>
      <c r="CA248">
        <f t="shared" si="87"/>
        <v>149816</v>
      </c>
      <c r="CB248">
        <f t="shared" si="88"/>
        <v>0</v>
      </c>
      <c r="CC248">
        <f t="shared" si="89"/>
        <v>0.14439999999999742</v>
      </c>
      <c r="CD248">
        <f t="shared" si="90"/>
        <v>0.16859999999999786</v>
      </c>
      <c r="CE248">
        <f t="shared" si="91"/>
        <v>0.12859999999999872</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22.763286813654751</v>
      </c>
      <c r="K249" s="28">
        <f t="shared" si="75"/>
        <v>20.74781842832834</v>
      </c>
      <c r="L249" s="28">
        <f t="shared" si="76"/>
        <v>1.3038487988276168</v>
      </c>
      <c r="M249" s="28">
        <f t="shared" si="97"/>
        <v>0.71133645081021013</v>
      </c>
      <c r="N249" s="28">
        <f t="shared" si="77"/>
        <v>22.763286813654751</v>
      </c>
      <c r="O249" s="30">
        <v>7148516</v>
      </c>
      <c r="P249" s="31">
        <v>162723720</v>
      </c>
      <c r="Q249" s="31">
        <v>148316112</v>
      </c>
      <c r="R249" s="31">
        <v>9320584</v>
      </c>
      <c r="S249" s="31">
        <v>5085000</v>
      </c>
      <c r="T249" s="44">
        <v>29.593299999999999</v>
      </c>
      <c r="U249" s="44">
        <v>36.232300000000002</v>
      </c>
      <c r="V249" s="44">
        <v>35.497199999999999</v>
      </c>
      <c r="W249" s="44"/>
      <c r="X249" s="44">
        <v>21.686399999999999</v>
      </c>
      <c r="Y249" s="44">
        <v>21.686399999999999</v>
      </c>
      <c r="Z249" s="44">
        <v>21.686399999999999</v>
      </c>
      <c r="AA249" s="44"/>
      <c r="AB249" s="51">
        <v>14.75</v>
      </c>
      <c r="AC249" s="51">
        <v>11.234</v>
      </c>
      <c r="AE249" s="27" t="str">
        <f t="shared" si="78"/>
        <v>·</v>
      </c>
      <c r="AF249" s="28">
        <f t="shared" si="79"/>
        <v>22.786635995498926</v>
      </c>
      <c r="AG249" s="28">
        <f t="shared" si="80"/>
        <v>20.74781842832834</v>
      </c>
      <c r="AH249" s="28">
        <f t="shared" si="81"/>
        <v>1.3271979806717926</v>
      </c>
      <c r="AI249" s="28">
        <f t="shared" si="98"/>
        <v>0.71133645081021013</v>
      </c>
      <c r="AJ249" s="28">
        <f t="shared" si="82"/>
        <v>22.786635995498926</v>
      </c>
      <c r="AK249" s="30">
        <v>7148516</v>
      </c>
      <c r="AL249" s="31">
        <v>162890632</v>
      </c>
      <c r="AM249" s="31">
        <v>148316112</v>
      </c>
      <c r="AN249" s="31">
        <v>9487496</v>
      </c>
      <c r="AO249" s="31">
        <v>5085000</v>
      </c>
      <c r="AP249" s="44">
        <v>29.944600000000001</v>
      </c>
      <c r="AQ249" s="44">
        <v>36.573900000000002</v>
      </c>
      <c r="AR249" s="44">
        <v>35.721800000000002</v>
      </c>
      <c r="AS249" s="44"/>
      <c r="AT249" s="44">
        <v>21.686399999999999</v>
      </c>
      <c r="AU249" s="44">
        <v>21.686399999999999</v>
      </c>
      <c r="AV249" s="44">
        <v>21.686399999999999</v>
      </c>
      <c r="AW249" s="44"/>
      <c r="AX249" s="51">
        <v>14.781000000000001</v>
      </c>
      <c r="AY249" s="51">
        <v>11.39</v>
      </c>
      <c r="BA249" s="57">
        <f t="shared" si="83"/>
        <v>-9.3396138585921662E-4</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166912</v>
      </c>
      <c r="BZ249">
        <f t="shared" si="86"/>
        <v>0</v>
      </c>
      <c r="CA249">
        <f t="shared" si="87"/>
        <v>166912</v>
      </c>
      <c r="CB249">
        <f t="shared" si="88"/>
        <v>0</v>
      </c>
      <c r="CC249">
        <f t="shared" si="89"/>
        <v>0.35130000000000194</v>
      </c>
      <c r="CD249">
        <f t="shared" si="90"/>
        <v>0.34159999999999968</v>
      </c>
      <c r="CE249">
        <f t="shared" si="91"/>
        <v>0.22460000000000235</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6.8500264176078893</v>
      </c>
      <c r="K285" s="66">
        <f>AVERAGE(K5:K114)</f>
        <v>4.2144656323827707</v>
      </c>
      <c r="L285" s="66">
        <f>AVERAGE(L5:L114)</f>
        <v>2.6351374004372543</v>
      </c>
      <c r="M285" s="67"/>
      <c r="AF285" s="66">
        <f>AVERAGE(AF5:AF114)</f>
        <v>6.8552765613105073</v>
      </c>
      <c r="AG285" s="66">
        <f>AVERAGE(AG5:AG114)</f>
        <v>4.2144656323827707</v>
      </c>
      <c r="AH285" s="66">
        <f>AVERAGE(AH5:AH114)</f>
        <v>2.6403875441398719</v>
      </c>
      <c r="AI285" s="67"/>
      <c r="BB285" s="69">
        <f>AVERAGE(BB5:BB114)</f>
        <v>-2.4658924097839037E-4</v>
      </c>
      <c r="BD285" s="70">
        <f>AVERAGE(BD5:BD114)</f>
        <v>-3.8005084690093216E-3</v>
      </c>
      <c r="BE285" s="70">
        <f>AVERAGE(BE5:BE114)</f>
        <v>-9.7945021554713754E-3</v>
      </c>
      <c r="BF285" s="70">
        <f>AVERAGE(BF5:BF114)</f>
        <v>-7.3459404713867435E-3</v>
      </c>
      <c r="BG285" s="71"/>
      <c r="BI285" s="70">
        <f>AVERAGE(BI5:BI114)</f>
        <v>1.0952283808468679E-3</v>
      </c>
      <c r="BJ285" s="70">
        <f>AVERAGE(BJ5:BJ114)</f>
        <v>1.0952283808468679E-3</v>
      </c>
      <c r="BK285" s="70">
        <f>AVERAGE(BK5:BK114)</f>
        <v>1.0952283808468679E-3</v>
      </c>
      <c r="BL285" s="71"/>
      <c r="BN285" s="70">
        <f>AVERAGE(BN5:BN114)</f>
        <v>-7.4789220812292547E-4</v>
      </c>
      <c r="BO285" s="70">
        <f>AVERAGE(BO5:BO114)</f>
        <v>-2.4123578099029593E-3</v>
      </c>
      <c r="BP285" s="70">
        <f>AVERAGE(BP5:BP114)</f>
        <v>-2.1859223487814346E-3</v>
      </c>
      <c r="BQ285" s="71"/>
      <c r="BS285" s="70">
        <f>AVERAGE(BS5:BS114)</f>
        <v>4.4623553020826809E-4</v>
      </c>
      <c r="BT285" s="70">
        <f>AVERAGE(BT5:BT114)</f>
        <v>4.4623553020826809E-4</v>
      </c>
      <c r="BU285" s="70">
        <f>AVERAGE(BU5:BU114)</f>
        <v>4.4623553020826809E-4</v>
      </c>
      <c r="BV285" s="71"/>
    </row>
    <row r="286" spans="1:88" x14ac:dyDescent="0.15">
      <c r="B286" s="65" t="s">
        <v>11</v>
      </c>
      <c r="J286" s="66">
        <f>AVERAGE(J115:J234)</f>
        <v>24.958155877460971</v>
      </c>
      <c r="K286" s="66">
        <f>AVERAGE(K115:K234)</f>
        <v>20.911408881280256</v>
      </c>
      <c r="L286" s="66">
        <f>AVERAGE(L115:L234)</f>
        <v>4.0463899709909388</v>
      </c>
      <c r="M286" s="67"/>
      <c r="AF286" s="66">
        <f>AVERAGE(AF115:AF234)</f>
        <v>24.987261239898551</v>
      </c>
      <c r="AG286" s="66">
        <f>AVERAGE(AG115:AG234)</f>
        <v>20.911408881280256</v>
      </c>
      <c r="AH286" s="66">
        <f>AVERAGE(AH115:AH234)</f>
        <v>4.0754953334285053</v>
      </c>
      <c r="AI286" s="67"/>
      <c r="BB286" s="69">
        <f>AVERAGE(BB115:BB234)</f>
        <v>-8.5999138163850297E-4</v>
      </c>
      <c r="BD286" s="70">
        <f>AVERAGE(BD115:BD234)</f>
        <v>-3.8928517761706444E-3</v>
      </c>
      <c r="BE286" s="70">
        <f>AVERAGE(BE115:BE234)</f>
        <v>-8.0348141735153422E-3</v>
      </c>
      <c r="BF286" s="70">
        <f>AVERAGE(BF115:BF234)</f>
        <v>-6.9265334209838852E-3</v>
      </c>
      <c r="BG286" s="71"/>
      <c r="BI286" s="70">
        <f>AVERAGE(BI115:BI234)</f>
        <v>5.163177859795416E-3</v>
      </c>
      <c r="BJ286" s="70">
        <f>AVERAGE(BJ115:BJ234)</f>
        <v>5.163177859795416E-3</v>
      </c>
      <c r="BK286" s="70">
        <f>AVERAGE(BK115:BK234)</f>
        <v>5.163177859795416E-3</v>
      </c>
      <c r="BL286" s="71"/>
      <c r="BN286" s="70">
        <f>AVERAGE(BN115:BN234)</f>
        <v>-4.3786699471452345E-4</v>
      </c>
      <c r="BO286" s="70">
        <f>AVERAGE(BO115:BO234)</f>
        <v>-8.0421033036606282E-4</v>
      </c>
      <c r="BP286" s="70">
        <f>AVERAGE(BP115:BP234)</f>
        <v>-7.3494929880065874E-4</v>
      </c>
      <c r="BQ286" s="71"/>
      <c r="BS286" s="70">
        <f>AVERAGE(BS115:BS234)</f>
        <v>1.0673803916852141E-3</v>
      </c>
      <c r="BT286" s="70">
        <f>AVERAGE(BT115:BT234)</f>
        <v>1.0673803916852141E-3</v>
      </c>
      <c r="BU286" s="70">
        <f>AVERAGE(BU115:BU234)</f>
        <v>1.0673803916852141E-3</v>
      </c>
      <c r="BV286" s="71"/>
    </row>
    <row r="287" spans="1:88" x14ac:dyDescent="0.15">
      <c r="B287" s="65" t="s">
        <v>12</v>
      </c>
      <c r="J287" s="66">
        <f>AVERAGE(J235:J249)</f>
        <v>27.241711421631027</v>
      </c>
      <c r="K287" s="66">
        <f>AVERAGE(K235:K249)</f>
        <v>19.697263571956878</v>
      </c>
      <c r="L287" s="66">
        <f>AVERAGE(L235:L249)</f>
        <v>5.4150139776960255</v>
      </c>
      <c r="M287" s="66">
        <f>AVERAGE(M235:M249)</f>
        <v>2.1291758706178867</v>
      </c>
      <c r="AF287" s="66">
        <f>AVERAGE(AF235:AF249)</f>
        <v>27.276524187488608</v>
      </c>
      <c r="AG287" s="66">
        <f>AVERAGE(AG235:AG249)</f>
        <v>19.697263571956878</v>
      </c>
      <c r="AH287" s="66">
        <f>AVERAGE(AH235:AH249)</f>
        <v>5.4498267435536034</v>
      </c>
      <c r="AI287" s="66">
        <f>AVERAGE(AI235:AI249)</f>
        <v>2.1291758706178867</v>
      </c>
      <c r="BB287" s="69">
        <f>AVERAGE(BB235:BB249)</f>
        <v>-9.8516718727337249E-4</v>
      </c>
      <c r="BD287" s="70">
        <f>AVERAGE(BD235:BD249)</f>
        <v>-5.8339664533422946E-3</v>
      </c>
      <c r="BE287" s="70">
        <f>AVERAGE(BE235:BE249)</f>
        <v>-8.7024222787982497E-3</v>
      </c>
      <c r="BF287" s="70">
        <f>AVERAGE(BF235:BF249)</f>
        <v>-7.0028193100842477E-3</v>
      </c>
      <c r="BG287" s="70" t="e">
        <f>AVERAGE(BG235:BG249)</f>
        <v>#DIV/0!</v>
      </c>
      <c r="BI287" s="70">
        <f>AVERAGE(BI235:BI249)</f>
        <v>8.0159864751483401E-3</v>
      </c>
      <c r="BJ287" s="70">
        <f>AVERAGE(BJ235:BJ249)</f>
        <v>8.0159864751483401E-3</v>
      </c>
      <c r="BK287" s="70">
        <f>AVERAGE(BK235:BK249)</f>
        <v>8.0159864751483401E-3</v>
      </c>
      <c r="BL287" s="70" t="e">
        <f>AVERAGE(BL235:BL249)</f>
        <v>#DIV/0!</v>
      </c>
      <c r="BN287" s="70">
        <f>AVERAGE(BN235:BN249)</f>
        <v>-1.7750425720173639E-3</v>
      </c>
      <c r="BO287" s="70">
        <f>AVERAGE(BO235:BO249)</f>
        <v>-2.2932552622731603E-3</v>
      </c>
      <c r="BP287" s="70">
        <f>AVERAGE(BP235:BP249)</f>
        <v>-2.0810245783451364E-3</v>
      </c>
      <c r="BQ287" s="70" t="e">
        <f>AVERAGE(BQ235:BQ249)</f>
        <v>#DIV/0!</v>
      </c>
      <c r="BS287" s="70">
        <f>AVERAGE(BS235:BS249)</f>
        <v>1.2305698903652591E-3</v>
      </c>
      <c r="BT287" s="70">
        <f>AVERAGE(BT235:BT249)</f>
        <v>1.2305698903652591E-3</v>
      </c>
      <c r="BU287" s="70">
        <f>AVERAGE(BU235:BU249)</f>
        <v>1.2305698903652591E-3</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16.967784826761829</v>
      </c>
      <c r="K289" s="66">
        <f>AVERAGE(K5:K284)</f>
        <v>13.34048668936771</v>
      </c>
      <c r="L289" s="66">
        <f>AVERAGE(L5:L249)</f>
        <v>3.4965596744181666</v>
      </c>
      <c r="M289" s="66">
        <f>AVERAGE(M235:M284)</f>
        <v>2.1291758706178867</v>
      </c>
      <c r="AF289" s="66">
        <f>AVERAGE(AF5:AF284)</f>
        <v>16.986529115691066</v>
      </c>
      <c r="AG289" s="66">
        <f>AVERAGE(AG5:AG284)</f>
        <v>13.34048668936771</v>
      </c>
      <c r="AH289" s="66">
        <f>AVERAGE(AH5:AH249)</f>
        <v>3.5153039633473906</v>
      </c>
      <c r="AI289" s="66">
        <f>AVERAGE(AI235:AI284)</f>
        <v>2.1291758706178867</v>
      </c>
      <c r="BB289" s="69" t="e">
        <f>AVERAGE(BB5:BB284)</f>
        <v>#DIV/0!</v>
      </c>
      <c r="BD289" s="70">
        <f>AVERAGE(BD5:BD249)</f>
        <v>-3.9702352715577025E-3</v>
      </c>
      <c r="BE289" s="70">
        <f>AVERAGE(BE5:BE249)</f>
        <v>-8.8657521310435347E-3</v>
      </c>
      <c r="BF289" s="70">
        <f>AVERAGE(BF5:BF249)</f>
        <v>-7.1195091919260068E-3</v>
      </c>
      <c r="BG289" s="70" t="e">
        <f>AVERAGE(BG235:BG284)</f>
        <v>#DIV/0!</v>
      </c>
      <c r="BI289" s="70">
        <f>AVERAGE(BI5:BI249)</f>
        <v>3.511413315085022E-3</v>
      </c>
      <c r="BJ289" s="70">
        <f>AVERAGE(BJ5:BJ249)</f>
        <v>3.511413315085022E-3</v>
      </c>
      <c r="BK289" s="70">
        <f>AVERAGE(BK5:BK249)</f>
        <v>3.511413315085022E-3</v>
      </c>
      <c r="BL289" s="70" t="e">
        <f>AVERAGE(BL235:BL284)</f>
        <v>#DIV/0!</v>
      </c>
      <c r="BN289" s="70">
        <f>AVERAGE(BN5:BN249)</f>
        <v>-6.589298809776534E-4</v>
      </c>
      <c r="BO289" s="70">
        <f>AVERAGE(BO5:BO249)</f>
        <v>-1.6174017455810224E-3</v>
      </c>
      <c r="BP289" s="70">
        <f>AVERAGE(BP5:BP249)</f>
        <v>-1.4688193587641385E-3</v>
      </c>
      <c r="BQ289" s="70" t="e">
        <f>AVERAGE(BQ235:BQ284)</f>
        <v>#DIV/0!</v>
      </c>
      <c r="BS289" s="70">
        <f>AVERAGE(BS5:BS249)</f>
        <v>7.9849021910454723E-4</v>
      </c>
      <c r="BT289" s="70">
        <f>AVERAGE(BT5:BT249)</f>
        <v>7.9849021910454723E-4</v>
      </c>
      <c r="BU289" s="70">
        <f>AVERAGE(BU5:BU249)</f>
        <v>7.9849021910454723E-4</v>
      </c>
      <c r="BV289" s="70" t="e">
        <f>AVERAGE(BV235:BV284)</f>
        <v>#DIV/0!</v>
      </c>
    </row>
    <row r="290" spans="1:74" hidden="1" outlineLevel="2" x14ac:dyDescent="0.15">
      <c r="A290" s="65" t="s">
        <v>263</v>
      </c>
      <c r="B290" s="65" t="s">
        <v>264</v>
      </c>
      <c r="AB290" s="68">
        <f>SUM(AB5:AB114,AB115:AB234,AB235:AB249,AB250:AB284)</f>
        <v>8275.7510000000038</v>
      </c>
      <c r="AC290" s="68">
        <f>SUM(AC5:AC114,AC115:AC234,AC235:AC249,AC250:AC284)</f>
        <v>7078.177000000006</v>
      </c>
      <c r="AX290" s="68">
        <f>SUM(AX5:AX114,AX115:AX234,AX235:AX249,AX250:AX284)</f>
        <v>8290.2470000000048</v>
      </c>
      <c r="AY290" s="68">
        <f>SUM(AY5:AY114,AY115:AY234,AY235:AY249,AY250:AY284)</f>
        <v>7122.9120000000021</v>
      </c>
    </row>
    <row r="291" spans="1:74" hidden="1" outlineLevel="2" x14ac:dyDescent="0.15">
      <c r="B291" s="65" t="s">
        <v>265</v>
      </c>
      <c r="AX291" s="69">
        <f>AX290/AB290</f>
        <v>1.0017516235082473</v>
      </c>
      <c r="AY291" s="69">
        <f>AY290/AC290</f>
        <v>1.0063201301691094</v>
      </c>
    </row>
    <row r="292" spans="1:74" ht="27" hidden="1" outlineLevel="2" x14ac:dyDescent="0.15">
      <c r="B292" s="65" t="s">
        <v>266</v>
      </c>
      <c r="AB292" s="68">
        <f>GEOMEAN(AB5:AB114,AB115:AB234,AB235:AB249,AB250:AB284)</f>
        <v>9.6925328059971392</v>
      </c>
      <c r="AC292" s="68">
        <f>GEOMEAN(AC5:AC114,AC115:AC234,AC235:AC249,AC250:AC284)</f>
        <v>8.0040749941379836</v>
      </c>
      <c r="AX292" s="68">
        <f>GEOMEAN(AX5:AX114,AX115:AX234,AX235:AX249,AX250:AX284)</f>
        <v>9.7185718977295519</v>
      </c>
      <c r="AY292" s="68">
        <f>GEOMEAN(AY5:AY114,AY115:AY234,AY235:AY249,AY250:AY284)</f>
        <v>8.0411579365249484</v>
      </c>
    </row>
    <row r="293" spans="1:74" ht="27" outlineLevel="2" collapsed="1" x14ac:dyDescent="0.15">
      <c r="B293" s="65" t="s">
        <v>267</v>
      </c>
      <c r="AX293" s="69">
        <f>AX292/AB292</f>
        <v>1.0026865105595826</v>
      </c>
      <c r="AY293" s="69">
        <f>AY292/AC292</f>
        <v>1.0046330078633849</v>
      </c>
    </row>
  </sheetData>
  <mergeCells count="38">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BB2:BB3"/>
    <mergeCell ref="BD2:BG2"/>
    <mergeCell ref="AJ2:AJ3"/>
    <mergeCell ref="AK2:AK3"/>
    <mergeCell ref="AX2:AX3"/>
    <mergeCell ref="AY2:AY3"/>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2020-10-26T01:21:02Z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